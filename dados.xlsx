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8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queryTables/queryTable9.xml" ContentType="application/vnd.openxmlformats-officedocument.spreadsheetml.query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theogenes_palopoli_telefonica_com/Documents/1_Planejamento_Jardins/Projeto HTML/Painel-Gerencial/"/>
    </mc:Choice>
  </mc:AlternateContent>
  <xr:revisionPtr revIDLastSave="1942" documentId="8_{856E4F16-6CBA-4CD5-819E-B9A0CC391AA1}" xr6:coauthVersionLast="47" xr6:coauthVersionMax="47" xr10:uidLastSave="{CF954A6A-AEB8-4C21-890F-F75C2DA2868E}"/>
  <bookViews>
    <workbookView xWindow="-110" yWindow="-110" windowWidth="19420" windowHeight="10300" firstSheet="5" activeTab="8" xr2:uid="{9C3AB5CB-5C97-49BE-B351-698828C07519}"/>
  </bookViews>
  <sheets>
    <sheet name="ESTRUTURA_ICOMON" sheetId="21" r:id="rId1"/>
    <sheet name="RIT_ICOMON" sheetId="20" r:id="rId2"/>
    <sheet name="RIT_FUSIONS" sheetId="2" r:id="rId3"/>
    <sheet name="RIT_ACUM" sheetId="1" r:id="rId4"/>
    <sheet name="CHECK_FUSIONS" sheetId="5" r:id="rId5"/>
    <sheet name="CHECK_ACUM" sheetId="4" r:id="rId6"/>
    <sheet name="DEG_REDE" sheetId="9" r:id="rId7"/>
    <sheet name="DEG_ACUM" sheetId="8" r:id="rId8"/>
    <sheet name="CLEAN-UP_ACUM" sheetId="11" r:id="rId9"/>
    <sheet name="FISCALIZAÇÃO" sheetId="12" r:id="rId10"/>
    <sheet name="FISC_ACUM" sheetId="13" r:id="rId11"/>
    <sheet name="SD_7" sheetId="14" r:id="rId12"/>
    <sheet name="SD_ACUM" sheetId="15" r:id="rId13"/>
    <sheet name="FMO" sheetId="16" r:id="rId14"/>
    <sheet name="FMO_ACUM" sheetId="17" r:id="rId15"/>
    <sheet name="LIBERADO COMERCIAL" sheetId="19" r:id="rId16"/>
    <sheet name="CALENDÁRIO" sheetId="7" r:id="rId17"/>
    <sheet name="Acomp_Modernização" sheetId="26" r:id="rId18"/>
    <sheet name="Modernização" sheetId="24" r:id="rId19"/>
  </sheets>
  <definedNames>
    <definedName name="DadosExternos_1" localSheetId="17" hidden="1">Acomp_Modernização!$A$1:$L$126</definedName>
    <definedName name="DadosExternos_1" localSheetId="4" hidden="1">CHECK_FUSIONS!$A$1:$C$204</definedName>
    <definedName name="DadosExternos_1" localSheetId="6" hidden="1">DEG_REDE!$A$1:$C$1369</definedName>
    <definedName name="DadosExternos_1" localSheetId="9" hidden="1">FISCALIZAÇÃO!$A$1:$C$644</definedName>
    <definedName name="DadosExternos_1" localSheetId="13" hidden="1">FMO!$A$1:$B$674</definedName>
    <definedName name="DadosExternos_1" localSheetId="15" hidden="1">'LIBERADO COMERCIAL'!$A$1:$AA$304</definedName>
    <definedName name="DadosExternos_1" localSheetId="2" hidden="1">'RIT_FUSIONS'!$A$1:$C$831</definedName>
    <definedName name="DadosExternos_1" localSheetId="11" hidden="1">'SD_7'!$A$1:$B$3421</definedName>
    <definedName name="DadosExternos_2" localSheetId="1" hidden="1">'RIT_ICOMON'!$A$1:$F$2306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" i="19" l="1"/>
  <c r="AB32" i="19"/>
  <c r="AB7" i="19"/>
  <c r="AB8" i="19"/>
  <c r="AB29" i="19"/>
  <c r="AB44" i="19"/>
  <c r="AB9" i="19"/>
  <c r="AB10" i="19"/>
  <c r="AB59" i="19"/>
  <c r="AB60" i="19"/>
  <c r="AB5" i="19"/>
  <c r="AB30" i="19"/>
  <c r="AB51" i="19"/>
  <c r="AB4" i="19"/>
  <c r="AB11" i="19"/>
  <c r="AB6" i="19"/>
  <c r="AB31" i="19"/>
  <c r="AB76" i="19"/>
  <c r="AB26" i="19"/>
  <c r="AB12" i="19"/>
  <c r="AB13" i="19"/>
  <c r="AB62" i="19"/>
  <c r="AB24" i="19"/>
  <c r="AB14" i="19"/>
  <c r="AB15" i="19"/>
  <c r="AB33" i="19"/>
  <c r="AB19" i="19"/>
  <c r="AB25" i="19"/>
  <c r="AB49" i="19"/>
  <c r="AB34" i="19"/>
  <c r="AB64" i="19"/>
  <c r="AB16" i="19"/>
  <c r="AB65" i="19"/>
  <c r="AB17" i="19"/>
  <c r="AB45" i="19"/>
  <c r="AB18" i="19"/>
  <c r="AB50" i="19"/>
  <c r="AB22" i="19"/>
  <c r="AB23" i="19"/>
  <c r="AB20" i="19"/>
  <c r="AB21" i="19"/>
  <c r="AB27" i="19"/>
  <c r="AB46" i="19"/>
  <c r="AB61" i="19"/>
  <c r="AB35" i="19"/>
  <c r="AB36" i="19"/>
  <c r="AB37" i="19"/>
  <c r="AB47" i="19"/>
  <c r="AB38" i="19"/>
  <c r="AB39" i="19"/>
  <c r="AB40" i="19"/>
  <c r="AB48" i="19"/>
  <c r="AB41" i="19"/>
  <c r="AB42" i="19"/>
  <c r="AB52" i="19"/>
  <c r="AB43" i="19"/>
  <c r="AB55" i="19"/>
  <c r="AB56" i="19"/>
  <c r="AB67" i="19"/>
  <c r="AB70" i="19"/>
  <c r="AB63" i="19"/>
  <c r="AB79" i="19"/>
  <c r="AB57" i="19"/>
  <c r="AB58" i="19"/>
  <c r="AB66" i="19"/>
  <c r="AB53" i="19"/>
  <c r="AB68" i="19"/>
  <c r="AB71" i="19"/>
  <c r="AB54" i="19"/>
  <c r="AB72" i="19"/>
  <c r="AB78" i="19"/>
  <c r="AB77" i="19"/>
  <c r="AB80" i="19"/>
  <c r="AB69" i="19"/>
  <c r="AB73" i="19"/>
  <c r="AB74" i="19"/>
  <c r="AB75" i="19"/>
  <c r="AB81" i="19"/>
  <c r="AB87" i="19"/>
  <c r="AB84" i="19"/>
  <c r="AB85" i="19"/>
  <c r="AB86" i="19"/>
  <c r="AB88" i="19"/>
  <c r="AB82" i="19"/>
  <c r="AB89" i="19"/>
  <c r="AB90" i="19"/>
  <c r="AB83" i="19"/>
  <c r="AB91" i="19"/>
  <c r="AB93" i="19"/>
  <c r="AB2" i="19"/>
  <c r="AB94" i="19"/>
  <c r="AB92" i="19"/>
  <c r="AB95" i="19"/>
  <c r="AB96" i="19"/>
  <c r="AB100" i="19"/>
  <c r="AB97" i="19"/>
  <c r="AB101" i="19"/>
  <c r="AB98" i="19"/>
  <c r="AB99" i="19"/>
  <c r="AB102" i="19"/>
  <c r="AB119" i="19"/>
  <c r="AB110" i="19"/>
  <c r="AB120" i="19"/>
  <c r="AB121" i="19"/>
  <c r="AB122" i="19"/>
  <c r="AB104" i="19"/>
  <c r="AB105" i="19"/>
  <c r="AB103" i="19"/>
  <c r="AB123" i="19"/>
  <c r="AB106" i="19"/>
  <c r="AB107" i="19"/>
  <c r="AB108" i="19"/>
  <c r="AB111" i="19"/>
  <c r="AB109" i="19"/>
  <c r="AB131" i="19"/>
  <c r="AB132" i="19"/>
  <c r="AB133" i="19"/>
  <c r="AB113" i="19"/>
  <c r="AB114" i="19"/>
  <c r="AB124" i="19"/>
  <c r="AB115" i="19"/>
  <c r="AB116" i="19"/>
  <c r="AB117" i="19"/>
  <c r="AB118" i="19"/>
  <c r="AB125" i="19"/>
  <c r="AB112" i="19"/>
  <c r="AB127" i="19"/>
  <c r="AB128" i="19"/>
  <c r="AB134" i="19"/>
  <c r="AB135" i="19"/>
  <c r="AB126" i="19"/>
  <c r="AB129" i="19"/>
  <c r="AB130" i="19"/>
  <c r="AB136" i="19"/>
  <c r="AB137" i="19"/>
  <c r="AB138" i="19"/>
  <c r="AB143" i="19"/>
  <c r="AB139" i="19"/>
  <c r="AB140" i="19"/>
  <c r="AB142" i="19"/>
  <c r="AB141" i="19"/>
  <c r="AB145" i="19"/>
  <c r="AB146" i="19"/>
  <c r="AB148" i="19"/>
  <c r="AB147" i="19"/>
  <c r="AB3" i="19"/>
  <c r="AB144" i="19"/>
  <c r="AB149" i="19"/>
  <c r="AB153" i="19"/>
  <c r="AB154" i="19"/>
  <c r="AB152" i="19"/>
  <c r="AB150" i="19"/>
  <c r="AB151" i="19"/>
  <c r="AB155" i="19"/>
  <c r="AB158" i="19"/>
  <c r="AB156" i="19"/>
  <c r="AB167" i="19"/>
  <c r="AB183" i="19"/>
  <c r="AB163" i="19"/>
  <c r="AB184" i="19"/>
  <c r="AB174" i="19"/>
  <c r="AB185" i="19"/>
  <c r="AB157" i="19"/>
  <c r="AB162" i="19"/>
  <c r="AB159" i="19"/>
  <c r="AB160" i="19"/>
  <c r="AB175" i="19"/>
  <c r="AB176" i="19"/>
  <c r="AB170" i="19"/>
  <c r="AB186" i="19"/>
  <c r="AB187" i="19"/>
  <c r="AB177" i="19"/>
  <c r="AB171" i="19"/>
  <c r="AB178" i="19"/>
  <c r="AB168" i="19"/>
  <c r="AB179" i="19"/>
  <c r="AB172" i="19"/>
  <c r="AB188" i="19"/>
  <c r="AB161" i="19"/>
  <c r="AB164" i="19"/>
  <c r="AB180" i="19"/>
  <c r="AB173" i="19"/>
  <c r="AB165" i="19"/>
  <c r="AB166" i="19"/>
  <c r="AB181" i="19"/>
  <c r="AB169" i="19"/>
  <c r="AB182" i="19"/>
  <c r="AB192" i="19"/>
  <c r="AB193" i="19"/>
  <c r="AB194" i="19"/>
  <c r="AB189" i="19"/>
  <c r="AB195" i="19"/>
  <c r="AB196" i="19"/>
  <c r="AB197" i="19"/>
  <c r="AB198" i="19"/>
  <c r="AB190" i="19"/>
  <c r="AB199" i="19"/>
  <c r="AB206" i="19"/>
  <c r="AB200" i="19"/>
  <c r="AB207" i="19"/>
  <c r="AB208" i="19"/>
  <c r="AB209" i="19"/>
  <c r="AB191" i="19"/>
  <c r="AB201" i="19"/>
  <c r="AB202" i="19"/>
  <c r="AB203" i="19"/>
  <c r="AB210" i="19"/>
  <c r="AB211" i="19"/>
  <c r="AB264" i="19"/>
  <c r="AB231" i="19"/>
  <c r="AB232" i="19"/>
  <c r="AB212" i="19"/>
  <c r="AB213" i="19"/>
  <c r="AB214" i="19"/>
  <c r="AB220" i="19"/>
  <c r="AB215" i="19"/>
  <c r="AB216" i="19"/>
  <c r="AB217" i="19"/>
  <c r="AB218" i="19"/>
  <c r="AB221" i="19"/>
  <c r="AB222" i="19"/>
  <c r="AB223" i="19"/>
  <c r="AB204" i="19"/>
  <c r="AB233" i="19"/>
  <c r="AB249" i="19"/>
  <c r="AB239" i="19"/>
  <c r="AB250" i="19"/>
  <c r="AB224" i="19"/>
  <c r="AB225" i="19"/>
  <c r="AB226" i="19"/>
  <c r="AB227" i="19"/>
  <c r="AB228" i="19"/>
  <c r="AB229" i="19"/>
  <c r="AB230" i="19"/>
  <c r="AB205" i="19"/>
  <c r="AB219" i="19"/>
  <c r="AB240" i="19"/>
  <c r="AB294" i="19"/>
  <c r="AB234" i="19"/>
  <c r="AB278" i="19"/>
  <c r="AB243" i="19"/>
  <c r="AB302" i="19"/>
  <c r="AB244" i="19"/>
  <c r="AB245" i="19"/>
  <c r="AB246" i="19"/>
  <c r="AB247" i="19"/>
  <c r="AB248" i="19"/>
  <c r="AB292" i="19"/>
  <c r="AB235" i="19"/>
  <c r="AB265" i="19"/>
  <c r="AB266" i="19"/>
  <c r="AB241" i="19"/>
  <c r="AB251" i="19"/>
  <c r="AB267" i="19"/>
  <c r="AB271" i="19"/>
  <c r="AB285" i="19"/>
  <c r="AB236" i="19"/>
  <c r="AB256" i="19"/>
  <c r="AB237" i="19"/>
  <c r="AB254" i="19"/>
  <c r="AB242" i="19"/>
  <c r="AB257" i="19"/>
  <c r="AB252" i="19"/>
  <c r="AB258" i="19"/>
  <c r="AB259" i="19"/>
  <c r="AB238" i="19"/>
  <c r="AB253" i="19"/>
  <c r="AB272" i="19"/>
  <c r="AB260" i="19"/>
  <c r="AB261" i="19"/>
  <c r="AB268" i="19"/>
  <c r="AB279" i="19"/>
  <c r="AB262" i="19"/>
  <c r="AB255" i="19"/>
  <c r="AB273" i="19"/>
  <c r="AB269" i="19"/>
  <c r="AB295" i="19"/>
  <c r="AB263" i="19"/>
  <c r="AB270" i="19"/>
  <c r="AB296" i="19"/>
  <c r="AB286" i="19"/>
  <c r="AB274" i="19"/>
  <c r="AB275" i="19"/>
  <c r="AB276" i="19"/>
  <c r="AB277" i="19"/>
  <c r="AB287" i="19"/>
  <c r="AB288" i="19"/>
  <c r="AB280" i="19"/>
  <c r="AB281" i="19"/>
  <c r="AB282" i="19"/>
  <c r="AB283" i="19"/>
  <c r="AB289" i="19"/>
  <c r="AB290" i="19"/>
  <c r="AB297" i="19"/>
  <c r="AB298" i="19"/>
  <c r="AB284" i="19"/>
  <c r="AB291" i="19"/>
  <c r="AB299" i="19"/>
  <c r="AB293" i="19"/>
  <c r="AB300" i="19"/>
  <c r="AB301" i="19"/>
  <c r="AB303" i="19"/>
  <c r="AB304" i="19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1474" i="15"/>
  <c r="C1475" i="15"/>
  <c r="C1476" i="15"/>
  <c r="D1474" i="15"/>
  <c r="D1475" i="15"/>
  <c r="D1476" i="15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4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0" i="12"/>
  <c r="D341" i="12"/>
  <c r="D342" i="12"/>
  <c r="D343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89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2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0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2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6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242" i="11"/>
  <c r="D2465" i="8"/>
  <c r="D2466" i="8"/>
  <c r="D2467" i="8"/>
  <c r="D2468" i="8"/>
  <c r="D2469" i="8"/>
  <c r="D2470" i="8"/>
  <c r="D2471" i="8"/>
  <c r="D2472" i="8"/>
  <c r="D2473" i="8"/>
  <c r="D2474" i="8"/>
  <c r="D2475" i="8"/>
  <c r="D2476" i="8"/>
  <c r="D2477" i="8"/>
  <c r="D2478" i="8"/>
  <c r="D2479" i="8"/>
  <c r="D2480" i="8"/>
  <c r="D2481" i="8"/>
  <c r="D2482" i="8"/>
  <c r="D2483" i="8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41" i="11"/>
  <c r="D240" i="11"/>
  <c r="D239" i="11"/>
  <c r="D238" i="11"/>
  <c r="D237" i="11"/>
  <c r="C82" i="24"/>
  <c r="D82" i="24"/>
  <c r="C81" i="24"/>
  <c r="D81" i="24"/>
  <c r="D236" i="11"/>
  <c r="D235" i="11"/>
  <c r="D234" i="11"/>
  <c r="D233" i="11"/>
  <c r="D232" i="11"/>
  <c r="D2456" i="8"/>
  <c r="D2457" i="8"/>
  <c r="D2458" i="8"/>
  <c r="D2459" i="8"/>
  <c r="D2460" i="8"/>
  <c r="D2461" i="8"/>
  <c r="D2462" i="8"/>
  <c r="D2463" i="8"/>
  <c r="D2464" i="8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451" i="8"/>
  <c r="D2452" i="8"/>
  <c r="D2453" i="8"/>
  <c r="D2454" i="8"/>
  <c r="D2455" i="8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31" i="11"/>
  <c r="C656" i="17"/>
  <c r="C657" i="17"/>
  <c r="C658" i="17"/>
  <c r="C659" i="17"/>
  <c r="D2447" i="8"/>
  <c r="D2448" i="8"/>
  <c r="D2449" i="8"/>
  <c r="D2450" i="8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2196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68" i="1"/>
  <c r="D2169" i="1"/>
  <c r="D2110" i="1"/>
  <c r="D2072" i="1"/>
  <c r="D2073" i="1"/>
  <c r="D2074" i="1"/>
  <c r="D2075" i="1"/>
  <c r="D2195" i="1"/>
  <c r="D2076" i="1"/>
  <c r="C647" i="17"/>
  <c r="C648" i="17"/>
  <c r="C649" i="17"/>
  <c r="C650" i="17"/>
  <c r="C651" i="17"/>
  <c r="C652" i="17"/>
  <c r="C653" i="17"/>
  <c r="C654" i="17"/>
  <c r="C655" i="17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D1448" i="15"/>
  <c r="D1449" i="15"/>
  <c r="D1450" i="15"/>
  <c r="D1451" i="15"/>
  <c r="D1452" i="15"/>
  <c r="D1453" i="15"/>
  <c r="D1454" i="15"/>
  <c r="D1455" i="15"/>
  <c r="D1456" i="15"/>
  <c r="D1457" i="15"/>
  <c r="D1458" i="15"/>
  <c r="D1459" i="15"/>
  <c r="D1460" i="15"/>
  <c r="D1461" i="15"/>
  <c r="D1462" i="15"/>
  <c r="D1463" i="15"/>
  <c r="D1464" i="15"/>
  <c r="D1465" i="15"/>
  <c r="D1466" i="15"/>
  <c r="D1467" i="15"/>
  <c r="D1468" i="15"/>
  <c r="D1469" i="15"/>
  <c r="D1470" i="15"/>
  <c r="D1471" i="15"/>
  <c r="D1472" i="15"/>
  <c r="D1473" i="15"/>
  <c r="D230" i="11"/>
  <c r="D2430" i="8"/>
  <c r="D2431" i="8"/>
  <c r="D2432" i="8"/>
  <c r="D2433" i="8"/>
  <c r="D2434" i="8"/>
  <c r="D2435" i="8"/>
  <c r="D2436" i="8"/>
  <c r="D2437" i="8"/>
  <c r="D2438" i="8"/>
  <c r="D2439" i="8"/>
  <c r="D2440" i="8"/>
  <c r="D2441" i="8"/>
  <c r="D2442" i="8"/>
  <c r="D2443" i="8"/>
  <c r="D2444" i="8"/>
  <c r="D2445" i="8"/>
  <c r="D2446" i="8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2070" i="1"/>
  <c r="D2071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09" i="1"/>
  <c r="D2162" i="1"/>
  <c r="D2163" i="1"/>
  <c r="D2164" i="1"/>
  <c r="D2165" i="1"/>
  <c r="D2166" i="1"/>
  <c r="D2167" i="1"/>
  <c r="C2" i="24"/>
  <c r="D2" i="24"/>
  <c r="C4" i="24"/>
  <c r="C5" i="24"/>
  <c r="C6" i="24"/>
  <c r="D4" i="24"/>
  <c r="D5" i="24"/>
  <c r="D6" i="24"/>
  <c r="C3" i="24"/>
  <c r="D3" i="24"/>
  <c r="C13" i="24"/>
  <c r="D13" i="24"/>
  <c r="C11" i="24"/>
  <c r="D11" i="24"/>
  <c r="C12" i="24"/>
  <c r="D12" i="24"/>
  <c r="C9" i="24"/>
  <c r="D9" i="24"/>
  <c r="C10" i="24"/>
  <c r="D10" i="24"/>
  <c r="C7" i="24"/>
  <c r="D7" i="24"/>
  <c r="C8" i="24"/>
  <c r="D8" i="24"/>
  <c r="C24" i="24"/>
  <c r="C22" i="24"/>
  <c r="C23" i="24"/>
  <c r="C26" i="24"/>
  <c r="C27" i="24"/>
  <c r="D24" i="24"/>
  <c r="D22" i="24"/>
  <c r="D23" i="24"/>
  <c r="D26" i="24"/>
  <c r="D27" i="24"/>
  <c r="C17" i="24"/>
  <c r="C20" i="24"/>
  <c r="C15" i="24"/>
  <c r="C18" i="24"/>
  <c r="C25" i="24"/>
  <c r="C19" i="24"/>
  <c r="C21" i="24"/>
  <c r="D17" i="24"/>
  <c r="D20" i="24"/>
  <c r="D15" i="24"/>
  <c r="D18" i="24"/>
  <c r="D25" i="24"/>
  <c r="D19" i="24"/>
  <c r="D21" i="24"/>
  <c r="C16" i="24"/>
  <c r="D16" i="24"/>
  <c r="C14" i="24"/>
  <c r="D14" i="24"/>
  <c r="C38" i="24"/>
  <c r="C44" i="24"/>
  <c r="D38" i="24"/>
  <c r="D44" i="24"/>
  <c r="C37" i="24"/>
  <c r="C41" i="24"/>
  <c r="C45" i="24"/>
  <c r="C39" i="24"/>
  <c r="C40" i="24"/>
  <c r="C46" i="24"/>
  <c r="C42" i="24"/>
  <c r="C34" i="24"/>
  <c r="C36" i="24"/>
  <c r="D37" i="24"/>
  <c r="D41" i="24"/>
  <c r="D45" i="24"/>
  <c r="D39" i="24"/>
  <c r="D40" i="24"/>
  <c r="D46" i="24"/>
  <c r="D42" i="24"/>
  <c r="D34" i="24"/>
  <c r="D36" i="24"/>
  <c r="C31" i="24"/>
  <c r="C32" i="24"/>
  <c r="C35" i="24"/>
  <c r="C33" i="24"/>
  <c r="D31" i="24"/>
  <c r="D32" i="24"/>
  <c r="D35" i="24"/>
  <c r="D33" i="24"/>
  <c r="C28" i="24"/>
  <c r="C29" i="24"/>
  <c r="D28" i="24"/>
  <c r="D29" i="24"/>
  <c r="C30" i="24"/>
  <c r="D30" i="24"/>
  <c r="C43" i="24"/>
  <c r="D43" i="24"/>
  <c r="C59" i="24"/>
  <c r="D59" i="24"/>
  <c r="C62" i="24"/>
  <c r="D62" i="24"/>
  <c r="C56" i="24"/>
  <c r="C57" i="24"/>
  <c r="D56" i="24"/>
  <c r="D57" i="24"/>
  <c r="C47" i="24"/>
  <c r="C51" i="24"/>
  <c r="C53" i="24"/>
  <c r="C54" i="24"/>
  <c r="C60" i="24"/>
  <c r="C61" i="24"/>
  <c r="C65" i="24"/>
  <c r="C58" i="24"/>
  <c r="C48" i="24"/>
  <c r="C50" i="24"/>
  <c r="C63" i="24"/>
  <c r="C52" i="24"/>
  <c r="C55" i="24"/>
  <c r="C64" i="24"/>
  <c r="D47" i="24"/>
  <c r="D51" i="24"/>
  <c r="D53" i="24"/>
  <c r="D54" i="24"/>
  <c r="D60" i="24"/>
  <c r="D61" i="24"/>
  <c r="D65" i="24"/>
  <c r="D58" i="24"/>
  <c r="D48" i="24"/>
  <c r="D50" i="24"/>
  <c r="D63" i="24"/>
  <c r="D52" i="24"/>
  <c r="D55" i="24"/>
  <c r="D64" i="24"/>
  <c r="C49" i="24"/>
  <c r="D49" i="24"/>
  <c r="D66" i="24"/>
  <c r="D68" i="24"/>
  <c r="D67" i="24"/>
  <c r="D69" i="24"/>
  <c r="D70" i="24"/>
  <c r="D71" i="24"/>
  <c r="D72" i="24"/>
  <c r="D74" i="24"/>
  <c r="D75" i="24"/>
  <c r="D77" i="24"/>
  <c r="D79" i="24"/>
  <c r="D73" i="24"/>
  <c r="D76" i="24"/>
  <c r="D78" i="24"/>
  <c r="D80" i="24"/>
  <c r="C66" i="24"/>
  <c r="C68" i="24"/>
  <c r="C67" i="24"/>
  <c r="C69" i="24"/>
  <c r="C70" i="24"/>
  <c r="C71" i="24"/>
  <c r="C72" i="24"/>
  <c r="C74" i="24"/>
  <c r="C75" i="24"/>
  <c r="C77" i="24"/>
  <c r="C79" i="24"/>
  <c r="C73" i="24"/>
  <c r="C76" i="24"/>
  <c r="C78" i="24"/>
  <c r="C80" i="24"/>
  <c r="C643" i="17" l="1"/>
  <c r="C644" i="17"/>
  <c r="C645" i="17"/>
  <c r="C646" i="17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D1436" i="15"/>
  <c r="D1437" i="15"/>
  <c r="D1438" i="15"/>
  <c r="D1439" i="15"/>
  <c r="D1440" i="15"/>
  <c r="D1441" i="15"/>
  <c r="D1442" i="15"/>
  <c r="D1443" i="15"/>
  <c r="D1444" i="15"/>
  <c r="D1445" i="15"/>
  <c r="D1446" i="15"/>
  <c r="D1447" i="15"/>
  <c r="D638" i="13"/>
  <c r="D639" i="13"/>
  <c r="D640" i="13"/>
  <c r="D641" i="13"/>
  <c r="D642" i="13"/>
  <c r="D643" i="13"/>
  <c r="D644" i="13"/>
  <c r="D229" i="11"/>
  <c r="D2409" i="8"/>
  <c r="D2410" i="8"/>
  <c r="D2411" i="8"/>
  <c r="D2412" i="8"/>
  <c r="D2413" i="8"/>
  <c r="D2414" i="8"/>
  <c r="D2415" i="8"/>
  <c r="D2416" i="8"/>
  <c r="D2417" i="8"/>
  <c r="D2418" i="8"/>
  <c r="D2419" i="8"/>
  <c r="D2420" i="8"/>
  <c r="D2421" i="8"/>
  <c r="D2422" i="8"/>
  <c r="D2423" i="8"/>
  <c r="D2424" i="8"/>
  <c r="D2425" i="8"/>
  <c r="D2426" i="8"/>
  <c r="D2427" i="8"/>
  <c r="D2428" i="8"/>
  <c r="D2429" i="8"/>
  <c r="D814" i="4"/>
  <c r="D815" i="4"/>
  <c r="D816" i="4"/>
  <c r="D817" i="4"/>
  <c r="D818" i="4"/>
  <c r="D819" i="4"/>
  <c r="D820" i="4"/>
  <c r="D821" i="4"/>
  <c r="D822" i="4"/>
  <c r="D823" i="4"/>
  <c r="D824" i="4"/>
  <c r="D825" i="4"/>
  <c r="D2111" i="1"/>
  <c r="D2112" i="1"/>
  <c r="D2113" i="1"/>
  <c r="D2114" i="1"/>
  <c r="D2077" i="1"/>
  <c r="D2078" i="1"/>
  <c r="D2079" i="1"/>
  <c r="D2080" i="1"/>
  <c r="D2081" i="1"/>
  <c r="D2064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065" i="1"/>
  <c r="D2066" i="1"/>
  <c r="D2067" i="1"/>
  <c r="D2101" i="1"/>
  <c r="D2068" i="1"/>
  <c r="D2069" i="1"/>
  <c r="D2102" i="1"/>
  <c r="D2103" i="1"/>
  <c r="D2104" i="1"/>
  <c r="D2105" i="1"/>
  <c r="D2106" i="1"/>
  <c r="D2107" i="1"/>
  <c r="D2108" i="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C642" i="17" l="1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228" i="11"/>
  <c r="D2402" i="8"/>
  <c r="D2403" i="8"/>
  <c r="D2404" i="8"/>
  <c r="D2405" i="8"/>
  <c r="D2406" i="8"/>
  <c r="D2407" i="8"/>
  <c r="D2408" i="8"/>
  <c r="D805" i="4"/>
  <c r="D806" i="4"/>
  <c r="D807" i="4"/>
  <c r="D808" i="4"/>
  <c r="D809" i="4"/>
  <c r="D810" i="4"/>
  <c r="D811" i="4"/>
  <c r="D812" i="4"/>
  <c r="D813" i="4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27" i="11" l="1"/>
  <c r="C636" i="17"/>
  <c r="C637" i="17"/>
  <c r="C638" i="17"/>
  <c r="C639" i="17"/>
  <c r="C640" i="17"/>
  <c r="C641" i="17"/>
  <c r="C1434" i="15"/>
  <c r="C1435" i="15"/>
  <c r="D1434" i="15"/>
  <c r="D1435" i="15"/>
  <c r="D2385" i="8"/>
  <c r="D2386" i="8"/>
  <c r="D2387" i="8"/>
  <c r="D2388" i="8"/>
  <c r="D2389" i="8"/>
  <c r="D2390" i="8"/>
  <c r="D2391" i="8"/>
  <c r="D2392" i="8"/>
  <c r="D2393" i="8"/>
  <c r="D2394" i="8"/>
  <c r="D2395" i="8"/>
  <c r="D2396" i="8"/>
  <c r="D2397" i="8"/>
  <c r="D2398" i="8"/>
  <c r="D2399" i="8"/>
  <c r="D2400" i="8"/>
  <c r="D2401" i="8"/>
  <c r="D799" i="4"/>
  <c r="D800" i="4"/>
  <c r="D801" i="4"/>
  <c r="D802" i="4"/>
  <c r="D803" i="4"/>
  <c r="D804" i="4"/>
  <c r="D2037" i="1"/>
  <c r="D2038" i="1"/>
  <c r="D2039" i="1"/>
  <c r="D2040" i="1"/>
  <c r="D2041" i="1"/>
  <c r="D2042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26" i="11"/>
  <c r="D225" i="11"/>
  <c r="D224" i="11"/>
  <c r="D223" i="11"/>
  <c r="D222" i="11"/>
  <c r="C620" i="17" l="1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D1405" i="15"/>
  <c r="D1406" i="15"/>
  <c r="D1407" i="15"/>
  <c r="D1408" i="15"/>
  <c r="D1409" i="15"/>
  <c r="D1410" i="15"/>
  <c r="D1411" i="15"/>
  <c r="D1412" i="15"/>
  <c r="D1413" i="15"/>
  <c r="D1414" i="15"/>
  <c r="D1415" i="15"/>
  <c r="D1416" i="15"/>
  <c r="D1417" i="15"/>
  <c r="D1418" i="15"/>
  <c r="D1419" i="15"/>
  <c r="D1420" i="15"/>
  <c r="D1421" i="15"/>
  <c r="D1422" i="15"/>
  <c r="D1423" i="15"/>
  <c r="D1424" i="15"/>
  <c r="D1425" i="15"/>
  <c r="D1426" i="15"/>
  <c r="D1427" i="15"/>
  <c r="D1428" i="15"/>
  <c r="D1429" i="15"/>
  <c r="D1430" i="15"/>
  <c r="D1431" i="15"/>
  <c r="D1432" i="15"/>
  <c r="D1433" i="15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2320" i="8"/>
  <c r="D2321" i="8"/>
  <c r="D2322" i="8"/>
  <c r="D2323" i="8"/>
  <c r="D2324" i="8"/>
  <c r="D2325" i="8"/>
  <c r="D2326" i="8"/>
  <c r="D2327" i="8"/>
  <c r="D2328" i="8"/>
  <c r="D2329" i="8"/>
  <c r="D2330" i="8"/>
  <c r="D2331" i="8"/>
  <c r="D2332" i="8"/>
  <c r="D2333" i="8"/>
  <c r="D2334" i="8"/>
  <c r="D2335" i="8"/>
  <c r="D2336" i="8"/>
  <c r="D2337" i="8"/>
  <c r="D2338" i="8"/>
  <c r="D2339" i="8"/>
  <c r="D2340" i="8"/>
  <c r="D2341" i="8"/>
  <c r="D2342" i="8"/>
  <c r="D2343" i="8"/>
  <c r="D2344" i="8"/>
  <c r="D2345" i="8"/>
  <c r="D2346" i="8"/>
  <c r="D2347" i="8"/>
  <c r="D2348" i="8"/>
  <c r="D2349" i="8"/>
  <c r="D2350" i="8"/>
  <c r="D2351" i="8"/>
  <c r="D2352" i="8"/>
  <c r="D2353" i="8"/>
  <c r="D2354" i="8"/>
  <c r="D2355" i="8"/>
  <c r="D2356" i="8"/>
  <c r="D2357" i="8"/>
  <c r="D2358" i="8"/>
  <c r="D2359" i="8"/>
  <c r="D2360" i="8"/>
  <c r="D2361" i="8"/>
  <c r="D2362" i="8"/>
  <c r="D2363" i="8"/>
  <c r="D2364" i="8"/>
  <c r="D2365" i="8"/>
  <c r="D2366" i="8"/>
  <c r="D2367" i="8"/>
  <c r="D2368" i="8"/>
  <c r="D2369" i="8"/>
  <c r="D2370" i="8"/>
  <c r="D2371" i="8"/>
  <c r="D2372" i="8"/>
  <c r="D2373" i="8"/>
  <c r="D2374" i="8"/>
  <c r="D2375" i="8"/>
  <c r="D2376" i="8"/>
  <c r="D2377" i="8"/>
  <c r="D2378" i="8"/>
  <c r="D2379" i="8"/>
  <c r="D2380" i="8"/>
  <c r="D2381" i="8"/>
  <c r="D2382" i="8"/>
  <c r="D2383" i="8"/>
  <c r="D2384" i="8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2003" i="1"/>
  <c r="D2004" i="1"/>
  <c r="D2005" i="1"/>
  <c r="D1976" i="1"/>
  <c r="D2006" i="1"/>
  <c r="D2007" i="1"/>
  <c r="D2008" i="1"/>
  <c r="D2009" i="1"/>
  <c r="D2010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D1375" i="15"/>
  <c r="D1376" i="15"/>
  <c r="D1377" i="15"/>
  <c r="D1378" i="15"/>
  <c r="D1379" i="15"/>
  <c r="D1380" i="15"/>
  <c r="D1381" i="15"/>
  <c r="D1382" i="15"/>
  <c r="D1383" i="15"/>
  <c r="D1384" i="15"/>
  <c r="D1385" i="15"/>
  <c r="D1386" i="15"/>
  <c r="D1387" i="15"/>
  <c r="D1388" i="15"/>
  <c r="D1389" i="15"/>
  <c r="D1390" i="15"/>
  <c r="D1391" i="15"/>
  <c r="D1392" i="15"/>
  <c r="D1393" i="15"/>
  <c r="D1394" i="15"/>
  <c r="D1395" i="15"/>
  <c r="D1396" i="15"/>
  <c r="D1397" i="15"/>
  <c r="D1398" i="15"/>
  <c r="D1399" i="15"/>
  <c r="D1400" i="15"/>
  <c r="D1401" i="15"/>
  <c r="D1402" i="15"/>
  <c r="D1403" i="15"/>
  <c r="D1404" i="15"/>
  <c r="D221" i="11"/>
  <c r="D220" i="11"/>
  <c r="D2294" i="8"/>
  <c r="D2295" i="8"/>
  <c r="D2296" i="8"/>
  <c r="D2297" i="8"/>
  <c r="D2298" i="8"/>
  <c r="D2299" i="8"/>
  <c r="D2300" i="8"/>
  <c r="D2301" i="8"/>
  <c r="D2302" i="8"/>
  <c r="D2303" i="8"/>
  <c r="D2304" i="8"/>
  <c r="D2305" i="8"/>
  <c r="D2306" i="8"/>
  <c r="D2307" i="8"/>
  <c r="D2308" i="8"/>
  <c r="D2309" i="8"/>
  <c r="D2310" i="8"/>
  <c r="D2311" i="8"/>
  <c r="D2312" i="8"/>
  <c r="D2313" i="8"/>
  <c r="D2314" i="8"/>
  <c r="D2315" i="8"/>
  <c r="D2316" i="8"/>
  <c r="D2317" i="8"/>
  <c r="D2318" i="8"/>
  <c r="D2319" i="8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1918" i="1"/>
  <c r="D1919" i="1"/>
  <c r="D1916" i="1"/>
  <c r="D1917" i="1"/>
  <c r="D1912" i="1"/>
  <c r="D1913" i="1"/>
  <c r="D1914" i="1"/>
  <c r="D1915" i="1"/>
  <c r="D1910" i="1"/>
  <c r="D1911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591" i="13"/>
  <c r="D592" i="13"/>
  <c r="D593" i="13"/>
  <c r="D594" i="13"/>
  <c r="D595" i="13"/>
  <c r="D596" i="13"/>
  <c r="D597" i="13"/>
  <c r="D598" i="13"/>
  <c r="D599" i="13"/>
  <c r="D600" i="13"/>
  <c r="C593" i="17"/>
  <c r="C594" i="17"/>
  <c r="C595" i="17"/>
  <c r="C596" i="17"/>
  <c r="C597" i="17"/>
  <c r="C598" i="17"/>
  <c r="C599" i="17"/>
  <c r="C600" i="17"/>
  <c r="C601" i="17"/>
  <c r="C602" i="17"/>
  <c r="C1370" i="15"/>
  <c r="C1371" i="15"/>
  <c r="C1372" i="15"/>
  <c r="C1373" i="15"/>
  <c r="C1374" i="15"/>
  <c r="D1370" i="15"/>
  <c r="D1371" i="15"/>
  <c r="D1372" i="15"/>
  <c r="D1373" i="15"/>
  <c r="D1374" i="15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219" i="11"/>
  <c r="D2285" i="8"/>
  <c r="D2286" i="8"/>
  <c r="D2287" i="8"/>
  <c r="D2288" i="8"/>
  <c r="D2289" i="8"/>
  <c r="D2290" i="8"/>
  <c r="D2291" i="8"/>
  <c r="D2292" i="8"/>
  <c r="D2293" i="8"/>
  <c r="D745" i="4"/>
  <c r="D746" i="4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218" i="11"/>
  <c r="D217" i="11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D1320" i="15"/>
  <c r="D1321" i="15"/>
  <c r="D1322" i="15"/>
  <c r="D1323" i="15"/>
  <c r="D1324" i="15"/>
  <c r="D1325" i="15"/>
  <c r="D1326" i="15"/>
  <c r="D1327" i="15"/>
  <c r="D1328" i="15"/>
  <c r="D1329" i="15"/>
  <c r="D1330" i="15"/>
  <c r="D1331" i="15"/>
  <c r="D1332" i="15"/>
  <c r="D1333" i="15"/>
  <c r="D1334" i="15"/>
  <c r="D1335" i="15"/>
  <c r="D1336" i="15"/>
  <c r="D1337" i="15"/>
  <c r="D1338" i="15"/>
  <c r="D1339" i="15"/>
  <c r="D1340" i="15"/>
  <c r="D1341" i="15"/>
  <c r="D1342" i="15"/>
  <c r="D1343" i="15"/>
  <c r="D1344" i="15"/>
  <c r="D1345" i="15"/>
  <c r="D1346" i="15"/>
  <c r="D1347" i="15"/>
  <c r="D1348" i="15"/>
  <c r="D1349" i="15"/>
  <c r="D1350" i="15"/>
  <c r="D1351" i="15"/>
  <c r="D1352" i="15"/>
  <c r="D1353" i="15"/>
  <c r="D1354" i="15"/>
  <c r="D1355" i="15"/>
  <c r="D1356" i="15"/>
  <c r="D1357" i="15"/>
  <c r="D1358" i="15"/>
  <c r="D1359" i="15"/>
  <c r="D1360" i="15"/>
  <c r="D1361" i="15"/>
  <c r="D1362" i="15"/>
  <c r="D1363" i="15"/>
  <c r="D1364" i="15"/>
  <c r="D1365" i="15"/>
  <c r="D1366" i="15"/>
  <c r="D1367" i="15"/>
  <c r="D1368" i="15"/>
  <c r="D1369" i="15"/>
  <c r="D566" i="13"/>
  <c r="D567" i="13"/>
  <c r="D568" i="13"/>
  <c r="D569" i="13"/>
  <c r="D570" i="13"/>
  <c r="D571" i="13"/>
  <c r="D572" i="13"/>
  <c r="D573" i="13"/>
  <c r="D574" i="13"/>
  <c r="D575" i="13"/>
  <c r="D2228" i="8"/>
  <c r="D2229" i="8"/>
  <c r="D2230" i="8"/>
  <c r="D2231" i="8"/>
  <c r="D2232" i="8"/>
  <c r="D2233" i="8"/>
  <c r="D2234" i="8"/>
  <c r="D2235" i="8"/>
  <c r="D2236" i="8"/>
  <c r="D2237" i="8"/>
  <c r="D2238" i="8"/>
  <c r="D2239" i="8"/>
  <c r="D2240" i="8"/>
  <c r="D2241" i="8"/>
  <c r="D2242" i="8"/>
  <c r="D2243" i="8"/>
  <c r="D2244" i="8"/>
  <c r="D2245" i="8"/>
  <c r="D2246" i="8"/>
  <c r="D2247" i="8"/>
  <c r="D2248" i="8"/>
  <c r="D2249" i="8"/>
  <c r="D2250" i="8"/>
  <c r="D2251" i="8"/>
  <c r="D2252" i="8"/>
  <c r="D2253" i="8"/>
  <c r="D2254" i="8"/>
  <c r="D2255" i="8"/>
  <c r="D2256" i="8"/>
  <c r="D2257" i="8"/>
  <c r="D2258" i="8"/>
  <c r="D2259" i="8"/>
  <c r="D2260" i="8"/>
  <c r="D2261" i="8"/>
  <c r="D2262" i="8"/>
  <c r="D2263" i="8"/>
  <c r="D2264" i="8"/>
  <c r="D2265" i="8"/>
  <c r="D2266" i="8"/>
  <c r="D2267" i="8"/>
  <c r="D2268" i="8"/>
  <c r="D2269" i="8"/>
  <c r="D2270" i="8"/>
  <c r="D2271" i="8"/>
  <c r="D2272" i="8"/>
  <c r="D2273" i="8"/>
  <c r="D2274" i="8"/>
  <c r="D2275" i="8"/>
  <c r="D2276" i="8"/>
  <c r="D2277" i="8"/>
  <c r="D2278" i="8"/>
  <c r="D2279" i="8"/>
  <c r="D2280" i="8"/>
  <c r="D2281" i="8"/>
  <c r="D2282" i="8"/>
  <c r="D2283" i="8"/>
  <c r="D2284" i="8"/>
  <c r="D744" i="4"/>
  <c r="D743" i="4"/>
  <c r="D742" i="4"/>
  <c r="D741" i="4"/>
  <c r="D740" i="4"/>
  <c r="D739" i="4"/>
  <c r="D738" i="4"/>
  <c r="D737" i="4"/>
  <c r="D736" i="4"/>
  <c r="D735" i="4"/>
  <c r="D734" i="4"/>
  <c r="D733" i="4"/>
  <c r="D731" i="4"/>
  <c r="D732" i="4"/>
  <c r="D730" i="4"/>
  <c r="D729" i="4"/>
  <c r="D728" i="4"/>
  <c r="D727" i="4"/>
  <c r="D726" i="4"/>
  <c r="D725" i="4"/>
  <c r="D724" i="4"/>
  <c r="D723" i="4"/>
  <c r="D721" i="4"/>
  <c r="D722" i="4"/>
  <c r="D720" i="4"/>
  <c r="D718" i="4"/>
  <c r="D717" i="4"/>
  <c r="D719" i="4"/>
  <c r="D715" i="4"/>
  <c r="D716" i="4"/>
  <c r="D714" i="4"/>
  <c r="D713" i="4"/>
  <c r="D712" i="4"/>
  <c r="D711" i="4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777" i="1"/>
  <c r="D1778" i="1"/>
  <c r="D1779" i="1"/>
  <c r="D1780" i="1"/>
  <c r="D1781" i="1"/>
  <c r="D216" i="11"/>
  <c r="C1316" i="15"/>
  <c r="C1317" i="15"/>
  <c r="C1318" i="15"/>
  <c r="C1319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D1316" i="15"/>
  <c r="D1317" i="15"/>
  <c r="D1318" i="15"/>
  <c r="D1319" i="15"/>
  <c r="D1298" i="15"/>
  <c r="D1299" i="15"/>
  <c r="D1300" i="15"/>
  <c r="D1301" i="15"/>
  <c r="D1302" i="15"/>
  <c r="D1303" i="15"/>
  <c r="D1304" i="15"/>
  <c r="D1305" i="15"/>
  <c r="D1306" i="15"/>
  <c r="D1307" i="15"/>
  <c r="D1308" i="15"/>
  <c r="D1309" i="15"/>
  <c r="D1310" i="15"/>
  <c r="D1311" i="15"/>
  <c r="D563" i="13"/>
  <c r="D564" i="13"/>
  <c r="D565" i="13"/>
  <c r="D2214" i="8"/>
  <c r="D2215" i="8"/>
  <c r="D2216" i="8"/>
  <c r="D2217" i="8"/>
  <c r="D2218" i="8"/>
  <c r="D2219" i="8"/>
  <c r="D2220" i="8"/>
  <c r="D2221" i="8"/>
  <c r="D2222" i="8"/>
  <c r="D2223" i="8"/>
  <c r="D2224" i="8"/>
  <c r="D2225" i="8"/>
  <c r="D2226" i="8"/>
  <c r="D2227" i="8"/>
  <c r="D710" i="4"/>
  <c r="D709" i="4"/>
  <c r="D708" i="4"/>
  <c r="D707" i="4"/>
  <c r="D706" i="4"/>
  <c r="D705" i="4"/>
  <c r="D704" i="4"/>
  <c r="D703" i="4"/>
  <c r="D702" i="4"/>
  <c r="D701" i="4"/>
  <c r="D700" i="4"/>
  <c r="D699" i="4"/>
  <c r="D1775" i="1"/>
  <c r="D1776" i="1"/>
  <c r="D1769" i="1"/>
  <c r="D1770" i="1"/>
  <c r="D1771" i="1"/>
  <c r="D1772" i="1"/>
  <c r="D1773" i="1"/>
  <c r="D1774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C590" i="17"/>
  <c r="C591" i="17"/>
  <c r="C592" i="17"/>
  <c r="C589" i="17"/>
  <c r="C1290" i="15"/>
  <c r="C1291" i="15"/>
  <c r="C1292" i="15"/>
  <c r="C1293" i="15"/>
  <c r="C1294" i="15"/>
  <c r="C1295" i="15"/>
  <c r="C1296" i="15"/>
  <c r="C1297" i="15"/>
  <c r="D1290" i="15"/>
  <c r="D1291" i="15"/>
  <c r="D1292" i="15"/>
  <c r="D1293" i="15"/>
  <c r="D1294" i="15"/>
  <c r="D1295" i="15"/>
  <c r="D1296" i="15"/>
  <c r="D1297" i="15"/>
  <c r="D561" i="13"/>
  <c r="D562" i="13"/>
  <c r="D214" i="11"/>
  <c r="D215" i="11"/>
  <c r="D2201" i="8"/>
  <c r="D2202" i="8"/>
  <c r="D2203" i="8"/>
  <c r="D2204" i="8"/>
  <c r="D2205" i="8"/>
  <c r="D2206" i="8"/>
  <c r="D2207" i="8"/>
  <c r="D2208" i="8"/>
  <c r="D2209" i="8"/>
  <c r="D2210" i="8"/>
  <c r="D2211" i="8"/>
  <c r="D2212" i="8"/>
  <c r="D2213" i="8"/>
  <c r="D698" i="4"/>
  <c r="D697" i="4"/>
  <c r="D696" i="4"/>
  <c r="D695" i="4"/>
  <c r="D694" i="4"/>
  <c r="D693" i="4"/>
  <c r="D692" i="4"/>
  <c r="D691" i="4"/>
  <c r="D690" i="4"/>
  <c r="D689" i="4"/>
  <c r="D1752" i="1"/>
  <c r="D1753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C588" i="17" l="1"/>
  <c r="C1312" i="15"/>
  <c r="C1313" i="15"/>
  <c r="C1314" i="15"/>
  <c r="C1315" i="15"/>
  <c r="C1289" i="15"/>
  <c r="D1312" i="15"/>
  <c r="D1313" i="15"/>
  <c r="D1314" i="15"/>
  <c r="D1315" i="15"/>
  <c r="D1289" i="15"/>
  <c r="D2196" i="8"/>
  <c r="D2197" i="8"/>
  <c r="D2198" i="8"/>
  <c r="D2199" i="8"/>
  <c r="D2200" i="8"/>
  <c r="D688" i="4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C578" i="17"/>
  <c r="C579" i="17"/>
  <c r="C580" i="17"/>
  <c r="C581" i="17"/>
  <c r="C582" i="17"/>
  <c r="C583" i="17"/>
  <c r="C584" i="17"/>
  <c r="C585" i="17"/>
  <c r="C586" i="17"/>
  <c r="C587" i="17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D1272" i="15"/>
  <c r="D1273" i="15"/>
  <c r="D1274" i="15"/>
  <c r="D1275" i="15"/>
  <c r="D1276" i="15"/>
  <c r="D1277" i="15"/>
  <c r="D1278" i="15"/>
  <c r="D1279" i="15"/>
  <c r="D1280" i="15"/>
  <c r="D1281" i="15"/>
  <c r="D1282" i="15"/>
  <c r="D1283" i="15"/>
  <c r="D1284" i="15"/>
  <c r="D1285" i="15"/>
  <c r="D1286" i="15"/>
  <c r="D1287" i="15"/>
  <c r="D1288" i="15"/>
  <c r="D558" i="13"/>
  <c r="D559" i="13"/>
  <c r="D560" i="13"/>
  <c r="D3" i="11"/>
  <c r="D5" i="11"/>
  <c r="D7" i="11"/>
  <c r="D9" i="11"/>
  <c r="D11" i="11"/>
  <c r="D13" i="11"/>
  <c r="D16" i="11"/>
  <c r="D17" i="11"/>
  <c r="D20" i="11"/>
  <c r="D21" i="11"/>
  <c r="D23" i="11"/>
  <c r="D25" i="11"/>
  <c r="D27" i="11"/>
  <c r="D29" i="11"/>
  <c r="D31" i="11"/>
  <c r="D33" i="11"/>
  <c r="D35" i="11"/>
  <c r="D39" i="11"/>
  <c r="D40" i="11"/>
  <c r="D41" i="11"/>
  <c r="D43" i="11"/>
  <c r="D45" i="11"/>
  <c r="D48" i="11"/>
  <c r="D49" i="11"/>
  <c r="D52" i="11"/>
  <c r="D53" i="11"/>
  <c r="D55" i="11"/>
  <c r="D57" i="11"/>
  <c r="D67" i="11"/>
  <c r="D68" i="11"/>
  <c r="D69" i="11"/>
  <c r="D70" i="11"/>
  <c r="D71" i="11"/>
  <c r="D72" i="11"/>
  <c r="D73" i="11"/>
  <c r="D74" i="11"/>
  <c r="D75" i="11"/>
  <c r="D77" i="11"/>
  <c r="D79" i="11"/>
  <c r="D85" i="11"/>
  <c r="D86" i="11"/>
  <c r="D87" i="11"/>
  <c r="D88" i="11"/>
  <c r="D89" i="11"/>
  <c r="D94" i="11"/>
  <c r="D95" i="11"/>
  <c r="D96" i="11"/>
  <c r="D97" i="11"/>
  <c r="D99" i="11"/>
  <c r="D102" i="11"/>
  <c r="D103" i="11"/>
  <c r="D106" i="11"/>
  <c r="D107" i="11"/>
  <c r="D109" i="11"/>
  <c r="D111" i="11"/>
  <c r="D115" i="11"/>
  <c r="D116" i="11"/>
  <c r="D117" i="11"/>
  <c r="D119" i="11"/>
  <c r="D121" i="11"/>
  <c r="D123" i="11"/>
  <c r="D125" i="11"/>
  <c r="D128" i="11"/>
  <c r="D129" i="11"/>
  <c r="D131" i="11"/>
  <c r="D134" i="11"/>
  <c r="D135" i="11"/>
  <c r="D137" i="11"/>
  <c r="D139" i="11"/>
  <c r="D141" i="11"/>
  <c r="D144" i="11"/>
  <c r="D145" i="11"/>
  <c r="D149" i="11"/>
  <c r="D150" i="11"/>
  <c r="D151" i="11"/>
  <c r="D154" i="11"/>
  <c r="D155" i="11"/>
  <c r="D159" i="11"/>
  <c r="D160" i="11"/>
  <c r="D161" i="11"/>
  <c r="D163" i="11"/>
  <c r="D165" i="11"/>
  <c r="D167" i="11"/>
  <c r="D170" i="11"/>
  <c r="D171" i="11"/>
  <c r="D174" i="11"/>
  <c r="D175" i="11"/>
  <c r="D178" i="11"/>
  <c r="D179" i="11"/>
  <c r="D191" i="11"/>
  <c r="D192" i="11"/>
  <c r="D193" i="11"/>
  <c r="D194" i="11"/>
  <c r="D195" i="11"/>
  <c r="D196" i="11"/>
  <c r="D197" i="11"/>
  <c r="D198" i="11"/>
  <c r="D199" i="11"/>
  <c r="D200" i="11"/>
  <c r="D201" i="11"/>
  <c r="D203" i="11"/>
  <c r="D205" i="11"/>
  <c r="D207" i="11"/>
  <c r="D209" i="11"/>
  <c r="D211" i="11"/>
  <c r="D213" i="11"/>
  <c r="D2183" i="8"/>
  <c r="D2184" i="8"/>
  <c r="D2185" i="8"/>
  <c r="D2186" i="8"/>
  <c r="D2187" i="8"/>
  <c r="D2188" i="8"/>
  <c r="D2189" i="8"/>
  <c r="D2190" i="8"/>
  <c r="D2191" i="8"/>
  <c r="D2192" i="8"/>
  <c r="D2193" i="8"/>
  <c r="D2194" i="8"/>
  <c r="D2195" i="8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171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62" i="1"/>
  <c r="D1663" i="1"/>
  <c r="D1656" i="1"/>
  <c r="D1657" i="1"/>
  <c r="D1658" i="1"/>
  <c r="D1659" i="1"/>
  <c r="D1660" i="1"/>
  <c r="D1661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C140" i="17"/>
  <c r="C190" i="17"/>
  <c r="C299" i="17"/>
  <c r="C375" i="17"/>
  <c r="C502" i="17"/>
  <c r="C534" i="17"/>
  <c r="C514" i="17"/>
  <c r="C383" i="17"/>
  <c r="C2" i="17"/>
  <c r="C7" i="17"/>
  <c r="C12" i="17"/>
  <c r="C28" i="17"/>
  <c r="C29" i="17"/>
  <c r="C34" i="17"/>
  <c r="C52" i="17"/>
  <c r="C88" i="17"/>
  <c r="C89" i="17"/>
  <c r="C94" i="17"/>
  <c r="C95" i="17"/>
  <c r="C96" i="17"/>
  <c r="C102" i="17"/>
  <c r="C103" i="17"/>
  <c r="C114" i="17"/>
  <c r="C148" i="17"/>
  <c r="C178" i="17"/>
  <c r="C384" i="17"/>
  <c r="C404" i="17"/>
  <c r="C437" i="17"/>
  <c r="C458" i="17"/>
  <c r="C518" i="17"/>
  <c r="C519" i="17"/>
  <c r="C149" i="17"/>
  <c r="C179" i="17"/>
  <c r="C56" i="17"/>
  <c r="C535" i="17"/>
  <c r="C354" i="17"/>
  <c r="C245" i="17"/>
  <c r="C435" i="17"/>
  <c r="C358" i="17"/>
  <c r="C490" i="17"/>
  <c r="C366" i="17"/>
  <c r="C381" i="17"/>
  <c r="C180" i="17"/>
  <c r="C135" i="17"/>
  <c r="C294" i="17"/>
  <c r="C388" i="17"/>
  <c r="C8" i="17"/>
  <c r="C9" i="17"/>
  <c r="C13" i="17"/>
  <c r="C57" i="17"/>
  <c r="C97" i="17"/>
  <c r="C104" i="17"/>
  <c r="C370" i="17"/>
  <c r="C362" i="17"/>
  <c r="C19" i="17"/>
  <c r="C109" i="17"/>
  <c r="C382" i="17"/>
  <c r="C510" i="17"/>
  <c r="C472" i="17"/>
  <c r="C483" i="17"/>
  <c r="C117" i="17"/>
  <c r="C121" i="17"/>
  <c r="C393" i="17"/>
  <c r="C423" i="17"/>
  <c r="C431" i="17"/>
  <c r="C441" i="17"/>
  <c r="C491" i="17"/>
  <c r="C304" i="17"/>
  <c r="C311" i="17"/>
  <c r="C407" i="17"/>
  <c r="C280" i="17"/>
  <c r="C320" i="17"/>
  <c r="C438" i="17"/>
  <c r="C479" i="17"/>
  <c r="C115" i="17"/>
  <c r="C480" i="17"/>
  <c r="C379" i="17"/>
  <c r="C396" i="17"/>
  <c r="C35" i="17"/>
  <c r="C159" i="17"/>
  <c r="C160" i="17"/>
  <c r="C168" i="17"/>
  <c r="C270" i="17"/>
  <c r="C36" i="17"/>
  <c r="C312" i="17"/>
  <c r="C330" i="17"/>
  <c r="C413" i="17"/>
  <c r="C71" i="17"/>
  <c r="C191" i="17"/>
  <c r="C221" i="17"/>
  <c r="C257" i="17"/>
  <c r="C308" i="17"/>
  <c r="C424" i="17"/>
  <c r="C90" i="17"/>
  <c r="C105" i="17"/>
  <c r="C106" i="17"/>
  <c r="C122" i="17"/>
  <c r="C246" i="17"/>
  <c r="C281" i="17"/>
  <c r="C300" i="17"/>
  <c r="C368" i="17"/>
  <c r="C380" i="17"/>
  <c r="C459" i="17"/>
  <c r="C460" i="17"/>
  <c r="C461" i="17"/>
  <c r="C462" i="17"/>
  <c r="C506" i="17"/>
  <c r="C526" i="17"/>
  <c r="C527" i="17"/>
  <c r="C528" i="17"/>
  <c r="C546" i="17"/>
  <c r="C68" i="17"/>
  <c r="C37" i="17"/>
  <c r="C234" i="17"/>
  <c r="C77" i="17"/>
  <c r="C6" i="17"/>
  <c r="C286" i="17"/>
  <c r="C484" i="17"/>
  <c r="C161" i="17"/>
  <c r="C507" i="17"/>
  <c r="C228" i="17"/>
  <c r="C271" i="17"/>
  <c r="C455" i="17"/>
  <c r="C169" i="17"/>
  <c r="C176" i="17"/>
  <c r="C385" i="17"/>
  <c r="C397" i="17"/>
  <c r="C389" i="17"/>
  <c r="C301" i="17"/>
  <c r="C463" i="17"/>
  <c r="C464" i="17"/>
  <c r="C511" i="17"/>
  <c r="C125" i="17"/>
  <c r="C162" i="17"/>
  <c r="C163" i="17"/>
  <c r="C170" i="17"/>
  <c r="C171" i="17"/>
  <c r="C174" i="17"/>
  <c r="C183" i="17"/>
  <c r="C186" i="17"/>
  <c r="C208" i="17"/>
  <c r="C218" i="17"/>
  <c r="C361" i="17"/>
  <c r="C373" i="17"/>
  <c r="C549" i="17"/>
  <c r="C24" i="17"/>
  <c r="C3" i="17"/>
  <c r="C38" i="17"/>
  <c r="C39" i="17"/>
  <c r="C40" i="17"/>
  <c r="C54" i="17"/>
  <c r="C55" i="17"/>
  <c r="C98" i="17"/>
  <c r="C433" i="17"/>
  <c r="C448" i="17"/>
  <c r="C470" i="17"/>
  <c r="C390" i="17"/>
  <c r="C10" i="17"/>
  <c r="C20" i="17"/>
  <c r="C72" i="17"/>
  <c r="C99" i="17"/>
  <c r="C247" i="17"/>
  <c r="C41" i="17"/>
  <c r="C110" i="17"/>
  <c r="C111" i="17"/>
  <c r="C126" i="17"/>
  <c r="C391" i="17"/>
  <c r="C282" i="17"/>
  <c r="C21" i="17"/>
  <c r="C187" i="17"/>
  <c r="C209" i="17"/>
  <c r="C263" i="17"/>
  <c r="C26" i="17"/>
  <c r="C92" i="17"/>
  <c r="C181" i="17"/>
  <c r="C198" i="17"/>
  <c r="C253" i="17"/>
  <c r="C321" i="17"/>
  <c r="C440" i="17"/>
  <c r="C58" i="17"/>
  <c r="C145" i="17"/>
  <c r="C158" i="17"/>
  <c r="C219" i="17"/>
  <c r="C229" i="17"/>
  <c r="C235" i="17"/>
  <c r="C236" i="17"/>
  <c r="C237" i="17"/>
  <c r="C238" i="17"/>
  <c r="C326" i="17"/>
  <c r="C333" i="17"/>
  <c r="C434" i="17"/>
  <c r="C287" i="17"/>
  <c r="C471" i="17"/>
  <c r="C408" i="17"/>
  <c r="C350" i="17"/>
  <c r="C359" i="17"/>
  <c r="C414" i="17"/>
  <c r="C17" i="17"/>
  <c r="C392" i="17"/>
  <c r="C182" i="17"/>
  <c r="C386" i="17"/>
  <c r="C327" i="17"/>
  <c r="C336" i="17"/>
  <c r="C141" i="17"/>
  <c r="C212" i="17"/>
  <c r="C363" i="17"/>
  <c r="C415" i="17"/>
  <c r="C136" i="17"/>
  <c r="C230" i="17"/>
  <c r="C248" i="17"/>
  <c r="C465" i="17"/>
  <c r="C485" i="17"/>
  <c r="C432" i="17"/>
  <c r="C450" i="17"/>
  <c r="C127" i="17"/>
  <c r="C192" i="17"/>
  <c r="C316" i="17"/>
  <c r="C428" i="17"/>
  <c r="C346" i="17"/>
  <c r="C409" i="17"/>
  <c r="C22" i="17"/>
  <c r="C47" i="17"/>
  <c r="C59" i="17"/>
  <c r="C82" i="17"/>
  <c r="C83" i="17"/>
  <c r="C150" i="17"/>
  <c r="C457" i="17"/>
  <c r="C14" i="17"/>
  <c r="C188" i="17"/>
  <c r="C123" i="17"/>
  <c r="C529" i="17"/>
  <c r="C530" i="17"/>
  <c r="C553" i="17"/>
  <c r="C164" i="17"/>
  <c r="C184" i="17"/>
  <c r="C201" i="17"/>
  <c r="C222" i="17"/>
  <c r="C288" i="17"/>
  <c r="C262" i="17"/>
  <c r="C264" i="17"/>
  <c r="C302" i="17"/>
  <c r="C367" i="17"/>
  <c r="C451" i="17"/>
  <c r="C142" i="17"/>
  <c r="C151" i="17"/>
  <c r="C185" i="17"/>
  <c r="C202" i="17"/>
  <c r="C220" i="17"/>
  <c r="C239" i="17"/>
  <c r="C258" i="17"/>
  <c r="C360" i="17"/>
  <c r="C520" i="17"/>
  <c r="C531" i="17"/>
  <c r="C536" i="17"/>
  <c r="C305" i="17"/>
  <c r="C488" i="17"/>
  <c r="C453" i="17"/>
  <c r="C532" i="17"/>
  <c r="C254" i="17"/>
  <c r="C292" i="17"/>
  <c r="C325" i="17"/>
  <c r="C492" i="17"/>
  <c r="C137" i="17"/>
  <c r="C295" i="17"/>
  <c r="C4" i="17"/>
  <c r="C11" i="17"/>
  <c r="C15" i="17"/>
  <c r="C53" i="17"/>
  <c r="C80" i="17"/>
  <c r="C100" i="17"/>
  <c r="C289" i="17"/>
  <c r="C128" i="17"/>
  <c r="C501" i="17"/>
  <c r="C503" i="17"/>
  <c r="C504" i="17"/>
  <c r="C317" i="17"/>
  <c r="C322" i="17"/>
  <c r="C387" i="17"/>
  <c r="C213" i="17"/>
  <c r="C214" i="17"/>
  <c r="C342" i="17"/>
  <c r="C351" i="17"/>
  <c r="C420" i="17"/>
  <c r="C143" i="17"/>
  <c r="C283" i="17"/>
  <c r="C405" i="17"/>
  <c r="C515" i="17"/>
  <c r="C550" i="17"/>
  <c r="C296" i="17"/>
  <c r="C411" i="17"/>
  <c r="C508" i="17"/>
  <c r="C537" i="17"/>
  <c r="C541" i="17"/>
  <c r="C456" i="17"/>
  <c r="C475" i="17"/>
  <c r="C481" i="17"/>
  <c r="C486" i="17"/>
  <c r="C482" i="17"/>
  <c r="C509" i="17"/>
  <c r="C533" i="17"/>
  <c r="C452" i="17"/>
  <c r="C454" i="17"/>
  <c r="C551" i="17"/>
  <c r="C538" i="17"/>
  <c r="C425" i="17"/>
  <c r="C398" i="17"/>
  <c r="C25" i="17"/>
  <c r="C60" i="17"/>
  <c r="C91" i="17"/>
  <c r="C406" i="17"/>
  <c r="C466" i="17"/>
  <c r="C467" i="17"/>
  <c r="C468" i="17"/>
  <c r="C493" i="17"/>
  <c r="C129" i="17"/>
  <c r="C399" i="17"/>
  <c r="C344" i="17"/>
  <c r="C272" i="17"/>
  <c r="C355" i="17"/>
  <c r="C494" i="17"/>
  <c r="C495" i="17"/>
  <c r="C259" i="17"/>
  <c r="C426" i="17"/>
  <c r="C427" i="17"/>
  <c r="C348" i="17"/>
  <c r="C496" i="17"/>
  <c r="C93" i="17"/>
  <c r="C152" i="17"/>
  <c r="C231" i="17"/>
  <c r="C240" i="17"/>
  <c r="C400" i="17"/>
  <c r="C401" i="17"/>
  <c r="C447" i="17"/>
  <c r="C138" i="17"/>
  <c r="C249" i="17"/>
  <c r="C371" i="17"/>
  <c r="C473" i="17"/>
  <c r="C139" i="17"/>
  <c r="C364" i="17"/>
  <c r="C144" i="17"/>
  <c r="C153" i="17"/>
  <c r="C154" i="17"/>
  <c r="C165" i="17"/>
  <c r="C118" i="17"/>
  <c r="C241" i="17"/>
  <c r="C273" i="17"/>
  <c r="C505" i="17"/>
  <c r="C521" i="17"/>
  <c r="C61" i="17"/>
  <c r="C374" i="17"/>
  <c r="C539" i="17"/>
  <c r="C552" i="17"/>
  <c r="C266" i="17"/>
  <c r="C365" i="17"/>
  <c r="C542" i="17"/>
  <c r="C232" i="17"/>
  <c r="C329" i="17"/>
  <c r="C339" i="17"/>
  <c r="C412" i="17"/>
  <c r="C62" i="17"/>
  <c r="C63" i="17"/>
  <c r="C81" i="17"/>
  <c r="C207" i="17"/>
  <c r="C107" i="17"/>
  <c r="C394" i="17"/>
  <c r="C402" i="17"/>
  <c r="C313" i="17"/>
  <c r="C369" i="17"/>
  <c r="C64" i="17"/>
  <c r="C155" i="17"/>
  <c r="C255" i="17"/>
  <c r="C309" i="17"/>
  <c r="C323" i="17"/>
  <c r="C476" i="17"/>
  <c r="C48" i="17"/>
  <c r="C78" i="17"/>
  <c r="C116" i="17"/>
  <c r="C215" i="17"/>
  <c r="C177" i="17"/>
  <c r="C73" i="17"/>
  <c r="C130" i="17"/>
  <c r="C318" i="17"/>
  <c r="C276" i="17"/>
  <c r="C512" i="17"/>
  <c r="C27" i="17"/>
  <c r="C30" i="17"/>
  <c r="C49" i="17"/>
  <c r="C74" i="17"/>
  <c r="C42" i="17"/>
  <c r="C554" i="17"/>
  <c r="C75" i="17"/>
  <c r="C112" i="17"/>
  <c r="C277" i="17"/>
  <c r="C474" i="17"/>
  <c r="C477" i="17"/>
  <c r="C442" i="17"/>
  <c r="C547" i="17"/>
  <c r="C16" i="17"/>
  <c r="C124" i="17"/>
  <c r="C265" i="17"/>
  <c r="C349" i="17"/>
  <c r="C416" i="17"/>
  <c r="C417" i="17"/>
  <c r="C223" i="17"/>
  <c r="C224" i="17"/>
  <c r="C225" i="17"/>
  <c r="C421" i="17"/>
  <c r="C497" i="17"/>
  <c r="C376" i="17"/>
  <c r="C422" i="17"/>
  <c r="C31" i="17"/>
  <c r="C32" i="17"/>
  <c r="C33" i="17"/>
  <c r="C50" i="17"/>
  <c r="C65" i="17"/>
  <c r="C69" i="17"/>
  <c r="C403" i="17"/>
  <c r="C543" i="17"/>
  <c r="C293" i="17"/>
  <c r="C131" i="17"/>
  <c r="C132" i="17"/>
  <c r="C146" i="17"/>
  <c r="C156" i="17"/>
  <c r="C267" i="17"/>
  <c r="C310" i="17"/>
  <c r="C443" i="17"/>
  <c r="C498" i="17"/>
  <c r="C76" i="17"/>
  <c r="C352" i="17"/>
  <c r="C487" i="17"/>
  <c r="C516" i="17"/>
  <c r="C175" i="17"/>
  <c r="C210" i="17"/>
  <c r="C216" i="17"/>
  <c r="C274" i="17"/>
  <c r="C540" i="17"/>
  <c r="C113" i="17"/>
  <c r="C233" i="17"/>
  <c r="C377" i="17"/>
  <c r="C429" i="17"/>
  <c r="C172" i="17"/>
  <c r="C51" i="17"/>
  <c r="C211" i="17"/>
  <c r="C449" i="17"/>
  <c r="C524" i="17"/>
  <c r="C544" i="17"/>
  <c r="C84" i="17"/>
  <c r="C157" i="17"/>
  <c r="C203" i="17"/>
  <c r="C79" i="17"/>
  <c r="C303" i="17"/>
  <c r="C328" i="17"/>
  <c r="C331" i="17"/>
  <c r="C23" i="17"/>
  <c r="C43" i="17"/>
  <c r="C444" i="17"/>
  <c r="C242" i="17"/>
  <c r="C418" i="17"/>
  <c r="C419" i="17"/>
  <c r="C499" i="17"/>
  <c r="C133" i="17"/>
  <c r="C204" i="17"/>
  <c r="C478" i="17"/>
  <c r="C314" i="17"/>
  <c r="C319" i="17"/>
  <c r="C332" i="17"/>
  <c r="C337" i="17"/>
  <c r="C430" i="17"/>
  <c r="C356" i="17"/>
  <c r="C278" i="17"/>
  <c r="C334" i="17"/>
  <c r="C439" i="17"/>
  <c r="C340" i="17"/>
  <c r="C347" i="17"/>
  <c r="C357" i="17"/>
  <c r="C44" i="17"/>
  <c r="C297" i="17"/>
  <c r="C306" i="17"/>
  <c r="C338" i="17"/>
  <c r="C45" i="17"/>
  <c r="C134" i="17"/>
  <c r="C268" i="17"/>
  <c r="C445" i="17"/>
  <c r="C489" i="17"/>
  <c r="C205" i="17"/>
  <c r="C284" i="17"/>
  <c r="C189" i="17"/>
  <c r="C372" i="17"/>
  <c r="C85" i="17"/>
  <c r="C260" i="17"/>
  <c r="C315" i="17"/>
  <c r="C378" i="17"/>
  <c r="C525" i="17"/>
  <c r="C269" i="17"/>
  <c r="C46" i="17"/>
  <c r="C243" i="17"/>
  <c r="C244" i="17"/>
  <c r="C256" i="17"/>
  <c r="C275" i="17"/>
  <c r="C517" i="17"/>
  <c r="C410" i="17"/>
  <c r="C522" i="17"/>
  <c r="C523" i="17"/>
  <c r="C206" i="17"/>
  <c r="C18" i="17"/>
  <c r="C66" i="17"/>
  <c r="C70" i="17"/>
  <c r="C86" i="17"/>
  <c r="C101" i="17"/>
  <c r="C108" i="17"/>
  <c r="C119" i="17"/>
  <c r="C353" i="17"/>
  <c r="C226" i="17"/>
  <c r="C227" i="17"/>
  <c r="C87" i="17"/>
  <c r="C120" i="17"/>
  <c r="C147" i="17"/>
  <c r="C166" i="17"/>
  <c r="C167" i="17"/>
  <c r="C173" i="17"/>
  <c r="C193" i="17"/>
  <c r="C194" i="17"/>
  <c r="C195" i="17"/>
  <c r="C196" i="17"/>
  <c r="C197" i="17"/>
  <c r="C199" i="17"/>
  <c r="C200" i="17"/>
  <c r="C217" i="17"/>
  <c r="C250" i="17"/>
  <c r="C251" i="17"/>
  <c r="C261" i="17"/>
  <c r="C279" i="17"/>
  <c r="C290" i="17"/>
  <c r="C298" i="17"/>
  <c r="C545" i="17"/>
  <c r="C446" i="17"/>
  <c r="C500" i="17"/>
  <c r="C285" i="17"/>
  <c r="C307" i="17"/>
  <c r="C324" i="17"/>
  <c r="C335" i="17"/>
  <c r="C343" i="17"/>
  <c r="C395" i="17"/>
  <c r="C436" i="17"/>
  <c r="C469" i="17"/>
  <c r="C513" i="17"/>
  <c r="C252" i="17"/>
  <c r="C341" i="17"/>
  <c r="C345" i="17"/>
  <c r="C548" i="17"/>
  <c r="C67" i="17"/>
  <c r="C291" i="17"/>
  <c r="C5" i="17"/>
  <c r="C556" i="17"/>
  <c r="C557" i="17"/>
  <c r="C555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D352" i="15"/>
  <c r="D353" i="15"/>
  <c r="D354" i="15"/>
  <c r="D355" i="15"/>
  <c r="D356" i="15"/>
  <c r="D357" i="15"/>
  <c r="D358" i="15"/>
  <c r="D359" i="15"/>
  <c r="D360" i="15"/>
  <c r="D361" i="15"/>
  <c r="D362" i="15"/>
  <c r="D363" i="15"/>
  <c r="D364" i="15"/>
  <c r="D365" i="15"/>
  <c r="D366" i="15"/>
  <c r="D367" i="15"/>
  <c r="D368" i="15"/>
  <c r="D369" i="15"/>
  <c r="D370" i="15"/>
  <c r="D371" i="15"/>
  <c r="D372" i="15"/>
  <c r="D373" i="15"/>
  <c r="D374" i="15"/>
  <c r="D375" i="15"/>
  <c r="D376" i="15"/>
  <c r="D377" i="15"/>
  <c r="D378" i="15"/>
  <c r="D379" i="15"/>
  <c r="D380" i="15"/>
  <c r="D381" i="15"/>
  <c r="D382" i="15"/>
  <c r="D383" i="15"/>
  <c r="D384" i="15"/>
  <c r="D385" i="15"/>
  <c r="D386" i="15"/>
  <c r="D387" i="15"/>
  <c r="D388" i="15"/>
  <c r="D389" i="15"/>
  <c r="D390" i="15"/>
  <c r="D391" i="15"/>
  <c r="D392" i="15"/>
  <c r="D393" i="15"/>
  <c r="D394" i="15"/>
  <c r="D395" i="15"/>
  <c r="D396" i="15"/>
  <c r="D397" i="15"/>
  <c r="D398" i="15"/>
  <c r="D399" i="15"/>
  <c r="D400" i="15"/>
  <c r="D401" i="15"/>
  <c r="D402" i="15"/>
  <c r="D403" i="15"/>
  <c r="D404" i="15"/>
  <c r="D405" i="15"/>
  <c r="D406" i="15"/>
  <c r="D407" i="15"/>
  <c r="D408" i="15"/>
  <c r="D409" i="15"/>
  <c r="D410" i="15"/>
  <c r="D411" i="15"/>
  <c r="D412" i="15"/>
  <c r="D413" i="15"/>
  <c r="D414" i="15"/>
  <c r="D415" i="15"/>
  <c r="D416" i="15"/>
  <c r="D417" i="15"/>
  <c r="D418" i="15"/>
  <c r="D419" i="15"/>
  <c r="D420" i="15"/>
  <c r="D421" i="15"/>
  <c r="D422" i="15"/>
  <c r="D423" i="15"/>
  <c r="D424" i="15"/>
  <c r="D425" i="15"/>
  <c r="D426" i="15"/>
  <c r="D427" i="15"/>
  <c r="D428" i="15"/>
  <c r="D429" i="15"/>
  <c r="D430" i="15"/>
  <c r="D431" i="15"/>
  <c r="D432" i="15"/>
  <c r="D433" i="15"/>
  <c r="D434" i="15"/>
  <c r="D435" i="15"/>
  <c r="D436" i="15"/>
  <c r="D437" i="15"/>
  <c r="D438" i="15"/>
  <c r="D439" i="15"/>
  <c r="D440" i="15"/>
  <c r="D441" i="15"/>
  <c r="D442" i="15"/>
  <c r="D443" i="15"/>
  <c r="D444" i="15"/>
  <c r="D445" i="15"/>
  <c r="D446" i="15"/>
  <c r="D447" i="15"/>
  <c r="D448" i="15"/>
  <c r="D449" i="15"/>
  <c r="D450" i="15"/>
  <c r="D451" i="15"/>
  <c r="D452" i="15"/>
  <c r="D453" i="15"/>
  <c r="D454" i="15"/>
  <c r="D455" i="15"/>
  <c r="D456" i="15"/>
  <c r="D457" i="15"/>
  <c r="D458" i="15"/>
  <c r="D459" i="15"/>
  <c r="D460" i="15"/>
  <c r="D461" i="15"/>
  <c r="D462" i="15"/>
  <c r="D463" i="15"/>
  <c r="D464" i="15"/>
  <c r="D465" i="15"/>
  <c r="D466" i="15"/>
  <c r="D467" i="15"/>
  <c r="D468" i="15"/>
  <c r="D469" i="15"/>
  <c r="D470" i="15"/>
  <c r="D471" i="15"/>
  <c r="D472" i="15"/>
  <c r="D473" i="15"/>
  <c r="D474" i="15"/>
  <c r="D475" i="15"/>
  <c r="D476" i="15"/>
  <c r="D477" i="15"/>
  <c r="D478" i="15"/>
  <c r="D479" i="15"/>
  <c r="D480" i="15"/>
  <c r="D481" i="15"/>
  <c r="D482" i="15"/>
  <c r="D483" i="15"/>
  <c r="D484" i="15"/>
  <c r="D485" i="15"/>
  <c r="D486" i="15"/>
  <c r="D487" i="15"/>
  <c r="D488" i="15"/>
  <c r="D489" i="15"/>
  <c r="D490" i="15"/>
  <c r="D491" i="15"/>
  <c r="D492" i="15"/>
  <c r="D493" i="15"/>
  <c r="D494" i="15"/>
  <c r="D495" i="15"/>
  <c r="D496" i="15"/>
  <c r="D497" i="15"/>
  <c r="D498" i="15"/>
  <c r="D499" i="15"/>
  <c r="D500" i="15"/>
  <c r="D501" i="15"/>
  <c r="D502" i="15"/>
  <c r="D503" i="15"/>
  <c r="D504" i="15"/>
  <c r="D505" i="15"/>
  <c r="D506" i="15"/>
  <c r="D507" i="15"/>
  <c r="D508" i="15"/>
  <c r="D509" i="15"/>
  <c r="D510" i="15"/>
  <c r="D511" i="15"/>
  <c r="D512" i="15"/>
  <c r="D513" i="15"/>
  <c r="D514" i="15"/>
  <c r="D515" i="15"/>
  <c r="D516" i="15"/>
  <c r="D517" i="15"/>
  <c r="D518" i="15"/>
  <c r="D519" i="15"/>
  <c r="D520" i="15"/>
  <c r="D521" i="15"/>
  <c r="D522" i="15"/>
  <c r="D523" i="15"/>
  <c r="D524" i="15"/>
  <c r="D525" i="15"/>
  <c r="D526" i="15"/>
  <c r="D527" i="15"/>
  <c r="D528" i="15"/>
  <c r="D529" i="15"/>
  <c r="D530" i="15"/>
  <c r="D531" i="15"/>
  <c r="D532" i="15"/>
  <c r="D533" i="15"/>
  <c r="D534" i="15"/>
  <c r="D535" i="15"/>
  <c r="D536" i="15"/>
  <c r="D537" i="15"/>
  <c r="D538" i="15"/>
  <c r="D539" i="15"/>
  <c r="D540" i="15"/>
  <c r="D541" i="15"/>
  <c r="D542" i="15"/>
  <c r="D543" i="15"/>
  <c r="D544" i="15"/>
  <c r="D545" i="15"/>
  <c r="D546" i="15"/>
  <c r="D547" i="15"/>
  <c r="D548" i="15"/>
  <c r="D549" i="15"/>
  <c r="D550" i="15"/>
  <c r="D551" i="15"/>
  <c r="D552" i="15"/>
  <c r="D553" i="15"/>
  <c r="D554" i="15"/>
  <c r="D555" i="15"/>
  <c r="D556" i="15"/>
  <c r="D557" i="15"/>
  <c r="D558" i="15"/>
  <c r="D559" i="15"/>
  <c r="D560" i="15"/>
  <c r="D561" i="15"/>
  <c r="D562" i="15"/>
  <c r="D563" i="15"/>
  <c r="D564" i="15"/>
  <c r="D565" i="15"/>
  <c r="D566" i="15"/>
  <c r="D567" i="15"/>
  <c r="D568" i="15"/>
  <c r="D569" i="15"/>
  <c r="D570" i="15"/>
  <c r="D571" i="15"/>
  <c r="D572" i="15"/>
  <c r="D573" i="15"/>
  <c r="D574" i="15"/>
  <c r="D575" i="15"/>
  <c r="D576" i="15"/>
  <c r="D577" i="15"/>
  <c r="D578" i="15"/>
  <c r="D579" i="15"/>
  <c r="D580" i="15"/>
  <c r="D581" i="15"/>
  <c r="D582" i="15"/>
  <c r="D583" i="15"/>
  <c r="D584" i="15"/>
  <c r="D585" i="15"/>
  <c r="D586" i="15"/>
  <c r="D587" i="15"/>
  <c r="D588" i="15"/>
  <c r="D589" i="15"/>
  <c r="D590" i="15"/>
  <c r="D591" i="15"/>
  <c r="D592" i="15"/>
  <c r="D593" i="15"/>
  <c r="D594" i="15"/>
  <c r="D595" i="15"/>
  <c r="D596" i="15"/>
  <c r="D597" i="15"/>
  <c r="D598" i="15"/>
  <c r="D599" i="15"/>
  <c r="D600" i="15"/>
  <c r="D601" i="15"/>
  <c r="D602" i="15"/>
  <c r="D603" i="15"/>
  <c r="D604" i="15"/>
  <c r="D605" i="15"/>
  <c r="D606" i="15"/>
  <c r="D607" i="15"/>
  <c r="D608" i="15"/>
  <c r="D609" i="15"/>
  <c r="D610" i="15"/>
  <c r="D611" i="15"/>
  <c r="D612" i="15"/>
  <c r="D613" i="15"/>
  <c r="D614" i="15"/>
  <c r="D615" i="15"/>
  <c r="D616" i="15"/>
  <c r="D617" i="15"/>
  <c r="D618" i="15"/>
  <c r="D619" i="15"/>
  <c r="D620" i="15"/>
  <c r="D621" i="15"/>
  <c r="D622" i="15"/>
  <c r="D623" i="15"/>
  <c r="D624" i="15"/>
  <c r="D625" i="15"/>
  <c r="D626" i="15"/>
  <c r="D627" i="15"/>
  <c r="D628" i="15"/>
  <c r="D629" i="15"/>
  <c r="D630" i="15"/>
  <c r="D631" i="15"/>
  <c r="D632" i="15"/>
  <c r="D633" i="15"/>
  <c r="D634" i="15"/>
  <c r="D635" i="15"/>
  <c r="D636" i="15"/>
  <c r="D637" i="15"/>
  <c r="D638" i="15"/>
  <c r="D639" i="15"/>
  <c r="D640" i="15"/>
  <c r="D641" i="15"/>
  <c r="D642" i="15"/>
  <c r="D643" i="15"/>
  <c r="D644" i="15"/>
  <c r="D645" i="15"/>
  <c r="D646" i="15"/>
  <c r="D647" i="15"/>
  <c r="D648" i="15"/>
  <c r="D649" i="15"/>
  <c r="D650" i="15"/>
  <c r="D651" i="15"/>
  <c r="D652" i="15"/>
  <c r="D653" i="15"/>
  <c r="D654" i="15"/>
  <c r="D655" i="15"/>
  <c r="D656" i="15"/>
  <c r="D657" i="15"/>
  <c r="D658" i="15"/>
  <c r="D659" i="15"/>
  <c r="D660" i="15"/>
  <c r="D661" i="15"/>
  <c r="D662" i="15"/>
  <c r="D663" i="15"/>
  <c r="D664" i="15"/>
  <c r="D665" i="15"/>
  <c r="D666" i="15"/>
  <c r="D667" i="15"/>
  <c r="D668" i="15"/>
  <c r="D669" i="15"/>
  <c r="D670" i="15"/>
  <c r="D671" i="15"/>
  <c r="D672" i="15"/>
  <c r="D673" i="15"/>
  <c r="D674" i="15"/>
  <c r="D675" i="15"/>
  <c r="D676" i="15"/>
  <c r="D677" i="15"/>
  <c r="D678" i="15"/>
  <c r="D679" i="15"/>
  <c r="D680" i="15"/>
  <c r="D681" i="15"/>
  <c r="D682" i="15"/>
  <c r="D683" i="15"/>
  <c r="D684" i="15"/>
  <c r="D685" i="15"/>
  <c r="D686" i="15"/>
  <c r="D687" i="15"/>
  <c r="D688" i="15"/>
  <c r="D689" i="15"/>
  <c r="D690" i="15"/>
  <c r="D691" i="15"/>
  <c r="D692" i="15"/>
  <c r="D693" i="15"/>
  <c r="D694" i="15"/>
  <c r="D695" i="15"/>
  <c r="D696" i="15"/>
  <c r="D697" i="15"/>
  <c r="D698" i="15"/>
  <c r="D699" i="15"/>
  <c r="D700" i="15"/>
  <c r="D701" i="15"/>
  <c r="D702" i="15"/>
  <c r="D703" i="15"/>
  <c r="D704" i="15"/>
  <c r="D705" i="15"/>
  <c r="D706" i="15"/>
  <c r="D707" i="15"/>
  <c r="D708" i="15"/>
  <c r="D709" i="15"/>
  <c r="D710" i="15"/>
  <c r="D711" i="15"/>
  <c r="D712" i="15"/>
  <c r="D713" i="15"/>
  <c r="D714" i="15"/>
  <c r="D715" i="15"/>
  <c r="D716" i="15"/>
  <c r="D717" i="15"/>
  <c r="D718" i="15"/>
  <c r="D719" i="15"/>
  <c r="D720" i="15"/>
  <c r="D721" i="15"/>
  <c r="D722" i="15"/>
  <c r="D723" i="15"/>
  <c r="D724" i="15"/>
  <c r="D725" i="15"/>
  <c r="D726" i="15"/>
  <c r="D727" i="15"/>
  <c r="D728" i="15"/>
  <c r="D729" i="15"/>
  <c r="D730" i="15"/>
  <c r="D731" i="15"/>
  <c r="D732" i="15"/>
  <c r="D733" i="15"/>
  <c r="D734" i="15"/>
  <c r="D735" i="15"/>
  <c r="D736" i="15"/>
  <c r="D737" i="15"/>
  <c r="D738" i="15"/>
  <c r="D739" i="15"/>
  <c r="D740" i="15"/>
  <c r="D741" i="15"/>
  <c r="D742" i="15"/>
  <c r="D743" i="15"/>
  <c r="D744" i="15"/>
  <c r="D745" i="15"/>
  <c r="D746" i="15"/>
  <c r="D747" i="15"/>
  <c r="D748" i="15"/>
  <c r="D749" i="15"/>
  <c r="D750" i="15"/>
  <c r="D751" i="15"/>
  <c r="D752" i="15"/>
  <c r="D753" i="15"/>
  <c r="D754" i="15"/>
  <c r="D755" i="15"/>
  <c r="D756" i="15"/>
  <c r="D757" i="15"/>
  <c r="D758" i="15"/>
  <c r="D759" i="15"/>
  <c r="D760" i="15"/>
  <c r="D761" i="15"/>
  <c r="D762" i="15"/>
  <c r="D763" i="15"/>
  <c r="D764" i="15"/>
  <c r="D765" i="15"/>
  <c r="D766" i="15"/>
  <c r="D767" i="15"/>
  <c r="D768" i="15"/>
  <c r="D769" i="15"/>
  <c r="D770" i="15"/>
  <c r="D771" i="15"/>
  <c r="D772" i="15"/>
  <c r="D773" i="15"/>
  <c r="D774" i="15"/>
  <c r="D775" i="15"/>
  <c r="D776" i="15"/>
  <c r="D777" i="15"/>
  <c r="D778" i="15"/>
  <c r="D779" i="15"/>
  <c r="D780" i="15"/>
  <c r="D781" i="15"/>
  <c r="D782" i="15"/>
  <c r="D783" i="15"/>
  <c r="D784" i="15"/>
  <c r="D785" i="15"/>
  <c r="D786" i="15"/>
  <c r="D787" i="15"/>
  <c r="D788" i="15"/>
  <c r="D789" i="15"/>
  <c r="D790" i="15"/>
  <c r="D791" i="15"/>
  <c r="D792" i="15"/>
  <c r="D793" i="15"/>
  <c r="D794" i="15"/>
  <c r="D795" i="15"/>
  <c r="D796" i="15"/>
  <c r="D797" i="15"/>
  <c r="D798" i="15"/>
  <c r="D799" i="15"/>
  <c r="D800" i="15"/>
  <c r="D801" i="15"/>
  <c r="D802" i="15"/>
  <c r="D803" i="15"/>
  <c r="D804" i="15"/>
  <c r="D805" i="15"/>
  <c r="D806" i="15"/>
  <c r="D807" i="15"/>
  <c r="D808" i="15"/>
  <c r="D809" i="15"/>
  <c r="D810" i="15"/>
  <c r="D811" i="15"/>
  <c r="D812" i="15"/>
  <c r="D813" i="15"/>
  <c r="D814" i="15"/>
  <c r="D815" i="15"/>
  <c r="D816" i="15"/>
  <c r="D817" i="15"/>
  <c r="D818" i="15"/>
  <c r="D819" i="15"/>
  <c r="D820" i="15"/>
  <c r="D821" i="15"/>
  <c r="D822" i="15"/>
  <c r="D823" i="15"/>
  <c r="D824" i="15"/>
  <c r="D825" i="15"/>
  <c r="D826" i="15"/>
  <c r="D827" i="15"/>
  <c r="D828" i="15"/>
  <c r="D829" i="15"/>
  <c r="D830" i="15"/>
  <c r="D831" i="15"/>
  <c r="D832" i="15"/>
  <c r="D833" i="15"/>
  <c r="D834" i="15"/>
  <c r="D835" i="15"/>
  <c r="D836" i="15"/>
  <c r="D837" i="15"/>
  <c r="D838" i="15"/>
  <c r="D839" i="15"/>
  <c r="D840" i="15"/>
  <c r="D841" i="15"/>
  <c r="D842" i="15"/>
  <c r="D843" i="15"/>
  <c r="D844" i="15"/>
  <c r="D845" i="15"/>
  <c r="D846" i="15"/>
  <c r="D847" i="15"/>
  <c r="D848" i="15"/>
  <c r="D849" i="15"/>
  <c r="D850" i="15"/>
  <c r="D851" i="15"/>
  <c r="D852" i="15"/>
  <c r="D853" i="15"/>
  <c r="D854" i="15"/>
  <c r="D855" i="15"/>
  <c r="D856" i="15"/>
  <c r="D857" i="15"/>
  <c r="D858" i="15"/>
  <c r="D859" i="15"/>
  <c r="D860" i="15"/>
  <c r="D861" i="15"/>
  <c r="D862" i="15"/>
  <c r="D863" i="15"/>
  <c r="D864" i="15"/>
  <c r="D865" i="15"/>
  <c r="D866" i="15"/>
  <c r="D867" i="15"/>
  <c r="D868" i="15"/>
  <c r="D869" i="15"/>
  <c r="D870" i="15"/>
  <c r="D871" i="15"/>
  <c r="D872" i="15"/>
  <c r="D873" i="15"/>
  <c r="D874" i="15"/>
  <c r="D875" i="15"/>
  <c r="D876" i="15"/>
  <c r="D877" i="15"/>
  <c r="D878" i="15"/>
  <c r="D879" i="15"/>
  <c r="D880" i="15"/>
  <c r="D881" i="15"/>
  <c r="D882" i="15"/>
  <c r="D883" i="15"/>
  <c r="D884" i="15"/>
  <c r="D885" i="15"/>
  <c r="D886" i="15"/>
  <c r="D887" i="15"/>
  <c r="D888" i="15"/>
  <c r="D889" i="15"/>
  <c r="D890" i="15"/>
  <c r="D891" i="15"/>
  <c r="D892" i="15"/>
  <c r="D893" i="15"/>
  <c r="D894" i="15"/>
  <c r="D895" i="15"/>
  <c r="D896" i="15"/>
  <c r="D897" i="15"/>
  <c r="D898" i="15"/>
  <c r="D1128" i="15"/>
  <c r="D899" i="15"/>
  <c r="D900" i="15"/>
  <c r="D901" i="15"/>
  <c r="D902" i="15"/>
  <c r="D903" i="15"/>
  <c r="D904" i="15"/>
  <c r="D905" i="15"/>
  <c r="D906" i="15"/>
  <c r="D907" i="15"/>
  <c r="D908" i="15"/>
  <c r="D909" i="15"/>
  <c r="D910" i="15"/>
  <c r="D911" i="15"/>
  <c r="D912" i="15"/>
  <c r="D913" i="15"/>
  <c r="D914" i="15"/>
  <c r="D915" i="15"/>
  <c r="D916" i="15"/>
  <c r="D917" i="15"/>
  <c r="D918" i="15"/>
  <c r="D919" i="15"/>
  <c r="D920" i="15"/>
  <c r="D921" i="15"/>
  <c r="D922" i="15"/>
  <c r="D923" i="15"/>
  <c r="D924" i="15"/>
  <c r="D925" i="15"/>
  <c r="D926" i="15"/>
  <c r="D927" i="15"/>
  <c r="D928" i="15"/>
  <c r="D929" i="15"/>
  <c r="D930" i="15"/>
  <c r="D931" i="15"/>
  <c r="D932" i="15"/>
  <c r="D933" i="15"/>
  <c r="D934" i="15"/>
  <c r="D935" i="15"/>
  <c r="D936" i="15"/>
  <c r="D937" i="15"/>
  <c r="D938" i="15"/>
  <c r="D939" i="15"/>
  <c r="D940" i="15"/>
  <c r="D941" i="15"/>
  <c r="D942" i="15"/>
  <c r="D943" i="15"/>
  <c r="D944" i="15"/>
  <c r="D945" i="15"/>
  <c r="D946" i="15"/>
  <c r="D947" i="15"/>
  <c r="D948" i="15"/>
  <c r="D949" i="15"/>
  <c r="D950" i="15"/>
  <c r="D951" i="15"/>
  <c r="D952" i="15"/>
  <c r="D953" i="15"/>
  <c r="D954" i="15"/>
  <c r="D955" i="15"/>
  <c r="D956" i="15"/>
  <c r="D957" i="15"/>
  <c r="D958" i="15"/>
  <c r="D959" i="15"/>
  <c r="D960" i="15"/>
  <c r="D961" i="15"/>
  <c r="D962" i="15"/>
  <c r="D963" i="15"/>
  <c r="D964" i="15"/>
  <c r="D965" i="15"/>
  <c r="D966" i="15"/>
  <c r="D967" i="15"/>
  <c r="D968" i="15"/>
  <c r="D969" i="15"/>
  <c r="D970" i="15"/>
  <c r="D971" i="15"/>
  <c r="D972" i="15"/>
  <c r="D973" i="15"/>
  <c r="D974" i="15"/>
  <c r="D975" i="15"/>
  <c r="D976" i="15"/>
  <c r="D977" i="15"/>
  <c r="D978" i="15"/>
  <c r="D979" i="15"/>
  <c r="D980" i="15"/>
  <c r="D981" i="15"/>
  <c r="D982" i="15"/>
  <c r="D983" i="15"/>
  <c r="D984" i="15"/>
  <c r="D985" i="15"/>
  <c r="D986" i="15"/>
  <c r="D987" i="15"/>
  <c r="D988" i="15"/>
  <c r="D989" i="15"/>
  <c r="D990" i="15"/>
  <c r="D991" i="15"/>
  <c r="D992" i="15"/>
  <c r="D993" i="15"/>
  <c r="D994" i="15"/>
  <c r="D995" i="15"/>
  <c r="D996" i="15"/>
  <c r="D997" i="15"/>
  <c r="D998" i="15"/>
  <c r="D999" i="15"/>
  <c r="D1000" i="15"/>
  <c r="D1001" i="15"/>
  <c r="D1002" i="15"/>
  <c r="D1003" i="15"/>
  <c r="D1004" i="15"/>
  <c r="D1005" i="15"/>
  <c r="D1006" i="15"/>
  <c r="D1007" i="15"/>
  <c r="D1008" i="15"/>
  <c r="D1009" i="15"/>
  <c r="D1010" i="15"/>
  <c r="D1011" i="15"/>
  <c r="D1012" i="15"/>
  <c r="D1013" i="15"/>
  <c r="D1014" i="15"/>
  <c r="D1015" i="15"/>
  <c r="D1016" i="15"/>
  <c r="D1017" i="15"/>
  <c r="D1018" i="15"/>
  <c r="D1019" i="15"/>
  <c r="D1020" i="15"/>
  <c r="D1021" i="15"/>
  <c r="D1022" i="15"/>
  <c r="D1023" i="15"/>
  <c r="D1024" i="15"/>
  <c r="D1025" i="15"/>
  <c r="D1026" i="15"/>
  <c r="D1027" i="15"/>
  <c r="D1028" i="15"/>
  <c r="D1029" i="15"/>
  <c r="D1030" i="15"/>
  <c r="D1031" i="15"/>
  <c r="D1032" i="15"/>
  <c r="D1033" i="15"/>
  <c r="D1034" i="15"/>
  <c r="D1035" i="15"/>
  <c r="D1036" i="15"/>
  <c r="D1037" i="15"/>
  <c r="D1038" i="15"/>
  <c r="D1039" i="15"/>
  <c r="D1040" i="15"/>
  <c r="D1041" i="15"/>
  <c r="D1042" i="15"/>
  <c r="D1043" i="15"/>
  <c r="D1044" i="15"/>
  <c r="D1045" i="15"/>
  <c r="D1046" i="15"/>
  <c r="D1047" i="15"/>
  <c r="D1048" i="15"/>
  <c r="D1049" i="15"/>
  <c r="D1050" i="15"/>
  <c r="D1051" i="15"/>
  <c r="D1052" i="15"/>
  <c r="D1053" i="15"/>
  <c r="D1054" i="15"/>
  <c r="D1055" i="15"/>
  <c r="D1056" i="15"/>
  <c r="D1057" i="15"/>
  <c r="D1075" i="15"/>
  <c r="D1069" i="15"/>
  <c r="D1070" i="15"/>
  <c r="D1071" i="15"/>
  <c r="D1072" i="15"/>
  <c r="D1073" i="15"/>
  <c r="D1074" i="15"/>
  <c r="D1076" i="15"/>
  <c r="D1077" i="15"/>
  <c r="D1078" i="15"/>
  <c r="D1079" i="15"/>
  <c r="D1080" i="15"/>
  <c r="D1081" i="15"/>
  <c r="D1082" i="15"/>
  <c r="D1083" i="15"/>
  <c r="D1084" i="15"/>
  <c r="D1085" i="15"/>
  <c r="D1086" i="15"/>
  <c r="D1087" i="15"/>
  <c r="D1088" i="15"/>
  <c r="D1089" i="15"/>
  <c r="D1090" i="15"/>
  <c r="D1091" i="15"/>
  <c r="D1092" i="15"/>
  <c r="D1093" i="15"/>
  <c r="D1094" i="15"/>
  <c r="D1095" i="15"/>
  <c r="D1096" i="15"/>
  <c r="D1097" i="15"/>
  <c r="D1098" i="15"/>
  <c r="D1058" i="15"/>
  <c r="D1059" i="15"/>
  <c r="D1060" i="15"/>
  <c r="D1061" i="15"/>
  <c r="D1062" i="15"/>
  <c r="D1063" i="15"/>
  <c r="D1064" i="15"/>
  <c r="D1065" i="15"/>
  <c r="D1066" i="15"/>
  <c r="D1067" i="15"/>
  <c r="D1068" i="15"/>
  <c r="D1099" i="15"/>
  <c r="D1100" i="15"/>
  <c r="D1101" i="15"/>
  <c r="D1102" i="15"/>
  <c r="D1103" i="15"/>
  <c r="D1104" i="15"/>
  <c r="D1105" i="15"/>
  <c r="D1106" i="15"/>
  <c r="D1107" i="15"/>
  <c r="D1108" i="15"/>
  <c r="D1109" i="15"/>
  <c r="D1110" i="15"/>
  <c r="D1111" i="15"/>
  <c r="D1112" i="15"/>
  <c r="D1113" i="15"/>
  <c r="D1114" i="15"/>
  <c r="D1115" i="15"/>
  <c r="D1116" i="15"/>
  <c r="D1117" i="15"/>
  <c r="D1118" i="15"/>
  <c r="D1119" i="15"/>
  <c r="D1120" i="15"/>
  <c r="D1121" i="15"/>
  <c r="D1122" i="15"/>
  <c r="D1123" i="15"/>
  <c r="D1124" i="15"/>
  <c r="D1125" i="15"/>
  <c r="D1127" i="15"/>
  <c r="D1129" i="15"/>
  <c r="D1130" i="15"/>
  <c r="D1131" i="15"/>
  <c r="D1132" i="15"/>
  <c r="D1133" i="15"/>
  <c r="D1134" i="15"/>
  <c r="D1126" i="15"/>
  <c r="D1135" i="15"/>
  <c r="D1136" i="15"/>
  <c r="D1138" i="15"/>
  <c r="D1139" i="15"/>
  <c r="D1140" i="15"/>
  <c r="D1141" i="15"/>
  <c r="D1142" i="15"/>
  <c r="D1143" i="15"/>
  <c r="D1144" i="15"/>
  <c r="D1145" i="15"/>
  <c r="D1146" i="15"/>
  <c r="D1147" i="15"/>
  <c r="D1148" i="15"/>
  <c r="D1149" i="15"/>
  <c r="D1150" i="15"/>
  <c r="D1151" i="15"/>
  <c r="D1152" i="15"/>
  <c r="D1137" i="15"/>
  <c r="D1153" i="15"/>
  <c r="D1154" i="15"/>
  <c r="D1155" i="15"/>
  <c r="D1156" i="15"/>
  <c r="D1157" i="15"/>
  <c r="D1158" i="15"/>
  <c r="D1159" i="15"/>
  <c r="D1160" i="15"/>
  <c r="D1161" i="15"/>
  <c r="D1162" i="15"/>
  <c r="D1163" i="15"/>
  <c r="D1164" i="15"/>
  <c r="D1165" i="15"/>
  <c r="D1166" i="15"/>
  <c r="D1167" i="15"/>
  <c r="D1168" i="15"/>
  <c r="D1169" i="15"/>
  <c r="D1170" i="15"/>
  <c r="D1171" i="15"/>
  <c r="D1172" i="15"/>
  <c r="D1173" i="15"/>
  <c r="D1174" i="15"/>
  <c r="D1175" i="15"/>
  <c r="D1176" i="15"/>
  <c r="D1177" i="15"/>
  <c r="D1178" i="15"/>
  <c r="D1179" i="15"/>
  <c r="D1180" i="15"/>
  <c r="D1181" i="15"/>
  <c r="D1182" i="15"/>
  <c r="D1183" i="15"/>
  <c r="D1184" i="15"/>
  <c r="D1185" i="15"/>
  <c r="D1186" i="15"/>
  <c r="D1187" i="15"/>
  <c r="D1188" i="15"/>
  <c r="D1189" i="15"/>
  <c r="D1190" i="15"/>
  <c r="D1191" i="15"/>
  <c r="D1192" i="15"/>
  <c r="D1193" i="15"/>
  <c r="D1194" i="15"/>
  <c r="D1195" i="15"/>
  <c r="D1196" i="15"/>
  <c r="D1197" i="15"/>
  <c r="D1198" i="15"/>
  <c r="D1199" i="15"/>
  <c r="D1200" i="15"/>
  <c r="D1201" i="15"/>
  <c r="D1202" i="15"/>
  <c r="D1203" i="15"/>
  <c r="D1204" i="15"/>
  <c r="D1205" i="15"/>
  <c r="D1206" i="15"/>
  <c r="D1207" i="15"/>
  <c r="D1208" i="15"/>
  <c r="D1209" i="15"/>
  <c r="D1210" i="15"/>
  <c r="D1211" i="15"/>
  <c r="D1212" i="15"/>
  <c r="D1213" i="15"/>
  <c r="D1214" i="15"/>
  <c r="D1215" i="15"/>
  <c r="D1216" i="15"/>
  <c r="D1217" i="15"/>
  <c r="D1218" i="15"/>
  <c r="D1219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4" i="15"/>
  <c r="D1245" i="15"/>
  <c r="D1246" i="15"/>
  <c r="D1247" i="15"/>
  <c r="D1248" i="15"/>
  <c r="D1249" i="15"/>
  <c r="D1250" i="15"/>
  <c r="D1251" i="15"/>
  <c r="D1252" i="15"/>
  <c r="D1253" i="15"/>
  <c r="D1254" i="15"/>
  <c r="D1255" i="15"/>
  <c r="D1256" i="15"/>
  <c r="D1257" i="15"/>
  <c r="D1258" i="15"/>
  <c r="D1259" i="15"/>
  <c r="D1260" i="15"/>
  <c r="D1261" i="15"/>
  <c r="D1262" i="15"/>
  <c r="D1263" i="15"/>
  <c r="D1264" i="15"/>
  <c r="D1265" i="15"/>
  <c r="D1266" i="15"/>
  <c r="D1267" i="15"/>
  <c r="D1268" i="15"/>
  <c r="D1269" i="15"/>
  <c r="D1270" i="15"/>
  <c r="D1271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112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75" i="15"/>
  <c r="C1069" i="15"/>
  <c r="C1070" i="15"/>
  <c r="C1071" i="15"/>
  <c r="C1072" i="15"/>
  <c r="C1073" i="15"/>
  <c r="C1074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7" i="15"/>
  <c r="C1129" i="15"/>
  <c r="C1130" i="15"/>
  <c r="C1131" i="15"/>
  <c r="C1132" i="15"/>
  <c r="C1133" i="15"/>
  <c r="C1134" i="15"/>
  <c r="C1126" i="15"/>
  <c r="C1135" i="15"/>
  <c r="C1136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37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D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50" i="13"/>
  <c r="D551" i="13"/>
  <c r="D552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3" i="13"/>
  <c r="D554" i="13"/>
  <c r="D555" i="13"/>
  <c r="D556" i="13"/>
  <c r="D557" i="13"/>
  <c r="D1565" i="1" l="1"/>
  <c r="D1566" i="1"/>
  <c r="D1567" i="1"/>
  <c r="D1568" i="1"/>
  <c r="D1569" i="1"/>
  <c r="D1570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2" i="11"/>
  <c r="D4" i="11"/>
  <c r="D6" i="11"/>
  <c r="D8" i="11"/>
  <c r="D10" i="11"/>
  <c r="D12" i="11"/>
  <c r="D14" i="11"/>
  <c r="D15" i="11"/>
  <c r="D18" i="11"/>
  <c r="D19" i="11"/>
  <c r="D22" i="11"/>
  <c r="D24" i="11"/>
  <c r="D26" i="11"/>
  <c r="D28" i="11"/>
  <c r="D30" i="11"/>
  <c r="D32" i="11"/>
  <c r="D34" i="11"/>
  <c r="D36" i="11"/>
  <c r="D37" i="11"/>
  <c r="D38" i="11"/>
  <c r="D42" i="11"/>
  <c r="D44" i="11"/>
  <c r="D46" i="11"/>
  <c r="D47" i="11"/>
  <c r="D50" i="11"/>
  <c r="D51" i="11"/>
  <c r="D54" i="11"/>
  <c r="D56" i="11"/>
  <c r="D58" i="11"/>
  <c r="D59" i="11"/>
  <c r="D60" i="11"/>
  <c r="D61" i="11"/>
  <c r="D62" i="11"/>
  <c r="D63" i="11"/>
  <c r="D64" i="11"/>
  <c r="D65" i="11"/>
  <c r="D66" i="11"/>
  <c r="D76" i="11"/>
  <c r="D78" i="11"/>
  <c r="D80" i="11"/>
  <c r="D81" i="11"/>
  <c r="D82" i="11"/>
  <c r="D83" i="11"/>
  <c r="D84" i="11"/>
  <c r="D90" i="11"/>
  <c r="D91" i="11"/>
  <c r="D92" i="11"/>
  <c r="D93" i="11"/>
  <c r="D98" i="11"/>
  <c r="D100" i="11"/>
  <c r="D101" i="11"/>
  <c r="D104" i="11"/>
  <c r="D105" i="11"/>
  <c r="D108" i="11"/>
  <c r="D110" i="11"/>
  <c r="D112" i="11"/>
  <c r="D113" i="11"/>
  <c r="D114" i="11"/>
  <c r="D118" i="11"/>
  <c r="D120" i="11"/>
  <c r="D122" i="11"/>
  <c r="D124" i="11"/>
  <c r="D126" i="11"/>
  <c r="D127" i="11"/>
  <c r="D130" i="11"/>
  <c r="D132" i="11"/>
  <c r="D133" i="11"/>
  <c r="D136" i="11"/>
  <c r="D138" i="11"/>
  <c r="D140" i="11"/>
  <c r="D142" i="11"/>
  <c r="D143" i="11"/>
  <c r="D146" i="11"/>
  <c r="D147" i="11"/>
  <c r="D148" i="11"/>
  <c r="D152" i="11"/>
  <c r="D153" i="11"/>
  <c r="D156" i="11"/>
  <c r="D157" i="11"/>
  <c r="D158" i="11"/>
  <c r="D162" i="11"/>
  <c r="D164" i="11"/>
  <c r="D166" i="11"/>
  <c r="D168" i="11"/>
  <c r="D169" i="11"/>
  <c r="D172" i="11"/>
  <c r="D173" i="11"/>
  <c r="D176" i="11"/>
  <c r="D177" i="11"/>
  <c r="D180" i="11"/>
  <c r="D181" i="11"/>
  <c r="D182" i="11"/>
  <c r="D183" i="11"/>
  <c r="D184" i="11"/>
  <c r="D185" i="11"/>
  <c r="D186" i="11"/>
  <c r="D187" i="11"/>
  <c r="D188" i="11"/>
  <c r="D189" i="11"/>
  <c r="D190" i="11"/>
  <c r="D202" i="11"/>
  <c r="D204" i="11"/>
  <c r="D206" i="11"/>
  <c r="D208" i="11"/>
  <c r="D210" i="11"/>
  <c r="D212" i="11"/>
  <c r="D2143" i="8"/>
  <c r="D2144" i="8"/>
  <c r="D2145" i="8"/>
  <c r="D2146" i="8"/>
  <c r="D2147" i="8"/>
  <c r="D2148" i="8"/>
  <c r="D2151" i="8"/>
  <c r="D2152" i="8"/>
  <c r="D2153" i="8"/>
  <c r="D2154" i="8"/>
  <c r="D2155" i="8"/>
  <c r="D2156" i="8"/>
  <c r="D2157" i="8"/>
  <c r="D2158" i="8"/>
  <c r="D2159" i="8"/>
  <c r="D2160" i="8"/>
  <c r="D2161" i="8"/>
  <c r="D2162" i="8"/>
  <c r="D2163" i="8"/>
  <c r="D2164" i="8"/>
  <c r="D2165" i="8"/>
  <c r="D2166" i="8"/>
  <c r="D2167" i="8"/>
  <c r="D2168" i="8"/>
  <c r="D2169" i="8"/>
  <c r="D2170" i="8"/>
  <c r="D2171" i="8"/>
  <c r="D2172" i="8"/>
  <c r="D2173" i="8"/>
  <c r="D2174" i="8"/>
  <c r="D2175" i="8"/>
  <c r="D2176" i="8"/>
  <c r="D2177" i="8"/>
  <c r="D2178" i="8"/>
  <c r="D2179" i="8"/>
  <c r="D2180" i="8"/>
  <c r="D2181" i="8"/>
  <c r="D2182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D1915" i="8"/>
  <c r="D1916" i="8"/>
  <c r="D1917" i="8"/>
  <c r="D1918" i="8"/>
  <c r="D1919" i="8"/>
  <c r="D1920" i="8"/>
  <c r="D1921" i="8"/>
  <c r="D1922" i="8"/>
  <c r="D1923" i="8"/>
  <c r="D1924" i="8"/>
  <c r="D1925" i="8"/>
  <c r="D1926" i="8"/>
  <c r="D1927" i="8"/>
  <c r="D1928" i="8"/>
  <c r="D1929" i="8"/>
  <c r="D1930" i="8"/>
  <c r="D1931" i="8"/>
  <c r="D1932" i="8"/>
  <c r="D1933" i="8"/>
  <c r="D1934" i="8"/>
  <c r="D1935" i="8"/>
  <c r="D1936" i="8"/>
  <c r="D1937" i="8"/>
  <c r="D1938" i="8"/>
  <c r="D1939" i="8"/>
  <c r="D1940" i="8"/>
  <c r="D1941" i="8"/>
  <c r="D1942" i="8"/>
  <c r="D1943" i="8"/>
  <c r="D1944" i="8"/>
  <c r="D1945" i="8"/>
  <c r="D1946" i="8"/>
  <c r="D1947" i="8"/>
  <c r="D1948" i="8"/>
  <c r="D1949" i="8"/>
  <c r="D1950" i="8"/>
  <c r="D1951" i="8"/>
  <c r="D1952" i="8"/>
  <c r="D1953" i="8"/>
  <c r="D1954" i="8"/>
  <c r="D1955" i="8"/>
  <c r="D1956" i="8"/>
  <c r="D1957" i="8"/>
  <c r="D1958" i="8"/>
  <c r="D1959" i="8"/>
  <c r="D1960" i="8"/>
  <c r="D1961" i="8"/>
  <c r="D1962" i="8"/>
  <c r="D1963" i="8"/>
  <c r="D1964" i="8"/>
  <c r="D1965" i="8"/>
  <c r="D1966" i="8"/>
  <c r="D1967" i="8"/>
  <c r="D1968" i="8"/>
  <c r="D1969" i="8"/>
  <c r="D1970" i="8"/>
  <c r="D1971" i="8"/>
  <c r="D1972" i="8"/>
  <c r="D1973" i="8"/>
  <c r="D1974" i="8"/>
  <c r="D1975" i="8"/>
  <c r="D1976" i="8"/>
  <c r="D1977" i="8"/>
  <c r="D1978" i="8"/>
  <c r="D1979" i="8"/>
  <c r="D1980" i="8"/>
  <c r="D1981" i="8"/>
  <c r="D1982" i="8"/>
  <c r="D1983" i="8"/>
  <c r="D1984" i="8"/>
  <c r="D1985" i="8"/>
  <c r="D1986" i="8"/>
  <c r="D1987" i="8"/>
  <c r="D1988" i="8"/>
  <c r="D1989" i="8"/>
  <c r="D1990" i="8"/>
  <c r="D1991" i="8"/>
  <c r="D1992" i="8"/>
  <c r="D1993" i="8"/>
  <c r="D1994" i="8"/>
  <c r="D1995" i="8"/>
  <c r="D1996" i="8"/>
  <c r="D1997" i="8"/>
  <c r="D1998" i="8"/>
  <c r="D1999" i="8"/>
  <c r="D2000" i="8"/>
  <c r="D2001" i="8"/>
  <c r="D2002" i="8"/>
  <c r="D2003" i="8"/>
  <c r="D2004" i="8"/>
  <c r="D2005" i="8"/>
  <c r="D2006" i="8"/>
  <c r="D2007" i="8"/>
  <c r="D2008" i="8"/>
  <c r="D2009" i="8"/>
  <c r="D2010" i="8"/>
  <c r="D2011" i="8"/>
  <c r="D2012" i="8"/>
  <c r="D2013" i="8"/>
  <c r="D2014" i="8"/>
  <c r="D2015" i="8"/>
  <c r="D2016" i="8"/>
  <c r="D2017" i="8"/>
  <c r="D2018" i="8"/>
  <c r="D2019" i="8"/>
  <c r="D2020" i="8"/>
  <c r="D2021" i="8"/>
  <c r="D2022" i="8"/>
  <c r="D2023" i="8"/>
  <c r="D2024" i="8"/>
  <c r="D2025" i="8"/>
  <c r="D2026" i="8"/>
  <c r="D2027" i="8"/>
  <c r="D2028" i="8"/>
  <c r="D2029" i="8"/>
  <c r="D2030" i="8"/>
  <c r="D2031" i="8"/>
  <c r="D2032" i="8"/>
  <c r="D2033" i="8"/>
  <c r="D2034" i="8"/>
  <c r="D2035" i="8"/>
  <c r="D2036" i="8"/>
  <c r="D2037" i="8"/>
  <c r="D2038" i="8"/>
  <c r="D2039" i="8"/>
  <c r="D2040" i="8"/>
  <c r="D2041" i="8"/>
  <c r="D2042" i="8"/>
  <c r="D2043" i="8"/>
  <c r="D2044" i="8"/>
  <c r="D2045" i="8"/>
  <c r="D2046" i="8"/>
  <c r="D2047" i="8"/>
  <c r="D2048" i="8"/>
  <c r="D2049" i="8"/>
  <c r="D2050" i="8"/>
  <c r="D2051" i="8"/>
  <c r="D2052" i="8"/>
  <c r="D2053" i="8"/>
  <c r="D2054" i="8"/>
  <c r="D2055" i="8"/>
  <c r="D2056" i="8"/>
  <c r="D2057" i="8"/>
  <c r="D2058" i="8"/>
  <c r="D2059" i="8"/>
  <c r="D2060" i="8"/>
  <c r="D2061" i="8"/>
  <c r="D2062" i="8"/>
  <c r="D2063" i="8"/>
  <c r="D2064" i="8"/>
  <c r="D2065" i="8"/>
  <c r="D2066" i="8"/>
  <c r="D2067" i="8"/>
  <c r="D2068" i="8"/>
  <c r="D2069" i="8"/>
  <c r="D2070" i="8"/>
  <c r="D2071" i="8"/>
  <c r="D2072" i="8"/>
  <c r="D2073" i="8"/>
  <c r="D2074" i="8"/>
  <c r="D2075" i="8"/>
  <c r="D2076" i="8"/>
  <c r="D2077" i="8"/>
  <c r="D2078" i="8"/>
  <c r="D2079" i="8"/>
  <c r="D2080" i="8"/>
  <c r="D2081" i="8"/>
  <c r="D2082" i="8"/>
  <c r="D2083" i="8"/>
  <c r="D2084" i="8"/>
  <c r="D2085" i="8"/>
  <c r="D2086" i="8"/>
  <c r="D2087" i="8"/>
  <c r="D2088" i="8"/>
  <c r="D2089" i="8"/>
  <c r="D2090" i="8"/>
  <c r="D2091" i="8"/>
  <c r="D2092" i="8"/>
  <c r="D2093" i="8"/>
  <c r="D2094" i="8"/>
  <c r="D2095" i="8"/>
  <c r="D2096" i="8"/>
  <c r="D2097" i="8"/>
  <c r="D2098" i="8"/>
  <c r="D2099" i="8"/>
  <c r="D2100" i="8"/>
  <c r="D2101" i="8"/>
  <c r="D2102" i="8"/>
  <c r="D2103" i="8"/>
  <c r="D2104" i="8"/>
  <c r="D2105" i="8"/>
  <c r="D2106" i="8"/>
  <c r="D2107" i="8"/>
  <c r="D2108" i="8"/>
  <c r="D2109" i="8"/>
  <c r="D2110" i="8"/>
  <c r="D2111" i="8"/>
  <c r="D2112" i="8"/>
  <c r="D2113" i="8"/>
  <c r="D2114" i="8"/>
  <c r="D2115" i="8"/>
  <c r="D2116" i="8"/>
  <c r="D2117" i="8"/>
  <c r="D2118" i="8"/>
  <c r="D2119" i="8"/>
  <c r="D2120" i="8"/>
  <c r="D2121" i="8"/>
  <c r="D2122" i="8"/>
  <c r="D2123" i="8"/>
  <c r="D2124" i="8"/>
  <c r="D2125" i="8"/>
  <c r="D2126" i="8"/>
  <c r="D2127" i="8"/>
  <c r="D2128" i="8"/>
  <c r="D2129" i="8"/>
  <c r="D2130" i="8"/>
  <c r="D2131" i="8"/>
  <c r="D2132" i="8"/>
  <c r="D2133" i="8"/>
  <c r="D2134" i="8"/>
  <c r="D2135" i="8"/>
  <c r="D2136" i="8"/>
  <c r="D2137" i="8"/>
  <c r="D2138" i="8"/>
  <c r="D2139" i="8"/>
  <c r="D2140" i="8"/>
  <c r="D2141" i="8"/>
  <c r="D2142" i="8"/>
  <c r="D2149" i="8"/>
  <c r="D2150" i="8"/>
  <c r="G2" i="7" l="1"/>
  <c r="H2" i="7" s="1"/>
  <c r="E341" i="7"/>
  <c r="E342" i="7" s="1"/>
  <c r="E343" i="7" s="1"/>
  <c r="E344" i="7" s="1"/>
  <c r="E345" i="7" s="1"/>
  <c r="E346" i="7" s="1"/>
  <c r="E347" i="7" s="1"/>
  <c r="E348" i="7" s="1"/>
  <c r="E349" i="7" s="1"/>
  <c r="E350" i="7" s="1"/>
  <c r="E351" i="7" s="1"/>
  <c r="E352" i="7" s="1"/>
  <c r="E353" i="7" s="1"/>
  <c r="E354" i="7" s="1"/>
  <c r="E355" i="7" s="1"/>
  <c r="E356" i="7" s="1"/>
  <c r="E357" i="7" s="1"/>
  <c r="E358" i="7" s="1"/>
  <c r="E359" i="7" s="1"/>
  <c r="E360" i="7" s="1"/>
  <c r="E361" i="7" s="1"/>
  <c r="E362" i="7" s="1"/>
  <c r="E363" i="7" s="1"/>
  <c r="E364" i="7" s="1"/>
  <c r="E365" i="7" s="1"/>
  <c r="E366" i="7" s="1"/>
  <c r="E340" i="7"/>
  <c r="E339" i="7"/>
  <c r="E338" i="7"/>
  <c r="E337" i="7"/>
  <c r="E336" i="7"/>
  <c r="E311" i="7"/>
  <c r="E312" i="7" s="1"/>
  <c r="E313" i="7" s="1"/>
  <c r="E314" i="7" s="1"/>
  <c r="E315" i="7" s="1"/>
  <c r="E316" i="7" s="1"/>
  <c r="E317" i="7" s="1"/>
  <c r="E318" i="7" s="1"/>
  <c r="E319" i="7" s="1"/>
  <c r="E320" i="7" s="1"/>
  <c r="E321" i="7" s="1"/>
  <c r="E322" i="7" s="1"/>
  <c r="E323" i="7" s="1"/>
  <c r="E324" i="7" s="1"/>
  <c r="E325" i="7" s="1"/>
  <c r="E326" i="7" s="1"/>
  <c r="E327" i="7" s="1"/>
  <c r="E328" i="7" s="1"/>
  <c r="E329" i="7" s="1"/>
  <c r="E330" i="7" s="1"/>
  <c r="E331" i="7" s="1"/>
  <c r="E332" i="7" s="1"/>
  <c r="E333" i="7" s="1"/>
  <c r="E334" i="7" s="1"/>
  <c r="E335" i="7" s="1"/>
  <c r="E310" i="7"/>
  <c r="E309" i="7"/>
  <c r="E308" i="7"/>
  <c r="E307" i="7"/>
  <c r="E306" i="7"/>
  <c r="E281" i="7"/>
  <c r="E282" i="7" s="1"/>
  <c r="E283" i="7" s="1"/>
  <c r="E284" i="7" s="1"/>
  <c r="E285" i="7" s="1"/>
  <c r="E286" i="7" s="1"/>
  <c r="E287" i="7" s="1"/>
  <c r="E288" i="7" s="1"/>
  <c r="E289" i="7" s="1"/>
  <c r="E290" i="7" s="1"/>
  <c r="E291" i="7" s="1"/>
  <c r="E292" i="7" s="1"/>
  <c r="E293" i="7" s="1"/>
  <c r="E294" i="7" s="1"/>
  <c r="E295" i="7" s="1"/>
  <c r="E296" i="7" s="1"/>
  <c r="E297" i="7" s="1"/>
  <c r="E298" i="7" s="1"/>
  <c r="E299" i="7" s="1"/>
  <c r="E300" i="7" s="1"/>
  <c r="E301" i="7" s="1"/>
  <c r="E302" i="7" s="1"/>
  <c r="E303" i="7" s="1"/>
  <c r="E304" i="7" s="1"/>
  <c r="E305" i="7" s="1"/>
  <c r="E280" i="7"/>
  <c r="E279" i="7"/>
  <c r="E278" i="7"/>
  <c r="E277" i="7"/>
  <c r="E276" i="7"/>
  <c r="E275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D672" i="4"/>
  <c r="D671" i="4"/>
  <c r="D67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94" i="4"/>
  <c r="D590" i="4"/>
  <c r="D591" i="4"/>
  <c r="D592" i="4"/>
  <c r="D593" i="4"/>
  <c r="D589" i="4"/>
  <c r="D599" i="4"/>
  <c r="D600" i="4"/>
  <c r="D601" i="4"/>
  <c r="D596" i="4"/>
  <c r="D597" i="4"/>
  <c r="D598" i="4"/>
  <c r="D595" i="4"/>
  <c r="D602" i="4"/>
  <c r="D603" i="4"/>
  <c r="D604" i="4"/>
  <c r="D605" i="4"/>
  <c r="D606" i="4"/>
  <c r="D611" i="4"/>
  <c r="D612" i="4"/>
  <c r="D607" i="4"/>
  <c r="D610" i="4"/>
  <c r="D613" i="4"/>
  <c r="D608" i="4"/>
  <c r="D609" i="4"/>
  <c r="D614" i="4"/>
  <c r="D615" i="4"/>
  <c r="D616" i="4"/>
  <c r="D620" i="4"/>
  <c r="D621" i="4"/>
  <c r="D622" i="4"/>
  <c r="D619" i="4"/>
  <c r="D617" i="4"/>
  <c r="D618" i="4"/>
  <c r="D623" i="4"/>
  <c r="D652" i="4"/>
  <c r="D624" i="4"/>
  <c r="D625" i="4"/>
  <c r="D626" i="4"/>
  <c r="D627" i="4"/>
  <c r="D628" i="4"/>
  <c r="D629" i="4"/>
  <c r="D630" i="4"/>
  <c r="D631" i="4"/>
  <c r="D650" i="4"/>
  <c r="D65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62" i="4"/>
  <c r="D653" i="4"/>
  <c r="D659" i="4"/>
  <c r="D654" i="4"/>
  <c r="D655" i="4"/>
  <c r="D656" i="4"/>
  <c r="D657" i="4"/>
  <c r="D658" i="4"/>
  <c r="D660" i="4"/>
  <c r="D661" i="4"/>
  <c r="D665" i="4"/>
  <c r="D663" i="4"/>
  <c r="D664" i="4"/>
  <c r="D666" i="4"/>
  <c r="D667" i="4"/>
  <c r="D668" i="4"/>
  <c r="D669" i="4"/>
  <c r="D1503" i="1"/>
  <c r="D1504" i="1"/>
  <c r="D1505" i="1"/>
  <c r="D1506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I7" i="7" l="1"/>
  <c r="I9" i="7" s="1"/>
  <c r="I14" i="7"/>
  <c r="I13" i="7"/>
  <c r="I12" i="7"/>
  <c r="I11" i="7"/>
  <c r="I10" i="7"/>
  <c r="I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D7BDDB-732E-4AF6-A0D5-980E5ED9823D}" keepAlive="1" name="Consulta - 2  Ferramental AST" description="Conexão com a consulta '2  Ferramental AST' na pasta de trabalho." type="5" refreshedVersion="8" background="1" saveData="1">
    <dbPr connection="Provider=Microsoft.Mashup.OleDb.1;Data Source=$Workbook$;Location=&quot;2  Ferramental AST&quot;;Extended Properties=&quot;&quot;" command="SELECT * FROM [2  Ferramental AST]"/>
  </connection>
  <connection id="2" xr16:uid="{EB543B50-7934-4CD0-B7C4-0D9F29A165C5}" keepAlive="1" name="Consulta - Acomp_Modernização" description="Conexão com a consulta 'Acomp_Modernização' na pasta de trabalho." type="5" refreshedVersion="8" background="1" saveData="1">
    <dbPr connection="Provider=Microsoft.Mashup.OleDb.1;Data Source=$Workbook$;Location=Acomp_Modernização;Extended Properties=&quot;&quot;" command="SELECT * FROM [Acomp_Modernização]"/>
  </connection>
  <connection id="3" xr16:uid="{003ABA5F-4FDC-4233-8340-CF352B18A939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4" xr16:uid="{1940522A-17AE-4462-8CD0-E05234D8AE19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5" xr16:uid="{43304FC8-87C5-4068-B734-3ADCA65097D3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6" xr16:uid="{C5305BA7-6918-4587-8717-2609ADCA9142}" keepAlive="1" name="Consulta - Arquivo de Amostra (4)" description="Conexão com a consulta 'Arquivo de Amostra (4)' na pasta de trabalho." type="5" refreshedVersion="0" background="1">
    <dbPr connection="Provider=Microsoft.Mashup.OleDb.1;Data Source=$Workbook$;Location=&quot;Arquivo de Amostra (4)&quot;;Extended Properties=&quot;&quot;" command="SELECT * FROM [Arquivo de Amostra (4)]"/>
  </connection>
  <connection id="7" xr16:uid="{9CF516AB-2A2A-4EA9-9D07-414BD8B77BB8}" keepAlive="1" name="Consulta - DEG_REDE" description="Conexão com a consulta 'DEG_REDE' na pasta de trabalho." type="5" refreshedVersion="8" background="1" saveData="1">
    <dbPr connection="Provider=Microsoft.Mashup.OleDb.1;Data Source=$Workbook$;Location=DEG_REDE;Extended Properties=&quot;&quot;" command="SELECT * FROM [DEG_REDE]"/>
  </connection>
  <connection id="8" xr16:uid="{CA09AC70-9594-4935-A7B6-B9CB30E78EB4}" keepAlive="1" name="Consulta - FISCALIZAÇÃO" description="Conexão com a consulta 'FISCALIZAÇÃO' na pasta de trabalho." type="5" refreshedVersion="8" background="1" saveData="1">
    <dbPr connection="Provider=Microsoft.Mashup.OleDb.1;Data Source=$Workbook$;Location=FISCALIZAÇÃO;Extended Properties=&quot;&quot;" command="SELECT * FROM [FISCALIZAÇÃO]"/>
  </connection>
  <connection id="9" xr16:uid="{B79130AD-DA8C-42A4-8A55-AE7BB803221E}" keepAlive="1" name="Consulta - FMO" description="Conexão com a consulta 'FMO' na pasta de trabalho." type="5" refreshedVersion="8" background="1" saveData="1">
    <dbPr connection="Provider=Microsoft.Mashup.OleDb.1;Data Source=$Workbook$;Location=FMO;Extended Properties=&quot;&quot;" command="SELECT * FROM [FMO]"/>
  </connection>
  <connection id="10" xr16:uid="{CC02A2D0-E38F-4DCC-9C31-0B7CAA98A193}" keepAlive="1" name="Consulta - Liberado Comercial(1)" description="Conexão com a consulta 'Liberado Comercial' na pasta de trabalho." type="5" refreshedVersion="8" background="1" saveData="1">
    <dbPr connection="Provider=Microsoft.Mashup.OleDb.1;Data Source=$Workbook$;Location=&quot;Liberado Comercial&quot;;Extended Properties=&quot;&quot;" command="SELECT * FROM [Liberado Comercial]"/>
  </connection>
  <connection id="11" xr16:uid="{C71F0035-9E84-40A7-9D33-805540D0628F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12" xr16:uid="{E8E08E14-FC3C-4094-B05D-F019B2EE14AC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13" xr16:uid="{3D6BBE29-51FF-46BB-AF4C-8D6A638F46CC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4" xr16:uid="{9A743358-3E5D-4E77-82DA-29763EE22EDC}" keepAlive="1" name="Consulta - Parâmetro4" description="Conexão com a consulta 'Parâmetro4' na pasta de trabalho." type="5" refreshedVersion="0" background="1">
    <dbPr connection="Provider=Microsoft.Mashup.OleDb.1;Data Source=$Workbook$;Location=Parâmetro4;Extended Properties=&quot;&quot;" command="SELECT * FROM [Parâmetro4]"/>
  </connection>
  <connection id="15" xr16:uid="{6288CBCD-3F67-46C8-8FA9-932D900CB105}" keepAlive="1" name="Consulta - RIT_FUSIONS" description="Conexão com a consulta 'RIT_FUSIONS' na pasta de trabalho." type="5" refreshedVersion="8" background="1" saveData="1">
    <dbPr connection="Provider=Microsoft.Mashup.OleDb.1;Data Source=$Workbook$;Location=RIT_FUSIONS;Extended Properties=&quot;&quot;" command="SELECT * FROM [RIT_FUSIONS]"/>
  </connection>
  <connection id="16" xr16:uid="{EB89BF0C-F921-450C-9BBC-A50C85491C9F}" keepAlive="1" name="Consulta - RIT_ICOMON" description="Conexão com a consulta 'RIT_ICOMON' na pasta de trabalho." type="5" refreshedVersion="8" background="1" saveData="1">
    <dbPr connection="Provider=Microsoft.Mashup.OleDb.1;Data Source=$Workbook$;Location=RIT_ICOMON;Extended Properties=&quot;&quot;" command="SELECT * FROM [RIT_ICOMON]"/>
  </connection>
  <connection id="17" xr16:uid="{EF608F8E-4600-4A09-B6DC-178BC968539C}" keepAlive="1" name="Consulta - SD_7" description="Conexão com a consulta 'SD_7' na pasta de trabalho." type="5" refreshedVersion="8" background="1" saveData="1">
    <dbPr connection="Provider=Microsoft.Mashup.OleDb.1;Data Source=$Workbook$;Location=SD_7;Extended Properties=&quot;&quot;" command="SELECT * FROM [SD_7]"/>
  </connection>
  <connection id="18" xr16:uid="{01E0F366-08E8-42FB-92DE-ADFB52980D1D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9" xr16:uid="{D40F7B27-6EEB-4013-884F-42F3A8FCD74F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20" xr16:uid="{D44C8405-812A-47B0-9538-438066EC83A2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21" xr16:uid="{4A125D28-5CFA-4672-8AD7-0799FF1C78D2}" keepAlive="1" name="Consulta - Transformar Arquivo (4)" description="Conexão com a consulta 'Transformar Arquivo (4)' na pasta de trabalho." type="5" refreshedVersion="0" background="1">
    <dbPr connection="Provider=Microsoft.Mashup.OleDb.1;Data Source=$Workbook$;Location=&quot;Transformar Arquivo (4)&quot;;Extended Properties=&quot;&quot;" command="SELECT * FROM [Transformar Arquivo (4)]"/>
  </connection>
  <connection id="22" xr16:uid="{A8D51F8B-4B3A-4E21-936D-DA5786AE1AAF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23" xr16:uid="{A244B85B-00C6-4949-96D8-B4EFF41C3057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24" xr16:uid="{0C2F6EFC-8825-46A0-853C-072B107B5C11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  <connection id="25" xr16:uid="{D486C4B5-02D7-49B3-99E8-2C862D080512}" keepAlive="1" name="Consulta - Transformar o Arquivo de Exemplo (4)" description="Conexão com a consulta 'Transformar o Arquivo de Exemplo (4)' na pasta de trabalho." type="5" refreshedVersion="0" background="1">
    <dbPr connection="Provider=Microsoft.Mashup.OleDb.1;Data Source=$Workbook$;Location=&quot;Transformar o Arquivo de Exemplo (4)&quot;;Extended Properties=&quot;&quot;" command="SELECT * FROM [Transformar o Arquivo de Exemplo (4)]"/>
  </connection>
</connections>
</file>

<file path=xl/sharedStrings.xml><?xml version="1.0" encoding="utf-8"?>
<sst xmlns="http://schemas.openxmlformats.org/spreadsheetml/2006/main" count="22900" uniqueCount="1135">
  <si>
    <t>ID</t>
  </si>
  <si>
    <t>DATA</t>
  </si>
  <si>
    <t>VISTORIADOR</t>
  </si>
  <si>
    <t>ANDRE MENDES DE SOUSA</t>
  </si>
  <si>
    <t>MARCUS VINICIUS ARAUJO PRUDENTE</t>
  </si>
  <si>
    <t>AFONSO HENRIQUES MIGUEL MOREIRA</t>
  </si>
  <si>
    <t>ARTHUR ROGERIO JERONIMO DA SILVA</t>
  </si>
  <si>
    <t>ALEX SILVA SOUSA</t>
  </si>
  <si>
    <t>DANILO LEANDRO AVALOS LOPES</t>
  </si>
  <si>
    <t>DEYVISON BRUNO CUTRIM FERREIRA</t>
  </si>
  <si>
    <t>JOSE ADRIANO LEITE DA SILVA</t>
  </si>
  <si>
    <t>ALEXANDRE DE ALENCAR NOVAES</t>
  </si>
  <si>
    <t>RAFAEL ROCHA DA SILVA</t>
  </si>
  <si>
    <t>RONILDO DA SILVA ALMEIDA</t>
  </si>
  <si>
    <t>CARLOS VINICIUS HONORATO MENDONCA</t>
  </si>
  <si>
    <t>FELIPE PEREIRA FEITOSA</t>
  </si>
  <si>
    <t>ADRIANO MENDES DOS SANTOS</t>
  </si>
  <si>
    <t>TEODORO EXPEDITO NONATO</t>
  </si>
  <si>
    <t>JOSINEI SILVA OLIVEIRA</t>
  </si>
  <si>
    <t>DIEGO MENDONCA SANTOS</t>
  </si>
  <si>
    <t>IVAN FERNANDES BATISTA PINHEIRO</t>
  </si>
  <si>
    <t>ALEXANDRE MORAIS MEDEIROS DA SILVA</t>
  </si>
  <si>
    <t>CARMINE AVARESE FILHO</t>
  </si>
  <si>
    <t>GABRIEL SILVA DIAS</t>
  </si>
  <si>
    <t>DENIS REIS</t>
  </si>
  <si>
    <t>VINICIUS PEREIRA DOS SANTOS</t>
  </si>
  <si>
    <t>LEONARDO DE LUNA BOZZOLO</t>
  </si>
  <si>
    <t>JOSE CARLOS RIBEIRO DA SILVA FILHO</t>
  </si>
  <si>
    <t>PRISCILA DE MELO SEVILHA ZANDELI</t>
  </si>
  <si>
    <t>MÊS</t>
  </si>
  <si>
    <t>FLAG_NOVO</t>
  </si>
  <si>
    <t>-</t>
  </si>
  <si>
    <t>EMERSON PINTO BISPO</t>
  </si>
  <si>
    <t>NILTON CAMPOS DE BARROS</t>
  </si>
  <si>
    <t>BRUNO ARAUJO DE OLIVEIRA COELHO</t>
  </si>
  <si>
    <t>DU</t>
  </si>
  <si>
    <t>DIA_SEM</t>
  </si>
  <si>
    <t>DU_ACUM</t>
  </si>
  <si>
    <t>DATE (D-1)</t>
  </si>
  <si>
    <t>IRR SAFRA</t>
  </si>
  <si>
    <t>ATIVIDADE</t>
  </si>
  <si>
    <t>RIT</t>
  </si>
  <si>
    <t>CHECKLIST</t>
  </si>
  <si>
    <t>FALHA DE M.O</t>
  </si>
  <si>
    <t>DEGRADAÇÃO REDE</t>
  </si>
  <si>
    <t>LANLAMENTO SD</t>
  </si>
  <si>
    <t>CLEAN-UP</t>
  </si>
  <si>
    <t>MATERIAL INDEVIDO</t>
  </si>
  <si>
    <t>META-DIA</t>
  </si>
  <si>
    <t>COMPROMISSO D-1</t>
  </si>
  <si>
    <t>MARCIA DOS SANTOS MATSUDA</t>
  </si>
  <si>
    <t>Carmine Avarese Filho</t>
  </si>
  <si>
    <t>Deyvison Bruno Cutrim Ferreira</t>
  </si>
  <si>
    <t>Emerson Pinto Bispo</t>
  </si>
  <si>
    <t>Denis Reis</t>
  </si>
  <si>
    <t>Nilton Campos De Barros</t>
  </si>
  <si>
    <t>Cleiton Dos Santos  Trindade</t>
  </si>
  <si>
    <t>Priscila De Melo Sevilha Zandeli</t>
  </si>
  <si>
    <t>Humberto De Faria Costa</t>
  </si>
  <si>
    <t>Gustavo Henrique Da Silva</t>
  </si>
  <si>
    <t>Afonso Henriques Miguel Moreira</t>
  </si>
  <si>
    <t>Andre Mendes De Sousa</t>
  </si>
  <si>
    <t>Alexandre Morais Medeiros Da Silva</t>
  </si>
  <si>
    <t>Arthur Gomes Martins</t>
  </si>
  <si>
    <t>Diego Mendonca Santos</t>
  </si>
  <si>
    <t>Ricardo Henrique Silva Camargo</t>
  </si>
  <si>
    <t>GESTORES</t>
  </si>
  <si>
    <t>HUMBERTO DE FARIA COSTA</t>
  </si>
  <si>
    <t>JESSICA ALESSANDRA DUQUE DOS SANTOS</t>
  </si>
  <si>
    <t>HUMBERTO FARIA</t>
  </si>
  <si>
    <t>MAURO CABISTA</t>
  </si>
  <si>
    <t xml:space="preserve">ROBSON </t>
  </si>
  <si>
    <t xml:space="preserve">ROBSON MOREIRA BUHRER </t>
  </si>
  <si>
    <t>DIEGO MENDONÇA SANTOS</t>
  </si>
  <si>
    <t>CLEITON TRINDADE</t>
  </si>
  <si>
    <t>GUSTAVO (PASSIVO)</t>
  </si>
  <si>
    <t>CLEYTON RODRIGUES</t>
  </si>
  <si>
    <t>ROBERTO DO NASCIMENTO GRAMA</t>
  </si>
  <si>
    <t>MARCIO FREIRE</t>
  </si>
  <si>
    <t>KAIQUE MARCHIORI</t>
  </si>
  <si>
    <t>CRISTIANO CEZAR</t>
  </si>
  <si>
    <t>ANDERSON ARIETII</t>
  </si>
  <si>
    <t xml:space="preserve">ANDERSON ARIETTI </t>
  </si>
  <si>
    <t>ALEXANDRE MORAES MEDEIROS DA SILVA</t>
  </si>
  <si>
    <t>ANDRE MENDES DE SOUSA </t>
  </si>
  <si>
    <t>ANO</t>
  </si>
  <si>
    <t>DATA ENVIO</t>
  </si>
  <si>
    <t>ALEXANDRE MORAIS MEDEIROS</t>
  </si>
  <si>
    <t>ARTHUR GOMES</t>
  </si>
  <si>
    <t>BRUNO ARAUJO</t>
  </si>
  <si>
    <t>JULIANA YONE DE SOUZA PEREIRA</t>
  </si>
  <si>
    <t>THAYNA ELIZABETE GOMES DA SILVA</t>
  </si>
  <si>
    <t>THEOGENES PAULO SESTREM PALOPOLI</t>
  </si>
  <si>
    <t xml:space="preserve">BIANCA </t>
  </si>
  <si>
    <t>JUAN CALAZANS</t>
  </si>
  <si>
    <t>RENATA SILVA DE SOUSA</t>
  </si>
  <si>
    <t>RICARDO HENRIQUE SILVA CAMARGO</t>
  </si>
  <si>
    <t xml:space="preserve">RICARDO </t>
  </si>
  <si>
    <t>JULIANA YONE</t>
  </si>
  <si>
    <t>RODRIGO OLIVA</t>
  </si>
  <si>
    <t>RICARDO CAMARGO</t>
  </si>
  <si>
    <t>ELITE</t>
  </si>
  <si>
    <t>RAMONE PRODUÇÃO</t>
  </si>
  <si>
    <t>CLEBERSON MAGALHAES DE LIMA</t>
  </si>
  <si>
    <t>LIBERADO COMERCIAL</t>
  </si>
  <si>
    <t>COD_PREDIO</t>
  </si>
  <si>
    <t>CLUSTER</t>
  </si>
  <si>
    <t>TIPO_ID</t>
  </si>
  <si>
    <t>ESTEIRA</t>
  </si>
  <si>
    <t>dat_LibComercial</t>
  </si>
  <si>
    <t>AT</t>
  </si>
  <si>
    <t>nom_End</t>
  </si>
  <si>
    <t>val_Numero</t>
  </si>
  <si>
    <t xml:space="preserve">CABO </t>
  </si>
  <si>
    <t>PRIMARIA</t>
  </si>
  <si>
    <t>CONT</t>
  </si>
  <si>
    <t>LOCAL /ANDAR</t>
  </si>
  <si>
    <t>Data visita Gestor</t>
  </si>
  <si>
    <t>GESTOR</t>
  </si>
  <si>
    <t>Status</t>
  </si>
  <si>
    <t>Validação Gestão</t>
  </si>
  <si>
    <t>Formalizado</t>
  </si>
  <si>
    <t>Retorno Implantação</t>
  </si>
  <si>
    <t>Validado</t>
  </si>
  <si>
    <t>Pendente</t>
  </si>
  <si>
    <t>Nok</t>
  </si>
  <si>
    <t>Acesso Negado</t>
  </si>
  <si>
    <t>Ano</t>
  </si>
  <si>
    <t>Semana</t>
  </si>
  <si>
    <t>Flag_Mês</t>
  </si>
  <si>
    <t>Flag_Dia</t>
  </si>
  <si>
    <t>Column27</t>
  </si>
  <si>
    <t>SP/Paulista-Jardins</t>
  </si>
  <si>
    <t>CONECTADOS</t>
  </si>
  <si>
    <t>Liberado Comercial</t>
  </si>
  <si>
    <t>PD</t>
  </si>
  <si>
    <t>NÃO AUTORIZADO</t>
  </si>
  <si>
    <t>OK</t>
  </si>
  <si>
    <t>ALÍVIO</t>
  </si>
  <si>
    <t>JD</t>
  </si>
  <si>
    <t>Rua Alves Guimarães</t>
  </si>
  <si>
    <t>JDFH#07</t>
  </si>
  <si>
    <t>17-24</t>
  </si>
  <si>
    <t>JDFH#09</t>
  </si>
  <si>
    <t>49-56|57-64</t>
  </si>
  <si>
    <t>NOK</t>
  </si>
  <si>
    <t>VM</t>
  </si>
  <si>
    <t>VMFH#05</t>
  </si>
  <si>
    <t>01-08|09-16|17-24</t>
  </si>
  <si>
    <t>IB</t>
  </si>
  <si>
    <t>IBFH#10</t>
  </si>
  <si>
    <t>09-16</t>
  </si>
  <si>
    <t>PENDENTE</t>
  </si>
  <si>
    <t>IM</t>
  </si>
  <si>
    <t>IMFH#04</t>
  </si>
  <si>
    <t>PA</t>
  </si>
  <si>
    <t>Praça Amadeu Amaral</t>
  </si>
  <si>
    <t>01-08|09-16</t>
  </si>
  <si>
    <t>JDFH#08</t>
  </si>
  <si>
    <t>Alameda Santos</t>
  </si>
  <si>
    <t>COMPLETA</t>
  </si>
  <si>
    <t>HM</t>
  </si>
  <si>
    <t>IMFH#05</t>
  </si>
  <si>
    <t>01-08</t>
  </si>
  <si>
    <t>HMFH#04</t>
  </si>
  <si>
    <t>PI</t>
  </si>
  <si>
    <t>PIFH#01</t>
  </si>
  <si>
    <t>33-40</t>
  </si>
  <si>
    <t>33-40|41-48</t>
  </si>
  <si>
    <t>49-56</t>
  </si>
  <si>
    <t>57-64</t>
  </si>
  <si>
    <t>25-32|33-40</t>
  </si>
  <si>
    <t>Avenida Paulista</t>
  </si>
  <si>
    <t>01-08|09-16|17-24|25-32</t>
  </si>
  <si>
    <t>Rua Capote Valente</t>
  </si>
  <si>
    <t>Rua Cardeal Arcoverde</t>
  </si>
  <si>
    <t>Rua Engenheiro Bianor</t>
  </si>
  <si>
    <t>VMFH#08</t>
  </si>
  <si>
    <t>VMFH#10</t>
  </si>
  <si>
    <t>17-24|25-32</t>
  </si>
  <si>
    <t>IBFH#06</t>
  </si>
  <si>
    <t>41-48</t>
  </si>
  <si>
    <t>IBFH#09</t>
  </si>
  <si>
    <t>17-24|25-32|33-40|41-48</t>
  </si>
  <si>
    <t>Rua Teodoro Sampaio</t>
  </si>
  <si>
    <t>JDFH#05</t>
  </si>
  <si>
    <t>VMFH#06</t>
  </si>
  <si>
    <t>Rua Tenente Negrão</t>
  </si>
  <si>
    <t>Rua Gaspar Lourenço</t>
  </si>
  <si>
    <t>PIFH#03</t>
  </si>
  <si>
    <t>Rua Artur de Azevedo</t>
  </si>
  <si>
    <t>25-32</t>
  </si>
  <si>
    <t>Rua Abílio Soares</t>
  </si>
  <si>
    <t>Rua Doutor Augusto de Miranda</t>
  </si>
  <si>
    <t>Rua Desembargador Eliseu Guilherme</t>
  </si>
  <si>
    <t>Rua Oscar Freire</t>
  </si>
  <si>
    <t>ME</t>
  </si>
  <si>
    <t>Rua Doutor Alfredo Ellis</t>
  </si>
  <si>
    <t>Rua Ministro Ferreira Alves</t>
  </si>
  <si>
    <t>Rua José Maria Lisboa</t>
  </si>
  <si>
    <t>Rua Fidêncio Ramos</t>
  </si>
  <si>
    <t>33-40|41-48|49-56|57-64</t>
  </si>
  <si>
    <t>Rua Coronel Oscar Porto</t>
  </si>
  <si>
    <t>Rua Capote Valente - até 325_326</t>
  </si>
  <si>
    <t>Rua Cayowaa</t>
  </si>
  <si>
    <t>01 - 08</t>
  </si>
  <si>
    <t>01 - 08 | 09 - 16 | 17 - 24</t>
  </si>
  <si>
    <t>33 - 40</t>
  </si>
  <si>
    <t>33 - 40 | 41 - 48</t>
  </si>
  <si>
    <t>Rua Manuel Guedes</t>
  </si>
  <si>
    <t>Avenida Conselheiro Rodrigues Alves</t>
  </si>
  <si>
    <t>Rua Cotoxó</t>
  </si>
  <si>
    <t>PDFH#09</t>
  </si>
  <si>
    <t>Rua Pedroso Alvarenga</t>
  </si>
  <si>
    <t>01 - 08 | 09 - 16</t>
  </si>
  <si>
    <t>01 - 08 | 09 - 16 | 17 - 24 | 25 - 32</t>
  </si>
  <si>
    <t>Rua Padre João Manuel - lado par</t>
  </si>
  <si>
    <t>Rua Vergueiro</t>
  </si>
  <si>
    <t>41 - 48</t>
  </si>
  <si>
    <t>Rua Batataes</t>
  </si>
  <si>
    <t>IBFH#02</t>
  </si>
  <si>
    <t>IBFH#04</t>
  </si>
  <si>
    <t>PDFH#13</t>
  </si>
  <si>
    <t>Rua Humberto I</t>
  </si>
  <si>
    <t>Rua Minerva</t>
  </si>
  <si>
    <t>PDFH#12</t>
  </si>
  <si>
    <t>JDFH#06</t>
  </si>
  <si>
    <t>Rua Cristiano Viana</t>
  </si>
  <si>
    <t>VMFH#12</t>
  </si>
  <si>
    <t>9-16</t>
  </si>
  <si>
    <t>Rua Borges Lagoa</t>
  </si>
  <si>
    <t>VMFH#15</t>
  </si>
  <si>
    <t>Rua Sena Madureira</t>
  </si>
  <si>
    <t>Rua Xerentes</t>
  </si>
  <si>
    <t>Rua Bastos Pereira</t>
  </si>
  <si>
    <t>01-08 | 09-16 | 17-24 | 25-32 | 33-40 | 41-48 | 49-56 | 57-64</t>
  </si>
  <si>
    <t>2 SS com sinal atenuado</t>
  </si>
  <si>
    <t>Rua Afonso Braz </t>
  </si>
  <si>
    <t>Rua Borges Lagoa </t>
  </si>
  <si>
    <t>Rua Santa Cruz</t>
  </si>
  <si>
    <t>VMF#13</t>
  </si>
  <si>
    <t>Sinal atenuado</t>
  </si>
  <si>
    <t>Fora do prazo da garantia</t>
  </si>
  <si>
    <t>Rua Machado Bitencourt</t>
  </si>
  <si>
    <t>01 - 64</t>
  </si>
  <si>
    <t>RUA CHARLES ASTOR</t>
  </si>
  <si>
    <t>VMFH#13</t>
  </si>
  <si>
    <t>17 - 24</t>
  </si>
  <si>
    <t>Rua Gustavo Teixeira</t>
  </si>
  <si>
    <t>PDF#01</t>
  </si>
  <si>
    <t>17-24 | 25 - 32 | 33 - 40</t>
  </si>
  <si>
    <t>1-8</t>
  </si>
  <si>
    <t>Rua dos Pinheiros</t>
  </si>
  <si>
    <t>JDF#05</t>
  </si>
  <si>
    <t>IBF#09</t>
  </si>
  <si>
    <t>Atenuado - Encaminhado E-mail</t>
  </si>
  <si>
    <t>PDF#08</t>
  </si>
  <si>
    <t>33-40 | 49-56</t>
  </si>
  <si>
    <t>PAFH05</t>
  </si>
  <si>
    <t>Rua Iperoig</t>
  </si>
  <si>
    <t>49 - 56 | 57-64</t>
  </si>
  <si>
    <t>JDF#07</t>
  </si>
  <si>
    <t>JDF#06</t>
  </si>
  <si>
    <t>SS3-SS4-SS5</t>
  </si>
  <si>
    <t>Rua Bueno Brandão</t>
  </si>
  <si>
    <t>SS4-6</t>
  </si>
  <si>
    <t>PENDENTE INSTALAÇÃO</t>
  </si>
  <si>
    <t>SS7 - 8</t>
  </si>
  <si>
    <t>Avenida Lins de Vasconcelos</t>
  </si>
  <si>
    <t>VMFH#14</t>
  </si>
  <si>
    <t>Parcial sem sinal</t>
  </si>
  <si>
    <t>Alameda Franca</t>
  </si>
  <si>
    <t>Rua Manuel de Paiva</t>
  </si>
  <si>
    <t>VMFH#16</t>
  </si>
  <si>
    <t>01 - 32</t>
  </si>
  <si>
    <t>Avenida Onze de Junho</t>
  </si>
  <si>
    <t>01- 32</t>
  </si>
  <si>
    <t>PAFH04</t>
  </si>
  <si>
    <t>25 - 48</t>
  </si>
  <si>
    <t>Ok</t>
  </si>
  <si>
    <t>JDFH08</t>
  </si>
  <si>
    <t>49 - 56 | 57 - 64</t>
  </si>
  <si>
    <t>Praça Irmãos Karmann - Torre B</t>
  </si>
  <si>
    <t>Rua Cubatão</t>
  </si>
  <si>
    <t>01 - 48</t>
  </si>
  <si>
    <t>Praça Irmãos Karmann -  Torre A</t>
  </si>
  <si>
    <t>RUA CASA DO ATOR</t>
  </si>
  <si>
    <t>IMFH#03</t>
  </si>
  <si>
    <t>17- 24 | 25-32</t>
  </si>
  <si>
    <t>NÃO VISITADO</t>
  </si>
  <si>
    <t>41-48 | 49-56 | 57-64</t>
  </si>
  <si>
    <t>Rua Capitão Macedo</t>
  </si>
  <si>
    <t>Rua Fradique Coutinho</t>
  </si>
  <si>
    <t>01 - 40</t>
  </si>
  <si>
    <t>CDOI atenuado</t>
  </si>
  <si>
    <t>Rua Joaquim Floriano</t>
  </si>
  <si>
    <t>Rua Maestro Cardim</t>
  </si>
  <si>
    <t>RUA LEONCIO DE CARVALHO</t>
  </si>
  <si>
    <t>Rua Francisco de Vitória</t>
  </si>
  <si>
    <t xml:space="preserve">41-48 </t>
  </si>
  <si>
    <t>Rua Madre Cabrini</t>
  </si>
  <si>
    <t>Rua Joaquim Távora - de 1142 a 1356 - lado par</t>
  </si>
  <si>
    <t>Avenida Brigadeiro Faria Lima</t>
  </si>
  <si>
    <t>PDFH#11</t>
  </si>
  <si>
    <t>N. INFORMADO</t>
  </si>
  <si>
    <t>Rua Rino Pieralini</t>
  </si>
  <si>
    <t>Rua Doutor Diogo de Faria</t>
  </si>
  <si>
    <t xml:space="preserve">33-40 | 41-48 </t>
  </si>
  <si>
    <t>9°</t>
  </si>
  <si>
    <t>5°/7°</t>
  </si>
  <si>
    <t>ok</t>
  </si>
  <si>
    <t>DGOI CENTRAL</t>
  </si>
  <si>
    <t>25-32 | 33-40 | 41-48 | 49-56 | 57-64</t>
  </si>
  <si>
    <t>Rua Cláudio</t>
  </si>
  <si>
    <t xml:space="preserve"> 41-48 | 49-56</t>
  </si>
  <si>
    <t>7°/14°</t>
  </si>
  <si>
    <t>Rua Capitão Antônio Rosa</t>
  </si>
  <si>
    <t>JDFH#01</t>
  </si>
  <si>
    <t>1°</t>
  </si>
  <si>
    <t>3°/5°/7°/9°/11°</t>
  </si>
  <si>
    <t>2°</t>
  </si>
  <si>
    <t>Rua Napoleão de Barros</t>
  </si>
  <si>
    <t>11°</t>
  </si>
  <si>
    <t>VMFH#11</t>
  </si>
  <si>
    <t>5°</t>
  </si>
  <si>
    <t>Térreo</t>
  </si>
  <si>
    <t>Rua Cardoso de Almeida</t>
  </si>
  <si>
    <t>PDFH#01</t>
  </si>
  <si>
    <t>10°</t>
  </si>
  <si>
    <t>Sem Sinal</t>
  </si>
  <si>
    <t>já possui cliente instalado</t>
  </si>
  <si>
    <t>Rua Caiubi</t>
  </si>
  <si>
    <t>PDFH#04</t>
  </si>
  <si>
    <t>Rua Joinville - de 401_402 ao fim</t>
  </si>
  <si>
    <t>VMFH#17</t>
  </si>
  <si>
    <t>Rua Jaime Viana</t>
  </si>
  <si>
    <t>completa</t>
  </si>
  <si>
    <t xml:space="preserve">Lado A 1,4,7,11| Lado B 1,4,7,10 </t>
  </si>
  <si>
    <t>Irei encaminhar equipe</t>
  </si>
  <si>
    <t>RUA MORAS</t>
  </si>
  <si>
    <t>PIFH#07</t>
  </si>
  <si>
    <t>Rua Melo Palheta</t>
  </si>
  <si>
    <t>Rua Santo Irineu</t>
  </si>
  <si>
    <t>PDF#04</t>
  </si>
  <si>
    <t>01-09 | 09-16 |17-24 | 25-32 | 33-40 | 41-48 | 49-56 | 57-64</t>
  </si>
  <si>
    <t>Rua Guaicurus</t>
  </si>
  <si>
    <t>PDF#11</t>
  </si>
  <si>
    <t>JDF#09</t>
  </si>
  <si>
    <t>TÉRREO</t>
  </si>
  <si>
    <t>Rua Doutor José de Queirós Aranha</t>
  </si>
  <si>
    <t>VMF#17</t>
  </si>
  <si>
    <t xml:space="preserve"> 33-40 | 41-48 | 49-56 | 57-64</t>
  </si>
  <si>
    <t>01-08 | 09-16 | 17-24 | 25-32</t>
  </si>
  <si>
    <t>Rua João Álvares Correia</t>
  </si>
  <si>
    <t>Rua Botucatu</t>
  </si>
  <si>
    <t>8°</t>
  </si>
  <si>
    <t>6°</t>
  </si>
  <si>
    <t>Avenida Doutor Arnaldo</t>
  </si>
  <si>
    <t>H.Clinicas</t>
  </si>
  <si>
    <t>Rua Berta</t>
  </si>
  <si>
    <t>Completa</t>
  </si>
  <si>
    <t>17-24 | 25-32</t>
  </si>
  <si>
    <t>Rua Campevas</t>
  </si>
  <si>
    <t>Rua Domingos Leme</t>
  </si>
  <si>
    <t>PAFH#16</t>
  </si>
  <si>
    <t>Rua Catão</t>
  </si>
  <si>
    <t>01-08 | 09-16 | 17-24</t>
  </si>
  <si>
    <t>33-40 | 41-48</t>
  </si>
  <si>
    <t>Rua Monte Alegre</t>
  </si>
  <si>
    <t>7°</t>
  </si>
  <si>
    <t>Rua Leopoldo Couto de Magalhães Júnior - de 1003 ao fim - lado ímpar</t>
  </si>
  <si>
    <t>Rua Luís Molina</t>
  </si>
  <si>
    <t>2° / 3° / 5° / 7°</t>
  </si>
  <si>
    <t>Rua Fernão Dias</t>
  </si>
  <si>
    <t>PIF#01</t>
  </si>
  <si>
    <t>1° / 2° / 3° / 4° / 5° / 6 /° 7° / 8°</t>
  </si>
  <si>
    <t>16° / 17° / 18° / 19° / 20° / 21° / 22° / 23°</t>
  </si>
  <si>
    <t>09-16 | 17-24 | 25-32 | 33-40 | 41-48 | 49-56 | 57-64</t>
  </si>
  <si>
    <t>9° / 10° / 11° / 12° / 13° / 14° / 15°</t>
  </si>
  <si>
    <t>VMF#14</t>
  </si>
  <si>
    <t>5° / 9°</t>
  </si>
  <si>
    <t>Atenuado</t>
  </si>
  <si>
    <t>CORRIGIDO</t>
  </si>
  <si>
    <t>Rua Leopoldo Couto de Magalhães Júnior - de 998 ao fim - lado par</t>
  </si>
  <si>
    <t>01-08 | 09-16 | 17-24 |25-32 | 33-40 | 41-48 | 49-56 | 57-64</t>
  </si>
  <si>
    <t>Rua Domingos Augusto Setti</t>
  </si>
  <si>
    <t>24° / 17°</t>
  </si>
  <si>
    <t>10° / 6°</t>
  </si>
  <si>
    <t>AVENIDA DOUTOR ARNALDO</t>
  </si>
  <si>
    <t>33-40 | 41-48 | 49 -56 | 57-64</t>
  </si>
  <si>
    <t>33°</t>
  </si>
  <si>
    <t>DG CENTRAL</t>
  </si>
  <si>
    <t>DG Principal</t>
  </si>
  <si>
    <t>Avenida Doutor Enéas Carvalho de Aguiar</t>
  </si>
  <si>
    <t>1-8 | 9-16</t>
  </si>
  <si>
    <t>Cabista não conseguiu localizar a caixa, a pessoa que acompanhava não pode acompanhar</t>
  </si>
  <si>
    <t>Rua Guarará - lado ímpar</t>
  </si>
  <si>
    <t>Alameda Casa Branca - lado ímpar</t>
  </si>
  <si>
    <t>JDF#10</t>
  </si>
  <si>
    <t>41-48 | 49-56</t>
  </si>
  <si>
    <t>1° / 6°</t>
  </si>
  <si>
    <t>Rua Oscar Freire - até 608 - lado par</t>
  </si>
  <si>
    <t>Zelador negou a entrada e informou que não houve implantação</t>
  </si>
  <si>
    <t>Rua Itapicuru</t>
  </si>
  <si>
    <t xml:space="preserve"> 1-8 | 9-17 | 17-24 | 25-32 | 33-40 |41-48 | 49-56 | 57-64</t>
  </si>
  <si>
    <t>Torre 1 - 2°/ 3°/ 6°/ 9° - Torre 2° - 12°/15°/21°/24°</t>
  </si>
  <si>
    <t>AL JAU 6680</t>
  </si>
  <si>
    <t>Esdudios - 2°/3°/4°/5°/6°/7°/8°</t>
  </si>
  <si>
    <t>Residencial - 11°/12°/13°/14°/15°/16°/17°/18°</t>
  </si>
  <si>
    <t>Rua Francisco Leitão</t>
  </si>
  <si>
    <t>25-32|41-48|57-64</t>
  </si>
  <si>
    <t>Lado B - 3°/6°/9°</t>
  </si>
  <si>
    <t>Rua Fernão Dias - até 467 - lado ímpar</t>
  </si>
  <si>
    <t>49-57</t>
  </si>
  <si>
    <t>9-16 | 25-32</t>
  </si>
  <si>
    <t>Lado A - 9°/12°</t>
  </si>
  <si>
    <t>IMF#02</t>
  </si>
  <si>
    <t>JDF#08</t>
  </si>
  <si>
    <t>25-32 | 33-40</t>
  </si>
  <si>
    <t>Rua Achilles Masetti</t>
  </si>
  <si>
    <t>IBF#07</t>
  </si>
  <si>
    <t xml:space="preserve"> 1-8 | 9-17 | 17-24 | 25-32 </t>
  </si>
  <si>
    <t>Torre 2 - 12°/16°/20°</t>
  </si>
  <si>
    <t xml:space="preserve"> 1-8 | 9-17 | 17-24 | 25-32 | 33-40 |41-48 | 49-56</t>
  </si>
  <si>
    <t>Torre 1 - 1°/4°/8°/12°/16°/20° Torre 2 - 4°</t>
  </si>
  <si>
    <t>CONECTADO</t>
  </si>
  <si>
    <t>5</t>
  </si>
  <si>
    <t>1-8 | 9-16 | 17-24 | 25-32 | 33-40 |41-48 | 49-56 | 57-64</t>
  </si>
  <si>
    <t>ALIVIO</t>
  </si>
  <si>
    <t>1-8 | 9-16 | 17-24 | 25-32 | 33-40 |41-48 | 49-56</t>
  </si>
  <si>
    <t>térro</t>
  </si>
  <si>
    <t>6</t>
  </si>
  <si>
    <t>1</t>
  </si>
  <si>
    <t>4</t>
  </si>
  <si>
    <t>IMF#05</t>
  </si>
  <si>
    <t>3</t>
  </si>
  <si>
    <t>Alameda Franca - de 386 a 1100 - lado par</t>
  </si>
  <si>
    <t>HMF#08</t>
  </si>
  <si>
    <t>Rua João Moura - de 183_184 a 795_796</t>
  </si>
  <si>
    <t>Avenida Bernardino de Campos - lado ímpar</t>
  </si>
  <si>
    <t>PAFH#17</t>
  </si>
  <si>
    <t>2|4|6</t>
  </si>
  <si>
    <t>Rua Manoel da Nóbrega - até 151 - lado ímpar</t>
  </si>
  <si>
    <t>01</t>
  </si>
  <si>
    <t>Rua Dina</t>
  </si>
  <si>
    <t>Rua Iaiá</t>
  </si>
  <si>
    <t>HMF#07</t>
  </si>
  <si>
    <t>1-8|9-16|17-24|25-32</t>
  </si>
  <si>
    <t>7|5|3|1</t>
  </si>
  <si>
    <t>Rua Maestro Elias Lobo</t>
  </si>
  <si>
    <t>IBF#04</t>
  </si>
  <si>
    <t>3|5</t>
  </si>
  <si>
    <t>Rua Tabapuã - até 360 - lado par</t>
  </si>
  <si>
    <t>8|5</t>
  </si>
  <si>
    <t>Rua Almirante Marques Leão</t>
  </si>
  <si>
    <t>PAF#03</t>
  </si>
  <si>
    <t>04</t>
  </si>
  <si>
    <t>Rua Artur Prado</t>
  </si>
  <si>
    <t>PAF#15</t>
  </si>
  <si>
    <t>45-56 | 57-64</t>
  </si>
  <si>
    <t>Lado A - 6 | Lado B - 6</t>
  </si>
  <si>
    <t>Rua Capote Valente - de 607_608 a 1023_1024</t>
  </si>
  <si>
    <t>49-56 | 57-64</t>
  </si>
  <si>
    <t>Lado A - 1 | Lado B - 2</t>
  </si>
  <si>
    <t>Rua Brigadeiro Haroldo Veloso</t>
  </si>
  <si>
    <t>9-16|17-24</t>
  </si>
  <si>
    <t>12|5</t>
  </si>
  <si>
    <t>Rua Tagipuru</t>
  </si>
  <si>
    <t>Lado A2 - 23° | Lado A1 - 23°</t>
  </si>
  <si>
    <t>PDF#12</t>
  </si>
  <si>
    <t>Lado B2 - 23° | Lado B1 - 23°</t>
  </si>
  <si>
    <t>25--32|57-64</t>
  </si>
  <si>
    <t>PAF#05</t>
  </si>
  <si>
    <t>Rua Três de Maio</t>
  </si>
  <si>
    <t>VMF#18</t>
  </si>
  <si>
    <t>Rua São Carlos do Pinhal - lado ímpar</t>
  </si>
  <si>
    <t>Avenida Lavandisca</t>
  </si>
  <si>
    <t>MEF#01</t>
  </si>
  <si>
    <t>16|12|10|8|6|5|3</t>
  </si>
  <si>
    <t>Rua Crasso</t>
  </si>
  <si>
    <t>Avenida Nove de Julho - de 4701 ao fim - lado ímpar</t>
  </si>
  <si>
    <t>HMF#04</t>
  </si>
  <si>
    <t>9-16|25-32</t>
  </si>
  <si>
    <t>11|12</t>
  </si>
  <si>
    <t>Rua Treze de Maio - de 1152 ao fim - lado par</t>
  </si>
  <si>
    <t>1-8 |17-24 | 25-32</t>
  </si>
  <si>
    <t>8|5|1</t>
  </si>
  <si>
    <t>33-40 |41-48</t>
  </si>
  <si>
    <t>Rua Luísa Júlia</t>
  </si>
  <si>
    <t>25-32|33-40|41-48|49-56</t>
  </si>
  <si>
    <t>14|02|08|11</t>
  </si>
  <si>
    <t>ALAMEDA TIETE</t>
  </si>
  <si>
    <t>6-6</t>
  </si>
  <si>
    <t>Rua Saint Hilaire</t>
  </si>
  <si>
    <t>Rua Eugênio de Medeiros</t>
  </si>
  <si>
    <t>PIF#09</t>
  </si>
  <si>
    <t>18|15</t>
  </si>
  <si>
    <t>Rua Paes de Araújo</t>
  </si>
  <si>
    <t>18</t>
  </si>
  <si>
    <t>4|1</t>
  </si>
  <si>
    <t>Alameda Casa Branca - lado par</t>
  </si>
  <si>
    <t>9-16 | 17-24</t>
  </si>
  <si>
    <t>Rua Doutor Fláquer</t>
  </si>
  <si>
    <t>Rua Doutor Fadlo Haidar</t>
  </si>
  <si>
    <t>2</t>
  </si>
  <si>
    <t>Rua Doutor Tomás Carvalhal - de 781_782 ao fim</t>
  </si>
  <si>
    <t>10|6</t>
  </si>
  <si>
    <t>Rua Afonso Braz - de 322 ao fim - lado par</t>
  </si>
  <si>
    <t>IMF#08</t>
  </si>
  <si>
    <t>Rua Ministro Gastão Mesquita</t>
  </si>
  <si>
    <t>térreo</t>
  </si>
  <si>
    <t>JDF#03</t>
  </si>
  <si>
    <t>6 | 3 | 1</t>
  </si>
  <si>
    <t>Rua Bela Cintra - de 588 a 1240 - lado par</t>
  </si>
  <si>
    <t>JDF#04</t>
  </si>
  <si>
    <t>17-24 | 49-56</t>
  </si>
  <si>
    <t>11 | 6</t>
  </si>
  <si>
    <t>Rua Haddock Lobo - até 1048 - lado par</t>
  </si>
  <si>
    <t>1-8 | 9-16 | 17-24 | 25-32</t>
  </si>
  <si>
    <t>Bloco 1 6° e Térreo | Bloco 2 10° e Térreo</t>
  </si>
  <si>
    <t>RUA ESPARTACO</t>
  </si>
  <si>
    <t>Rua Silva Correia</t>
  </si>
  <si>
    <t>14°</t>
  </si>
  <si>
    <t>Alameda Campinas - de 1270 ao fim - lado par</t>
  </si>
  <si>
    <t>IBF#05</t>
  </si>
  <si>
    <t>RUA DOUTOR FRANCO DA ROCHA</t>
  </si>
  <si>
    <t>Térreo Bloco 2</t>
  </si>
  <si>
    <t>Avenida Nove de Julho - de 2302 a 3698 - lado par</t>
  </si>
  <si>
    <t>Avenida Paulista - de 2134 ao fim - lado par</t>
  </si>
  <si>
    <t>PAF#16</t>
  </si>
  <si>
    <t>1-8 | 9-16 | 17-24 | 25-32 | 33-40 | 41-48 | 49-56</t>
  </si>
  <si>
    <t>Galeria | 5° | 7°</t>
  </si>
  <si>
    <t>RUA HOMEM DE MELO</t>
  </si>
  <si>
    <t>PD#04</t>
  </si>
  <si>
    <t>IBF#06</t>
  </si>
  <si>
    <t xml:space="preserve">1-8 </t>
  </si>
  <si>
    <t>5° Lado B</t>
  </si>
  <si>
    <t>Rua Tabapuã</t>
  </si>
  <si>
    <t>HM#08</t>
  </si>
  <si>
    <t xml:space="preserve">Térreo | 4 |10 | 16 </t>
  </si>
  <si>
    <t>Alameda Gabriel Monteiro da Silva</t>
  </si>
  <si>
    <t>JD#02</t>
  </si>
  <si>
    <t>Rua Doutor Melo Alves</t>
  </si>
  <si>
    <t>Rua Cubatão - de 222 a 482 - lado par</t>
  </si>
  <si>
    <t>JD#09</t>
  </si>
  <si>
    <t>PI#02</t>
  </si>
  <si>
    <t xml:space="preserve">7 Lado A | 7 Lado B </t>
  </si>
  <si>
    <t>Rua Peixoto Gomide - de 1250 ao fim - lado par</t>
  </si>
  <si>
    <t>JD#10</t>
  </si>
  <si>
    <t>HM#07</t>
  </si>
  <si>
    <t>Rua Capote Valente - de 327_328 a 605_606</t>
  </si>
  <si>
    <t>JD#06</t>
  </si>
  <si>
    <t>17-24 | 25-32 | 33-40 | 41-48 | 49-56</t>
  </si>
  <si>
    <t>Rua Viradouro</t>
  </si>
  <si>
    <t>Alameda Itu - até 775 - lado ímpar</t>
  </si>
  <si>
    <t>JD#01</t>
  </si>
  <si>
    <t>Avenida Onze de Junho - de 501 a 763 - lado ímpar</t>
  </si>
  <si>
    <t>VM#015</t>
  </si>
  <si>
    <t>25-32 | 49-56</t>
  </si>
  <si>
    <t>Rua Machado de Assis</t>
  </si>
  <si>
    <t>VM#19</t>
  </si>
  <si>
    <t xml:space="preserve">8 Lado A | 8 Lado B </t>
  </si>
  <si>
    <t>JD#08</t>
  </si>
  <si>
    <t>Rua José Maria Lisboa - até 756 - lado par</t>
  </si>
  <si>
    <t>IB#09</t>
  </si>
  <si>
    <t>17-24 | 25-32 | 49-56 | 57-64</t>
  </si>
  <si>
    <t>6 | 11 | 15</t>
  </si>
  <si>
    <t>Rua Teixeira da Silva - de 453_454 a 571_572</t>
  </si>
  <si>
    <t>33-40 | 41-48 | 49-56 | 57-64</t>
  </si>
  <si>
    <t>Rua Afonso Braz - de 293 ao fim - lado ímpar</t>
  </si>
  <si>
    <t>IM#08</t>
  </si>
  <si>
    <t>Rua Clodomiro Amazonas - de 842 ao fim - lado par</t>
  </si>
  <si>
    <t>IM#07</t>
  </si>
  <si>
    <t>1-8 | 9-16 | 17-24</t>
  </si>
  <si>
    <t>2 | 7 | 10</t>
  </si>
  <si>
    <t>Rua Circular do Bosque</t>
  </si>
  <si>
    <t>PI#04</t>
  </si>
  <si>
    <t>8</t>
  </si>
  <si>
    <t>Rua Leopoldo Couto de Magalhães Júnior - até 555 - lado ímpar</t>
  </si>
  <si>
    <t>HM#09</t>
  </si>
  <si>
    <t>4 | 10 | 8 | 6</t>
  </si>
  <si>
    <t>Rua Fernandes de Abreu</t>
  </si>
  <si>
    <t>HM#01</t>
  </si>
  <si>
    <t>MEZANINO</t>
  </si>
  <si>
    <t>Rua Venâncio Aires</t>
  </si>
  <si>
    <t>PD#09</t>
  </si>
  <si>
    <t xml:space="preserve">1-8 | 9-16 </t>
  </si>
  <si>
    <t>6 | 7</t>
  </si>
  <si>
    <t>PD#12</t>
  </si>
  <si>
    <t>TÉRREO A e B</t>
  </si>
  <si>
    <t>PA#02</t>
  </si>
  <si>
    <t>PD#11</t>
  </si>
  <si>
    <t>IM#01</t>
  </si>
  <si>
    <t>Rua João Moura - de 1773_1774 ao fim</t>
  </si>
  <si>
    <t>PI#05</t>
  </si>
  <si>
    <t>RUA OSCAR FREIRE</t>
  </si>
  <si>
    <t>JD#11</t>
  </si>
  <si>
    <t>Alameda Franca - até 384 - lado par</t>
  </si>
  <si>
    <t>IB#08</t>
  </si>
  <si>
    <t>6 B | 6 A</t>
  </si>
  <si>
    <t>PI#08</t>
  </si>
  <si>
    <t>JD#07</t>
  </si>
  <si>
    <t>Rua Oscar Freire - de 1635_1636 a 2321_2322</t>
  </si>
  <si>
    <t>Rua Mário Amaral - até 219_220</t>
  </si>
  <si>
    <t>IB#07</t>
  </si>
  <si>
    <t>JD#12</t>
  </si>
  <si>
    <t>1-8 | 9-16 | 17-24 | 25-32 | 33-40 | 41-48 | 49-56 | 57-64</t>
  </si>
  <si>
    <t>16 | 14 | 12 | 10 | 08 | 06 | 04 | 02</t>
  </si>
  <si>
    <t>Rua Doutor Rafael de Barros</t>
  </si>
  <si>
    <t>PA#04</t>
  </si>
  <si>
    <t>Rua Queluz</t>
  </si>
  <si>
    <t>2 ANDAR</t>
  </si>
  <si>
    <t xml:space="preserve">09-16 | 25-32 </t>
  </si>
  <si>
    <t>1 ANDAR</t>
  </si>
  <si>
    <t>TERREO / 2/5/6/12</t>
  </si>
  <si>
    <t>PDFH#07</t>
  </si>
  <si>
    <t xml:space="preserve"> Rua Bueno Brandão - até 199_200</t>
  </si>
  <si>
    <t>IMFH#07</t>
  </si>
  <si>
    <t xml:space="preserve"> Rua Abílio Soares - até 279_280</t>
  </si>
  <si>
    <t>Rua Ministro de Godói</t>
  </si>
  <si>
    <t>Rua Vergueiro - de 1290 a 2700 - lado par</t>
  </si>
  <si>
    <t>VMFH#03</t>
  </si>
  <si>
    <t>6 ANDAR</t>
  </si>
  <si>
    <t>3 ANDAR</t>
  </si>
  <si>
    <t xml:space="preserve"> Rua Paulistânia</t>
  </si>
  <si>
    <t>RUA BUENO BRANDAO</t>
  </si>
  <si>
    <t>1/7</t>
  </si>
  <si>
    <t>Rua Maestro Cardim - de 561_562 ao fim</t>
  </si>
  <si>
    <t>SUBSOLO</t>
  </si>
  <si>
    <t>Rua Caconde - lado par</t>
  </si>
  <si>
    <t>TERREO</t>
  </si>
  <si>
    <t>Rua Escobar Ortiz</t>
  </si>
  <si>
    <t>5 ANDAR</t>
  </si>
  <si>
    <t>Rua Treze de Maio - até 1149_1150</t>
  </si>
  <si>
    <t>PA#13</t>
  </si>
  <si>
    <t>Rua Baltazar Lisboa</t>
  </si>
  <si>
    <t>8 | 15</t>
  </si>
  <si>
    <t>IB#10</t>
  </si>
  <si>
    <t>9-16|17-24|25-32</t>
  </si>
  <si>
    <t>9º |13º |17º ANDAR</t>
  </si>
  <si>
    <t>Rua Raul Pompéia - até 999_1000</t>
  </si>
  <si>
    <t>PD#06</t>
  </si>
  <si>
    <t>49-56|25-30</t>
  </si>
  <si>
    <t>2ºANDAR</t>
  </si>
  <si>
    <t>PI#07</t>
  </si>
  <si>
    <t>Rua Doutor Eduardo de Souza Aranha, 106, Projeto Ok. Hub Box ok</t>
  </si>
  <si>
    <t>IM#5</t>
  </si>
  <si>
    <t>Rua Diogo Jácome - até 329_330</t>
  </si>
  <si>
    <t>IM#04</t>
  </si>
  <si>
    <t>57-64|33-40</t>
  </si>
  <si>
    <t>TERRO</t>
  </si>
  <si>
    <t>Rua Bandeira Paulista - de 602 a 900 - lado par, 726, ID SPR 31868 CLUSTER</t>
  </si>
  <si>
    <t>HM#7</t>
  </si>
  <si>
    <t>7º |14º |21º ANDAR</t>
  </si>
  <si>
    <t>Avenida Brigadeiro Faria Lima, ID SPR 56344 CLUSTER</t>
  </si>
  <si>
    <t>PI#06</t>
  </si>
  <si>
    <t>9°ANDAR</t>
  </si>
  <si>
    <t>AVENIDA VITAL BRASIL DR</t>
  </si>
  <si>
    <t>PAFH#1</t>
  </si>
  <si>
    <t>Rua Estevão Lopes</t>
  </si>
  <si>
    <t>PI#10</t>
  </si>
  <si>
    <t>1-8|9-16|17-24|25-32|33-40|41-48|49-56|57-64</t>
  </si>
  <si>
    <t>IB#2</t>
  </si>
  <si>
    <t>ALAMEDA JAÚ</t>
  </si>
  <si>
    <t>40-56</t>
  </si>
  <si>
    <t>PD#08</t>
  </si>
  <si>
    <t>DES GUIMARAES</t>
  </si>
  <si>
    <t>PD#14</t>
  </si>
  <si>
    <t>4ºANDAR</t>
  </si>
  <si>
    <t>RUA BARAO DE TEFÉ</t>
  </si>
  <si>
    <t>12ºANDAR</t>
  </si>
  <si>
    <t>Rua Alvarenga</t>
  </si>
  <si>
    <t>22º|24º|26º|28º|30º|32º|34º|36º ANDAR</t>
  </si>
  <si>
    <t>06º|08º|10º|12º|14º|16º|18º|20º ANDAR</t>
  </si>
  <si>
    <t>05º ANDAR</t>
  </si>
  <si>
    <t>Rua Joaquim Távora</t>
  </si>
  <si>
    <t>VM#16</t>
  </si>
  <si>
    <t>20º|15º|10º|5º|20º|15º|10º|5ºANDAR</t>
  </si>
  <si>
    <t>57-64|49-56|41-48|33-40</t>
  </si>
  <si>
    <t>3º|5º|7º|10ºANDAR</t>
  </si>
  <si>
    <t>57-64|49-56|25-32|33-40</t>
  </si>
  <si>
    <t>3ºANDAR</t>
  </si>
  <si>
    <t>Rua Pamplona - de 601 a 1259 - lado ímpar</t>
  </si>
  <si>
    <t>1º |2º |3º ANDAR</t>
  </si>
  <si>
    <t>Rua Tucumã</t>
  </si>
  <si>
    <t>PI#8</t>
  </si>
  <si>
    <t>Rua Rodrigo Cláudio</t>
  </si>
  <si>
    <t>PA#17</t>
  </si>
  <si>
    <t>5ºANDAR</t>
  </si>
  <si>
    <t>Alameda Sarutaiá</t>
  </si>
  <si>
    <t>PA#10</t>
  </si>
  <si>
    <t>1ºANDAR</t>
  </si>
  <si>
    <t>PD#01</t>
  </si>
  <si>
    <t>1-8|9-16</t>
  </si>
  <si>
    <t>Rua Tito</t>
  </si>
  <si>
    <t>PD#15</t>
  </si>
  <si>
    <t>1-8|9-16|17-24|41-48|49-46|57-64</t>
  </si>
  <si>
    <t>3º|6ºANDAR</t>
  </si>
  <si>
    <t>Alameda dos Anapurus - de 703_704 a 1041_1042</t>
  </si>
  <si>
    <t>ME#04</t>
  </si>
  <si>
    <t>57-64|41-48|49-56|33-40</t>
  </si>
  <si>
    <t>5º|8º ANDAR</t>
  </si>
  <si>
    <t>01-08|09-16|17-24|25-32|33-40|41-48|49-56|57-64</t>
  </si>
  <si>
    <t>1º|2º|3º|4ºANDAR</t>
  </si>
  <si>
    <t>5º|6º|7º|8º ANDAR</t>
  </si>
  <si>
    <t>9°|10°|11°|12° ANDAR</t>
  </si>
  <si>
    <t>13°|14°|15°|16° ANDAR</t>
  </si>
  <si>
    <t>17°|18°|19°|20° ANDAR</t>
  </si>
  <si>
    <t>Rua Clélia - de 1701_1702 ao fim</t>
  </si>
  <si>
    <t>1º ANDAR</t>
  </si>
  <si>
    <t>PD#13</t>
  </si>
  <si>
    <t>2º ANDAR</t>
  </si>
  <si>
    <t>RUA CRISTIANO VIANA</t>
  </si>
  <si>
    <t>4º ANDAR</t>
  </si>
  <si>
    <t>10º ANDAR</t>
  </si>
  <si>
    <t>RUA AUGUSTO DE MIRANDADR 6680</t>
  </si>
  <si>
    <t>3º ANDAR</t>
  </si>
  <si>
    <t>RUA AFONSO BRAZ</t>
  </si>
  <si>
    <t>Rua Doutor Tomás Alves</t>
  </si>
  <si>
    <t>Rua Itacema</t>
  </si>
  <si>
    <t>VM#06</t>
  </si>
  <si>
    <t>IBFH#08</t>
  </si>
  <si>
    <t>Rua Tatuí</t>
  </si>
  <si>
    <t>Rua Bandeira Paulista - de 661 a 829 - lado ímpar</t>
  </si>
  <si>
    <t>HM#02</t>
  </si>
  <si>
    <t>09-16 | 17-24</t>
  </si>
  <si>
    <t>Rua Afonso de Freitas - de 201_202 a 399_400</t>
  </si>
  <si>
    <t>IBFH#03</t>
  </si>
  <si>
    <t>Rua Doutor Cândido Espinheira</t>
  </si>
  <si>
    <t>4° ANDAR</t>
  </si>
  <si>
    <t>Rua Cajaíba</t>
  </si>
  <si>
    <t>2° | 3°</t>
  </si>
  <si>
    <t>Rua Simpatia</t>
  </si>
  <si>
    <t>PI#01</t>
  </si>
  <si>
    <t>09-16|17-24|25-32|33-40|41-48|49-56|57-64</t>
  </si>
  <si>
    <t>1°ESTUDIO | 4°RESI. | 7°RESI. | 8° ESTUDIO| 9° RESI.| 10° ESTUDIO</t>
  </si>
  <si>
    <t>Rua Olimpíadas</t>
  </si>
  <si>
    <t>IMFH#08</t>
  </si>
  <si>
    <t>Rua Bartolomeu de Gusmão - de 355_356 ao fim</t>
  </si>
  <si>
    <t>VM#03</t>
  </si>
  <si>
    <t>2° ANDAR - SHAFT</t>
  </si>
  <si>
    <t>Alameda Lorena - de 394 a 798 - lado par</t>
  </si>
  <si>
    <t>5° ANDAR</t>
  </si>
  <si>
    <t>2°|4°|6° |8°|10°|12°</t>
  </si>
  <si>
    <t>2°|4°|7°| 15°</t>
  </si>
  <si>
    <t>Rua André Fernandes</t>
  </si>
  <si>
    <t>HM#05</t>
  </si>
  <si>
    <t>1°|2°</t>
  </si>
  <si>
    <t>RUA FRANCA PINTO</t>
  </si>
  <si>
    <t>LADO A | LADO B</t>
  </si>
  <si>
    <t>PA#15</t>
  </si>
  <si>
    <t>Rua Cajaíba - até 819_820</t>
  </si>
  <si>
    <t>6ºANDAR</t>
  </si>
  <si>
    <t>Avenida Macuco - de 341_342 ao fim</t>
  </si>
  <si>
    <t>ME#07</t>
  </si>
  <si>
    <t>Avenida Prefeito Fábio Prado</t>
  </si>
  <si>
    <t>VM#13</t>
  </si>
  <si>
    <t xml:space="preserve"> 1-8 | 9-16 | 17-24 | 25-32 | 33-40 |41-48|49-56|57-64</t>
  </si>
  <si>
    <t>15º|20º ANDAR</t>
  </si>
  <si>
    <t>10º|11º ANDAR</t>
  </si>
  <si>
    <t>16º|21º ANDAR</t>
  </si>
  <si>
    <t>VM#07</t>
  </si>
  <si>
    <t>33-40|41-48|49-56|57-74</t>
  </si>
  <si>
    <t>2º|3º|6º|7º ANDAR</t>
  </si>
  <si>
    <t>1ºANDAR LADO A e B</t>
  </si>
  <si>
    <t>Rua Doutor Augusto de Miranda - até 957_958</t>
  </si>
  <si>
    <t>PD#07</t>
  </si>
  <si>
    <t>13ºANDAR TORRE B</t>
  </si>
  <si>
    <t>11ºANDAR TORRE A</t>
  </si>
  <si>
    <t>Rua Cayowaá - de 1462 ao fim - lado par</t>
  </si>
  <si>
    <t>4º|8ºANDAR</t>
  </si>
  <si>
    <t>Rua Croata</t>
  </si>
  <si>
    <t>PD#10</t>
  </si>
  <si>
    <t>Rua Tavares Bastos</t>
  </si>
  <si>
    <t>01-08|09-16|17-24|23-32</t>
  </si>
  <si>
    <t>TORRE A|B|C|D</t>
  </si>
  <si>
    <t>17-24|33-40</t>
  </si>
  <si>
    <t>5º|2ºANDAR</t>
  </si>
  <si>
    <t>Rua Tito - até 1005_1006</t>
  </si>
  <si>
    <t>7ºANDAR</t>
  </si>
  <si>
    <t>Rua José Antônio Coelho - até 299_300, ID SPR 61439</t>
  </si>
  <si>
    <t>VM#17</t>
  </si>
  <si>
    <t>Rua Alves Guimarães, ID SPR 22668 CLUSTER</t>
  </si>
  <si>
    <t>1-8|9-16|17-24|25-32|33-40|41-48</t>
  </si>
  <si>
    <t>2º LADO A,B,C|5º|7º|9º ANDAR LADO D</t>
  </si>
  <si>
    <t>Avenida São Gabriel,- lado ímpar</t>
  </si>
  <si>
    <t>HM#6</t>
  </si>
  <si>
    <t>TÉRREO|6º ANDAR</t>
  </si>
  <si>
    <t>SEMANA</t>
  </si>
  <si>
    <t>MATR_SAP</t>
  </si>
  <si>
    <t>NOME</t>
  </si>
  <si>
    <t>ADRIANO LUIZ DA ALMEIDA SALES</t>
  </si>
  <si>
    <t>DAVID MADEIRA</t>
  </si>
  <si>
    <t>JEFFERSON DOS SANTOS PIO</t>
  </si>
  <si>
    <t>SERGIO MARTINS HIAR JUNIOR</t>
  </si>
  <si>
    <t>CLAUDIANO ALVES TEIXEIRA</t>
  </si>
  <si>
    <t>JEFERSON GONCALVES FIGUEIREDO DE JESUS</t>
  </si>
  <si>
    <t>MAURO DOS SANTOS</t>
  </si>
  <si>
    <t>RUBEM MARQUES DA SILVA</t>
  </si>
  <si>
    <t>GILBERTO BANDEIRA DA SILVA</t>
  </si>
  <si>
    <t>MATHEUS FONTES SILVA</t>
  </si>
  <si>
    <t>RONILDO ALMEIDA DE SOUZA</t>
  </si>
  <si>
    <t>ANDERSON SOUZA DA SILVA</t>
  </si>
  <si>
    <t>MARCELINO GONCALVES DE ARAUJO</t>
  </si>
  <si>
    <t>ALMIR OLIVEIRA DOS SANTOS</t>
  </si>
  <si>
    <t>TIAGO ROSA DA SILVA</t>
  </si>
  <si>
    <t>ROGERIO APARECIDO DA SILVA AZEVEDO</t>
  </si>
  <si>
    <t>FRANCISCO DE ASSIS CAVALCANTI DE OLIVEIRA</t>
  </si>
  <si>
    <t>ROGERIO PORTO MARQUES</t>
  </si>
  <si>
    <t>EDUARDO VIEIRA RAINOV BUDZINSKI</t>
  </si>
  <si>
    <t>MATHEUS DOS SANTOS ALMEIDA</t>
  </si>
  <si>
    <t>PAULO ROBERTO DAMASIO DOS SANTOS</t>
  </si>
  <si>
    <t>EZEQUIEL CARLOS CORREA</t>
  </si>
  <si>
    <t>ELIAS SALUSTRIANA SILVA</t>
  </si>
  <si>
    <t>SIELIO SILVA CAMPOS</t>
  </si>
  <si>
    <t>AGNALDO FERNANDES CORREA JUNIOR</t>
  </si>
  <si>
    <t>JEAN GOBIRA DOS SANTOS</t>
  </si>
  <si>
    <t>MATHEUS PARANHOS PINHEIRO</t>
  </si>
  <si>
    <t>ADRIMARIA SANTINO DOS SANTOS</t>
  </si>
  <si>
    <t>ANA PAULA DE LIRA</t>
  </si>
  <si>
    <t>INGRID ALVES DOS SANTOS</t>
  </si>
  <si>
    <t>ARDALA TRESTIN ROCHA ALVES</t>
  </si>
  <si>
    <t>MIGUEL ALEXANDRE CARVALHO</t>
  </si>
  <si>
    <t>ALINE GAMA MORETIM</t>
  </si>
  <si>
    <t>HEITOR DO ESPIRITO SANTO PEREIRA DE SOUZA</t>
  </si>
  <si>
    <t>JACILENE LUCENA</t>
  </si>
  <si>
    <t>JOACI ALMEIDA DOS SANTOS FILHO</t>
  </si>
  <si>
    <t>ROSELLY SOARES DE ARAGAO</t>
  </si>
  <si>
    <t>ALEX ROCHA FERREIRA</t>
  </si>
  <si>
    <t>JORGE CAETANO DE MIRANDA JUNIOR</t>
  </si>
  <si>
    <t>CRISTIANO QUARESMA</t>
  </si>
  <si>
    <t>ELI ROCHA DA SILVA</t>
  </si>
  <si>
    <t>ANDRE GONCALVES JUVENCIO</t>
  </si>
  <si>
    <t>EVANILSON FIGUEREDO SILVA</t>
  </si>
  <si>
    <t>CHARLES FERNANDES BARROSO</t>
  </si>
  <si>
    <t>IVONILDO DA COSTA LIMA</t>
  </si>
  <si>
    <t>MARLLOS WAGNER ALVES DA SILVA</t>
  </si>
  <si>
    <t>ANDERSON JOSE DOS SANTOS</t>
  </si>
  <si>
    <t>IZAQUE DE LIMA ANDRADE</t>
  </si>
  <si>
    <t>DANIEL HENRIQUE DE OLIVEIRA</t>
  </si>
  <si>
    <t>VALDAIR DE OLIVEIRA</t>
  </si>
  <si>
    <t>HELLEN CRISTINA MINEIRO DE SOUSA</t>
  </si>
  <si>
    <t>NEUCILENE BORGES PESSOA</t>
  </si>
  <si>
    <t>LILIANE DA SILVA NASCIMENTO</t>
  </si>
  <si>
    <t>MARCELO GUERRA RIBEIRO</t>
  </si>
  <si>
    <t>REINIELLE CORREIA DE OLIVEIRA</t>
  </si>
  <si>
    <t>ANDRE GONCALVES DE CARVALHO</t>
  </si>
  <si>
    <t>RAFAEL WILSON DAS CHAGAS</t>
  </si>
  <si>
    <t>JEFFERSON DE SOUZA MALTA</t>
  </si>
  <si>
    <t>JULIANO NOGUEIRA ALVES</t>
  </si>
  <si>
    <t>MAYCON DUARTE DE AQUINO</t>
  </si>
  <si>
    <t>ANDRE LUIS ANDRADE DE MAGALHAES</t>
  </si>
  <si>
    <t>ANDERSON DE SOUZA ROCHA FILIPINI</t>
  </si>
  <si>
    <t>MARCOS ALVES DE OLIVEIRA</t>
  </si>
  <si>
    <t>VALDIR DE OLIVEIRA SUZART</t>
  </si>
  <si>
    <t>MARCOS EVANGELISTA JOVINO DA SILVA</t>
  </si>
  <si>
    <t>ANDRE BEZERRA DA SILVA</t>
  </si>
  <si>
    <t>IGOR DA SILVA NETTO</t>
  </si>
  <si>
    <t>RICARDO TADEU ARMEDE DOS SANTOS</t>
  </si>
  <si>
    <t>MARCIO ANTONIO DE SOUZA SANTOS</t>
  </si>
  <si>
    <t>RAFAEL SEBASTIAO DA SILVA</t>
  </si>
  <si>
    <t>KAUA MARINHO DANTAS</t>
  </si>
  <si>
    <t>ALAN FERNANDES DE JESUS</t>
  </si>
  <si>
    <t>IGOR BONFIM GONCALVES</t>
  </si>
  <si>
    <t>DANIEL PAULINO MOREIRA</t>
  </si>
  <si>
    <t>CAIQUE CAMARGO LOURENCO DA SILVA</t>
  </si>
  <si>
    <t>RODRIGO SILVA SANTOS</t>
  </si>
  <si>
    <t>ALESANDRO XAVIER DOS SANTOS</t>
  </si>
  <si>
    <t>DANILO SANTOS RIBAS SILVA</t>
  </si>
  <si>
    <t>JURANDIR ALVES DA SILVA</t>
  </si>
  <si>
    <t>ROBERVAL FERREIRA DE LIMA</t>
  </si>
  <si>
    <t>THIAGO DE SIQUEIRA</t>
  </si>
  <si>
    <t>ALEX BRUNO GOMES DA SILVA</t>
  </si>
  <si>
    <t>CARLOS ALBERTO DE MELO</t>
  </si>
  <si>
    <t>DIOGENES KLEUBER THOMAZ SANTOS</t>
  </si>
  <si>
    <t>EMERSON PEDRO BARBOZA</t>
  </si>
  <si>
    <t>EWANDRO SANTOS DE OLIVEIRA</t>
  </si>
  <si>
    <t>FELIPE DOS SANTOS VERCOZA</t>
  </si>
  <si>
    <t>GLEIDSON BARBOSA GONCALVES</t>
  </si>
  <si>
    <t>KLEBER ALBERTO DE OLIVEIRA ANDRADE</t>
  </si>
  <si>
    <t>RAFAEL LUIS DOS SANTOS SOARES</t>
  </si>
  <si>
    <t>ROBSNEI SANTOS DA SILVA</t>
  </si>
  <si>
    <t>RONISON PEDRO BARBOSA</t>
  </si>
  <si>
    <t>WELLINGTON PAIVA DO NASCIMENTO</t>
  </si>
  <si>
    <t>CAIO VINICIUS SILVA DOS SANTOS</t>
  </si>
  <si>
    <t>MARCELO RODRIGUES LEITE</t>
  </si>
  <si>
    <t>NICOLAS RAFAEL DA ROCHA MESSIAS</t>
  </si>
  <si>
    <t>WELLINGTON PALMA DA SILVA</t>
  </si>
  <si>
    <t>WILLIAM NUNES TELES DELMIRO</t>
  </si>
  <si>
    <t>LUIZ FERNANDO ALCANTARA DA SILVA</t>
  </si>
  <si>
    <t>HEITOR FUMIAKI OGATA</t>
  </si>
  <si>
    <t>THIAGO MESQUITA GURZONI</t>
  </si>
  <si>
    <t>EZEQUIEL ALMEIDA CHAVES</t>
  </si>
  <si>
    <t>ANTONIO CARLOS DE SOUSA NONATO</t>
  </si>
  <si>
    <t>DANIEL FAVACHO GAMA</t>
  </si>
  <si>
    <t>HENRY DIAS DE OLIVEIRA FARIA</t>
  </si>
  <si>
    <t>SALVIO MARTINS DE SOUZA JUNIOR</t>
  </si>
  <si>
    <t>WILLIAM SOCRATES SOUZA SILVA</t>
  </si>
  <si>
    <t>LUCAS MARQUES DA SILVA</t>
  </si>
  <si>
    <t>EDINOR NUNES DOS SANTOS</t>
  </si>
  <si>
    <t>FILIPE ANDRADE PEREIRA</t>
  </si>
  <si>
    <t>DIOGENES DONIZETE DIAS DA COSTA</t>
  </si>
  <si>
    <t>GABRIEL HENRIQUE OLIVEIRA SANTOS</t>
  </si>
  <si>
    <t>PEDRO HENRIQUE ALVES</t>
  </si>
  <si>
    <t>RENAN SIQUEIRA BERTOLDO</t>
  </si>
  <si>
    <t>CARLOS HENRIQUE MORI ANDRADE</t>
  </si>
  <si>
    <t>MAURICIO CARLOS DE OLIVEIRA</t>
  </si>
  <si>
    <t>GUSTAVO CAMPINHO SILVA</t>
  </si>
  <si>
    <t>LEONARDO BARBOSA MEIRA</t>
  </si>
  <si>
    <t>PEDRO HENRIQUE LEAL FERREIRA</t>
  </si>
  <si>
    <t>DHENNYS BERG DE MOURA SOUZA</t>
  </si>
  <si>
    <t>ELDER MOLINA DE OLIVEIRA</t>
  </si>
  <si>
    <t>JOAO ANTONIO DOS SANTOS</t>
  </si>
  <si>
    <t>WALMOR FRANCELINO DA SILVA</t>
  </si>
  <si>
    <t>FLAVIO HENRIQUE DIAS SILVA</t>
  </si>
  <si>
    <t>JOANDERSON EUDES FERREIRA</t>
  </si>
  <si>
    <t>DOUGLAS SILVERIO DOS SANTOS</t>
  </si>
  <si>
    <t>ALDEMIR DIAS</t>
  </si>
  <si>
    <t>BRUNO DE BARROS MARTINS RODRIGUES DOS SANTOS</t>
  </si>
  <si>
    <t>LUCIVAN DA SILVA SOUZA</t>
  </si>
  <si>
    <t>LUIZ FERNANDO DA SILVA</t>
  </si>
  <si>
    <t>CARLOS HENRIQUE DOS SANTOS</t>
  </si>
  <si>
    <t>HEDER ARAUJO</t>
  </si>
  <si>
    <t>GUSTAVO ARRAES BORGES</t>
  </si>
  <si>
    <t>BRUNO DA SILVA BARRA</t>
  </si>
  <si>
    <t>ROBERTO CANDIDO DA SILVA</t>
  </si>
  <si>
    <t>JOAO PEDRO MARQUES GLORIA</t>
  </si>
  <si>
    <t>EDSON COMINI CLEMENTE LOPES</t>
  </si>
  <si>
    <t>GUSTAVO HENRIQUE SILVA FLORENCO</t>
  </si>
  <si>
    <t>ESDRAS GABRIEL BUENO AQUINO DE CARVALHO</t>
  </si>
  <si>
    <t>ABIMAEL ALEXANDRE DA SILVA</t>
  </si>
  <si>
    <t>FERNANDO APARECIDO PEREIRA DE FIGUEIREDO</t>
  </si>
  <si>
    <t>GUILHERME DELMIRO DOS SANTOS NETO DE ANDRADE</t>
  </si>
  <si>
    <t>HENDRYL DE SOUZA SANTOS</t>
  </si>
  <si>
    <t>IGOR MATEUS GOMES DE JESUS</t>
  </si>
  <si>
    <t>JEFFERSON MORGADO MATIAS DE SOUZA</t>
  </si>
  <si>
    <t>CARLOS ALBERTO RIBEIRO DE SOUZA</t>
  </si>
  <si>
    <t>ALEX PEREIRA DOS SANTOS</t>
  </si>
  <si>
    <t>JOAO VITOR PRIMO SILVA ALVES</t>
  </si>
  <si>
    <t>JOHNY ALVES FERREIRA</t>
  </si>
  <si>
    <t>KAYKE PEDROSA DE JESUS</t>
  </si>
  <si>
    <t>OZIEL JESUS GOMES DOS SANTOS</t>
  </si>
  <si>
    <t>REGINALDO PEREIRA DOS SANTOS</t>
  </si>
  <si>
    <t>RICHARD PEREIRA BORGES</t>
  </si>
  <si>
    <t>ROBSON DA SILVA</t>
  </si>
  <si>
    <t>RODRIGO DE CARVALHO COSTA</t>
  </si>
  <si>
    <t>VITOR APARECIDO XAVIER DE ALMEIDA</t>
  </si>
  <si>
    <t>WESLEY BARBOSA FREIRE</t>
  </si>
  <si>
    <t>WESLEY MARTINS DE OLIVEIRA SILVA</t>
  </si>
  <si>
    <t>MARCIO OLIVEIRA SALES</t>
  </si>
  <si>
    <t>DANIEL NONAKA DA SILVA</t>
  </si>
  <si>
    <t>OMAR DOS REIS SILVA CAMOES</t>
  </si>
  <si>
    <t>SAMUEL TELES SAMPAIO</t>
  </si>
  <si>
    <t>MICHEL ROBSON PISTININZI</t>
  </si>
  <si>
    <t>WESLEY MOREIRA DA COSTA TOMAZ</t>
  </si>
  <si>
    <t>MARCELO JOSE PEREIRA DE SOUZA</t>
  </si>
  <si>
    <t>MARCELO RANGEL DE OLIVEIRA</t>
  </si>
  <si>
    <t>VALDIR ISAIAS SOARES</t>
  </si>
  <si>
    <t>THIAGO DUARTE PEREIRA</t>
  </si>
  <si>
    <t>ERITON FERNANDO OLIVEIRA DOS SANTOS</t>
  </si>
  <si>
    <t>ALEF DE LIMA NASCIMENTO</t>
  </si>
  <si>
    <t>PAULO ROBERTO ALMEIDA FIGUEIREDO</t>
  </si>
  <si>
    <t>FILIPE DE OLIVEIRA SOUSA</t>
  </si>
  <si>
    <t>JORGE LUIZ DE ANDRADE MENDES</t>
  </si>
  <si>
    <t>JONATHAN JOHN FERREIRA MENDES</t>
  </si>
  <si>
    <t>DIEGO ANTONIO GOMES SANTOS</t>
  </si>
  <si>
    <t>ISRAEL ROBSON DE SOUZA</t>
  </si>
  <si>
    <t>GILVAN ROBERTO DOS SANTOS</t>
  </si>
  <si>
    <t>EDUARDO DE JESUS FERNANDES</t>
  </si>
  <si>
    <t>DIEGO DE VASCONCELOS</t>
  </si>
  <si>
    <t>JOAO BATISTA PEREIRA DA SILVA</t>
  </si>
  <si>
    <t>RENATO ROGERIO SANTOS MOURA</t>
  </si>
  <si>
    <t>MARCOS PAULO MARQUES DE CASTRO</t>
  </si>
  <si>
    <t>EDUARDO LOPES DOS SANTOS</t>
  </si>
  <si>
    <t>JAIRO DOS SANTOS</t>
  </si>
  <si>
    <t>CAIO DE SOUZA NOGUEIRA</t>
  </si>
  <si>
    <t>BERNARDO PEREIRA DOS SANTOS</t>
  </si>
  <si>
    <t>GILSON ELIAS GEBARA</t>
  </si>
  <si>
    <t>MICHAEL FRANCISCO DA SILVA</t>
  </si>
  <si>
    <t>VINICIUS BUENO PAIVA</t>
  </si>
  <si>
    <t>BRUNO DA SILVA ARAUJO</t>
  </si>
  <si>
    <t>HIGOR MARQUES</t>
  </si>
  <si>
    <t>LUIZ ANSELMO BORGES MASCARENHAS</t>
  </si>
  <si>
    <t>DANIEL DIAS DA SILVA</t>
  </si>
  <si>
    <t>LUCAS NASCIMENTO DE OLIVEIRA</t>
  </si>
  <si>
    <t>LAERTE DA SILVA CARVALHO</t>
  </si>
  <si>
    <t>VALMIR MACHADO VASCONCELOS</t>
  </si>
  <si>
    <t>FILIPE FERNANDO OLIVEIRA MACHADO DOS SANTOS</t>
  </si>
  <si>
    <t>ALVARO MARQUES SANTANA</t>
  </si>
  <si>
    <t>MARCELO DE ARAUJO SILVA</t>
  </si>
  <si>
    <t>ANDERSON ZENOBE</t>
  </si>
  <si>
    <t>JOAO VITOR DOS SANTOS</t>
  </si>
  <si>
    <t>MILTON DE SOUZA BRAGA MEIRA</t>
  </si>
  <si>
    <t>ERIC MARQUES PALUDETO</t>
  </si>
  <si>
    <t>FABIO FRANCISCO DE SANTANA</t>
  </si>
  <si>
    <t>FABIO LUIZ NASCIMENTO DA SILVA</t>
  </si>
  <si>
    <t>LUIS CARLOS GUERRA</t>
  </si>
  <si>
    <t>EMERSON ALVES DOS SANTOS</t>
  </si>
  <si>
    <t>ERICK GOMES DA SILVA MELO</t>
  </si>
  <si>
    <t>FELIPE FERREIRA SOUZA</t>
  </si>
  <si>
    <t>MARCELO BELFIORI</t>
  </si>
  <si>
    <t>REGINALDO DE BARTOLI</t>
  </si>
  <si>
    <t>RENAN GOMES DE SOUSA</t>
  </si>
  <si>
    <t>ROGERIO DA CONCEICAO SILVA SANTOS</t>
  </si>
  <si>
    <t>SERGIO RODRIGUES DA SILVA</t>
  </si>
  <si>
    <t>SAUL SARAIVA SANTIAGO</t>
  </si>
  <si>
    <t>EDUARDO LOURENCO DO NASCIMENTO</t>
  </si>
  <si>
    <t>DANILO OLIVEIRA NASCIMENTO</t>
  </si>
  <si>
    <t>VAGNER JOSE NUNES TRAJANO</t>
  </si>
  <si>
    <t>RUBENS NASCIMENTO DE ALMEIDA</t>
  </si>
  <si>
    <t>LEONIL ALVES DA SILVA SANTOS</t>
  </si>
  <si>
    <t>CLEBER DOS SANTOS NICKEL</t>
  </si>
  <si>
    <t>HIAGO BARRETO DA SILVA</t>
  </si>
  <si>
    <t>JULIO CESAR DE AQUINO GONCALVES</t>
  </si>
  <si>
    <t>WILTON JOSE MARTINS DOS SANTOS</t>
  </si>
  <si>
    <t>FABIO MICHEL DA SILVA</t>
  </si>
  <si>
    <t>BRUNO BATISTA PONTE DE SOUZA</t>
  </si>
  <si>
    <t>VICTOR ANTONIO DOS SANTOS</t>
  </si>
  <si>
    <t>HENRIQUE LEANDRO COSTA</t>
  </si>
  <si>
    <t>DYERMISON FERREIRA VASCONCELOS</t>
  </si>
  <si>
    <t>ANTONIO PEREIRA FILHO</t>
  </si>
  <si>
    <t>DANIEL DA SILVA LOPES</t>
  </si>
  <si>
    <t>RICARDO DOMINGOS DA SILVA ALVES</t>
  </si>
  <si>
    <t>LUCIANO GONCALVES DE OLIVEIRA</t>
  </si>
  <si>
    <t>WLADEMIR DE OLIVEIRA</t>
  </si>
  <si>
    <t>VAGNER LIMA DE SOUSA</t>
  </si>
  <si>
    <t>ALEXANDRE OLIVEIRA DE MELO</t>
  </si>
  <si>
    <t>VANDERLEI DIOGO DE OLIVEIRA</t>
  </si>
  <si>
    <t>SUPERVISOR</t>
  </si>
  <si>
    <t>LETICIA MAYRA GOMES SILVA CORDEIRO</t>
  </si>
  <si>
    <t>COORDENADOR</t>
  </si>
  <si>
    <t>WELLINGTON DIAS DA COSTA</t>
  </si>
  <si>
    <t>DENIS DOS SANTOS</t>
  </si>
  <si>
    <t>DERNIZAN SANTOS MARCIEIRA</t>
  </si>
  <si>
    <t>JHONIFFER EVARISTO BATISTA</t>
  </si>
  <si>
    <t>RE_*</t>
  </si>
  <si>
    <t>Data Final</t>
  </si>
  <si>
    <t>RODRIGO MENDES OLIVA</t>
  </si>
  <si>
    <t>SISTEMA</t>
  </si>
  <si>
    <t>LETICIA MAYRA GOMES SILVA</t>
  </si>
  <si>
    <t>1º|4ºANDAR</t>
  </si>
  <si>
    <t>STATUS</t>
  </si>
  <si>
    <t>CONCLUÍDO</t>
  </si>
  <si>
    <t>DATA CADASTRO</t>
  </si>
  <si>
    <t>DATA INICIO</t>
  </si>
  <si>
    <t>DATA FINAL</t>
  </si>
  <si>
    <t>TIPO</t>
  </si>
  <si>
    <t>DIA</t>
  </si>
  <si>
    <t>MODERNIZAÇÃO</t>
  </si>
  <si>
    <t>SERVIÇO OK</t>
  </si>
  <si>
    <t>MODERNIZAÇÃO/ALÍVIO</t>
  </si>
  <si>
    <t>CANCELADA</t>
  </si>
  <si>
    <t>PRÉ AGENDADO</t>
  </si>
  <si>
    <t>EXECUÇÃO</t>
  </si>
  <si>
    <t>AGENDADO</t>
  </si>
  <si>
    <t>MODERNIZAÇÃO/ORGANIZAÇÃO</t>
  </si>
  <si>
    <t>Fibras</t>
  </si>
  <si>
    <t>AGUARDANDO RETORNO</t>
  </si>
  <si>
    <t>Endereço</t>
  </si>
  <si>
    <t>Número</t>
  </si>
  <si>
    <t>Professora Carolina Ribeiro</t>
  </si>
  <si>
    <t>Al Min Rocha de Azevedo</t>
  </si>
  <si>
    <t>DR Nicolau de Sousa Queiros</t>
  </si>
  <si>
    <t>Francisco Leitão</t>
  </si>
  <si>
    <t>Bela Cintra</t>
  </si>
  <si>
    <t>Rua Augusta</t>
  </si>
  <si>
    <t>Al. Ribeirão preto</t>
  </si>
  <si>
    <t>Rua Arruda Alvim</t>
  </si>
  <si>
    <t>Rua Leopoldo couto de magalhaes</t>
  </si>
  <si>
    <t xml:space="preserve">Rua Capote Valente </t>
  </si>
  <si>
    <t>Maestro Cardim</t>
  </si>
  <si>
    <t>Av. Nove de julho</t>
  </si>
  <si>
    <t>Rua Dona Brígida</t>
  </si>
  <si>
    <t>Av Brigadeiro Faria Lima</t>
  </si>
  <si>
    <t>Cojuba</t>
  </si>
  <si>
    <t>Rua da Consolação</t>
  </si>
  <si>
    <t>Oscar Freire</t>
  </si>
  <si>
    <t>Rua Lisboa</t>
  </si>
  <si>
    <t>Rua Carlos Petit</t>
  </si>
  <si>
    <t>Av Prefeito Fábio Prado</t>
  </si>
  <si>
    <t>Rua Caconde</t>
  </si>
  <si>
    <t>Av. são Gabriel</t>
  </si>
  <si>
    <t>Haddock lobo</t>
  </si>
  <si>
    <t>Alameda Jau</t>
  </si>
  <si>
    <t>Fernandes de Abreu</t>
  </si>
  <si>
    <t>R. Ibijaú</t>
  </si>
  <si>
    <t>Al. Santos</t>
  </si>
  <si>
    <t>Rua Helena</t>
  </si>
  <si>
    <t>Rua Butantã</t>
  </si>
  <si>
    <t>Al. Lorena</t>
  </si>
  <si>
    <t>Rua Peixoto Gomide</t>
  </si>
  <si>
    <t>Borges de Barros</t>
  </si>
  <si>
    <t xml:space="preserve">Rua Rocha </t>
  </si>
  <si>
    <t>Al. França</t>
  </si>
  <si>
    <t>Rua Navarro de Andrade</t>
  </si>
  <si>
    <t>Rua Mourato Coelho</t>
  </si>
  <si>
    <t>Rua Ferreira de Araujo</t>
  </si>
  <si>
    <t>Rua Teixeira da Silva</t>
  </si>
  <si>
    <t>Al. Ministro Rocha de Azevedo</t>
  </si>
  <si>
    <t>R. Oscar Freire</t>
  </si>
  <si>
    <t>Rua Sampaio Viana</t>
  </si>
  <si>
    <t>Rua Urussuí</t>
  </si>
  <si>
    <t>R. Carlos Steinen</t>
  </si>
  <si>
    <t xml:space="preserve">Rua Afonso de Freitas </t>
  </si>
  <si>
    <t>Rua Bela Cintra</t>
  </si>
  <si>
    <t>Rua Lorena</t>
  </si>
  <si>
    <t>Rua Padre de Carvalho</t>
  </si>
  <si>
    <t>Rua Padre João Manuel</t>
  </si>
  <si>
    <t>Rua botucatu</t>
  </si>
  <si>
    <t>Rua Eça de Queiroz</t>
  </si>
  <si>
    <t>Rua Joaquim Eugênio de Lima</t>
  </si>
  <si>
    <t>Rua Conselheiro Rodrigues Alves</t>
  </si>
  <si>
    <t>Rua Apeninos</t>
  </si>
  <si>
    <t>Rua Jesuino Arruda</t>
  </si>
  <si>
    <t>Rua Dr. André Fernandes</t>
  </si>
  <si>
    <t>Rua Estado de Israel</t>
  </si>
  <si>
    <t>Alameda França</t>
  </si>
  <si>
    <t>Al. Casa Branca</t>
  </si>
  <si>
    <t>Rua Silvio Sacramento</t>
  </si>
  <si>
    <t>Alameda Itu</t>
  </si>
  <si>
    <t xml:space="preserve">Al. Jaú </t>
  </si>
  <si>
    <t>Rua Barão de Capanema</t>
  </si>
  <si>
    <t xml:space="preserve"> Av. Rebouças</t>
  </si>
  <si>
    <t>Rua Padre Somensi</t>
  </si>
  <si>
    <t>Rua Mario Amaral</t>
  </si>
  <si>
    <t>Rua Bandeira Paulista</t>
  </si>
  <si>
    <t>Rua Martiniano de Carvalho</t>
  </si>
  <si>
    <t>Al. Dos Anapurus</t>
  </si>
  <si>
    <t>Rua João Moura</t>
  </si>
  <si>
    <t>Rua Pamplona</t>
  </si>
  <si>
    <t>R. Leopoldo Couto Magalhães Júnior</t>
  </si>
  <si>
    <t>Al. Tiete</t>
  </si>
  <si>
    <t>Rua Fabia</t>
  </si>
  <si>
    <t>Rua Padre Manuel</t>
  </si>
  <si>
    <t>RUA CAPOTE 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</si>
</sst>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 style="thick">
          <color theme="0"/>
        </right>
        <top/>
        <bottom/>
        <vertical style="thick">
          <color theme="0"/>
        </vertical>
        <horizontal style="thick">
          <color theme="0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27" formatCode="dd/mm/yyyy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16" xr16:uid="{F720B3FB-517B-4D24-93CC-114AA1FB2E81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DATA" tableColumnId="2"/>
      <queryTableField id="3" name="VISTORIADOR" tableColumnId="3"/>
      <queryTableField id="4" name="ANO" tableColumnId="4"/>
      <queryTableField id="5" name="MÊS" tableColumnId="5"/>
      <queryTableField id="6" name="SEMANA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5" xr16:uid="{A837E495-519A-4F06-9DAE-8F1E8326B2CF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VISTORIADOR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A4C1536-B650-4345-BA77-14C6F05E81F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VISTORIADOR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AAEE152A-D2B7-40E8-A979-7334ADF3EFCE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GESTORES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2B72E8B7-1805-488E-86CB-2597A561AF1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ID" tableColumnId="1"/>
      <queryTableField id="2" name="DATA" tableColumnId="2"/>
      <queryTableField id="3" name="GESTORES" tableColumnId="3"/>
      <queryTableField id="4" dataBound="0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7" xr16:uid="{05BEB73F-E49D-433A-A2BC-1C28FEF6C17C}" autoFormatId="16" applyNumberFormats="0" applyBorderFormats="0" applyFontFormats="0" applyPatternFormats="0" applyAlignmentFormats="0" applyWidthHeightFormats="0">
  <queryTableRefresh nextId="4">
    <queryTableFields count="2">
      <queryTableField id="1" name="DATA" tableColumnId="1"/>
      <queryTableField id="2" name="GESTORE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4DA9CB4B-22CD-4DDC-8894-D47014050812}" autoFormatId="16" applyNumberFormats="0" applyBorderFormats="0" applyFontFormats="0" applyPatternFormats="0" applyAlignmentFormats="0" applyWidthHeightFormats="0">
  <queryTableRefresh nextId="3">
    <queryTableFields count="2">
      <queryTableField id="1" name="DATA ENVIO" tableColumnId="1"/>
      <queryTableField id="2" name="GESTORES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0" xr16:uid="{338108A7-A783-4E00-A94D-B7716A8FB07F}" autoFormatId="16" applyNumberFormats="0" applyBorderFormats="0" applyFontFormats="0" applyPatternFormats="0" applyAlignmentFormats="0" applyWidthHeightFormats="0">
  <queryTableRefresh nextId="29" unboundColumnsRight="1">
    <queryTableFields count="28">
      <queryTableField id="1" name="COD_PREDIO" tableColumnId="1"/>
      <queryTableField id="2" name="CLUSTER" tableColumnId="2"/>
      <queryTableField id="3" name="TIPO_ID" tableColumnId="3"/>
      <queryTableField id="4" name="ESTEIRA" tableColumnId="4"/>
      <queryTableField id="5" name="dat_LibComercial" tableColumnId="5"/>
      <queryTableField id="6" name="AT" tableColumnId="6"/>
      <queryTableField id="7" name="nom_End" tableColumnId="7"/>
      <queryTableField id="8" name="val_Numero" tableColumnId="8"/>
      <queryTableField id="9" name="CABO " tableColumnId="9"/>
      <queryTableField id="10" name="PRIMARIA" tableColumnId="10"/>
      <queryTableField id="11" name="CONT" tableColumnId="11"/>
      <queryTableField id="12" name="LOCAL /ANDAR" tableColumnId="12"/>
      <queryTableField id="13" name="Data visita Gestor" tableColumnId="13"/>
      <queryTableField id="14" name="GESTOR" tableColumnId="14"/>
      <queryTableField id="15" name="Status" tableColumnId="15"/>
      <queryTableField id="16" name="Validação Gestão" tableColumnId="16"/>
      <queryTableField id="17" name="Formalizado" tableColumnId="17"/>
      <queryTableField id="18" name="Retorno Implantação" tableColumnId="18"/>
      <queryTableField id="19" name="Validado" tableColumnId="19"/>
      <queryTableField id="20" name="Pendente" tableColumnId="20"/>
      <queryTableField id="21" name="Nok" tableColumnId="21"/>
      <queryTableField id="22" name="Acesso Negado" tableColumnId="22"/>
      <queryTableField id="23" name="Ano" tableColumnId="23"/>
      <queryTableField id="24" name="Semana" tableColumnId="24"/>
      <queryTableField id="25" name="Flag_Mês" tableColumnId="25"/>
      <queryTableField id="26" name="Flag_Dia" tableColumnId="26"/>
      <queryTableField id="27" name="Column27" tableColumnId="27"/>
      <queryTableField id="28" dataBound="0" tableColumnId="2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9E51BF9-21B8-41C1-B8C4-18CA488BF3A1}" autoFormatId="16" applyNumberFormats="0" applyBorderFormats="0" applyFontFormats="0" applyPatternFormats="0" applyAlignmentFormats="0" applyWidthHeightFormats="0">
  <queryTableRefresh nextId="16">
    <queryTableFields count="12">
      <queryTableField id="1" name="AT" tableColumnId="1"/>
      <queryTableField id="2" name="DATA CADASTRO" tableColumnId="2"/>
      <queryTableField id="3" name="DATA INICIO" tableColumnId="3"/>
      <queryTableField id="4" name="DATA FINAL" tableColumnId="4"/>
      <queryTableField id="12" name="Endereço" tableColumnId="11"/>
      <queryTableField id="13" name="Número" tableColumnId="12"/>
      <queryTableField id="5" name="TIPO" tableColumnId="5"/>
      <queryTableField id="6" name="STATUS" tableColumnId="6"/>
      <queryTableField id="10" name="Fibras" tableColumnId="10"/>
      <queryTableField id="7" name="MÊS" tableColumnId="7"/>
      <queryTableField id="8" name="SEMANA" tableColumnId="8"/>
      <queryTableField id="9" name="DIA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6189AE1-A29A-41AC-98F9-B26AD55655AF}" name="Tabela17" displayName="Tabela17" ref="A1:E238" totalsRowShown="0" headerRowDxfId="146" dataDxfId="145">
  <tableColumns count="5">
    <tableColumn id="1" xr3:uid="{14FFDA74-84FB-4ABC-925D-310E195FD00F}" name="MATR_SAP" dataDxfId="144"/>
    <tableColumn id="5" xr3:uid="{CD94918B-8C8B-46FF-A5EF-AF2E66C42A93}" name="RE_*" dataDxfId="143">
      <calculatedColumnFormula>IFERROR(A2*1,A2)</calculatedColumnFormula>
    </tableColumn>
    <tableColumn id="2" xr3:uid="{5C5C20E1-DC37-49E7-9B8C-7D3F29177104}" name="NOME" dataDxfId="142"/>
    <tableColumn id="3" xr3:uid="{9E942E61-1B42-4DD8-97C4-A637C8C3FD46}" name="SUPERVISOR" dataDxfId="141"/>
    <tableColumn id="4" xr3:uid="{3A56DB0A-9E23-43A1-A206-11E3D94CF424}" name="COORDENADOR" dataDxfId="14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8F4A1AB-28BB-4E17-9D43-7FB1287488C5}" name="RIT_ICOMON" displayName="RIT_ICOMON" ref="A1:F2306" tableType="queryTable" totalsRowShown="0" headerRowDxfId="139" dataDxfId="138">
  <sortState xmlns:xlrd2="http://schemas.microsoft.com/office/spreadsheetml/2017/richdata2" ref="A2:F2306">
    <sortCondition ref="B1:B2306"/>
  </sortState>
  <tableColumns count="6">
    <tableColumn id="1" xr3:uid="{0EC4E8E7-6C9D-481E-80FF-F062A3BB4CF0}" uniqueName="1" name="ID" queryTableFieldId="1" dataDxfId="137"/>
    <tableColumn id="2" xr3:uid="{45A62BB1-8D13-4030-A955-6CD03712B78A}" uniqueName="2" name="DATA" queryTableFieldId="2" dataDxfId="136"/>
    <tableColumn id="3" xr3:uid="{3D792DE8-BF7F-4DE9-8478-CCD3B56157D3}" uniqueName="3" name="VISTORIADOR" queryTableFieldId="3" dataDxfId="135"/>
    <tableColumn id="4" xr3:uid="{02EFCFB6-332B-49C4-A188-CB101B31A788}" uniqueName="4" name="ANO" queryTableFieldId="4" dataDxfId="134"/>
    <tableColumn id="5" xr3:uid="{AF4454D9-285E-4016-8AA1-C27770F84DF3}" uniqueName="5" name="MÊS" queryTableFieldId="5" dataDxfId="133"/>
    <tableColumn id="6" xr3:uid="{802048F8-FDFE-4273-8F2C-D3016208D79F}" uniqueName="6" name="SEMANA" queryTableFieldId="6" dataDxfId="1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536685-7ADE-4BAB-B177-AE789856B0E3}" name="RIT_FUSIONS" displayName="RIT_FUSIONS" ref="A1:D831" tableType="queryTable" totalsRowShown="0" headerRowDxfId="131" dataDxfId="130">
  <autoFilter ref="A1:D831" xr:uid="{6C536685-7ADE-4BAB-B177-AE789856B0E3}">
    <filterColumn colId="3">
      <filters>
        <filter val="NOVO"/>
      </filters>
    </filterColumn>
  </autoFilter>
  <tableColumns count="4">
    <tableColumn id="1" xr3:uid="{61128F35-A0B6-4517-8370-99831912E715}" uniqueName="1" name="ID" queryTableFieldId="1" dataDxfId="129"/>
    <tableColumn id="2" xr3:uid="{F880E8D1-6C28-4099-9845-EA88013A035E}" uniqueName="2" name="DATA" queryTableFieldId="2" dataDxfId="128"/>
    <tableColumn id="3" xr3:uid="{57A33A25-B0AE-4792-AFB1-FFA2C978BE40}" uniqueName="3" name="VISTORIADOR" queryTableFieldId="3" dataDxfId="127"/>
    <tableColumn id="4" xr3:uid="{05F87BF3-278B-496B-9F4A-9DEAAA44832D}" uniqueName="4" name="FLAG_NOVO" queryTableFieldId="4" dataDxfId="126">
      <calculatedColumnFormula>IFERROR(VLOOKUP(RIT_FUSIONS[[#This Row],[ID]],RIT_ACUM!A:A,1,0),"NOVO")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3BC8D-7111-4E6A-9879-BFC70E0554C0}" name="Tabela1" displayName="Tabela1" ref="A1:D2306" totalsRowShown="0" headerRowDxfId="125" dataDxfId="124">
  <sortState xmlns:xlrd2="http://schemas.microsoft.com/office/spreadsheetml/2017/richdata2" ref="A2:D2196">
    <sortCondition ref="B1:B2196"/>
  </sortState>
  <tableColumns count="4">
    <tableColumn id="1" xr3:uid="{C0E093F5-77B9-4811-A4A6-A8C1909BF4AE}" name="ID" dataDxfId="123"/>
    <tableColumn id="2" xr3:uid="{E090F70F-A86B-40C4-90A6-19A978B3A0EA}" name="DATA" dataDxfId="122"/>
    <tableColumn id="3" xr3:uid="{95BEDCF8-FFA2-4848-A153-81216743EACE}" name="VISTORIADOR" dataDxfId="121"/>
    <tableColumn id="4" xr3:uid="{7C7ABEC8-119B-4C97-9AC4-48A55E717318}" name="MÊS" dataDxfId="120">
      <calculatedColumnFormula>MONTH(B2)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9FEFB9-E6B3-4AF8-8889-EEB8929628A8}" name="_2__Ferramental_AST" displayName="_2__Ferramental_AST" ref="A1:D204" tableType="queryTable" totalsRowShown="0" headerRowDxfId="119" dataDxfId="118">
  <autoFilter ref="A1:D204" xr:uid="{C39FEFB9-E6B3-4AF8-8889-EEB8929628A8}">
    <filterColumn colId="3">
      <filters>
        <filter val="NOVO"/>
      </filters>
    </filterColumn>
  </autoFilter>
  <tableColumns count="4">
    <tableColumn id="1" xr3:uid="{5C2AD6CA-7B1D-4695-A0A2-2991A7A897FA}" uniqueName="1" name="ID" queryTableFieldId="1" dataDxfId="117"/>
    <tableColumn id="2" xr3:uid="{33B1DD82-CBD7-47CD-AD30-199BB23161E6}" uniqueName="2" name="DATA" queryTableFieldId="2" dataDxfId="116"/>
    <tableColumn id="3" xr3:uid="{F5A03AF9-5163-4BDF-BCB8-68511D7E04C4}" uniqueName="3" name="VISTORIADOR" queryTableFieldId="3" dataDxfId="115"/>
    <tableColumn id="4" xr3:uid="{F5F10453-4CE7-48B7-B57C-3B84A17E6ED2}" uniqueName="4" name="FLAG_NOVO" queryTableFieldId="4" dataDxfId="114">
      <calculatedColumnFormula>IFERROR(VLOOKUP(_2__Ferramental_AST[[#This Row],[ID]],CHECK_ACUM!A:A,1,0),"NOVO")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F43173-2BC7-4DF3-A86B-CD7EFD43E6F3}" name="Tabela3" displayName="Tabela3" ref="A1:D872" totalsRowShown="0" headerRowDxfId="113" dataDxfId="112">
  <sortState xmlns:xlrd2="http://schemas.microsoft.com/office/spreadsheetml/2017/richdata2" ref="A2:D744">
    <sortCondition ref="B1:B744"/>
  </sortState>
  <tableColumns count="4">
    <tableColumn id="1" xr3:uid="{5910E08C-5124-4891-8A72-C5B1F03085C1}" name="ID" dataDxfId="111"/>
    <tableColumn id="2" xr3:uid="{CEC8F604-1349-496E-990B-C5EE216BD0E9}" name="DATA" dataDxfId="110"/>
    <tableColumn id="3" xr3:uid="{0F017C7A-66B2-4D7C-A2B2-F4A6A8E24955}" name="VISTORIADOR" dataDxfId="109"/>
    <tableColumn id="4" xr3:uid="{3076E270-6260-4B11-BD80-8371FA5C208E}" name="MÊS" dataDxfId="108">
      <calculatedColumnFormula>MONTH(B2)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55FAEA-DE14-4696-B001-00B93A1FF594}" name="DEG_REDE" displayName="DEG_REDE" ref="A1:D1369" tableType="queryTable" totalsRowShown="0" headerRowDxfId="107" dataDxfId="106">
  <autoFilter ref="A1:D1369" xr:uid="{9755FAEA-DE14-4696-B001-00B93A1FF594}">
    <filterColumn colId="3">
      <filters>
        <filter val="NOVO"/>
      </filters>
    </filterColumn>
  </autoFilter>
  <tableColumns count="4">
    <tableColumn id="1" xr3:uid="{4446C25F-2EE9-4795-8792-A5D7DE3E4ED6}" uniqueName="1" name="ID" queryTableFieldId="1" dataDxfId="105"/>
    <tableColumn id="2" xr3:uid="{B4848136-0BA2-40FB-A7DF-313A024D3D08}" uniqueName="2" name="DATA" queryTableFieldId="2" dataDxfId="104"/>
    <tableColumn id="3" xr3:uid="{FB47D4DC-3FD9-4842-BA89-DFBB761AE550}" uniqueName="3" name="GESTORES" queryTableFieldId="3" dataDxfId="103"/>
    <tableColumn id="4" xr3:uid="{DF7F6FED-B2F1-4849-B849-5601917C616B}" uniqueName="4" name="FLAG_NOVO" queryTableFieldId="4" dataDxfId="102">
      <calculatedColumnFormula>IFERROR(VLOOKUP(DEG_REDE[[#This Row],[ID]],DEG_ACUM!A:A,1,0),"NOVO")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43CA35-997A-430E-921D-7BDE692DCCE6}" name="Tabela6" displayName="Tabela6" ref="A1:D2483" totalsRowShown="0">
  <sortState xmlns:xlrd2="http://schemas.microsoft.com/office/spreadsheetml/2017/richdata2" ref="A2:D2284">
    <sortCondition ref="B1:B2284"/>
  </sortState>
  <tableColumns count="4">
    <tableColumn id="1" xr3:uid="{F4FA75BA-01EC-46E6-8089-CD8CCA1246DE}" name="ID" dataDxfId="101"/>
    <tableColumn id="2" xr3:uid="{919858C3-6CE9-494C-9466-12C4478BB7C9}" name="DATA" dataDxfId="100"/>
    <tableColumn id="3" xr3:uid="{7264B951-F603-4390-811C-70CC63BA9E88}" name="VISTORIADOR" dataDxfId="99"/>
    <tableColumn id="4" xr3:uid="{4FCCAEAD-3242-4CF0-8F0E-4789A0289B00}" name="MÊS" dataDxfId="98">
      <calculatedColumnFormula>MONTH(Tabela6[[#This Row],[DATA]])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CE57E8-AD30-4B04-9962-794F72FA6A75}" name="Tabela9" displayName="Tabela9" ref="A1:D242" totalsRowShown="0" headerRowDxfId="97" dataDxfId="96">
  <sortState xmlns:xlrd2="http://schemas.microsoft.com/office/spreadsheetml/2017/richdata2" ref="A2:D216">
    <sortCondition ref="B1:B216"/>
  </sortState>
  <tableColumns count="4">
    <tableColumn id="1" xr3:uid="{9D516A05-60B1-4D93-9B60-F0641B63054E}" name="ID" dataDxfId="95"/>
    <tableColumn id="2" xr3:uid="{18AECB4F-E5F4-4744-A30A-E027895B943C}" name="DATA" dataDxfId="94"/>
    <tableColumn id="3" xr3:uid="{97FC8318-F6FC-406A-87F8-1FD2CFDBC47C}" name="VISTORIADOR" dataDxfId="93"/>
    <tableColumn id="4" xr3:uid="{809081BF-1337-46FE-BD28-D36A797454CE}" name="MÊS" dataDxfId="92">
      <calculatedColumnFormula>MONTH(Tabela9[[#This Row],[DATA]])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F0281E-71AC-42A2-9625-5E7798CD58DB}" name="FISCALIZAÇÃO" displayName="FISCALIZAÇÃO" ref="A1:D644" tableType="queryTable" totalsRowShown="0" headerRowDxfId="91" dataDxfId="90">
  <autoFilter ref="A1:D644" xr:uid="{2DF0281E-71AC-42A2-9625-5E7798CD58DB}">
    <filterColumn colId="3">
      <filters>
        <filter val="NOVO"/>
      </filters>
    </filterColumn>
  </autoFilter>
  <tableColumns count="4">
    <tableColumn id="1" xr3:uid="{8ED12097-3BAD-4CC8-81FC-1265E34F2086}" uniqueName="1" name="ID" queryTableFieldId="1" dataDxfId="89"/>
    <tableColumn id="2" xr3:uid="{24193972-26D9-4ADF-8F89-20F8D5839CAB}" uniqueName="2" name="DATA" queryTableFieldId="2" dataDxfId="88"/>
    <tableColumn id="3" xr3:uid="{DB5DBEBC-D7E3-49C2-A0F5-79BA0EEA24F7}" uniqueName="3" name="GESTORES" queryTableFieldId="3" dataDxfId="87"/>
    <tableColumn id="4" xr3:uid="{79DF6992-E834-4E9A-BAAD-BAFB987325CA}" uniqueName="4" name="FLAG_NOVO" queryTableFieldId="4" dataDxfId="86">
      <calculatedColumnFormula>IFERROR(VLOOKUP(FISCALIZAÇÃO[[#This Row],[ID]],FISC_ACUM!A:A,1,0),"NOVO")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A0FD6ED-A82D-45DA-9D92-95556923CFE0}" name="Tabela12" displayName="Tabela12" ref="A1:D644" totalsRowShown="0" headerRowDxfId="85" dataDxfId="84">
  <sortState xmlns:xlrd2="http://schemas.microsoft.com/office/spreadsheetml/2017/richdata2" ref="A2:D575">
    <sortCondition ref="B1:B575"/>
  </sortState>
  <tableColumns count="4">
    <tableColumn id="1" xr3:uid="{CA686E2D-A5E2-4C3D-9D74-29DE85F82452}" name="ID" dataDxfId="83"/>
    <tableColumn id="2" xr3:uid="{4668F65F-3D98-44CC-902B-A554AED50AF6}" name="DATA" dataDxfId="82"/>
    <tableColumn id="3" xr3:uid="{CB326BFE-9810-43CC-B95B-D43E5DA01645}" name="VISTORIADOR" dataDxfId="81"/>
    <tableColumn id="4" xr3:uid="{02A0D429-69CF-4575-A65F-3C22CF27E1C8}" name="MÊS" dataDxfId="80">
      <calculatedColumnFormula>MONTH(Tabela12[[#This Row],[DATA]])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AC2D301-06A2-4747-8B74-C8C3EE3F4465}" name="SD_7" displayName="SD_7" ref="A1:B3421" tableType="queryTable" totalsRowShown="0" headerRowDxfId="79" dataDxfId="78">
  <sortState xmlns:xlrd2="http://schemas.microsoft.com/office/spreadsheetml/2017/richdata2" ref="A2:B3421">
    <sortCondition ref="A1:A3421"/>
  </sortState>
  <tableColumns count="2">
    <tableColumn id="1" xr3:uid="{2EE56CD8-39B5-4869-8505-41849BD63862}" uniqueName="1" name="DATA" queryTableFieldId="1" dataDxfId="77"/>
    <tableColumn id="2" xr3:uid="{C5BFE035-B099-4161-8912-C8872BD57198}" uniqueName="2" name="GESTORES" queryTableFieldId="2" dataDxfId="76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52D1B65-1EB8-4905-81F0-CB7D9364F05C}" name="Tabela14" displayName="Tabela14" ref="A1:D1476" totalsRowShown="0" headerRowDxfId="75" dataDxfId="74">
  <sortState xmlns:xlrd2="http://schemas.microsoft.com/office/spreadsheetml/2017/richdata2" ref="A2:D1319">
    <sortCondition ref="A1:A1319"/>
  </sortState>
  <tableColumns count="4">
    <tableColumn id="1" xr3:uid="{A982309C-AD42-4E71-AACA-4B8F605947AD}" name="DATA" dataDxfId="73"/>
    <tableColumn id="2" xr3:uid="{C05B1FA0-D9E2-404C-BFC3-90F6A361A5FE}" name="VISTORIADOR" dataDxfId="72"/>
    <tableColumn id="3" xr3:uid="{F8E364E2-CD68-4208-AB75-80A6C3B68660}" name="ANO" dataDxfId="71">
      <calculatedColumnFormula>YEAR(Tabela14[[#This Row],[DATA]])</calculatedColumnFormula>
    </tableColumn>
    <tableColumn id="4" xr3:uid="{A708E784-3DEF-4538-A6F0-FAE569B72CA1}" name="MÊS" dataDxfId="70">
      <calculatedColumnFormula>MONTH(Tabela14[[#This Row],[DATA]])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B954384-0666-4308-B219-067B27E0CDDE}" name="FMO" displayName="FMO" ref="A1:B674" tableType="queryTable" totalsRowShown="0" headerRowDxfId="69" dataDxfId="68">
  <sortState xmlns:xlrd2="http://schemas.microsoft.com/office/spreadsheetml/2017/richdata2" ref="A2:B674">
    <sortCondition ref="A1:A674"/>
  </sortState>
  <tableColumns count="2">
    <tableColumn id="1" xr3:uid="{CAFF9E68-690F-42BC-A909-8CF61E30151D}" uniqueName="1" name="DATA ENVIO" queryTableFieldId="1" dataDxfId="67"/>
    <tableColumn id="2" xr3:uid="{A8425FD9-01E9-463E-8003-E6CC9750B80A}" uniqueName="2" name="GESTORES" queryTableFieldId="2" dataDxfId="66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5357A8C-640F-4F60-BDF7-7BDF8E353CC3}" name="Tabela16" displayName="Tabela16" ref="A1:C672" totalsRowShown="0" headerRowDxfId="65" dataDxfId="64">
  <sortState xmlns:xlrd2="http://schemas.microsoft.com/office/spreadsheetml/2017/richdata2" ref="A2:C592">
    <sortCondition ref="A2:A592"/>
  </sortState>
  <tableColumns count="3">
    <tableColumn id="1" xr3:uid="{E71DFDAB-5C86-4670-BFEC-F0885420F3F4}" name="DATA" dataDxfId="63"/>
    <tableColumn id="2" xr3:uid="{DD28B753-F765-49F4-8BD3-E6E093869FFC}" name="VISTORIADOR" dataDxfId="62"/>
    <tableColumn id="3" xr3:uid="{4D995B83-CEA9-4705-B6E6-E31CD66B4E6A}" name="MÊS" dataDxfId="61">
      <calculatedColumnFormula>MONTH(Tabela16[[#This Row],[DATA]])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2DBAC0B-8FDF-4794-B4E5-D7ACEEFD9CDF}" name="Liberado_Comercial" displayName="Liberado_Comercial" ref="A1:AB304" tableType="queryTable" totalsRowShown="0" headerRowDxfId="60" dataDxfId="59">
  <sortState xmlns:xlrd2="http://schemas.microsoft.com/office/spreadsheetml/2017/richdata2" ref="A2:AB304">
    <sortCondition ref="M1:M304"/>
  </sortState>
  <tableColumns count="28">
    <tableColumn id="1" xr3:uid="{5635288C-6377-4809-9397-4CBC671738F8}" uniqueName="1" name="COD_PREDIO" queryTableFieldId="1" dataDxfId="58"/>
    <tableColumn id="2" xr3:uid="{4B97C6B1-E42D-4EA8-9874-23F1543CE282}" uniqueName="2" name="CLUSTER" queryTableFieldId="2" dataDxfId="57"/>
    <tableColumn id="3" xr3:uid="{1A9A9456-BD32-4F60-829F-527C891B9EBC}" uniqueName="3" name="TIPO_ID" queryTableFieldId="3" dataDxfId="56"/>
    <tableColumn id="4" xr3:uid="{E34BE1E5-70A4-422F-8050-ED63A832E7A6}" uniqueName="4" name="ESTEIRA" queryTableFieldId="4" dataDxfId="55"/>
    <tableColumn id="5" xr3:uid="{F3E22555-9649-4DE6-9C70-1C448928A876}" uniqueName="5" name="dat_LibComercial" queryTableFieldId="5" dataDxfId="54"/>
    <tableColumn id="6" xr3:uid="{EED916BB-04B4-435D-A5A5-8935067E4963}" uniqueName="6" name="AT" queryTableFieldId="6" dataDxfId="53"/>
    <tableColumn id="7" xr3:uid="{9739FD16-0799-4FAD-8E8F-56E5C49C58A0}" uniqueName="7" name="nom_End" queryTableFieldId="7" dataDxfId="52"/>
    <tableColumn id="8" xr3:uid="{45D210AA-CDAB-4BD0-A410-529B44D4A7A3}" uniqueName="8" name="val_Numero" queryTableFieldId="8" dataDxfId="51"/>
    <tableColumn id="9" xr3:uid="{7DED0E59-EF39-4820-9756-787A649579AD}" uniqueName="9" name="CABO " queryTableFieldId="9" dataDxfId="50"/>
    <tableColumn id="10" xr3:uid="{964FB57C-E0E8-434E-B4C8-DEEEC8189090}" uniqueName="10" name="PRIMARIA" queryTableFieldId="10" dataDxfId="49"/>
    <tableColumn id="11" xr3:uid="{BD4F96C1-599F-45AD-9F78-0AC09265B3E8}" uniqueName="11" name="CONT" queryTableFieldId="11" dataDxfId="48"/>
    <tableColumn id="12" xr3:uid="{1ED40CE4-7C3D-4333-8682-915386844EDC}" uniqueName="12" name="LOCAL /ANDAR" queryTableFieldId="12" dataDxfId="47"/>
    <tableColumn id="13" xr3:uid="{B82DF3A3-E227-456F-A393-13C9CACF2038}" uniqueName="13" name="Data visita Gestor" queryTableFieldId="13" dataDxfId="46"/>
    <tableColumn id="14" xr3:uid="{838A7928-7E51-42BC-8556-0942668BB20C}" uniqueName="14" name="GESTOR" queryTableFieldId="14" dataDxfId="45"/>
    <tableColumn id="15" xr3:uid="{64C0949C-D94C-49FF-B36B-C1FD9C2F03D3}" uniqueName="15" name="Status" queryTableFieldId="15" dataDxfId="44"/>
    <tableColumn id="16" xr3:uid="{73658CC2-762E-45F6-B5A5-B1C0DE043A69}" uniqueName="16" name="Validação Gestão" queryTableFieldId="16" dataDxfId="43"/>
    <tableColumn id="17" xr3:uid="{DA16EA54-56A1-48FA-BFA1-81168698D3B9}" uniqueName="17" name="Formalizado" queryTableFieldId="17" dataDxfId="42"/>
    <tableColumn id="18" xr3:uid="{7CF6A7C5-DE53-43BF-87AC-4A7496EA863F}" uniqueName="18" name="Retorno Implantação" queryTableFieldId="18" dataDxfId="41"/>
    <tableColumn id="19" xr3:uid="{D4874677-3DBD-49EB-8622-54410B926826}" uniqueName="19" name="Validado" queryTableFieldId="19" dataDxfId="40"/>
    <tableColumn id="20" xr3:uid="{65B19EB8-3C27-4043-8713-F10E65E8DB32}" uniqueName="20" name="Pendente" queryTableFieldId="20" dataDxfId="39"/>
    <tableColumn id="21" xr3:uid="{1D4C8D38-89EE-47D0-B787-81EB5BA5FA9D}" uniqueName="21" name="Nok" queryTableFieldId="21" dataDxfId="38"/>
    <tableColumn id="22" xr3:uid="{20D3B788-E94D-4DD7-9E38-E095818A30B7}" uniqueName="22" name="Acesso Negado" queryTableFieldId="22" dataDxfId="37"/>
    <tableColumn id="23" xr3:uid="{CB85C210-BAF8-4BA5-B1EA-8FAC0E721810}" uniqueName="23" name="Ano" queryTableFieldId="23" dataDxfId="36"/>
    <tableColumn id="24" xr3:uid="{74136298-36CA-44B0-9732-7C8847A38137}" uniqueName="24" name="Semana" queryTableFieldId="24" dataDxfId="35"/>
    <tableColumn id="25" xr3:uid="{E81DA990-B217-4506-8CE2-1A2EC7720BEA}" uniqueName="25" name="Flag_Mês" queryTableFieldId="25" dataDxfId="34"/>
    <tableColumn id="26" xr3:uid="{AC5C2F2B-519A-4CDA-B47C-0DB33E1CDE93}" uniqueName="26" name="Flag_Dia" queryTableFieldId="26" dataDxfId="33"/>
    <tableColumn id="27" xr3:uid="{C37B48BB-B672-4E56-B3C3-4CA45E4E39FA}" uniqueName="27" name="Column27" queryTableFieldId="27" dataDxfId="32"/>
    <tableColumn id="28" xr3:uid="{12BF2D23-4F5C-4891-9D9B-214EEEFCB193}" uniqueName="28" name="MÊS" queryTableFieldId="28" dataDxfId="31">
      <calculatedColumnFormula>MONTH(M2)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DBDA064-5BA7-4ACB-BCB4-F03D4D28D1CD}" name="Tabela5" displayName="Tabela5" ref="A1:E366" totalsRowShown="0" headerRowDxfId="30" dataDxfId="28" headerRowBorderDxfId="29" tableBorderDxfId="27" totalsRowBorderDxfId="26">
  <autoFilter ref="A1:E366" xr:uid="{BDBDA064-5BA7-4ACB-BCB4-F03D4D28D1CD}"/>
  <tableColumns count="5">
    <tableColumn id="1" xr3:uid="{63526D78-790B-4C8D-A09C-A28596EBEEB8}" name="DATA" dataDxfId="25"/>
    <tableColumn id="2" xr3:uid="{437CEC21-F0D6-4903-925F-AA7ECF07196B}" name="DIA_SEM" dataDxfId="24">
      <calculatedColumnFormula>UPPER(TEXT(A2,"DDD"))</calculatedColumnFormula>
    </tableColumn>
    <tableColumn id="3" xr3:uid="{66EFF1CF-2221-4DC1-BDAA-1989962C4478}" name="DU" dataDxfId="23"/>
    <tableColumn id="4" xr3:uid="{9E6E3B92-80CA-489C-98A6-F21D7B16F7AE}" name="MÊS" dataDxfId="22">
      <calculatedColumnFormula>MONTH(A2)</calculatedColumnFormula>
    </tableColumn>
    <tableColumn id="5" xr3:uid="{7FC10327-FB09-4F3E-98E2-268BB80641C3}" name="DU_ACUM" dataDxfId="21">
      <calculatedColumnFormula>Tabela5[[#This Row],[DU]]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FADFCCC-074C-4DE5-B40D-DFF5B832CE6B}" name="Acomp_Modernização" displayName="Acomp_Modernização" ref="A1:L126" tableType="queryTable" totalsRowShown="0" headerRowDxfId="20" dataDxfId="19">
  <autoFilter ref="A1:L126" xr:uid="{BFADFCCC-074C-4DE5-B40D-DFF5B832CE6B}"/>
  <sortState xmlns:xlrd2="http://schemas.microsoft.com/office/spreadsheetml/2017/richdata2" ref="A2:L126">
    <sortCondition ref="D1:D126"/>
  </sortState>
  <tableColumns count="12">
    <tableColumn id="1" xr3:uid="{FD82BE73-6544-4483-AD27-C771041D6016}" uniqueName="1" name="AT" queryTableFieldId="1" dataDxfId="18"/>
    <tableColumn id="2" xr3:uid="{BC648360-A807-4EFE-A588-8B2F86418465}" uniqueName="2" name="DATA CADASTRO" queryTableFieldId="2" dataDxfId="17"/>
    <tableColumn id="3" xr3:uid="{A026F723-0E9A-4881-A80A-38AD685FE120}" uniqueName="3" name="DATA INICIO" queryTableFieldId="3" dataDxfId="16"/>
    <tableColumn id="4" xr3:uid="{61CB248C-1683-427F-8B04-0DC24AF286E8}" uniqueName="4" name="DATA FINAL" queryTableFieldId="4" dataDxfId="15"/>
    <tableColumn id="11" xr3:uid="{62F5BF4B-C389-4D20-872A-7AD582C81007}" uniqueName="11" name="Endereço" queryTableFieldId="12" dataDxfId="14"/>
    <tableColumn id="12" xr3:uid="{B679E5A4-3DC6-40D8-B578-40174C856EB5}" uniqueName="12" name="Número" queryTableFieldId="13" dataDxfId="13"/>
    <tableColumn id="5" xr3:uid="{69F1DA6E-9785-4E00-B286-C2FFBD2F0E1B}" uniqueName="5" name="TIPO" queryTableFieldId="5" dataDxfId="12"/>
    <tableColumn id="6" xr3:uid="{B2A35347-DD6F-4F66-8FED-E4209DEFB4CC}" uniqueName="6" name="STATUS" queryTableFieldId="6" dataDxfId="11"/>
    <tableColumn id="10" xr3:uid="{656B0F2D-5372-473B-9AD6-76E812235FB4}" uniqueName="10" name="Fibras" queryTableFieldId="10" dataDxfId="10"/>
    <tableColumn id="7" xr3:uid="{884F2740-7B6D-46E5-B0CE-9BC69144B8FB}" uniqueName="7" name="MÊS" queryTableFieldId="7" dataDxfId="9"/>
    <tableColumn id="8" xr3:uid="{6FE8F7EB-A2DB-485B-9E47-AD92048A7D5A}" uniqueName="8" name="SEMANA" queryTableFieldId="8" dataDxfId="8"/>
    <tableColumn id="9" xr3:uid="{BC4F7D1C-F171-48AB-9FC3-D883316AD155}" uniqueName="9" name="DIA" queryTableFieldId="9" dataDxfId="7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F5A69F8-A14B-46BA-8E01-E2ED8CA1E746}" name="Tabela18" displayName="Tabela18" ref="A1:E82" totalsRowShown="0" headerRowDxfId="6" dataDxfId="5">
  <sortState xmlns:xlrd2="http://schemas.microsoft.com/office/spreadsheetml/2017/richdata2" ref="A2:D80">
    <sortCondition ref="A1:A80"/>
  </sortState>
  <tableColumns count="5">
    <tableColumn id="1" xr3:uid="{FB8D5370-02DD-46C0-BB2F-E2AF4654BDC0}" name="Data Final" dataDxfId="4"/>
    <tableColumn id="2" xr3:uid="{49D0B6F1-F1F2-4B19-8172-62CAEAD66CDB}" name="AT" dataDxfId="3"/>
    <tableColumn id="3" xr3:uid="{53FB9434-6A20-4ECE-A728-C629691F59BA}" name="MÊS" dataDxfId="2">
      <calculatedColumnFormula>MONTH(A2)</calculatedColumnFormula>
    </tableColumn>
    <tableColumn id="4" xr3:uid="{C5E8A228-4BD7-442F-9EB9-1283532001CB}" name="SEMANA" dataDxfId="1">
      <calculatedColumnFormula>WEEKNUM(A2)</calculatedColumnFormula>
    </tableColumn>
    <tableColumn id="5" xr3:uid="{26570910-A5E9-4E5B-A287-66EA2F7E003A}" name="STATU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v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60099"/>
      </a:accent1>
      <a:accent2>
        <a:srgbClr val="EB3C7D"/>
      </a:accent2>
      <a:accent3>
        <a:srgbClr val="82D400"/>
      </a:accent3>
      <a:accent4>
        <a:srgbClr val="FF9900"/>
      </a:accent4>
      <a:accent5>
        <a:srgbClr val="45A5ED"/>
      </a:accent5>
      <a:accent6>
        <a:srgbClr val="5982DB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FE20-DBEB-4BAB-A880-BE0D03E45D06}">
  <dimension ref="A1:E238"/>
  <sheetViews>
    <sheetView showGridLines="0" topLeftCell="A16" workbookViewId="0">
      <selection activeCell="D29" sqref="D29"/>
    </sheetView>
  </sheetViews>
  <sheetFormatPr defaultRowHeight="10.5" x14ac:dyDescent="0.35"/>
  <cols>
    <col min="1" max="2" width="9.08984375" style="1" customWidth="1"/>
    <col min="3" max="3" width="33.90625" style="1" bestFit="1" customWidth="1"/>
    <col min="4" max="4" width="29.1796875" style="1" customWidth="1"/>
    <col min="5" max="5" width="23.36328125" style="1" customWidth="1"/>
    <col min="6" max="16384" width="8.7265625" style="1"/>
  </cols>
  <sheetData>
    <row r="1" spans="1:5" x14ac:dyDescent="0.35">
      <c r="A1" s="1" t="s">
        <v>789</v>
      </c>
      <c r="B1" s="1" t="s">
        <v>1035</v>
      </c>
      <c r="C1" s="1" t="s">
        <v>790</v>
      </c>
      <c r="D1" s="1" t="s">
        <v>1028</v>
      </c>
      <c r="E1" s="1" t="s">
        <v>1030</v>
      </c>
    </row>
    <row r="2" spans="1:5" x14ac:dyDescent="0.35">
      <c r="A2" s="1">
        <v>80585147</v>
      </c>
      <c r="B2" s="1">
        <f t="shared" ref="B2:B65" si="0">IFERROR(A2*1,A2)</f>
        <v>80585147</v>
      </c>
      <c r="C2" s="1" t="s">
        <v>791</v>
      </c>
      <c r="D2" s="1" t="s">
        <v>8</v>
      </c>
      <c r="E2" s="1" t="s">
        <v>1031</v>
      </c>
    </row>
    <row r="3" spans="1:5" x14ac:dyDescent="0.35">
      <c r="A3" s="1">
        <v>81011080</v>
      </c>
      <c r="B3" s="1">
        <f t="shared" si="0"/>
        <v>81011080</v>
      </c>
      <c r="C3" s="1" t="s">
        <v>792</v>
      </c>
      <c r="D3" s="1" t="s">
        <v>7</v>
      </c>
      <c r="E3" s="1" t="s">
        <v>1032</v>
      </c>
    </row>
    <row r="4" spans="1:5" x14ac:dyDescent="0.35">
      <c r="A4" s="1">
        <v>80165944</v>
      </c>
      <c r="B4" s="1">
        <f t="shared" si="0"/>
        <v>80165944</v>
      </c>
      <c r="C4" s="1" t="s">
        <v>793</v>
      </c>
      <c r="D4" s="1" t="s">
        <v>23</v>
      </c>
      <c r="E4" s="1" t="s">
        <v>1032</v>
      </c>
    </row>
    <row r="5" spans="1:5" x14ac:dyDescent="0.35">
      <c r="A5" s="1">
        <v>80591964</v>
      </c>
      <c r="B5" s="1">
        <f t="shared" si="0"/>
        <v>80591964</v>
      </c>
      <c r="C5" s="1" t="s">
        <v>794</v>
      </c>
      <c r="D5" s="1" t="s">
        <v>20</v>
      </c>
      <c r="E5" s="1" t="s">
        <v>1031</v>
      </c>
    </row>
    <row r="6" spans="1:5" x14ac:dyDescent="0.35">
      <c r="A6" s="1">
        <v>80664035</v>
      </c>
      <c r="B6" s="1">
        <f t="shared" si="0"/>
        <v>80664035</v>
      </c>
      <c r="C6" s="1" t="s">
        <v>795</v>
      </c>
      <c r="D6" s="1" t="s">
        <v>10</v>
      </c>
      <c r="E6" s="1" t="s">
        <v>1031</v>
      </c>
    </row>
    <row r="7" spans="1:5" x14ac:dyDescent="0.35">
      <c r="A7" s="1">
        <v>80632754</v>
      </c>
      <c r="B7" s="1">
        <f t="shared" si="0"/>
        <v>80632754</v>
      </c>
      <c r="C7" s="1" t="s">
        <v>796</v>
      </c>
      <c r="D7" s="1" t="s">
        <v>10</v>
      </c>
      <c r="E7" s="1" t="s">
        <v>1031</v>
      </c>
    </row>
    <row r="8" spans="1:5" x14ac:dyDescent="0.35">
      <c r="A8" s="1">
        <v>80194904</v>
      </c>
      <c r="B8" s="1">
        <f t="shared" si="0"/>
        <v>80194904</v>
      </c>
      <c r="C8" s="1" t="s">
        <v>797</v>
      </c>
      <c r="D8" s="1" t="s">
        <v>103</v>
      </c>
      <c r="E8" s="1" t="s">
        <v>1031</v>
      </c>
    </row>
    <row r="9" spans="1:5" x14ac:dyDescent="0.35">
      <c r="A9" s="1">
        <v>80184262</v>
      </c>
      <c r="B9" s="1">
        <f t="shared" si="0"/>
        <v>80184262</v>
      </c>
      <c r="C9" s="1" t="s">
        <v>798</v>
      </c>
      <c r="D9" s="1" t="s">
        <v>11</v>
      </c>
      <c r="E9" s="1" t="s">
        <v>1032</v>
      </c>
    </row>
    <row r="10" spans="1:5" x14ac:dyDescent="0.35">
      <c r="A10" s="1">
        <v>80828679</v>
      </c>
      <c r="B10" s="1">
        <f t="shared" si="0"/>
        <v>80828679</v>
      </c>
      <c r="C10" s="1" t="s">
        <v>799</v>
      </c>
      <c r="D10" s="1" t="s">
        <v>15</v>
      </c>
      <c r="E10" s="1" t="s">
        <v>1033</v>
      </c>
    </row>
    <row r="11" spans="1:5" x14ac:dyDescent="0.35">
      <c r="A11" s="1">
        <v>81022579</v>
      </c>
      <c r="B11" s="1">
        <f t="shared" si="0"/>
        <v>81022579</v>
      </c>
      <c r="C11" s="1" t="s">
        <v>800</v>
      </c>
      <c r="D11" s="1" t="s">
        <v>15</v>
      </c>
      <c r="E11" s="1" t="s">
        <v>1033</v>
      </c>
    </row>
    <row r="12" spans="1:5" x14ac:dyDescent="0.35">
      <c r="A12" s="1">
        <v>80188726</v>
      </c>
      <c r="B12" s="1">
        <f t="shared" si="0"/>
        <v>80188726</v>
      </c>
      <c r="C12" s="1" t="s">
        <v>801</v>
      </c>
      <c r="D12" s="1" t="s">
        <v>15</v>
      </c>
      <c r="E12" s="1" t="s">
        <v>1033</v>
      </c>
    </row>
    <row r="13" spans="1:5" x14ac:dyDescent="0.35">
      <c r="A13" s="1">
        <v>80521921</v>
      </c>
      <c r="B13" s="1">
        <f t="shared" si="0"/>
        <v>80521921</v>
      </c>
      <c r="C13" s="1" t="s">
        <v>802</v>
      </c>
      <c r="D13" s="1" t="s">
        <v>16</v>
      </c>
      <c r="E13" s="1" t="s">
        <v>1033</v>
      </c>
    </row>
    <row r="14" spans="1:5" x14ac:dyDescent="0.35">
      <c r="A14" s="1">
        <v>7190506</v>
      </c>
      <c r="B14" s="1">
        <f t="shared" si="0"/>
        <v>7190506</v>
      </c>
      <c r="C14" s="1" t="s">
        <v>803</v>
      </c>
      <c r="D14" s="1" t="s">
        <v>17</v>
      </c>
      <c r="E14" s="1" t="s">
        <v>1032</v>
      </c>
    </row>
    <row r="15" spans="1:5" x14ac:dyDescent="0.35">
      <c r="A15" s="1">
        <v>80210507</v>
      </c>
      <c r="B15" s="1">
        <f t="shared" si="0"/>
        <v>80210507</v>
      </c>
      <c r="C15" s="1" t="s">
        <v>804</v>
      </c>
      <c r="D15" s="1" t="s">
        <v>17</v>
      </c>
      <c r="E15" s="1" t="s">
        <v>1032</v>
      </c>
    </row>
    <row r="16" spans="1:5" x14ac:dyDescent="0.35">
      <c r="A16" s="1">
        <v>80188395</v>
      </c>
      <c r="B16" s="1">
        <f t="shared" si="0"/>
        <v>80188395</v>
      </c>
      <c r="C16" s="1" t="s">
        <v>805</v>
      </c>
      <c r="D16" s="1" t="s">
        <v>4</v>
      </c>
      <c r="E16" s="1" t="s">
        <v>1033</v>
      </c>
    </row>
    <row r="17" spans="1:5" x14ac:dyDescent="0.35">
      <c r="A17" s="1">
        <v>80188824</v>
      </c>
      <c r="B17" s="1">
        <f t="shared" si="0"/>
        <v>80188824</v>
      </c>
      <c r="C17" s="1" t="s">
        <v>806</v>
      </c>
      <c r="D17" s="1" t="s">
        <v>4</v>
      </c>
      <c r="E17" s="1" t="s">
        <v>1033</v>
      </c>
    </row>
    <row r="18" spans="1:5" x14ac:dyDescent="0.35">
      <c r="A18" s="1">
        <v>80745080</v>
      </c>
      <c r="B18" s="1">
        <f t="shared" si="0"/>
        <v>80745080</v>
      </c>
      <c r="C18" s="1" t="s">
        <v>807</v>
      </c>
      <c r="D18" s="1" t="s">
        <v>6</v>
      </c>
      <c r="E18" s="1" t="s">
        <v>1031</v>
      </c>
    </row>
    <row r="19" spans="1:5" x14ac:dyDescent="0.35">
      <c r="A19" s="1">
        <v>80307728</v>
      </c>
      <c r="B19" s="1">
        <f t="shared" si="0"/>
        <v>80307728</v>
      </c>
      <c r="C19" s="1" t="s">
        <v>808</v>
      </c>
      <c r="D19" s="1" t="s">
        <v>6</v>
      </c>
      <c r="E19" s="1" t="s">
        <v>1031</v>
      </c>
    </row>
    <row r="20" spans="1:5" x14ac:dyDescent="0.35">
      <c r="A20" s="1">
        <v>81042958</v>
      </c>
      <c r="B20" s="1">
        <f t="shared" si="0"/>
        <v>81042958</v>
      </c>
      <c r="C20" s="1" t="s">
        <v>809</v>
      </c>
      <c r="D20" s="1" t="s">
        <v>8</v>
      </c>
      <c r="E20" s="1" t="s">
        <v>1031</v>
      </c>
    </row>
    <row r="21" spans="1:5" x14ac:dyDescent="0.35">
      <c r="A21" s="1">
        <v>81055835</v>
      </c>
      <c r="B21" s="1">
        <f t="shared" si="0"/>
        <v>81055835</v>
      </c>
      <c r="C21" s="1" t="s">
        <v>810</v>
      </c>
      <c r="D21" s="1" t="s">
        <v>8</v>
      </c>
      <c r="E21" s="1" t="s">
        <v>1031</v>
      </c>
    </row>
    <row r="22" spans="1:5" x14ac:dyDescent="0.35">
      <c r="A22" s="1">
        <v>81067336</v>
      </c>
      <c r="B22" s="1">
        <f t="shared" si="0"/>
        <v>81067336</v>
      </c>
      <c r="C22" s="1" t="s">
        <v>811</v>
      </c>
      <c r="D22" s="1" t="s">
        <v>8</v>
      </c>
      <c r="E22" s="1" t="s">
        <v>1031</v>
      </c>
    </row>
    <row r="23" spans="1:5" x14ac:dyDescent="0.35">
      <c r="A23" s="1">
        <v>80993134</v>
      </c>
      <c r="B23" s="1">
        <f t="shared" si="0"/>
        <v>80993134</v>
      </c>
      <c r="C23" s="1" t="s">
        <v>812</v>
      </c>
      <c r="D23" s="1" t="s">
        <v>8</v>
      </c>
      <c r="E23" s="1" t="s">
        <v>1031</v>
      </c>
    </row>
    <row r="24" spans="1:5" x14ac:dyDescent="0.35">
      <c r="A24" s="1">
        <v>81075292</v>
      </c>
      <c r="B24" s="1">
        <f t="shared" si="0"/>
        <v>81075292</v>
      </c>
      <c r="C24" s="1" t="s">
        <v>813</v>
      </c>
      <c r="D24" s="1" t="s">
        <v>8</v>
      </c>
      <c r="E24" s="1" t="s">
        <v>1031</v>
      </c>
    </row>
    <row r="25" spans="1:5" x14ac:dyDescent="0.35">
      <c r="A25" s="1">
        <v>80781973</v>
      </c>
      <c r="B25" s="1">
        <f t="shared" si="0"/>
        <v>80781973</v>
      </c>
      <c r="C25" s="1" t="s">
        <v>814</v>
      </c>
      <c r="D25" s="1" t="s">
        <v>8</v>
      </c>
      <c r="E25" s="1" t="s">
        <v>1031</v>
      </c>
    </row>
    <row r="26" spans="1:5" x14ac:dyDescent="0.35">
      <c r="A26" s="1">
        <v>80917637</v>
      </c>
      <c r="B26" s="1">
        <f t="shared" si="0"/>
        <v>80917637</v>
      </c>
      <c r="C26" s="1" t="s">
        <v>815</v>
      </c>
      <c r="D26" s="1" t="s">
        <v>8</v>
      </c>
      <c r="E26" s="1" t="s">
        <v>1031</v>
      </c>
    </row>
    <row r="27" spans="1:5" x14ac:dyDescent="0.35">
      <c r="A27" s="1">
        <v>80733171</v>
      </c>
      <c r="B27" s="1">
        <f t="shared" si="0"/>
        <v>80733171</v>
      </c>
      <c r="C27" s="1" t="s">
        <v>816</v>
      </c>
      <c r="D27" s="1" t="s">
        <v>8</v>
      </c>
      <c r="E27" s="1" t="s">
        <v>1031</v>
      </c>
    </row>
    <row r="28" spans="1:5" x14ac:dyDescent="0.35">
      <c r="A28" s="1">
        <v>81042963</v>
      </c>
      <c r="B28" s="1">
        <f t="shared" si="0"/>
        <v>81042963</v>
      </c>
      <c r="C28" s="1" t="s">
        <v>817</v>
      </c>
      <c r="D28" s="1" t="s">
        <v>8</v>
      </c>
      <c r="E28" s="1" t="s">
        <v>1031</v>
      </c>
    </row>
    <row r="29" spans="1:5" x14ac:dyDescent="0.35">
      <c r="A29" s="1">
        <v>80795490</v>
      </c>
      <c r="B29" s="1">
        <f t="shared" si="0"/>
        <v>80795490</v>
      </c>
      <c r="C29" s="1" t="s">
        <v>818</v>
      </c>
      <c r="D29" s="1" t="s">
        <v>1029</v>
      </c>
      <c r="E29" s="1" t="s">
        <v>1034</v>
      </c>
    </row>
    <row r="30" spans="1:5" x14ac:dyDescent="0.35">
      <c r="A30" s="1">
        <v>80798862</v>
      </c>
      <c r="B30" s="1">
        <f t="shared" si="0"/>
        <v>80798862</v>
      </c>
      <c r="C30" s="1" t="s">
        <v>819</v>
      </c>
      <c r="D30" s="1" t="s">
        <v>1029</v>
      </c>
      <c r="E30" s="1" t="s">
        <v>1034</v>
      </c>
    </row>
    <row r="31" spans="1:5" x14ac:dyDescent="0.35">
      <c r="A31" s="1">
        <v>80798858</v>
      </c>
      <c r="B31" s="1">
        <f t="shared" si="0"/>
        <v>80798858</v>
      </c>
      <c r="C31" s="1" t="s">
        <v>820</v>
      </c>
      <c r="D31" s="1" t="s">
        <v>1029</v>
      </c>
      <c r="E31" s="1" t="s">
        <v>1034</v>
      </c>
    </row>
    <row r="32" spans="1:5" x14ac:dyDescent="0.35">
      <c r="A32" s="1">
        <v>80314833</v>
      </c>
      <c r="B32" s="1">
        <f t="shared" si="0"/>
        <v>80314833</v>
      </c>
      <c r="C32" s="1" t="s">
        <v>821</v>
      </c>
      <c r="D32" s="1" t="s">
        <v>1029</v>
      </c>
      <c r="E32" s="1" t="s">
        <v>1034</v>
      </c>
    </row>
    <row r="33" spans="1:5" x14ac:dyDescent="0.35">
      <c r="A33" s="1">
        <v>81006059</v>
      </c>
      <c r="B33" s="1">
        <f t="shared" si="0"/>
        <v>81006059</v>
      </c>
      <c r="C33" s="1" t="s">
        <v>822</v>
      </c>
      <c r="D33" s="1" t="s">
        <v>1029</v>
      </c>
      <c r="E33" s="1" t="s">
        <v>1034</v>
      </c>
    </row>
    <row r="34" spans="1:5" x14ac:dyDescent="0.35">
      <c r="A34" s="1">
        <v>80798831</v>
      </c>
      <c r="B34" s="1">
        <f t="shared" si="0"/>
        <v>80798831</v>
      </c>
      <c r="C34" s="1" t="s">
        <v>823</v>
      </c>
      <c r="D34" s="1" t="s">
        <v>1029</v>
      </c>
      <c r="E34" s="1" t="s">
        <v>1034</v>
      </c>
    </row>
    <row r="35" spans="1:5" x14ac:dyDescent="0.35">
      <c r="A35" s="1">
        <v>80022314</v>
      </c>
      <c r="B35" s="1">
        <f t="shared" si="0"/>
        <v>80022314</v>
      </c>
      <c r="C35" s="1" t="s">
        <v>824</v>
      </c>
      <c r="D35" s="1" t="s">
        <v>1029</v>
      </c>
      <c r="E35" s="1" t="s">
        <v>1034</v>
      </c>
    </row>
    <row r="36" spans="1:5" x14ac:dyDescent="0.35">
      <c r="A36" s="1">
        <v>80760663</v>
      </c>
      <c r="B36" s="1">
        <f t="shared" si="0"/>
        <v>80760663</v>
      </c>
      <c r="C36" s="1" t="s">
        <v>825</v>
      </c>
      <c r="D36" s="1" t="s">
        <v>1029</v>
      </c>
      <c r="E36" s="1" t="s">
        <v>1034</v>
      </c>
    </row>
    <row r="37" spans="1:5" x14ac:dyDescent="0.35">
      <c r="A37" s="1">
        <v>80191755</v>
      </c>
      <c r="B37" s="1">
        <f t="shared" si="0"/>
        <v>80191755</v>
      </c>
      <c r="C37" s="1" t="s">
        <v>826</v>
      </c>
      <c r="D37" s="1" t="s">
        <v>1029</v>
      </c>
      <c r="E37" s="1" t="s">
        <v>1034</v>
      </c>
    </row>
    <row r="38" spans="1:5" x14ac:dyDescent="0.35">
      <c r="A38" s="1">
        <v>80795485</v>
      </c>
      <c r="B38" s="1">
        <f t="shared" si="0"/>
        <v>80795485</v>
      </c>
      <c r="C38" s="1" t="s">
        <v>827</v>
      </c>
      <c r="D38" s="1" t="s">
        <v>1029</v>
      </c>
      <c r="E38" s="1" t="s">
        <v>1034</v>
      </c>
    </row>
    <row r="39" spans="1:5" x14ac:dyDescent="0.35">
      <c r="A39" s="1">
        <v>80260478</v>
      </c>
      <c r="B39" s="1">
        <f t="shared" si="0"/>
        <v>80260478</v>
      </c>
      <c r="C39" s="1" t="s">
        <v>828</v>
      </c>
      <c r="D39" s="1" t="s">
        <v>1029</v>
      </c>
      <c r="E39" s="1" t="s">
        <v>1034</v>
      </c>
    </row>
    <row r="40" spans="1:5" x14ac:dyDescent="0.35">
      <c r="A40" s="1">
        <v>80188754</v>
      </c>
      <c r="B40" s="1">
        <f t="shared" si="0"/>
        <v>80188754</v>
      </c>
      <c r="C40" s="1" t="s">
        <v>829</v>
      </c>
      <c r="D40" s="1" t="s">
        <v>7</v>
      </c>
      <c r="E40" s="1" t="s">
        <v>1032</v>
      </c>
    </row>
    <row r="41" spans="1:5" x14ac:dyDescent="0.35">
      <c r="A41" s="1">
        <v>80179753</v>
      </c>
      <c r="B41" s="1">
        <f t="shared" si="0"/>
        <v>80179753</v>
      </c>
      <c r="C41" s="1" t="s">
        <v>830</v>
      </c>
      <c r="D41" s="1" t="s">
        <v>7</v>
      </c>
      <c r="E41" s="1" t="s">
        <v>1032</v>
      </c>
    </row>
    <row r="42" spans="1:5" x14ac:dyDescent="0.35">
      <c r="A42" s="1">
        <v>80161515</v>
      </c>
      <c r="B42" s="1">
        <f t="shared" si="0"/>
        <v>80161515</v>
      </c>
      <c r="C42" s="1" t="s">
        <v>831</v>
      </c>
      <c r="D42" s="1" t="s">
        <v>7</v>
      </c>
      <c r="E42" s="1" t="s">
        <v>1032</v>
      </c>
    </row>
    <row r="43" spans="1:5" x14ac:dyDescent="0.35">
      <c r="A43" s="1">
        <v>81005736</v>
      </c>
      <c r="B43" s="1">
        <f t="shared" si="0"/>
        <v>81005736</v>
      </c>
      <c r="C43" s="1" t="s">
        <v>832</v>
      </c>
      <c r="D43" s="1" t="s">
        <v>7</v>
      </c>
      <c r="E43" s="1" t="s">
        <v>1032</v>
      </c>
    </row>
    <row r="44" spans="1:5" x14ac:dyDescent="0.35">
      <c r="A44" s="1">
        <v>81011063</v>
      </c>
      <c r="B44" s="1">
        <f t="shared" si="0"/>
        <v>81011063</v>
      </c>
      <c r="C44" s="1" t="s">
        <v>833</v>
      </c>
      <c r="D44" s="1" t="s">
        <v>7</v>
      </c>
      <c r="E44" s="1" t="s">
        <v>1032</v>
      </c>
    </row>
    <row r="45" spans="1:5" x14ac:dyDescent="0.35">
      <c r="A45" s="1">
        <v>81052752</v>
      </c>
      <c r="B45" s="1">
        <f t="shared" si="0"/>
        <v>81052752</v>
      </c>
      <c r="C45" s="1" t="s">
        <v>834</v>
      </c>
      <c r="D45" s="1" t="s">
        <v>7</v>
      </c>
      <c r="E45" s="1" t="s">
        <v>1032</v>
      </c>
    </row>
    <row r="46" spans="1:5" x14ac:dyDescent="0.35">
      <c r="A46" s="1">
        <v>80561839</v>
      </c>
      <c r="B46" s="1">
        <f t="shared" si="0"/>
        <v>80561839</v>
      </c>
      <c r="C46" s="1" t="s">
        <v>835</v>
      </c>
      <c r="D46" s="1" t="s">
        <v>7</v>
      </c>
      <c r="E46" s="1" t="s">
        <v>1032</v>
      </c>
    </row>
    <row r="47" spans="1:5" x14ac:dyDescent="0.35">
      <c r="A47" s="1">
        <v>81046614</v>
      </c>
      <c r="B47" s="1">
        <f t="shared" si="0"/>
        <v>81046614</v>
      </c>
      <c r="C47" s="1" t="s">
        <v>836</v>
      </c>
      <c r="D47" s="1" t="s">
        <v>7</v>
      </c>
      <c r="E47" s="1" t="s">
        <v>1032</v>
      </c>
    </row>
    <row r="48" spans="1:5" x14ac:dyDescent="0.35">
      <c r="A48" s="1">
        <v>81076376</v>
      </c>
      <c r="B48" s="1">
        <f t="shared" si="0"/>
        <v>81076376</v>
      </c>
      <c r="C48" s="1" t="s">
        <v>837</v>
      </c>
      <c r="D48" s="1" t="s">
        <v>7</v>
      </c>
      <c r="E48" s="1" t="s">
        <v>1032</v>
      </c>
    </row>
    <row r="49" spans="1:5" x14ac:dyDescent="0.35">
      <c r="A49" s="1">
        <v>80996471</v>
      </c>
      <c r="B49" s="1">
        <f t="shared" si="0"/>
        <v>80996471</v>
      </c>
      <c r="C49" s="1" t="s">
        <v>838</v>
      </c>
      <c r="D49" s="1" t="s">
        <v>7</v>
      </c>
      <c r="E49" s="1" t="s">
        <v>1032</v>
      </c>
    </row>
    <row r="50" spans="1:5" x14ac:dyDescent="0.35">
      <c r="A50" s="1">
        <v>80503278</v>
      </c>
      <c r="B50" s="1">
        <f t="shared" si="0"/>
        <v>80503278</v>
      </c>
      <c r="C50" s="1" t="s">
        <v>839</v>
      </c>
      <c r="D50" s="1" t="s">
        <v>7</v>
      </c>
      <c r="E50" s="1" t="s">
        <v>1032</v>
      </c>
    </row>
    <row r="51" spans="1:5" x14ac:dyDescent="0.35">
      <c r="A51" s="1">
        <v>80191149</v>
      </c>
      <c r="B51" s="1">
        <f t="shared" si="0"/>
        <v>80191149</v>
      </c>
      <c r="C51" s="1" t="s">
        <v>840</v>
      </c>
      <c r="D51" s="1" t="s">
        <v>27</v>
      </c>
      <c r="E51" s="1" t="s">
        <v>1034</v>
      </c>
    </row>
    <row r="52" spans="1:5" x14ac:dyDescent="0.35">
      <c r="A52" s="1">
        <v>80542217</v>
      </c>
      <c r="B52" s="1">
        <f t="shared" si="0"/>
        <v>80542217</v>
      </c>
      <c r="C52" s="1" t="s">
        <v>841</v>
      </c>
      <c r="D52" s="1" t="s">
        <v>27</v>
      </c>
      <c r="E52" s="1" t="s">
        <v>1034</v>
      </c>
    </row>
    <row r="53" spans="1:5" x14ac:dyDescent="0.35">
      <c r="A53" s="1">
        <v>80760655</v>
      </c>
      <c r="B53" s="1">
        <f t="shared" si="0"/>
        <v>80760655</v>
      </c>
      <c r="C53" s="1" t="s">
        <v>842</v>
      </c>
      <c r="D53" s="1" t="s">
        <v>27</v>
      </c>
      <c r="E53" s="1" t="s">
        <v>1034</v>
      </c>
    </row>
    <row r="54" spans="1:5" x14ac:dyDescent="0.35">
      <c r="A54" s="1">
        <v>80800004</v>
      </c>
      <c r="B54" s="1">
        <f t="shared" si="0"/>
        <v>80800004</v>
      </c>
      <c r="C54" s="1" t="s">
        <v>843</v>
      </c>
      <c r="D54" s="1" t="s">
        <v>27</v>
      </c>
      <c r="E54" s="1" t="s">
        <v>1034</v>
      </c>
    </row>
    <row r="55" spans="1:5" x14ac:dyDescent="0.35">
      <c r="A55" s="1">
        <v>80188580</v>
      </c>
      <c r="B55" s="1">
        <f t="shared" si="0"/>
        <v>80188580</v>
      </c>
      <c r="C55" s="1" t="s">
        <v>844</v>
      </c>
      <c r="D55" s="1" t="s">
        <v>27</v>
      </c>
      <c r="E55" s="1" t="s">
        <v>1034</v>
      </c>
    </row>
    <row r="56" spans="1:5" x14ac:dyDescent="0.35">
      <c r="A56" s="1">
        <v>80590164</v>
      </c>
      <c r="B56" s="1">
        <f t="shared" si="0"/>
        <v>80590164</v>
      </c>
      <c r="C56" s="1" t="s">
        <v>845</v>
      </c>
      <c r="D56" s="1" t="s">
        <v>27</v>
      </c>
      <c r="E56" s="1" t="s">
        <v>1034</v>
      </c>
    </row>
    <row r="57" spans="1:5" x14ac:dyDescent="0.35">
      <c r="A57" s="1">
        <v>80173958</v>
      </c>
      <c r="B57" s="1">
        <f t="shared" si="0"/>
        <v>80173958</v>
      </c>
      <c r="C57" s="1" t="s">
        <v>846</v>
      </c>
      <c r="D57" s="1" t="s">
        <v>27</v>
      </c>
      <c r="E57" s="1" t="s">
        <v>1034</v>
      </c>
    </row>
    <row r="58" spans="1:5" x14ac:dyDescent="0.35">
      <c r="A58" s="1">
        <v>81019063</v>
      </c>
      <c r="B58" s="1">
        <f t="shared" si="0"/>
        <v>81019063</v>
      </c>
      <c r="C58" s="1" t="s">
        <v>847</v>
      </c>
      <c r="D58" s="1" t="s">
        <v>27</v>
      </c>
      <c r="E58" s="1" t="s">
        <v>1034</v>
      </c>
    </row>
    <row r="59" spans="1:5" x14ac:dyDescent="0.35">
      <c r="A59" s="1">
        <v>80260673</v>
      </c>
      <c r="B59" s="1">
        <f t="shared" si="0"/>
        <v>80260673</v>
      </c>
      <c r="C59" s="1" t="s">
        <v>848</v>
      </c>
      <c r="D59" s="1" t="s">
        <v>27</v>
      </c>
      <c r="E59" s="1" t="s">
        <v>1034</v>
      </c>
    </row>
    <row r="60" spans="1:5" x14ac:dyDescent="0.35">
      <c r="A60" s="1">
        <v>80738231</v>
      </c>
      <c r="B60" s="1">
        <f t="shared" si="0"/>
        <v>80738231</v>
      </c>
      <c r="C60" s="1" t="s">
        <v>849</v>
      </c>
      <c r="D60" s="1" t="s">
        <v>27</v>
      </c>
      <c r="E60" s="1" t="s">
        <v>1034</v>
      </c>
    </row>
    <row r="61" spans="1:5" x14ac:dyDescent="0.35">
      <c r="A61" s="1">
        <v>80653422</v>
      </c>
      <c r="B61" s="1">
        <f t="shared" si="0"/>
        <v>80653422</v>
      </c>
      <c r="C61" s="1" t="s">
        <v>850</v>
      </c>
      <c r="D61" s="1" t="s">
        <v>23</v>
      </c>
      <c r="E61" s="1" t="s">
        <v>1032</v>
      </c>
    </row>
    <row r="62" spans="1:5" x14ac:dyDescent="0.35">
      <c r="A62" s="1">
        <v>80768682</v>
      </c>
      <c r="B62" s="1">
        <f t="shared" si="0"/>
        <v>80768682</v>
      </c>
      <c r="C62" s="1" t="s">
        <v>851</v>
      </c>
      <c r="D62" s="1" t="s">
        <v>23</v>
      </c>
      <c r="E62" s="1" t="s">
        <v>1032</v>
      </c>
    </row>
    <row r="63" spans="1:5" x14ac:dyDescent="0.35">
      <c r="A63" s="1">
        <v>80173338</v>
      </c>
      <c r="B63" s="1">
        <f t="shared" si="0"/>
        <v>80173338</v>
      </c>
      <c r="C63" s="1" t="s">
        <v>852</v>
      </c>
      <c r="D63" s="1" t="s">
        <v>23</v>
      </c>
      <c r="E63" s="1" t="s">
        <v>1032</v>
      </c>
    </row>
    <row r="64" spans="1:5" x14ac:dyDescent="0.35">
      <c r="A64" s="1">
        <v>80191183</v>
      </c>
      <c r="B64" s="1">
        <f t="shared" si="0"/>
        <v>80191183</v>
      </c>
      <c r="C64" s="1" t="s">
        <v>853</v>
      </c>
      <c r="D64" s="1" t="s">
        <v>23</v>
      </c>
      <c r="E64" s="1" t="s">
        <v>1032</v>
      </c>
    </row>
    <row r="65" spans="1:5" x14ac:dyDescent="0.35">
      <c r="A65" s="1">
        <v>80191129</v>
      </c>
      <c r="B65" s="1">
        <f t="shared" si="0"/>
        <v>80191129</v>
      </c>
      <c r="C65" s="1" t="s">
        <v>854</v>
      </c>
      <c r="D65" s="1" t="s">
        <v>23</v>
      </c>
      <c r="E65" s="1" t="s">
        <v>1032</v>
      </c>
    </row>
    <row r="66" spans="1:5" x14ac:dyDescent="0.35">
      <c r="A66" s="1">
        <v>81005700</v>
      </c>
      <c r="B66" s="1">
        <f t="shared" ref="B66:B129" si="1">IFERROR(A66*1,A66)</f>
        <v>81005700</v>
      </c>
      <c r="C66" s="1" t="s">
        <v>855</v>
      </c>
      <c r="D66" s="1" t="s">
        <v>23</v>
      </c>
      <c r="E66" s="1" t="s">
        <v>1032</v>
      </c>
    </row>
    <row r="67" spans="1:5" x14ac:dyDescent="0.35">
      <c r="A67" s="1">
        <v>80629584</v>
      </c>
      <c r="B67" s="1">
        <f t="shared" si="1"/>
        <v>80629584</v>
      </c>
      <c r="C67" s="1" t="s">
        <v>856</v>
      </c>
      <c r="D67" s="1" t="s">
        <v>23</v>
      </c>
      <c r="E67" s="1" t="s">
        <v>1032</v>
      </c>
    </row>
    <row r="68" spans="1:5" x14ac:dyDescent="0.35">
      <c r="A68" s="1">
        <v>81069639</v>
      </c>
      <c r="B68" s="1">
        <f t="shared" si="1"/>
        <v>81069639</v>
      </c>
      <c r="C68" s="1" t="s">
        <v>857</v>
      </c>
      <c r="D68" s="1" t="s">
        <v>23</v>
      </c>
      <c r="E68" s="1" t="s">
        <v>1032</v>
      </c>
    </row>
    <row r="69" spans="1:5" x14ac:dyDescent="0.35">
      <c r="A69" s="1">
        <v>81069652</v>
      </c>
      <c r="B69" s="1">
        <f t="shared" si="1"/>
        <v>81069652</v>
      </c>
      <c r="C69" s="1" t="s">
        <v>858</v>
      </c>
      <c r="D69" s="1" t="s">
        <v>23</v>
      </c>
      <c r="E69" s="1" t="s">
        <v>1032</v>
      </c>
    </row>
    <row r="70" spans="1:5" x14ac:dyDescent="0.35">
      <c r="A70" s="1">
        <v>80556144</v>
      </c>
      <c r="B70" s="1">
        <f t="shared" si="1"/>
        <v>80556144</v>
      </c>
      <c r="C70" s="1" t="s">
        <v>859</v>
      </c>
      <c r="D70" s="1" t="s">
        <v>23</v>
      </c>
      <c r="E70" s="1" t="s">
        <v>1032</v>
      </c>
    </row>
    <row r="71" spans="1:5" x14ac:dyDescent="0.35">
      <c r="A71" s="1">
        <v>80653638</v>
      </c>
      <c r="B71" s="1">
        <f t="shared" si="1"/>
        <v>80653638</v>
      </c>
      <c r="C71" s="1" t="s">
        <v>860</v>
      </c>
      <c r="D71" s="1" t="s">
        <v>23</v>
      </c>
      <c r="E71" s="1" t="s">
        <v>1032</v>
      </c>
    </row>
    <row r="72" spans="1:5" x14ac:dyDescent="0.35">
      <c r="A72" s="1">
        <v>81058830</v>
      </c>
      <c r="B72" s="1">
        <f t="shared" si="1"/>
        <v>81058830</v>
      </c>
      <c r="C72" s="1" t="s">
        <v>861</v>
      </c>
      <c r="D72" s="1" t="s">
        <v>23</v>
      </c>
      <c r="E72" s="1" t="s">
        <v>1032</v>
      </c>
    </row>
    <row r="73" spans="1:5" x14ac:dyDescent="0.35">
      <c r="A73" s="1">
        <v>81082144</v>
      </c>
      <c r="B73" s="1">
        <f t="shared" si="1"/>
        <v>81082144</v>
      </c>
      <c r="C73" s="1" t="s">
        <v>862</v>
      </c>
      <c r="D73" s="1" t="s">
        <v>23</v>
      </c>
      <c r="E73" s="1" t="s">
        <v>1032</v>
      </c>
    </row>
    <row r="74" spans="1:5" x14ac:dyDescent="0.35">
      <c r="A74" s="1">
        <v>81082134</v>
      </c>
      <c r="B74" s="1">
        <f t="shared" si="1"/>
        <v>81082134</v>
      </c>
      <c r="C74" s="1" t="s">
        <v>863</v>
      </c>
      <c r="D74" s="1" t="s">
        <v>23</v>
      </c>
      <c r="E74" s="1" t="s">
        <v>1032</v>
      </c>
    </row>
    <row r="75" spans="1:5" x14ac:dyDescent="0.35">
      <c r="A75" s="1">
        <v>81082130</v>
      </c>
      <c r="B75" s="1">
        <f t="shared" si="1"/>
        <v>81082130</v>
      </c>
      <c r="C75" s="1" t="s">
        <v>864</v>
      </c>
      <c r="D75" s="1" t="s">
        <v>23</v>
      </c>
      <c r="E75" s="1" t="s">
        <v>1032</v>
      </c>
    </row>
    <row r="76" spans="1:5" x14ac:dyDescent="0.35">
      <c r="A76" s="1">
        <v>81082707</v>
      </c>
      <c r="B76" s="1">
        <f t="shared" si="1"/>
        <v>81082707</v>
      </c>
      <c r="C76" s="1" t="s">
        <v>865</v>
      </c>
      <c r="D76" s="1" t="s">
        <v>23</v>
      </c>
      <c r="E76" s="1" t="s">
        <v>1032</v>
      </c>
    </row>
    <row r="77" spans="1:5" x14ac:dyDescent="0.35">
      <c r="A77" s="1">
        <v>80869312</v>
      </c>
      <c r="B77" s="1">
        <f t="shared" si="1"/>
        <v>80869312</v>
      </c>
      <c r="C77" s="1" t="s">
        <v>866</v>
      </c>
      <c r="D77" s="1" t="s">
        <v>20</v>
      </c>
      <c r="E77" s="1" t="s">
        <v>1031</v>
      </c>
    </row>
    <row r="78" spans="1:5" x14ac:dyDescent="0.35">
      <c r="A78" s="1">
        <v>80856923</v>
      </c>
      <c r="B78" s="1">
        <f t="shared" si="1"/>
        <v>80856923</v>
      </c>
      <c r="C78" s="1" t="s">
        <v>867</v>
      </c>
      <c r="D78" s="1" t="s">
        <v>20</v>
      </c>
      <c r="E78" s="1" t="s">
        <v>1031</v>
      </c>
    </row>
    <row r="79" spans="1:5" x14ac:dyDescent="0.35">
      <c r="A79" s="1">
        <v>81016182</v>
      </c>
      <c r="B79" s="1">
        <f t="shared" si="1"/>
        <v>81016182</v>
      </c>
      <c r="C79" s="1" t="s">
        <v>868</v>
      </c>
      <c r="D79" s="1" t="s">
        <v>20</v>
      </c>
      <c r="E79" s="1" t="s">
        <v>1031</v>
      </c>
    </row>
    <row r="80" spans="1:5" x14ac:dyDescent="0.35">
      <c r="A80" s="1">
        <v>80189706</v>
      </c>
      <c r="B80" s="1">
        <f t="shared" si="1"/>
        <v>80189706</v>
      </c>
      <c r="C80" s="1" t="s">
        <v>869</v>
      </c>
      <c r="D80" s="1" t="s">
        <v>20</v>
      </c>
      <c r="E80" s="1" t="s">
        <v>1031</v>
      </c>
    </row>
    <row r="81" spans="1:5" x14ac:dyDescent="0.35">
      <c r="A81" s="1">
        <v>80907514</v>
      </c>
      <c r="B81" s="1">
        <f t="shared" si="1"/>
        <v>80907514</v>
      </c>
      <c r="C81" s="1" t="s">
        <v>870</v>
      </c>
      <c r="D81" s="1" t="s">
        <v>20</v>
      </c>
      <c r="E81" s="1" t="s">
        <v>1031</v>
      </c>
    </row>
    <row r="82" spans="1:5" x14ac:dyDescent="0.35">
      <c r="A82" s="1">
        <v>80671887</v>
      </c>
      <c r="B82" s="1">
        <f t="shared" si="1"/>
        <v>80671887</v>
      </c>
      <c r="C82" s="1" t="s">
        <v>871</v>
      </c>
      <c r="D82" s="1" t="s">
        <v>20</v>
      </c>
      <c r="E82" s="1" t="s">
        <v>1031</v>
      </c>
    </row>
    <row r="83" spans="1:5" x14ac:dyDescent="0.35">
      <c r="A83" s="1">
        <v>80999677</v>
      </c>
      <c r="B83" s="1">
        <f t="shared" si="1"/>
        <v>80999677</v>
      </c>
      <c r="C83" s="1" t="s">
        <v>872</v>
      </c>
      <c r="D83" s="1" t="s">
        <v>20</v>
      </c>
      <c r="E83" s="1" t="s">
        <v>1031</v>
      </c>
    </row>
    <row r="84" spans="1:5" x14ac:dyDescent="0.35">
      <c r="A84" s="1">
        <v>80638381</v>
      </c>
      <c r="B84" s="1">
        <f t="shared" si="1"/>
        <v>80638381</v>
      </c>
      <c r="C84" s="1" t="s">
        <v>873</v>
      </c>
      <c r="D84" s="1" t="s">
        <v>20</v>
      </c>
      <c r="E84" s="1" t="s">
        <v>1031</v>
      </c>
    </row>
    <row r="85" spans="1:5" x14ac:dyDescent="0.35">
      <c r="A85" s="1">
        <v>80856363</v>
      </c>
      <c r="B85" s="1">
        <f t="shared" si="1"/>
        <v>80856363</v>
      </c>
      <c r="C85" s="1" t="s">
        <v>874</v>
      </c>
      <c r="D85" s="1" t="s">
        <v>20</v>
      </c>
      <c r="E85" s="1" t="s">
        <v>1031</v>
      </c>
    </row>
    <row r="86" spans="1:5" x14ac:dyDescent="0.35">
      <c r="A86" s="1">
        <v>80618177</v>
      </c>
      <c r="B86" s="1">
        <f t="shared" si="1"/>
        <v>80618177</v>
      </c>
      <c r="C86" s="1" t="s">
        <v>875</v>
      </c>
      <c r="D86" s="1" t="s">
        <v>20</v>
      </c>
      <c r="E86" s="1" t="s">
        <v>1031</v>
      </c>
    </row>
    <row r="87" spans="1:5" x14ac:dyDescent="0.35">
      <c r="A87" s="1">
        <v>75940</v>
      </c>
      <c r="B87" s="1">
        <f t="shared" si="1"/>
        <v>75940</v>
      </c>
      <c r="C87" s="1" t="s">
        <v>876</v>
      </c>
      <c r="D87" s="1" t="s">
        <v>20</v>
      </c>
      <c r="E87" s="1" t="s">
        <v>1031</v>
      </c>
    </row>
    <row r="88" spans="1:5" x14ac:dyDescent="0.35">
      <c r="A88" s="1">
        <v>80363045</v>
      </c>
      <c r="B88" s="1">
        <f t="shared" si="1"/>
        <v>80363045</v>
      </c>
      <c r="C88" s="1" t="s">
        <v>877</v>
      </c>
      <c r="D88" s="1" t="s">
        <v>20</v>
      </c>
      <c r="E88" s="1" t="s">
        <v>1031</v>
      </c>
    </row>
    <row r="89" spans="1:5" x14ac:dyDescent="0.35">
      <c r="A89" s="1">
        <v>80178383</v>
      </c>
      <c r="B89" s="1">
        <f t="shared" si="1"/>
        <v>80178383</v>
      </c>
      <c r="C89" s="1" t="s">
        <v>878</v>
      </c>
      <c r="D89" s="1" t="s">
        <v>20</v>
      </c>
      <c r="E89" s="1" t="s">
        <v>1031</v>
      </c>
    </row>
    <row r="90" spans="1:5" x14ac:dyDescent="0.35">
      <c r="A90" s="1">
        <v>1526502</v>
      </c>
      <c r="B90" s="1">
        <f t="shared" si="1"/>
        <v>1526502</v>
      </c>
      <c r="C90" s="1" t="s">
        <v>879</v>
      </c>
      <c r="D90" s="1" t="s">
        <v>20</v>
      </c>
      <c r="E90" s="1" t="s">
        <v>1031</v>
      </c>
    </row>
    <row r="91" spans="1:5" x14ac:dyDescent="0.35">
      <c r="A91" s="1">
        <v>80692551</v>
      </c>
      <c r="B91" s="1">
        <f t="shared" si="1"/>
        <v>80692551</v>
      </c>
      <c r="C91" s="1" t="s">
        <v>880</v>
      </c>
      <c r="D91" s="1" t="s">
        <v>20</v>
      </c>
      <c r="E91" s="1" t="s">
        <v>1031</v>
      </c>
    </row>
    <row r="92" spans="1:5" x14ac:dyDescent="0.35">
      <c r="A92" s="1">
        <v>80188967</v>
      </c>
      <c r="B92" s="1">
        <f t="shared" si="1"/>
        <v>80188967</v>
      </c>
      <c r="C92" s="1" t="s">
        <v>881</v>
      </c>
      <c r="D92" s="1" t="s">
        <v>20</v>
      </c>
      <c r="E92" s="1" t="s">
        <v>1031</v>
      </c>
    </row>
    <row r="93" spans="1:5" x14ac:dyDescent="0.35">
      <c r="A93" s="1">
        <v>80926809</v>
      </c>
      <c r="B93" s="1">
        <f t="shared" si="1"/>
        <v>80926809</v>
      </c>
      <c r="C93" s="1" t="s">
        <v>882</v>
      </c>
      <c r="D93" s="1" t="s">
        <v>20</v>
      </c>
      <c r="E93" s="1" t="s">
        <v>1031</v>
      </c>
    </row>
    <row r="94" spans="1:5" x14ac:dyDescent="0.35">
      <c r="A94" s="1">
        <v>81016173</v>
      </c>
      <c r="B94" s="1">
        <f t="shared" si="1"/>
        <v>81016173</v>
      </c>
      <c r="C94" s="1" t="s">
        <v>883</v>
      </c>
      <c r="D94" s="1" t="s">
        <v>10</v>
      </c>
      <c r="E94" s="1" t="s">
        <v>1031</v>
      </c>
    </row>
    <row r="95" spans="1:5" x14ac:dyDescent="0.35">
      <c r="A95" s="1">
        <v>80917606</v>
      </c>
      <c r="B95" s="1">
        <f t="shared" si="1"/>
        <v>80917606</v>
      </c>
      <c r="C95" s="1" t="s">
        <v>884</v>
      </c>
      <c r="D95" s="1" t="s">
        <v>10</v>
      </c>
      <c r="E95" s="1" t="s">
        <v>1031</v>
      </c>
    </row>
    <row r="96" spans="1:5" x14ac:dyDescent="0.35">
      <c r="A96" s="1">
        <v>80545737</v>
      </c>
      <c r="B96" s="1">
        <f t="shared" si="1"/>
        <v>80545737</v>
      </c>
      <c r="C96" s="1" t="s">
        <v>885</v>
      </c>
      <c r="D96" s="1" t="s">
        <v>10</v>
      </c>
      <c r="E96" s="1" t="s">
        <v>1031</v>
      </c>
    </row>
    <row r="97" spans="1:5" x14ac:dyDescent="0.35">
      <c r="A97" s="1">
        <v>81063363</v>
      </c>
      <c r="B97" s="1">
        <f t="shared" si="1"/>
        <v>81063363</v>
      </c>
      <c r="C97" s="1" t="s">
        <v>886</v>
      </c>
      <c r="D97" s="1" t="s">
        <v>10</v>
      </c>
      <c r="E97" s="1" t="s">
        <v>1031</v>
      </c>
    </row>
    <row r="98" spans="1:5" x14ac:dyDescent="0.35">
      <c r="A98" s="1">
        <v>80196297</v>
      </c>
      <c r="B98" s="1">
        <f t="shared" si="1"/>
        <v>80196297</v>
      </c>
      <c r="C98" s="1" t="s">
        <v>887</v>
      </c>
      <c r="D98" s="1" t="s">
        <v>10</v>
      </c>
      <c r="E98" s="1" t="s">
        <v>1031</v>
      </c>
    </row>
    <row r="99" spans="1:5" x14ac:dyDescent="0.35">
      <c r="A99" s="1">
        <v>81065757</v>
      </c>
      <c r="B99" s="1">
        <f t="shared" si="1"/>
        <v>81065757</v>
      </c>
      <c r="C99" s="1" t="s">
        <v>888</v>
      </c>
      <c r="D99" s="1" t="s">
        <v>10</v>
      </c>
      <c r="E99" s="1" t="s">
        <v>1031</v>
      </c>
    </row>
    <row r="100" spans="1:5" x14ac:dyDescent="0.35">
      <c r="A100" s="1">
        <v>81072730</v>
      </c>
      <c r="B100" s="1">
        <f t="shared" si="1"/>
        <v>81072730</v>
      </c>
      <c r="C100" s="1" t="s">
        <v>889</v>
      </c>
      <c r="D100" s="1" t="s">
        <v>10</v>
      </c>
      <c r="E100" s="1" t="s">
        <v>1031</v>
      </c>
    </row>
    <row r="101" spans="1:5" x14ac:dyDescent="0.35">
      <c r="A101" s="1">
        <v>81074083</v>
      </c>
      <c r="B101" s="1">
        <f t="shared" si="1"/>
        <v>81074083</v>
      </c>
      <c r="C101" s="1" t="s">
        <v>890</v>
      </c>
      <c r="D101" s="1" t="s">
        <v>10</v>
      </c>
      <c r="E101" s="1" t="s">
        <v>1031</v>
      </c>
    </row>
    <row r="102" spans="1:5" x14ac:dyDescent="0.35">
      <c r="A102" s="1">
        <v>81075302</v>
      </c>
      <c r="B102" s="1">
        <f t="shared" si="1"/>
        <v>81075302</v>
      </c>
      <c r="C102" s="1" t="s">
        <v>891</v>
      </c>
      <c r="D102" s="1" t="s">
        <v>10</v>
      </c>
      <c r="E102" s="1" t="s">
        <v>1031</v>
      </c>
    </row>
    <row r="103" spans="1:5" x14ac:dyDescent="0.35">
      <c r="A103" s="1">
        <v>81044884</v>
      </c>
      <c r="B103" s="1">
        <f t="shared" si="1"/>
        <v>81044884</v>
      </c>
      <c r="C103" s="1" t="s">
        <v>892</v>
      </c>
      <c r="D103" s="1" t="s">
        <v>10</v>
      </c>
      <c r="E103" s="1" t="s">
        <v>1031</v>
      </c>
    </row>
    <row r="104" spans="1:5" x14ac:dyDescent="0.35">
      <c r="A104" s="1">
        <v>80179489</v>
      </c>
      <c r="B104" s="1">
        <f t="shared" si="1"/>
        <v>80179489</v>
      </c>
      <c r="C104" s="1" t="s">
        <v>893</v>
      </c>
      <c r="D104" s="1" t="s">
        <v>10</v>
      </c>
      <c r="E104" s="1" t="s">
        <v>1031</v>
      </c>
    </row>
    <row r="105" spans="1:5" x14ac:dyDescent="0.35">
      <c r="A105" s="1">
        <v>80849205</v>
      </c>
      <c r="B105" s="1">
        <f t="shared" si="1"/>
        <v>80849205</v>
      </c>
      <c r="C105" s="1" t="s">
        <v>894</v>
      </c>
      <c r="D105" s="1" t="s">
        <v>10</v>
      </c>
      <c r="E105" s="1" t="s">
        <v>1031</v>
      </c>
    </row>
    <row r="106" spans="1:5" x14ac:dyDescent="0.35">
      <c r="A106" s="1">
        <v>81074684</v>
      </c>
      <c r="B106" s="1">
        <f t="shared" si="1"/>
        <v>81074684</v>
      </c>
      <c r="C106" s="1" t="s">
        <v>895</v>
      </c>
      <c r="D106" s="1" t="s">
        <v>10</v>
      </c>
      <c r="E106" s="1" t="s">
        <v>1031</v>
      </c>
    </row>
    <row r="107" spans="1:5" x14ac:dyDescent="0.35">
      <c r="A107" s="1">
        <v>80189189</v>
      </c>
      <c r="B107" s="1">
        <f t="shared" si="1"/>
        <v>80189189</v>
      </c>
      <c r="C107" s="1" t="s">
        <v>896</v>
      </c>
      <c r="D107" s="1" t="s">
        <v>10</v>
      </c>
      <c r="E107" s="1" t="s">
        <v>1031</v>
      </c>
    </row>
    <row r="108" spans="1:5" x14ac:dyDescent="0.35">
      <c r="A108" s="1">
        <v>80191718</v>
      </c>
      <c r="B108" s="1">
        <f t="shared" si="1"/>
        <v>80191718</v>
      </c>
      <c r="C108" s="1" t="s">
        <v>897</v>
      </c>
      <c r="D108" s="1" t="s">
        <v>10</v>
      </c>
      <c r="E108" s="1" t="s">
        <v>1031</v>
      </c>
    </row>
    <row r="109" spans="1:5" x14ac:dyDescent="0.35">
      <c r="A109" s="1">
        <v>81084794</v>
      </c>
      <c r="B109" s="1">
        <f t="shared" si="1"/>
        <v>81084794</v>
      </c>
      <c r="C109" s="1" t="s">
        <v>898</v>
      </c>
      <c r="D109" s="1" t="s">
        <v>10</v>
      </c>
      <c r="E109" s="1" t="s">
        <v>1031</v>
      </c>
    </row>
    <row r="110" spans="1:5" x14ac:dyDescent="0.35">
      <c r="A110" s="1">
        <v>81050108</v>
      </c>
      <c r="B110" s="1">
        <f t="shared" si="1"/>
        <v>81050108</v>
      </c>
      <c r="C110" s="1" t="s">
        <v>899</v>
      </c>
      <c r="D110" s="1" t="s">
        <v>103</v>
      </c>
      <c r="E110" s="1" t="s">
        <v>1031</v>
      </c>
    </row>
    <row r="111" spans="1:5" x14ac:dyDescent="0.35">
      <c r="A111" s="1">
        <v>81069651</v>
      </c>
      <c r="B111" s="1">
        <f t="shared" si="1"/>
        <v>81069651</v>
      </c>
      <c r="C111" s="1" t="s">
        <v>900</v>
      </c>
      <c r="D111" s="1" t="s">
        <v>103</v>
      </c>
      <c r="E111" s="1" t="s">
        <v>1031</v>
      </c>
    </row>
    <row r="112" spans="1:5" x14ac:dyDescent="0.35">
      <c r="A112" s="1">
        <v>81056787</v>
      </c>
      <c r="B112" s="1">
        <f t="shared" si="1"/>
        <v>81056787</v>
      </c>
      <c r="C112" s="1" t="s">
        <v>901</v>
      </c>
      <c r="D112" s="1" t="s">
        <v>103</v>
      </c>
      <c r="E112" s="1" t="s">
        <v>1031</v>
      </c>
    </row>
    <row r="113" spans="1:5" x14ac:dyDescent="0.35">
      <c r="A113" s="1">
        <v>81069660</v>
      </c>
      <c r="B113" s="1">
        <f t="shared" si="1"/>
        <v>81069660</v>
      </c>
      <c r="C113" s="1" t="s">
        <v>902</v>
      </c>
      <c r="D113" s="1" t="s">
        <v>103</v>
      </c>
      <c r="E113" s="1" t="s">
        <v>1031</v>
      </c>
    </row>
    <row r="114" spans="1:5" x14ac:dyDescent="0.35">
      <c r="A114" s="1">
        <v>81075303</v>
      </c>
      <c r="B114" s="1">
        <f t="shared" si="1"/>
        <v>81075303</v>
      </c>
      <c r="C114" s="1" t="s">
        <v>903</v>
      </c>
      <c r="D114" s="1" t="s">
        <v>103</v>
      </c>
      <c r="E114" s="1" t="s">
        <v>1031</v>
      </c>
    </row>
    <row r="115" spans="1:5" x14ac:dyDescent="0.35">
      <c r="A115" s="1">
        <v>80937158</v>
      </c>
      <c r="B115" s="1">
        <f t="shared" si="1"/>
        <v>80937158</v>
      </c>
      <c r="C115" s="1" t="s">
        <v>904</v>
      </c>
      <c r="D115" s="1" t="s">
        <v>103</v>
      </c>
      <c r="E115" s="1" t="s">
        <v>1031</v>
      </c>
    </row>
    <row r="116" spans="1:5" x14ac:dyDescent="0.35">
      <c r="A116" s="1">
        <v>80347844</v>
      </c>
      <c r="B116" s="1">
        <f t="shared" si="1"/>
        <v>80347844</v>
      </c>
      <c r="C116" s="1" t="s">
        <v>905</v>
      </c>
      <c r="D116" s="1" t="s">
        <v>103</v>
      </c>
      <c r="E116" s="1" t="s">
        <v>1031</v>
      </c>
    </row>
    <row r="117" spans="1:5" x14ac:dyDescent="0.35">
      <c r="A117" s="1">
        <v>7292783</v>
      </c>
      <c r="B117" s="1">
        <f t="shared" si="1"/>
        <v>7292783</v>
      </c>
      <c r="C117" s="1" t="s">
        <v>906</v>
      </c>
      <c r="D117" s="1" t="s">
        <v>103</v>
      </c>
      <c r="E117" s="1" t="s">
        <v>1031</v>
      </c>
    </row>
    <row r="118" spans="1:5" x14ac:dyDescent="0.35">
      <c r="A118" s="1">
        <v>81007506</v>
      </c>
      <c r="B118" s="1">
        <f t="shared" si="1"/>
        <v>81007506</v>
      </c>
      <c r="C118" s="1" t="s">
        <v>907</v>
      </c>
      <c r="D118" s="1" t="s">
        <v>103</v>
      </c>
      <c r="E118" s="1" t="s">
        <v>1031</v>
      </c>
    </row>
    <row r="119" spans="1:5" x14ac:dyDescent="0.35">
      <c r="A119" s="1">
        <v>80974083</v>
      </c>
      <c r="B119" s="1">
        <f t="shared" si="1"/>
        <v>80974083</v>
      </c>
      <c r="C119" s="1" t="s">
        <v>908</v>
      </c>
      <c r="D119" s="1" t="s">
        <v>103</v>
      </c>
      <c r="E119" s="1" t="s">
        <v>1031</v>
      </c>
    </row>
    <row r="120" spans="1:5" x14ac:dyDescent="0.35">
      <c r="A120" s="1">
        <v>80974090</v>
      </c>
      <c r="B120" s="1">
        <f t="shared" si="1"/>
        <v>80974090</v>
      </c>
      <c r="C120" s="1" t="s">
        <v>909</v>
      </c>
      <c r="D120" s="1" t="s">
        <v>103</v>
      </c>
      <c r="E120" s="1" t="s">
        <v>1031</v>
      </c>
    </row>
    <row r="121" spans="1:5" x14ac:dyDescent="0.35">
      <c r="A121" s="1">
        <v>81055790</v>
      </c>
      <c r="B121" s="1">
        <f t="shared" si="1"/>
        <v>81055790</v>
      </c>
      <c r="C121" s="1" t="s">
        <v>910</v>
      </c>
      <c r="D121" s="1" t="s">
        <v>103</v>
      </c>
      <c r="E121" s="1" t="s">
        <v>1031</v>
      </c>
    </row>
    <row r="122" spans="1:5" x14ac:dyDescent="0.35">
      <c r="A122" s="1">
        <v>80169183</v>
      </c>
      <c r="B122" s="1">
        <f t="shared" si="1"/>
        <v>80169183</v>
      </c>
      <c r="C122" s="1" t="s">
        <v>911</v>
      </c>
      <c r="D122" s="1" t="s">
        <v>103</v>
      </c>
      <c r="E122" s="1" t="s">
        <v>1031</v>
      </c>
    </row>
    <row r="123" spans="1:5" x14ac:dyDescent="0.35">
      <c r="A123" s="1">
        <v>80191087</v>
      </c>
      <c r="B123" s="1">
        <f t="shared" si="1"/>
        <v>80191087</v>
      </c>
      <c r="C123" s="1" t="s">
        <v>912</v>
      </c>
      <c r="D123" s="1" t="s">
        <v>11</v>
      </c>
      <c r="E123" s="1" t="s">
        <v>1032</v>
      </c>
    </row>
    <row r="124" spans="1:5" x14ac:dyDescent="0.35">
      <c r="A124" s="1">
        <v>80590162</v>
      </c>
      <c r="B124" s="1">
        <f t="shared" si="1"/>
        <v>80590162</v>
      </c>
      <c r="C124" s="1" t="s">
        <v>913</v>
      </c>
      <c r="D124" s="1" t="s">
        <v>11</v>
      </c>
      <c r="E124" s="1" t="s">
        <v>1032</v>
      </c>
    </row>
    <row r="125" spans="1:5" x14ac:dyDescent="0.35">
      <c r="A125" s="1">
        <v>80920294</v>
      </c>
      <c r="B125" s="1">
        <f t="shared" si="1"/>
        <v>80920294</v>
      </c>
      <c r="C125" s="1" t="s">
        <v>914</v>
      </c>
      <c r="D125" s="1" t="s">
        <v>11</v>
      </c>
      <c r="E125" s="1" t="s">
        <v>1032</v>
      </c>
    </row>
    <row r="126" spans="1:5" x14ac:dyDescent="0.35">
      <c r="A126" s="1">
        <v>80191349</v>
      </c>
      <c r="B126" s="1">
        <f t="shared" si="1"/>
        <v>80191349</v>
      </c>
      <c r="C126" s="1" t="s">
        <v>915</v>
      </c>
      <c r="D126" s="1" t="s">
        <v>11</v>
      </c>
      <c r="E126" s="1" t="s">
        <v>1032</v>
      </c>
    </row>
    <row r="127" spans="1:5" x14ac:dyDescent="0.35">
      <c r="A127" s="1">
        <v>80929218</v>
      </c>
      <c r="B127" s="1">
        <f t="shared" si="1"/>
        <v>80929218</v>
      </c>
      <c r="C127" s="1" t="s">
        <v>916</v>
      </c>
      <c r="D127" s="1" t="s">
        <v>11</v>
      </c>
      <c r="E127" s="1" t="s">
        <v>1032</v>
      </c>
    </row>
    <row r="128" spans="1:5" x14ac:dyDescent="0.35">
      <c r="A128" s="1">
        <v>81035922</v>
      </c>
      <c r="B128" s="1">
        <f t="shared" si="1"/>
        <v>81035922</v>
      </c>
      <c r="C128" s="1" t="s">
        <v>917</v>
      </c>
      <c r="D128" s="1" t="s">
        <v>11</v>
      </c>
      <c r="E128" s="1" t="s">
        <v>1032</v>
      </c>
    </row>
    <row r="129" spans="1:5" x14ac:dyDescent="0.35">
      <c r="A129" s="1">
        <v>81063300</v>
      </c>
      <c r="B129" s="1">
        <f t="shared" si="1"/>
        <v>81063300</v>
      </c>
      <c r="C129" s="1" t="s">
        <v>918</v>
      </c>
      <c r="D129" s="1" t="s">
        <v>11</v>
      </c>
      <c r="E129" s="1" t="s">
        <v>1032</v>
      </c>
    </row>
    <row r="130" spans="1:5" x14ac:dyDescent="0.35">
      <c r="A130" s="1">
        <v>81068736</v>
      </c>
      <c r="B130" s="1">
        <f t="shared" ref="B130:B193" si="2">IFERROR(A130*1,A130)</f>
        <v>81068736</v>
      </c>
      <c r="C130" s="1" t="s">
        <v>919</v>
      </c>
      <c r="D130" s="1" t="s">
        <v>11</v>
      </c>
      <c r="E130" s="1" t="s">
        <v>1032</v>
      </c>
    </row>
    <row r="131" spans="1:5" x14ac:dyDescent="0.35">
      <c r="A131" s="1">
        <v>80739402</v>
      </c>
      <c r="B131" s="1">
        <f t="shared" si="2"/>
        <v>80739402</v>
      </c>
      <c r="C131" s="1" t="s">
        <v>920</v>
      </c>
      <c r="D131" s="1" t="s">
        <v>11</v>
      </c>
      <c r="E131" s="1" t="s">
        <v>1032</v>
      </c>
    </row>
    <row r="132" spans="1:5" x14ac:dyDescent="0.35">
      <c r="A132" s="1">
        <v>81074094</v>
      </c>
      <c r="B132" s="1">
        <f t="shared" si="2"/>
        <v>81074094</v>
      </c>
      <c r="C132" s="1" t="s">
        <v>921</v>
      </c>
      <c r="D132" s="1" t="s">
        <v>11</v>
      </c>
      <c r="E132" s="1" t="s">
        <v>1032</v>
      </c>
    </row>
    <row r="133" spans="1:5" x14ac:dyDescent="0.35">
      <c r="A133" s="1">
        <v>81074682</v>
      </c>
      <c r="B133" s="1">
        <f t="shared" si="2"/>
        <v>81074682</v>
      </c>
      <c r="C133" s="1" t="s">
        <v>922</v>
      </c>
      <c r="D133" s="1" t="s">
        <v>11</v>
      </c>
      <c r="E133" s="1" t="s">
        <v>1032</v>
      </c>
    </row>
    <row r="134" spans="1:5" x14ac:dyDescent="0.35">
      <c r="A134" s="1">
        <v>80768689</v>
      </c>
      <c r="B134" s="1">
        <f t="shared" si="2"/>
        <v>80768689</v>
      </c>
      <c r="C134" s="1" t="s">
        <v>923</v>
      </c>
      <c r="D134" s="1" t="s">
        <v>11</v>
      </c>
      <c r="E134" s="1" t="s">
        <v>1032</v>
      </c>
    </row>
    <row r="135" spans="1:5" x14ac:dyDescent="0.35">
      <c r="A135" s="1">
        <v>80998760</v>
      </c>
      <c r="B135" s="1">
        <f t="shared" si="2"/>
        <v>80998760</v>
      </c>
      <c r="C135" s="1" t="s">
        <v>924</v>
      </c>
      <c r="D135" s="1" t="s">
        <v>11</v>
      </c>
      <c r="E135" s="1" t="s">
        <v>1032</v>
      </c>
    </row>
    <row r="136" spans="1:5" x14ac:dyDescent="0.35">
      <c r="A136" s="1">
        <v>80879129</v>
      </c>
      <c r="B136" s="1">
        <f t="shared" si="2"/>
        <v>80879129</v>
      </c>
      <c r="C136" s="1" t="s">
        <v>925</v>
      </c>
      <c r="D136" s="1" t="s">
        <v>11</v>
      </c>
      <c r="E136" s="1" t="s">
        <v>1032</v>
      </c>
    </row>
    <row r="137" spans="1:5" x14ac:dyDescent="0.35">
      <c r="A137" s="1">
        <v>81086188</v>
      </c>
      <c r="B137" s="1">
        <f t="shared" si="2"/>
        <v>81086188</v>
      </c>
      <c r="C137" s="1" t="s">
        <v>926</v>
      </c>
      <c r="D137" s="1" t="s">
        <v>11</v>
      </c>
      <c r="E137" s="1" t="s">
        <v>1032</v>
      </c>
    </row>
    <row r="138" spans="1:5" x14ac:dyDescent="0.35">
      <c r="A138" s="1">
        <v>80653622</v>
      </c>
      <c r="B138" s="1">
        <f t="shared" si="2"/>
        <v>80653622</v>
      </c>
      <c r="C138" s="1" t="s">
        <v>927</v>
      </c>
      <c r="D138" s="1" t="s">
        <v>15</v>
      </c>
      <c r="E138" s="1" t="s">
        <v>1033</v>
      </c>
    </row>
    <row r="139" spans="1:5" x14ac:dyDescent="0.35">
      <c r="A139" s="1">
        <v>81060834</v>
      </c>
      <c r="B139" s="1">
        <f t="shared" si="2"/>
        <v>81060834</v>
      </c>
      <c r="C139" s="1" t="s">
        <v>928</v>
      </c>
      <c r="D139" s="1" t="s">
        <v>15</v>
      </c>
      <c r="E139" s="1" t="s">
        <v>1033</v>
      </c>
    </row>
    <row r="140" spans="1:5" x14ac:dyDescent="0.35">
      <c r="A140" s="1">
        <v>80993133</v>
      </c>
      <c r="B140" s="1">
        <f t="shared" si="2"/>
        <v>80993133</v>
      </c>
      <c r="C140" s="1" t="s">
        <v>929</v>
      </c>
      <c r="D140" s="1" t="s">
        <v>15</v>
      </c>
      <c r="E140" s="1" t="s">
        <v>1033</v>
      </c>
    </row>
    <row r="141" spans="1:5" x14ac:dyDescent="0.35">
      <c r="A141" s="1">
        <v>80387418</v>
      </c>
      <c r="B141" s="1">
        <f t="shared" si="2"/>
        <v>80387418</v>
      </c>
      <c r="C141" s="1" t="s">
        <v>930</v>
      </c>
      <c r="D141" s="1" t="s">
        <v>15</v>
      </c>
      <c r="E141" s="1" t="s">
        <v>1033</v>
      </c>
    </row>
    <row r="142" spans="1:5" x14ac:dyDescent="0.35">
      <c r="A142" s="1">
        <v>80526758</v>
      </c>
      <c r="B142" s="1">
        <f t="shared" si="2"/>
        <v>80526758</v>
      </c>
      <c r="C142" s="1" t="s">
        <v>931</v>
      </c>
      <c r="D142" s="1" t="s">
        <v>15</v>
      </c>
      <c r="E142" s="1" t="s">
        <v>1033</v>
      </c>
    </row>
    <row r="143" spans="1:5" x14ac:dyDescent="0.35">
      <c r="A143" s="1">
        <v>80975328</v>
      </c>
      <c r="B143" s="1">
        <f t="shared" si="2"/>
        <v>80975328</v>
      </c>
      <c r="C143" s="1" t="s">
        <v>932</v>
      </c>
      <c r="D143" s="1" t="s">
        <v>15</v>
      </c>
      <c r="E143" s="1" t="s">
        <v>1033</v>
      </c>
    </row>
    <row r="144" spans="1:5" x14ac:dyDescent="0.35">
      <c r="A144" s="1">
        <v>81063171</v>
      </c>
      <c r="B144" s="1">
        <f t="shared" si="2"/>
        <v>81063171</v>
      </c>
      <c r="C144" s="1" t="s">
        <v>933</v>
      </c>
      <c r="D144" s="1" t="s">
        <v>15</v>
      </c>
      <c r="E144" s="1" t="s">
        <v>1033</v>
      </c>
    </row>
    <row r="145" spans="1:5" x14ac:dyDescent="0.35">
      <c r="A145" s="1">
        <v>81059923</v>
      </c>
      <c r="B145" s="1">
        <f t="shared" si="2"/>
        <v>81059923</v>
      </c>
      <c r="C145" s="1" t="s">
        <v>934</v>
      </c>
      <c r="D145" s="1" t="s">
        <v>15</v>
      </c>
      <c r="E145" s="1" t="s">
        <v>1033</v>
      </c>
    </row>
    <row r="146" spans="1:5" x14ac:dyDescent="0.35">
      <c r="A146" s="1">
        <v>81082136</v>
      </c>
      <c r="B146" s="1">
        <f t="shared" si="2"/>
        <v>81082136</v>
      </c>
      <c r="C146" s="1" t="s">
        <v>935</v>
      </c>
      <c r="D146" s="1" t="s">
        <v>15</v>
      </c>
      <c r="E146" s="1" t="s">
        <v>1033</v>
      </c>
    </row>
    <row r="147" spans="1:5" x14ac:dyDescent="0.35">
      <c r="A147" s="1">
        <v>81082137</v>
      </c>
      <c r="B147" s="1">
        <f t="shared" si="2"/>
        <v>81082137</v>
      </c>
      <c r="C147" s="1" t="s">
        <v>936</v>
      </c>
      <c r="D147" s="1" t="s">
        <v>17</v>
      </c>
      <c r="E147" s="1" t="s">
        <v>1032</v>
      </c>
    </row>
    <row r="148" spans="1:5" x14ac:dyDescent="0.35">
      <c r="A148" s="1">
        <v>80739356</v>
      </c>
      <c r="B148" s="1">
        <f t="shared" si="2"/>
        <v>80739356</v>
      </c>
      <c r="C148" s="1" t="s">
        <v>937</v>
      </c>
      <c r="D148" s="1" t="s">
        <v>4</v>
      </c>
      <c r="E148" s="1" t="s">
        <v>1033</v>
      </c>
    </row>
    <row r="149" spans="1:5" x14ac:dyDescent="0.35">
      <c r="A149" s="1">
        <v>81063334</v>
      </c>
      <c r="B149" s="1">
        <f t="shared" si="2"/>
        <v>81063334</v>
      </c>
      <c r="C149" s="1" t="s">
        <v>938</v>
      </c>
      <c r="D149" s="1" t="s">
        <v>15</v>
      </c>
      <c r="E149" s="1" t="s">
        <v>1033</v>
      </c>
    </row>
    <row r="150" spans="1:5" x14ac:dyDescent="0.35">
      <c r="A150" s="1">
        <v>81082127</v>
      </c>
      <c r="B150" s="1">
        <f t="shared" si="2"/>
        <v>81082127</v>
      </c>
      <c r="C150" s="1" t="s">
        <v>939</v>
      </c>
      <c r="D150" s="1" t="s">
        <v>15</v>
      </c>
      <c r="E150" s="1" t="s">
        <v>1033</v>
      </c>
    </row>
    <row r="151" spans="1:5" x14ac:dyDescent="0.35">
      <c r="A151" s="1">
        <v>81038920</v>
      </c>
      <c r="B151" s="1">
        <f t="shared" si="2"/>
        <v>81038920</v>
      </c>
      <c r="C151" s="1" t="s">
        <v>940</v>
      </c>
      <c r="D151" s="1" t="s">
        <v>15</v>
      </c>
      <c r="E151" s="1" t="s">
        <v>1033</v>
      </c>
    </row>
    <row r="152" spans="1:5" x14ac:dyDescent="0.35">
      <c r="A152" s="1">
        <v>80789060</v>
      </c>
      <c r="B152" s="1">
        <f t="shared" si="2"/>
        <v>80789060</v>
      </c>
      <c r="C152" s="1" t="s">
        <v>941</v>
      </c>
      <c r="D152" s="1" t="s">
        <v>15</v>
      </c>
      <c r="E152" s="1" t="s">
        <v>1033</v>
      </c>
    </row>
    <row r="153" spans="1:5" x14ac:dyDescent="0.35">
      <c r="A153" s="1">
        <v>80850126</v>
      </c>
      <c r="B153" s="1">
        <f t="shared" si="2"/>
        <v>80850126</v>
      </c>
      <c r="C153" s="1" t="s">
        <v>942</v>
      </c>
      <c r="D153" s="1" t="s">
        <v>15</v>
      </c>
      <c r="E153" s="1" t="s">
        <v>1033</v>
      </c>
    </row>
    <row r="154" spans="1:5" x14ac:dyDescent="0.35">
      <c r="A154" s="1">
        <v>81038913</v>
      </c>
      <c r="B154" s="1">
        <f t="shared" si="2"/>
        <v>81038913</v>
      </c>
      <c r="C154" s="1" t="s">
        <v>943</v>
      </c>
      <c r="D154" s="1" t="s">
        <v>15</v>
      </c>
      <c r="E154" s="1" t="s">
        <v>1033</v>
      </c>
    </row>
    <row r="155" spans="1:5" x14ac:dyDescent="0.35">
      <c r="A155" s="1">
        <v>81019924</v>
      </c>
      <c r="B155" s="1">
        <f t="shared" si="2"/>
        <v>81019924</v>
      </c>
      <c r="C155" s="1" t="s">
        <v>944</v>
      </c>
      <c r="D155" s="1" t="s">
        <v>15</v>
      </c>
      <c r="E155" s="1" t="s">
        <v>1033</v>
      </c>
    </row>
    <row r="156" spans="1:5" x14ac:dyDescent="0.35">
      <c r="A156" s="1">
        <v>80185023</v>
      </c>
      <c r="B156" s="1">
        <f t="shared" si="2"/>
        <v>80185023</v>
      </c>
      <c r="C156" s="1" t="s">
        <v>945</v>
      </c>
      <c r="D156" s="1" t="s">
        <v>15</v>
      </c>
      <c r="E156" s="1" t="s">
        <v>1033</v>
      </c>
    </row>
    <row r="157" spans="1:5" x14ac:dyDescent="0.35">
      <c r="A157" s="1">
        <v>80904102</v>
      </c>
      <c r="B157" s="1">
        <f t="shared" si="2"/>
        <v>80904102</v>
      </c>
      <c r="C157" s="1" t="s">
        <v>946</v>
      </c>
      <c r="D157" s="1" t="s">
        <v>15</v>
      </c>
      <c r="E157" s="1" t="s">
        <v>1033</v>
      </c>
    </row>
    <row r="158" spans="1:5" x14ac:dyDescent="0.35">
      <c r="A158" s="1">
        <v>81013812</v>
      </c>
      <c r="B158" s="1">
        <f t="shared" si="2"/>
        <v>81013812</v>
      </c>
      <c r="C158" s="1" t="s">
        <v>947</v>
      </c>
      <c r="D158" s="1" t="s">
        <v>15</v>
      </c>
      <c r="E158" s="1" t="s">
        <v>1033</v>
      </c>
    </row>
    <row r="159" spans="1:5" x14ac:dyDescent="0.35">
      <c r="A159" s="1">
        <v>80854399</v>
      </c>
      <c r="B159" s="1">
        <f t="shared" si="2"/>
        <v>80854399</v>
      </c>
      <c r="C159" s="1" t="s">
        <v>948</v>
      </c>
      <c r="D159" s="1" t="s">
        <v>15</v>
      </c>
      <c r="E159" s="1" t="s">
        <v>1033</v>
      </c>
    </row>
    <row r="160" spans="1:5" x14ac:dyDescent="0.35">
      <c r="A160" s="1">
        <v>80653413</v>
      </c>
      <c r="B160" s="1">
        <f t="shared" si="2"/>
        <v>80653413</v>
      </c>
      <c r="C160" s="1" t="s">
        <v>949</v>
      </c>
      <c r="D160" s="1" t="s">
        <v>16</v>
      </c>
      <c r="E160" s="1" t="s">
        <v>1033</v>
      </c>
    </row>
    <row r="161" spans="1:5" x14ac:dyDescent="0.35">
      <c r="A161" s="1">
        <v>80178933</v>
      </c>
      <c r="B161" s="1">
        <f t="shared" si="2"/>
        <v>80178933</v>
      </c>
      <c r="C161" s="1" t="s">
        <v>950</v>
      </c>
      <c r="D161" s="1" t="s">
        <v>16</v>
      </c>
      <c r="E161" s="1" t="s">
        <v>1033</v>
      </c>
    </row>
    <row r="162" spans="1:5" x14ac:dyDescent="0.35">
      <c r="A162" s="1">
        <v>80653630</v>
      </c>
      <c r="B162" s="1">
        <f t="shared" si="2"/>
        <v>80653630</v>
      </c>
      <c r="C162" s="1" t="s">
        <v>951</v>
      </c>
      <c r="D162" s="1" t="s">
        <v>16</v>
      </c>
      <c r="E162" s="1" t="s">
        <v>1033</v>
      </c>
    </row>
    <row r="163" spans="1:5" x14ac:dyDescent="0.35">
      <c r="A163" s="1">
        <v>80189268</v>
      </c>
      <c r="B163" s="1">
        <f t="shared" si="2"/>
        <v>80189268</v>
      </c>
      <c r="C163" s="1" t="s">
        <v>952</v>
      </c>
      <c r="D163" s="1" t="s">
        <v>16</v>
      </c>
      <c r="E163" s="1" t="s">
        <v>1033</v>
      </c>
    </row>
    <row r="164" spans="1:5" x14ac:dyDescent="0.35">
      <c r="A164" s="1">
        <v>80205438</v>
      </c>
      <c r="B164" s="1">
        <f t="shared" si="2"/>
        <v>80205438</v>
      </c>
      <c r="C164" s="1" t="s">
        <v>953</v>
      </c>
      <c r="D164" s="1" t="s">
        <v>16</v>
      </c>
      <c r="E164" s="1" t="s">
        <v>1033</v>
      </c>
    </row>
    <row r="165" spans="1:5" x14ac:dyDescent="0.35">
      <c r="A165" s="1">
        <v>80781241</v>
      </c>
      <c r="B165" s="1">
        <f t="shared" si="2"/>
        <v>80781241</v>
      </c>
      <c r="C165" s="1" t="s">
        <v>954</v>
      </c>
      <c r="D165" s="1" t="s">
        <v>16</v>
      </c>
      <c r="E165" s="1" t="s">
        <v>1033</v>
      </c>
    </row>
    <row r="166" spans="1:5" x14ac:dyDescent="0.35">
      <c r="A166" s="1">
        <v>80188828</v>
      </c>
      <c r="B166" s="1">
        <f t="shared" si="2"/>
        <v>80188828</v>
      </c>
      <c r="C166" s="1" t="s">
        <v>955</v>
      </c>
      <c r="D166" s="1" t="s">
        <v>16</v>
      </c>
      <c r="E166" s="1" t="s">
        <v>1033</v>
      </c>
    </row>
    <row r="167" spans="1:5" x14ac:dyDescent="0.35">
      <c r="A167" s="1">
        <v>80641783</v>
      </c>
      <c r="B167" s="1">
        <f t="shared" si="2"/>
        <v>80641783</v>
      </c>
      <c r="C167" s="1" t="s">
        <v>956</v>
      </c>
      <c r="D167" s="1" t="s">
        <v>16</v>
      </c>
      <c r="E167" s="1" t="s">
        <v>1033</v>
      </c>
    </row>
    <row r="168" spans="1:5" x14ac:dyDescent="0.35">
      <c r="A168" s="1">
        <v>80629979</v>
      </c>
      <c r="B168" s="1">
        <f t="shared" si="2"/>
        <v>80629979</v>
      </c>
      <c r="C168" s="1" t="s">
        <v>957</v>
      </c>
      <c r="D168" s="1" t="s">
        <v>16</v>
      </c>
      <c r="E168" s="1" t="s">
        <v>1033</v>
      </c>
    </row>
    <row r="169" spans="1:5" x14ac:dyDescent="0.35">
      <c r="A169" s="1">
        <v>80680688</v>
      </c>
      <c r="B169" s="1">
        <f t="shared" si="2"/>
        <v>80680688</v>
      </c>
      <c r="C169" s="1" t="s">
        <v>958</v>
      </c>
      <c r="D169" s="1" t="s">
        <v>16</v>
      </c>
      <c r="E169" s="1" t="s">
        <v>1033</v>
      </c>
    </row>
    <row r="170" spans="1:5" x14ac:dyDescent="0.35">
      <c r="A170" s="1">
        <v>80175597</v>
      </c>
      <c r="B170" s="1">
        <f t="shared" si="2"/>
        <v>80175597</v>
      </c>
      <c r="C170" s="1" t="s">
        <v>959</v>
      </c>
      <c r="D170" s="1" t="s">
        <v>16</v>
      </c>
      <c r="E170" s="1" t="s">
        <v>1033</v>
      </c>
    </row>
    <row r="171" spans="1:5" x14ac:dyDescent="0.35">
      <c r="A171" s="1">
        <v>80917629</v>
      </c>
      <c r="B171" s="1">
        <f t="shared" si="2"/>
        <v>80917629</v>
      </c>
      <c r="C171" s="1" t="s">
        <v>960</v>
      </c>
      <c r="D171" s="1" t="s">
        <v>16</v>
      </c>
      <c r="E171" s="1" t="s">
        <v>1033</v>
      </c>
    </row>
    <row r="172" spans="1:5" x14ac:dyDescent="0.35">
      <c r="A172" s="1">
        <v>81072035</v>
      </c>
      <c r="B172" s="1">
        <f t="shared" si="2"/>
        <v>81072035</v>
      </c>
      <c r="C172" s="1" t="s">
        <v>961</v>
      </c>
      <c r="D172" s="1" t="s">
        <v>16</v>
      </c>
      <c r="E172" s="1" t="s">
        <v>1033</v>
      </c>
    </row>
    <row r="173" spans="1:5" x14ac:dyDescent="0.35">
      <c r="A173" s="1">
        <v>80653623</v>
      </c>
      <c r="B173" s="1">
        <f t="shared" si="2"/>
        <v>80653623</v>
      </c>
      <c r="C173" s="1" t="s">
        <v>962</v>
      </c>
      <c r="D173" s="1" t="s">
        <v>16</v>
      </c>
      <c r="E173" s="1" t="s">
        <v>1033</v>
      </c>
    </row>
    <row r="174" spans="1:5" x14ac:dyDescent="0.35">
      <c r="A174" s="1">
        <v>80499946</v>
      </c>
      <c r="B174" s="1">
        <f t="shared" si="2"/>
        <v>80499946</v>
      </c>
      <c r="C174" s="1" t="s">
        <v>963</v>
      </c>
      <c r="D174" s="1" t="s">
        <v>16</v>
      </c>
      <c r="E174" s="1" t="s">
        <v>1033</v>
      </c>
    </row>
    <row r="175" spans="1:5" x14ac:dyDescent="0.35">
      <c r="A175" s="1">
        <v>80524668</v>
      </c>
      <c r="B175" s="1">
        <f t="shared" si="2"/>
        <v>80524668</v>
      </c>
      <c r="C175" s="1" t="s">
        <v>964</v>
      </c>
      <c r="D175" s="1" t="s">
        <v>16</v>
      </c>
      <c r="E175" s="1" t="s">
        <v>1033</v>
      </c>
    </row>
    <row r="176" spans="1:5" x14ac:dyDescent="0.35">
      <c r="A176" s="1">
        <v>80745077</v>
      </c>
      <c r="B176" s="1">
        <f t="shared" si="2"/>
        <v>80745077</v>
      </c>
      <c r="C176" s="1" t="s">
        <v>965</v>
      </c>
      <c r="D176" s="1" t="s">
        <v>16</v>
      </c>
      <c r="E176" s="1" t="s">
        <v>1033</v>
      </c>
    </row>
    <row r="177" spans="1:5" x14ac:dyDescent="0.35">
      <c r="A177" s="1">
        <v>80987764</v>
      </c>
      <c r="B177" s="1">
        <f t="shared" si="2"/>
        <v>80987764</v>
      </c>
      <c r="C177" s="1" t="s">
        <v>966</v>
      </c>
      <c r="D177" s="1" t="s">
        <v>16</v>
      </c>
      <c r="E177" s="1" t="s">
        <v>1033</v>
      </c>
    </row>
    <row r="178" spans="1:5" x14ac:dyDescent="0.35">
      <c r="A178" s="1">
        <v>80337651</v>
      </c>
      <c r="B178" s="1">
        <f t="shared" si="2"/>
        <v>80337651</v>
      </c>
      <c r="C178" s="1" t="s">
        <v>967</v>
      </c>
      <c r="D178" s="1" t="s">
        <v>16</v>
      </c>
      <c r="E178" s="1" t="s">
        <v>1033</v>
      </c>
    </row>
    <row r="179" spans="1:5" x14ac:dyDescent="0.35">
      <c r="A179" s="1">
        <v>80933659</v>
      </c>
      <c r="B179" s="1">
        <f t="shared" si="2"/>
        <v>80933659</v>
      </c>
      <c r="C179" s="1" t="s">
        <v>968</v>
      </c>
      <c r="D179" s="1" t="s">
        <v>16</v>
      </c>
      <c r="E179" s="1" t="s">
        <v>1033</v>
      </c>
    </row>
    <row r="180" spans="1:5" x14ac:dyDescent="0.35">
      <c r="A180" s="1">
        <v>80693231</v>
      </c>
      <c r="B180" s="1">
        <f t="shared" si="2"/>
        <v>80693231</v>
      </c>
      <c r="C180" s="1" t="s">
        <v>969</v>
      </c>
      <c r="D180" s="1" t="s">
        <v>17</v>
      </c>
      <c r="E180" s="1" t="s">
        <v>1032</v>
      </c>
    </row>
    <row r="181" spans="1:5" x14ac:dyDescent="0.35">
      <c r="A181" s="1">
        <v>80816545</v>
      </c>
      <c r="B181" s="1">
        <f t="shared" si="2"/>
        <v>80816545</v>
      </c>
      <c r="C181" s="1" t="s">
        <v>970</v>
      </c>
      <c r="D181" s="1" t="s">
        <v>17</v>
      </c>
      <c r="E181" s="1" t="s">
        <v>1032</v>
      </c>
    </row>
    <row r="182" spans="1:5" x14ac:dyDescent="0.35">
      <c r="A182" s="1">
        <v>80187444</v>
      </c>
      <c r="B182" s="1">
        <f t="shared" si="2"/>
        <v>80187444</v>
      </c>
      <c r="C182" s="1" t="s">
        <v>971</v>
      </c>
      <c r="D182" s="1" t="s">
        <v>17</v>
      </c>
      <c r="E182" s="1" t="s">
        <v>1032</v>
      </c>
    </row>
    <row r="183" spans="1:5" x14ac:dyDescent="0.35">
      <c r="A183" s="1">
        <v>81038912</v>
      </c>
      <c r="B183" s="1">
        <f t="shared" si="2"/>
        <v>81038912</v>
      </c>
      <c r="C183" s="1" t="s">
        <v>972</v>
      </c>
      <c r="D183" s="1" t="s">
        <v>17</v>
      </c>
      <c r="E183" s="1" t="s">
        <v>1032</v>
      </c>
    </row>
    <row r="184" spans="1:5" x14ac:dyDescent="0.35">
      <c r="A184" s="1">
        <v>80568516</v>
      </c>
      <c r="B184" s="1">
        <f t="shared" si="2"/>
        <v>80568516</v>
      </c>
      <c r="C184" s="1" t="s">
        <v>973</v>
      </c>
      <c r="D184" s="1" t="s">
        <v>17</v>
      </c>
      <c r="E184" s="1" t="s">
        <v>1032</v>
      </c>
    </row>
    <row r="185" spans="1:5" x14ac:dyDescent="0.35">
      <c r="A185" s="1">
        <v>80860105</v>
      </c>
      <c r="B185" s="1">
        <f t="shared" si="2"/>
        <v>80860105</v>
      </c>
      <c r="C185" s="1" t="s">
        <v>974</v>
      </c>
      <c r="D185" s="1" t="s">
        <v>17</v>
      </c>
      <c r="E185" s="1" t="s">
        <v>1032</v>
      </c>
    </row>
    <row r="186" spans="1:5" x14ac:dyDescent="0.35">
      <c r="A186" s="1">
        <v>80271858</v>
      </c>
      <c r="B186" s="1">
        <f t="shared" si="2"/>
        <v>80271858</v>
      </c>
      <c r="C186" s="1" t="s">
        <v>975</v>
      </c>
      <c r="D186" s="1" t="s">
        <v>17</v>
      </c>
      <c r="E186" s="1" t="s">
        <v>1032</v>
      </c>
    </row>
    <row r="187" spans="1:5" x14ac:dyDescent="0.35">
      <c r="A187" s="1">
        <v>81007114</v>
      </c>
      <c r="B187" s="1">
        <f t="shared" si="2"/>
        <v>81007114</v>
      </c>
      <c r="C187" s="1" t="s">
        <v>976</v>
      </c>
      <c r="D187" s="1" t="s">
        <v>17</v>
      </c>
      <c r="E187" s="1" t="s">
        <v>1032</v>
      </c>
    </row>
    <row r="188" spans="1:5" x14ac:dyDescent="0.35">
      <c r="A188" s="1">
        <v>81070568</v>
      </c>
      <c r="B188" s="1">
        <f t="shared" si="2"/>
        <v>81070568</v>
      </c>
      <c r="C188" s="1" t="s">
        <v>977</v>
      </c>
      <c r="D188" s="1" t="s">
        <v>17</v>
      </c>
      <c r="E188" s="1" t="s">
        <v>1032</v>
      </c>
    </row>
    <row r="189" spans="1:5" x14ac:dyDescent="0.35">
      <c r="A189" s="1">
        <v>80879136</v>
      </c>
      <c r="B189" s="1">
        <f t="shared" si="2"/>
        <v>80879136</v>
      </c>
      <c r="C189" s="1" t="s">
        <v>978</v>
      </c>
      <c r="D189" s="1" t="s">
        <v>17</v>
      </c>
      <c r="E189" s="1" t="s">
        <v>1032</v>
      </c>
    </row>
    <row r="190" spans="1:5" x14ac:dyDescent="0.35">
      <c r="A190" s="1">
        <v>81063326</v>
      </c>
      <c r="B190" s="1">
        <f t="shared" si="2"/>
        <v>81063326</v>
      </c>
      <c r="C190" s="1" t="s">
        <v>979</v>
      </c>
      <c r="D190" s="1" t="s">
        <v>17</v>
      </c>
      <c r="E190" s="1" t="s">
        <v>1032</v>
      </c>
    </row>
    <row r="191" spans="1:5" x14ac:dyDescent="0.35">
      <c r="A191" s="1">
        <v>81070552</v>
      </c>
      <c r="B191" s="1">
        <f t="shared" si="2"/>
        <v>81070552</v>
      </c>
      <c r="C191" s="1" t="s">
        <v>980</v>
      </c>
      <c r="D191" s="1" t="s">
        <v>17</v>
      </c>
      <c r="E191" s="1" t="s">
        <v>1032</v>
      </c>
    </row>
    <row r="192" spans="1:5" x14ac:dyDescent="0.35">
      <c r="A192" s="1">
        <v>5754518</v>
      </c>
      <c r="B192" s="1">
        <f t="shared" si="2"/>
        <v>5754518</v>
      </c>
      <c r="C192" s="1" t="s">
        <v>981</v>
      </c>
      <c r="D192" s="1" t="s">
        <v>17</v>
      </c>
      <c r="E192" s="1" t="s">
        <v>1032</v>
      </c>
    </row>
    <row r="193" spans="1:5" x14ac:dyDescent="0.35">
      <c r="A193" s="1">
        <v>80878656</v>
      </c>
      <c r="B193" s="1">
        <f t="shared" si="2"/>
        <v>80878656</v>
      </c>
      <c r="C193" s="1" t="s">
        <v>982</v>
      </c>
      <c r="D193" s="1" t="s">
        <v>17</v>
      </c>
      <c r="E193" s="1" t="s">
        <v>1032</v>
      </c>
    </row>
    <row r="194" spans="1:5" x14ac:dyDescent="0.35">
      <c r="A194" s="1">
        <v>80933649</v>
      </c>
      <c r="B194" s="1">
        <f t="shared" ref="B194:B238" si="3">IFERROR(A194*1,A194)</f>
        <v>80933649</v>
      </c>
      <c r="C194" s="1" t="s">
        <v>983</v>
      </c>
      <c r="D194" s="1" t="s">
        <v>17</v>
      </c>
      <c r="E194" s="1" t="s">
        <v>1032</v>
      </c>
    </row>
    <row r="195" spans="1:5" x14ac:dyDescent="0.35">
      <c r="A195" s="1">
        <v>81056803</v>
      </c>
      <c r="B195" s="1">
        <f t="shared" si="3"/>
        <v>81056803</v>
      </c>
      <c r="C195" s="1" t="s">
        <v>984</v>
      </c>
      <c r="D195" s="1" t="s">
        <v>17</v>
      </c>
      <c r="E195" s="1" t="s">
        <v>1032</v>
      </c>
    </row>
    <row r="196" spans="1:5" x14ac:dyDescent="0.35">
      <c r="A196" s="1">
        <v>81019926</v>
      </c>
      <c r="B196" s="1">
        <f t="shared" si="3"/>
        <v>81019926</v>
      </c>
      <c r="C196" s="1" t="s">
        <v>985</v>
      </c>
      <c r="D196" s="1" t="s">
        <v>17</v>
      </c>
      <c r="E196" s="1" t="s">
        <v>1032</v>
      </c>
    </row>
    <row r="197" spans="1:5" x14ac:dyDescent="0.35">
      <c r="A197" s="1">
        <v>80917644</v>
      </c>
      <c r="B197" s="1">
        <f t="shared" si="3"/>
        <v>80917644</v>
      </c>
      <c r="C197" s="1" t="s">
        <v>986</v>
      </c>
      <c r="D197" s="1" t="s">
        <v>4</v>
      </c>
      <c r="E197" s="1" t="s">
        <v>1033</v>
      </c>
    </row>
    <row r="198" spans="1:5" x14ac:dyDescent="0.35">
      <c r="A198" s="1">
        <v>81052731</v>
      </c>
      <c r="B198" s="1">
        <f t="shared" si="3"/>
        <v>81052731</v>
      </c>
      <c r="C198" s="1" t="s">
        <v>987</v>
      </c>
      <c r="D198" s="1" t="s">
        <v>4</v>
      </c>
      <c r="E198" s="1" t="s">
        <v>1033</v>
      </c>
    </row>
    <row r="199" spans="1:5" x14ac:dyDescent="0.35">
      <c r="A199" s="1">
        <v>81036014</v>
      </c>
      <c r="B199" s="1">
        <f t="shared" si="3"/>
        <v>81036014</v>
      </c>
      <c r="C199" s="1" t="s">
        <v>988</v>
      </c>
      <c r="D199" s="1" t="s">
        <v>4</v>
      </c>
      <c r="E199" s="1" t="s">
        <v>1033</v>
      </c>
    </row>
    <row r="200" spans="1:5" x14ac:dyDescent="0.35">
      <c r="A200" s="1">
        <v>81019898</v>
      </c>
      <c r="B200" s="1">
        <f t="shared" si="3"/>
        <v>81019898</v>
      </c>
      <c r="C200" s="1" t="s">
        <v>989</v>
      </c>
      <c r="D200" s="1" t="s">
        <v>4</v>
      </c>
      <c r="E200" s="1" t="s">
        <v>1033</v>
      </c>
    </row>
    <row r="201" spans="1:5" x14ac:dyDescent="0.35">
      <c r="A201" s="1">
        <v>81067387</v>
      </c>
      <c r="B201" s="1">
        <f t="shared" si="3"/>
        <v>81067387</v>
      </c>
      <c r="C201" s="1" t="s">
        <v>990</v>
      </c>
      <c r="D201" s="1" t="s">
        <v>4</v>
      </c>
      <c r="E201" s="1" t="s">
        <v>1033</v>
      </c>
    </row>
    <row r="202" spans="1:5" x14ac:dyDescent="0.35">
      <c r="A202" s="1">
        <v>81070562</v>
      </c>
      <c r="B202" s="1">
        <f t="shared" si="3"/>
        <v>81070562</v>
      </c>
      <c r="C202" s="1" t="s">
        <v>991</v>
      </c>
      <c r="D202" s="1" t="s">
        <v>4</v>
      </c>
      <c r="E202" s="1" t="s">
        <v>1033</v>
      </c>
    </row>
    <row r="203" spans="1:5" x14ac:dyDescent="0.35">
      <c r="A203" s="1">
        <v>81069658</v>
      </c>
      <c r="B203" s="1">
        <f t="shared" si="3"/>
        <v>81069658</v>
      </c>
      <c r="C203" s="1" t="s">
        <v>992</v>
      </c>
      <c r="D203" s="1" t="s">
        <v>4</v>
      </c>
      <c r="E203" s="1" t="s">
        <v>1033</v>
      </c>
    </row>
    <row r="204" spans="1:5" x14ac:dyDescent="0.35">
      <c r="A204" s="1">
        <v>80722852</v>
      </c>
      <c r="B204" s="1">
        <f t="shared" si="3"/>
        <v>80722852</v>
      </c>
      <c r="C204" s="1" t="s">
        <v>993</v>
      </c>
      <c r="D204" s="1" t="s">
        <v>4</v>
      </c>
      <c r="E204" s="1" t="s">
        <v>1033</v>
      </c>
    </row>
    <row r="205" spans="1:5" x14ac:dyDescent="0.35">
      <c r="A205" s="1">
        <v>80849519</v>
      </c>
      <c r="B205" s="1">
        <f t="shared" si="3"/>
        <v>80849519</v>
      </c>
      <c r="C205" s="1" t="s">
        <v>994</v>
      </c>
      <c r="D205" s="1" t="s">
        <v>4</v>
      </c>
      <c r="E205" s="1" t="s">
        <v>1033</v>
      </c>
    </row>
    <row r="206" spans="1:5" x14ac:dyDescent="0.35">
      <c r="A206" s="1">
        <v>80922029</v>
      </c>
      <c r="B206" s="1">
        <f t="shared" si="3"/>
        <v>80922029</v>
      </c>
      <c r="C206" s="1" t="s">
        <v>995</v>
      </c>
      <c r="D206" s="1" t="s">
        <v>4</v>
      </c>
      <c r="E206" s="1" t="s">
        <v>1033</v>
      </c>
    </row>
    <row r="207" spans="1:5" x14ac:dyDescent="0.35">
      <c r="A207" s="1">
        <v>81076404</v>
      </c>
      <c r="B207" s="1">
        <f t="shared" si="3"/>
        <v>81076404</v>
      </c>
      <c r="C207" s="1" t="s">
        <v>996</v>
      </c>
      <c r="D207" s="1" t="s">
        <v>4</v>
      </c>
      <c r="E207" s="1" t="s">
        <v>1033</v>
      </c>
    </row>
    <row r="208" spans="1:5" x14ac:dyDescent="0.35">
      <c r="A208" s="1">
        <v>81074680</v>
      </c>
      <c r="B208" s="1">
        <f t="shared" si="3"/>
        <v>81074680</v>
      </c>
      <c r="C208" s="1" t="s">
        <v>997</v>
      </c>
      <c r="D208" s="1" t="s">
        <v>4</v>
      </c>
      <c r="E208" s="1" t="s">
        <v>1033</v>
      </c>
    </row>
    <row r="209" spans="1:5" x14ac:dyDescent="0.35">
      <c r="A209" s="1">
        <v>81042988</v>
      </c>
      <c r="B209" s="1">
        <f t="shared" si="3"/>
        <v>81042988</v>
      </c>
      <c r="C209" s="1" t="s">
        <v>998</v>
      </c>
      <c r="D209" s="1" t="s">
        <v>4</v>
      </c>
      <c r="E209" s="1" t="s">
        <v>1033</v>
      </c>
    </row>
    <row r="210" spans="1:5" x14ac:dyDescent="0.35">
      <c r="A210" s="1">
        <v>81074089</v>
      </c>
      <c r="B210" s="1">
        <f t="shared" si="3"/>
        <v>81074089</v>
      </c>
      <c r="C210" s="1" t="s">
        <v>999</v>
      </c>
      <c r="D210" s="1" t="s">
        <v>4</v>
      </c>
      <c r="E210" s="1" t="s">
        <v>1033</v>
      </c>
    </row>
    <row r="211" spans="1:5" x14ac:dyDescent="0.35">
      <c r="A211" s="1">
        <v>81008621</v>
      </c>
      <c r="B211" s="1">
        <f t="shared" si="3"/>
        <v>81008621</v>
      </c>
      <c r="C211" s="1" t="s">
        <v>1000</v>
      </c>
      <c r="D211" s="1" t="s">
        <v>4</v>
      </c>
      <c r="E211" s="1" t="s">
        <v>1033</v>
      </c>
    </row>
    <row r="212" spans="1:5" x14ac:dyDescent="0.35">
      <c r="A212" s="1">
        <v>80191375</v>
      </c>
      <c r="B212" s="1">
        <f t="shared" si="3"/>
        <v>80191375</v>
      </c>
      <c r="C212" s="1" t="s">
        <v>1001</v>
      </c>
      <c r="D212" s="1" t="s">
        <v>4</v>
      </c>
      <c r="E212" s="1" t="s">
        <v>1033</v>
      </c>
    </row>
    <row r="213" spans="1:5" x14ac:dyDescent="0.35">
      <c r="A213" s="1">
        <v>80924777</v>
      </c>
      <c r="B213" s="1">
        <f t="shared" si="3"/>
        <v>80924777</v>
      </c>
      <c r="C213" s="1" t="s">
        <v>1002</v>
      </c>
      <c r="D213" s="1" t="s">
        <v>4</v>
      </c>
      <c r="E213" s="1" t="s">
        <v>1033</v>
      </c>
    </row>
    <row r="214" spans="1:5" x14ac:dyDescent="0.35">
      <c r="A214" s="1">
        <v>81067362</v>
      </c>
      <c r="B214" s="1">
        <f t="shared" si="3"/>
        <v>81067362</v>
      </c>
      <c r="C214" s="1" t="s">
        <v>1003</v>
      </c>
      <c r="D214" s="1" t="s">
        <v>4</v>
      </c>
      <c r="E214" s="1" t="s">
        <v>1033</v>
      </c>
    </row>
    <row r="215" spans="1:5" x14ac:dyDescent="0.35">
      <c r="A215" s="1">
        <v>80196064</v>
      </c>
      <c r="B215" s="1">
        <f t="shared" si="3"/>
        <v>80196064</v>
      </c>
      <c r="C215" s="1" t="s">
        <v>1004</v>
      </c>
      <c r="D215" s="1" t="s">
        <v>4</v>
      </c>
      <c r="E215" s="1" t="s">
        <v>1033</v>
      </c>
    </row>
    <row r="216" spans="1:5" x14ac:dyDescent="0.35">
      <c r="A216" s="1">
        <v>81038937</v>
      </c>
      <c r="B216" s="1">
        <f t="shared" si="3"/>
        <v>81038937</v>
      </c>
      <c r="C216" s="1" t="s">
        <v>1005</v>
      </c>
      <c r="D216" s="1" t="s">
        <v>4</v>
      </c>
      <c r="E216" s="1" t="s">
        <v>1033</v>
      </c>
    </row>
    <row r="217" spans="1:5" x14ac:dyDescent="0.35">
      <c r="A217" s="1">
        <v>81059927</v>
      </c>
      <c r="B217" s="1">
        <f t="shared" si="3"/>
        <v>81059927</v>
      </c>
      <c r="C217" s="1" t="s">
        <v>1006</v>
      </c>
      <c r="D217" s="1" t="s">
        <v>4</v>
      </c>
      <c r="E217" s="1" t="s">
        <v>1033</v>
      </c>
    </row>
    <row r="218" spans="1:5" x14ac:dyDescent="0.35">
      <c r="A218" s="1">
        <v>80924801</v>
      </c>
      <c r="B218" s="1">
        <f t="shared" si="3"/>
        <v>80924801</v>
      </c>
      <c r="C218" s="1" t="s">
        <v>1007</v>
      </c>
      <c r="D218" s="1" t="s">
        <v>6</v>
      </c>
      <c r="E218" s="1" t="s">
        <v>1031</v>
      </c>
    </row>
    <row r="219" spans="1:5" x14ac:dyDescent="0.35">
      <c r="A219" s="1">
        <v>80653597</v>
      </c>
      <c r="B219" s="1">
        <f t="shared" si="3"/>
        <v>80653597</v>
      </c>
      <c r="C219" s="1" t="s">
        <v>1008</v>
      </c>
      <c r="D219" s="1" t="s">
        <v>6</v>
      </c>
      <c r="E219" s="1" t="s">
        <v>1031</v>
      </c>
    </row>
    <row r="220" spans="1:5" x14ac:dyDescent="0.35">
      <c r="A220" s="1">
        <v>81011094</v>
      </c>
      <c r="B220" s="1">
        <f t="shared" si="3"/>
        <v>81011094</v>
      </c>
      <c r="C220" s="1" t="s">
        <v>1009</v>
      </c>
      <c r="D220" s="1" t="s">
        <v>6</v>
      </c>
      <c r="E220" s="1" t="s">
        <v>1031</v>
      </c>
    </row>
    <row r="221" spans="1:5" x14ac:dyDescent="0.35">
      <c r="A221" s="1">
        <v>80191791</v>
      </c>
      <c r="B221" s="1">
        <f t="shared" si="3"/>
        <v>80191791</v>
      </c>
      <c r="C221" s="1" t="s">
        <v>1010</v>
      </c>
      <c r="D221" s="1" t="s">
        <v>6</v>
      </c>
      <c r="E221" s="1" t="s">
        <v>1031</v>
      </c>
    </row>
    <row r="222" spans="1:5" x14ac:dyDescent="0.35">
      <c r="A222" s="1">
        <v>81006052</v>
      </c>
      <c r="B222" s="1">
        <f t="shared" si="3"/>
        <v>81006052</v>
      </c>
      <c r="C222" s="1" t="s">
        <v>1011</v>
      </c>
      <c r="D222" s="1" t="s">
        <v>6</v>
      </c>
      <c r="E222" s="1" t="s">
        <v>1031</v>
      </c>
    </row>
    <row r="223" spans="1:5" x14ac:dyDescent="0.35">
      <c r="A223" s="1">
        <v>81063380</v>
      </c>
      <c r="B223" s="1">
        <f t="shared" si="3"/>
        <v>81063380</v>
      </c>
      <c r="C223" s="1" t="s">
        <v>1012</v>
      </c>
      <c r="D223" s="1" t="s">
        <v>6</v>
      </c>
      <c r="E223" s="1" t="s">
        <v>1031</v>
      </c>
    </row>
    <row r="224" spans="1:5" x14ac:dyDescent="0.35">
      <c r="A224" s="1">
        <v>7237901</v>
      </c>
      <c r="B224" s="1">
        <f t="shared" si="3"/>
        <v>7237901</v>
      </c>
      <c r="C224" s="1" t="s">
        <v>1013</v>
      </c>
      <c r="D224" s="1" t="s">
        <v>6</v>
      </c>
      <c r="E224" s="1" t="s">
        <v>1031</v>
      </c>
    </row>
    <row r="225" spans="1:5" x14ac:dyDescent="0.35">
      <c r="A225" s="1">
        <v>80191185</v>
      </c>
      <c r="B225" s="1">
        <f t="shared" si="3"/>
        <v>80191185</v>
      </c>
      <c r="C225" s="1" t="s">
        <v>1014</v>
      </c>
      <c r="D225" s="1" t="s">
        <v>6</v>
      </c>
      <c r="E225" s="1" t="s">
        <v>1031</v>
      </c>
    </row>
    <row r="226" spans="1:5" x14ac:dyDescent="0.35">
      <c r="A226" s="1">
        <v>80202484</v>
      </c>
      <c r="B226" s="1">
        <f t="shared" si="3"/>
        <v>80202484</v>
      </c>
      <c r="C226" s="1" t="s">
        <v>1015</v>
      </c>
      <c r="D226" s="1" t="s">
        <v>6</v>
      </c>
      <c r="E226" s="1" t="s">
        <v>1031</v>
      </c>
    </row>
    <row r="227" spans="1:5" x14ac:dyDescent="0.35">
      <c r="A227" s="1">
        <v>81015420</v>
      </c>
      <c r="B227" s="1">
        <f t="shared" si="3"/>
        <v>81015420</v>
      </c>
      <c r="C227" s="1" t="s">
        <v>1016</v>
      </c>
      <c r="D227" s="1" t="s">
        <v>6</v>
      </c>
      <c r="E227" s="1" t="s">
        <v>1031</v>
      </c>
    </row>
    <row r="228" spans="1:5" x14ac:dyDescent="0.35">
      <c r="A228" s="1">
        <v>81055794</v>
      </c>
      <c r="B228" s="1">
        <f t="shared" si="3"/>
        <v>81055794</v>
      </c>
      <c r="C228" s="1" t="s">
        <v>1017</v>
      </c>
      <c r="D228" s="1" t="s">
        <v>6</v>
      </c>
      <c r="E228" s="1" t="s">
        <v>1031</v>
      </c>
    </row>
    <row r="229" spans="1:5" x14ac:dyDescent="0.35">
      <c r="A229" s="1">
        <v>81056772</v>
      </c>
      <c r="B229" s="1">
        <f t="shared" si="3"/>
        <v>81056772</v>
      </c>
      <c r="C229" s="1" t="s">
        <v>1018</v>
      </c>
      <c r="D229" s="1" t="s">
        <v>6</v>
      </c>
      <c r="E229" s="1" t="s">
        <v>1031</v>
      </c>
    </row>
    <row r="230" spans="1:5" x14ac:dyDescent="0.35">
      <c r="A230" s="1">
        <v>81016656</v>
      </c>
      <c r="B230" s="1">
        <f t="shared" si="3"/>
        <v>81016656</v>
      </c>
      <c r="C230" s="1" t="s">
        <v>1019</v>
      </c>
      <c r="D230" s="1" t="s">
        <v>6</v>
      </c>
      <c r="E230" s="1" t="s">
        <v>1031</v>
      </c>
    </row>
    <row r="231" spans="1:5" x14ac:dyDescent="0.35">
      <c r="A231" s="1">
        <v>80178756</v>
      </c>
      <c r="B231" s="1">
        <f t="shared" si="3"/>
        <v>80178756</v>
      </c>
      <c r="C231" s="1" t="s">
        <v>1020</v>
      </c>
      <c r="D231" s="1" t="s">
        <v>8</v>
      </c>
      <c r="E231" s="1" t="s">
        <v>1031</v>
      </c>
    </row>
    <row r="232" spans="1:5" x14ac:dyDescent="0.35">
      <c r="A232" s="1">
        <v>80179816</v>
      </c>
      <c r="B232" s="1">
        <f t="shared" si="3"/>
        <v>80179816</v>
      </c>
      <c r="C232" s="1" t="s">
        <v>1021</v>
      </c>
      <c r="D232" s="1" t="s">
        <v>8</v>
      </c>
      <c r="E232" s="1" t="s">
        <v>1031</v>
      </c>
    </row>
    <row r="233" spans="1:5" x14ac:dyDescent="0.35">
      <c r="A233" s="1">
        <v>80191399</v>
      </c>
      <c r="B233" s="1">
        <f t="shared" si="3"/>
        <v>80191399</v>
      </c>
      <c r="C233" s="1" t="s">
        <v>1022</v>
      </c>
      <c r="D233" s="1" t="s">
        <v>8</v>
      </c>
      <c r="E233" s="1" t="s">
        <v>1031</v>
      </c>
    </row>
    <row r="234" spans="1:5" x14ac:dyDescent="0.35">
      <c r="A234" s="1">
        <v>80189140</v>
      </c>
      <c r="B234" s="1">
        <f t="shared" si="3"/>
        <v>80189140</v>
      </c>
      <c r="C234" s="1" t="s">
        <v>1023</v>
      </c>
      <c r="D234" s="1" t="s">
        <v>8</v>
      </c>
      <c r="E234" s="1" t="s">
        <v>1031</v>
      </c>
    </row>
    <row r="235" spans="1:5" x14ac:dyDescent="0.35">
      <c r="A235" s="1">
        <v>80191144</v>
      </c>
      <c r="B235" s="1">
        <f t="shared" si="3"/>
        <v>80191144</v>
      </c>
      <c r="C235" s="1" t="s">
        <v>1024</v>
      </c>
      <c r="D235" s="1" t="s">
        <v>8</v>
      </c>
      <c r="E235" s="1" t="s">
        <v>1031</v>
      </c>
    </row>
    <row r="236" spans="1:5" x14ac:dyDescent="0.35">
      <c r="A236" s="1">
        <v>80191775</v>
      </c>
      <c r="B236" s="1">
        <f t="shared" si="3"/>
        <v>80191775</v>
      </c>
      <c r="C236" s="1" t="s">
        <v>1025</v>
      </c>
      <c r="D236" s="1" t="s">
        <v>8</v>
      </c>
      <c r="E236" s="1" t="s">
        <v>1031</v>
      </c>
    </row>
    <row r="237" spans="1:5" x14ac:dyDescent="0.35">
      <c r="A237" s="1">
        <v>80176116</v>
      </c>
      <c r="B237" s="1">
        <f t="shared" si="3"/>
        <v>80176116</v>
      </c>
      <c r="C237" s="1" t="s">
        <v>1026</v>
      </c>
      <c r="D237" s="1" t="s">
        <v>8</v>
      </c>
      <c r="E237" s="1" t="s">
        <v>1031</v>
      </c>
    </row>
    <row r="238" spans="1:5" x14ac:dyDescent="0.35">
      <c r="A238" s="1">
        <v>80972529</v>
      </c>
      <c r="B238" s="1">
        <f t="shared" si="3"/>
        <v>80972529</v>
      </c>
      <c r="C238" s="1" t="s">
        <v>1027</v>
      </c>
      <c r="D238" s="1" t="s">
        <v>8</v>
      </c>
      <c r="E238" s="1" t="s">
        <v>1031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BD39-4CE0-473A-8F35-FC1530FA3D7C}">
  <dimension ref="A1:F2306"/>
  <sheetViews>
    <sheetView showGridLines="0" topLeftCell="A2283" workbookViewId="0">
      <selection activeCell="A2306" sqref="A2306"/>
    </sheetView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6.453125" style="1" bestFit="1" customWidth="1"/>
    <col min="4" max="4" width="7.90625" style="1" bestFit="1" customWidth="1"/>
    <col min="5" max="5" width="7.81640625" style="1" bestFit="1" customWidth="1"/>
    <col min="6" max="6" width="10.36328125" style="1" bestFit="1" customWidth="1"/>
    <col min="7" max="16384" width="8.7265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85</v>
      </c>
      <c r="E1" s="1" t="s">
        <v>29</v>
      </c>
      <c r="F1" s="1" t="s">
        <v>788</v>
      </c>
    </row>
    <row r="2" spans="1:6" x14ac:dyDescent="0.35">
      <c r="A2" s="1">
        <v>42775</v>
      </c>
      <c r="B2" s="2">
        <v>46204</v>
      </c>
      <c r="C2" s="1" t="s">
        <v>3</v>
      </c>
      <c r="D2" s="1">
        <v>2026</v>
      </c>
      <c r="E2" s="1">
        <v>7</v>
      </c>
      <c r="F2" s="1">
        <v>27</v>
      </c>
    </row>
    <row r="3" spans="1:6" x14ac:dyDescent="0.35">
      <c r="A3" s="1">
        <v>42772</v>
      </c>
      <c r="B3" s="2">
        <v>46204</v>
      </c>
      <c r="C3" s="1" t="s">
        <v>4</v>
      </c>
      <c r="D3" s="1">
        <v>2026</v>
      </c>
      <c r="E3" s="1">
        <v>7</v>
      </c>
      <c r="F3" s="1">
        <v>27</v>
      </c>
    </row>
    <row r="4" spans="1:6" x14ac:dyDescent="0.35">
      <c r="A4" s="1">
        <v>42771</v>
      </c>
      <c r="B4" s="2">
        <v>46204</v>
      </c>
      <c r="C4" s="1" t="s">
        <v>4</v>
      </c>
      <c r="D4" s="1">
        <v>2026</v>
      </c>
      <c r="E4" s="1">
        <v>7</v>
      </c>
      <c r="F4" s="1">
        <v>27</v>
      </c>
    </row>
    <row r="5" spans="1:6" x14ac:dyDescent="0.35">
      <c r="A5" s="1">
        <v>42770</v>
      </c>
      <c r="B5" s="2">
        <v>46204</v>
      </c>
      <c r="C5" s="1" t="s">
        <v>5</v>
      </c>
      <c r="D5" s="1">
        <v>2026</v>
      </c>
      <c r="E5" s="1">
        <v>7</v>
      </c>
      <c r="F5" s="1">
        <v>27</v>
      </c>
    </row>
    <row r="6" spans="1:6" x14ac:dyDescent="0.35">
      <c r="A6" s="1">
        <v>42769</v>
      </c>
      <c r="B6" s="2">
        <v>46204</v>
      </c>
      <c r="C6" s="1" t="s">
        <v>6</v>
      </c>
      <c r="D6" s="1">
        <v>2026</v>
      </c>
      <c r="E6" s="1">
        <v>7</v>
      </c>
      <c r="F6" s="1">
        <v>27</v>
      </c>
    </row>
    <row r="7" spans="1:6" x14ac:dyDescent="0.35">
      <c r="A7" s="1">
        <v>42768</v>
      </c>
      <c r="B7" s="2">
        <v>46204</v>
      </c>
      <c r="C7" s="1" t="s">
        <v>6</v>
      </c>
      <c r="D7" s="1">
        <v>2026</v>
      </c>
      <c r="E7" s="1">
        <v>7</v>
      </c>
      <c r="F7" s="1">
        <v>27</v>
      </c>
    </row>
    <row r="8" spans="1:6" x14ac:dyDescent="0.35">
      <c r="A8" s="1">
        <v>42766</v>
      </c>
      <c r="B8" s="2">
        <v>46204</v>
      </c>
      <c r="C8" s="1" t="s">
        <v>5</v>
      </c>
      <c r="D8" s="1">
        <v>2026</v>
      </c>
      <c r="E8" s="1">
        <v>7</v>
      </c>
      <c r="F8" s="1">
        <v>27</v>
      </c>
    </row>
    <row r="9" spans="1:6" x14ac:dyDescent="0.35">
      <c r="A9" s="1">
        <v>42765</v>
      </c>
      <c r="B9" s="2">
        <v>46204</v>
      </c>
      <c r="C9" s="1" t="s">
        <v>5</v>
      </c>
      <c r="D9" s="1">
        <v>2026</v>
      </c>
      <c r="E9" s="1">
        <v>7</v>
      </c>
      <c r="F9" s="1">
        <v>27</v>
      </c>
    </row>
    <row r="10" spans="1:6" x14ac:dyDescent="0.35">
      <c r="A10" s="1">
        <v>42762</v>
      </c>
      <c r="B10" s="2">
        <v>46204</v>
      </c>
      <c r="C10" s="1" t="s">
        <v>7</v>
      </c>
      <c r="D10" s="1">
        <v>2026</v>
      </c>
      <c r="E10" s="1">
        <v>7</v>
      </c>
      <c r="F10" s="1">
        <v>27</v>
      </c>
    </row>
    <row r="11" spans="1:6" x14ac:dyDescent="0.35">
      <c r="A11" s="1">
        <v>42761</v>
      </c>
      <c r="B11" s="2">
        <v>46204</v>
      </c>
      <c r="C11" s="1" t="s">
        <v>7</v>
      </c>
      <c r="D11" s="1">
        <v>2026</v>
      </c>
      <c r="E11" s="1">
        <v>7</v>
      </c>
      <c r="F11" s="1">
        <v>27</v>
      </c>
    </row>
    <row r="12" spans="1:6" x14ac:dyDescent="0.35">
      <c r="A12" s="1">
        <v>42746</v>
      </c>
      <c r="B12" s="2">
        <v>46204</v>
      </c>
      <c r="C12" s="1" t="s">
        <v>5</v>
      </c>
      <c r="D12" s="1">
        <v>2026</v>
      </c>
      <c r="E12" s="1">
        <v>7</v>
      </c>
      <c r="F12" s="1">
        <v>27</v>
      </c>
    </row>
    <row r="13" spans="1:6" x14ac:dyDescent="0.35">
      <c r="A13" s="1">
        <v>42745</v>
      </c>
      <c r="B13" s="2">
        <v>46204</v>
      </c>
      <c r="C13" s="1" t="s">
        <v>8</v>
      </c>
      <c r="D13" s="1">
        <v>2026</v>
      </c>
      <c r="E13" s="1">
        <v>7</v>
      </c>
      <c r="F13" s="1">
        <v>27</v>
      </c>
    </row>
    <row r="14" spans="1:6" x14ac:dyDescent="0.35">
      <c r="A14" s="1">
        <v>42744</v>
      </c>
      <c r="B14" s="2">
        <v>46204</v>
      </c>
      <c r="C14" s="1" t="s">
        <v>5</v>
      </c>
      <c r="D14" s="1">
        <v>2026</v>
      </c>
      <c r="E14" s="1">
        <v>7</v>
      </c>
      <c r="F14" s="1">
        <v>27</v>
      </c>
    </row>
    <row r="15" spans="1:6" x14ac:dyDescent="0.35">
      <c r="A15" s="1">
        <v>42743</v>
      </c>
      <c r="B15" s="2">
        <v>46204</v>
      </c>
      <c r="C15" s="1" t="s">
        <v>8</v>
      </c>
      <c r="D15" s="1">
        <v>2026</v>
      </c>
      <c r="E15" s="1">
        <v>7</v>
      </c>
      <c r="F15" s="1">
        <v>27</v>
      </c>
    </row>
    <row r="16" spans="1:6" x14ac:dyDescent="0.35">
      <c r="A16" s="1">
        <v>42742</v>
      </c>
      <c r="B16" s="2">
        <v>46204</v>
      </c>
      <c r="C16" s="1" t="s">
        <v>5</v>
      </c>
      <c r="D16" s="1">
        <v>2026</v>
      </c>
      <c r="E16" s="1">
        <v>7</v>
      </c>
      <c r="F16" s="1">
        <v>27</v>
      </c>
    </row>
    <row r="17" spans="1:6" x14ac:dyDescent="0.35">
      <c r="A17" s="1">
        <v>42741</v>
      </c>
      <c r="B17" s="2">
        <v>46204</v>
      </c>
      <c r="C17" s="1" t="s">
        <v>5</v>
      </c>
      <c r="D17" s="1">
        <v>2026</v>
      </c>
      <c r="E17" s="1">
        <v>7</v>
      </c>
      <c r="F17" s="1">
        <v>27</v>
      </c>
    </row>
    <row r="18" spans="1:6" x14ac:dyDescent="0.35">
      <c r="A18" s="1">
        <v>42740</v>
      </c>
      <c r="B18" s="2">
        <v>46204</v>
      </c>
      <c r="C18" s="1" t="s">
        <v>5</v>
      </c>
      <c r="D18" s="1">
        <v>2026</v>
      </c>
      <c r="E18" s="1">
        <v>7</v>
      </c>
      <c r="F18" s="1">
        <v>27</v>
      </c>
    </row>
    <row r="19" spans="1:6" x14ac:dyDescent="0.35">
      <c r="A19" s="1">
        <v>42739</v>
      </c>
      <c r="B19" s="2">
        <v>46204</v>
      </c>
      <c r="C19" s="1" t="s">
        <v>5</v>
      </c>
      <c r="D19" s="1">
        <v>2026</v>
      </c>
      <c r="E19" s="1">
        <v>7</v>
      </c>
      <c r="F19" s="1">
        <v>27</v>
      </c>
    </row>
    <row r="20" spans="1:6" x14ac:dyDescent="0.35">
      <c r="A20" s="1">
        <v>42738</v>
      </c>
      <c r="B20" s="2">
        <v>46204</v>
      </c>
      <c r="C20" s="1" t="s">
        <v>5</v>
      </c>
      <c r="D20" s="1">
        <v>2026</v>
      </c>
      <c r="E20" s="1">
        <v>7</v>
      </c>
      <c r="F20" s="1">
        <v>27</v>
      </c>
    </row>
    <row r="21" spans="1:6" x14ac:dyDescent="0.35">
      <c r="A21" s="1">
        <v>42805</v>
      </c>
      <c r="B21" s="2">
        <v>46205</v>
      </c>
      <c r="C21" s="1" t="s">
        <v>9</v>
      </c>
      <c r="D21" s="1">
        <v>2026</v>
      </c>
      <c r="E21" s="1">
        <v>7</v>
      </c>
      <c r="F21" s="1">
        <v>27</v>
      </c>
    </row>
    <row r="22" spans="1:6" x14ac:dyDescent="0.35">
      <c r="A22" s="1">
        <v>42790</v>
      </c>
      <c r="B22" s="2">
        <v>46205</v>
      </c>
      <c r="C22" s="1" t="s">
        <v>9</v>
      </c>
      <c r="D22" s="1">
        <v>2026</v>
      </c>
      <c r="E22" s="1">
        <v>7</v>
      </c>
      <c r="F22" s="1">
        <v>27</v>
      </c>
    </row>
    <row r="23" spans="1:6" x14ac:dyDescent="0.35">
      <c r="A23" s="1">
        <v>42789</v>
      </c>
      <c r="B23" s="2">
        <v>46205</v>
      </c>
      <c r="C23" s="1" t="s">
        <v>9</v>
      </c>
      <c r="D23" s="1">
        <v>2026</v>
      </c>
      <c r="E23" s="1">
        <v>7</v>
      </c>
      <c r="F23" s="1">
        <v>27</v>
      </c>
    </row>
    <row r="24" spans="1:6" x14ac:dyDescent="0.35">
      <c r="A24" s="1">
        <v>42788</v>
      </c>
      <c r="B24" s="2">
        <v>46205</v>
      </c>
      <c r="C24" s="1" t="s">
        <v>8</v>
      </c>
      <c r="D24" s="1">
        <v>2026</v>
      </c>
      <c r="E24" s="1">
        <v>7</v>
      </c>
      <c r="F24" s="1">
        <v>27</v>
      </c>
    </row>
    <row r="25" spans="1:6" x14ac:dyDescent="0.35">
      <c r="A25" s="1">
        <v>42787</v>
      </c>
      <c r="B25" s="2">
        <v>46205</v>
      </c>
      <c r="C25" s="1" t="s">
        <v>8</v>
      </c>
      <c r="D25" s="1">
        <v>2026</v>
      </c>
      <c r="E25" s="1">
        <v>7</v>
      </c>
      <c r="F25" s="1">
        <v>27</v>
      </c>
    </row>
    <row r="26" spans="1:6" x14ac:dyDescent="0.35">
      <c r="A26" s="1">
        <v>42815</v>
      </c>
      <c r="B26" s="2">
        <v>46205</v>
      </c>
      <c r="C26" s="1" t="s">
        <v>9</v>
      </c>
      <c r="D26" s="1">
        <v>2026</v>
      </c>
      <c r="E26" s="1">
        <v>7</v>
      </c>
      <c r="F26" s="1">
        <v>27</v>
      </c>
    </row>
    <row r="27" spans="1:6" x14ac:dyDescent="0.35">
      <c r="A27" s="1">
        <v>42814</v>
      </c>
      <c r="B27" s="2">
        <v>46205</v>
      </c>
      <c r="C27" s="1" t="s">
        <v>9</v>
      </c>
      <c r="D27" s="1">
        <v>2026</v>
      </c>
      <c r="E27" s="1">
        <v>7</v>
      </c>
      <c r="F27" s="1">
        <v>27</v>
      </c>
    </row>
    <row r="28" spans="1:6" x14ac:dyDescent="0.35">
      <c r="A28" s="1">
        <v>42811</v>
      </c>
      <c r="B28" s="2">
        <v>46205</v>
      </c>
      <c r="C28" s="1" t="s">
        <v>5</v>
      </c>
      <c r="D28" s="1">
        <v>2026</v>
      </c>
      <c r="E28" s="1">
        <v>7</v>
      </c>
      <c r="F28" s="1">
        <v>27</v>
      </c>
    </row>
    <row r="29" spans="1:6" x14ac:dyDescent="0.35">
      <c r="A29" s="1">
        <v>42810</v>
      </c>
      <c r="B29" s="2">
        <v>46205</v>
      </c>
      <c r="C29" s="1" t="s">
        <v>5</v>
      </c>
      <c r="D29" s="1">
        <v>2026</v>
      </c>
      <c r="E29" s="1">
        <v>7</v>
      </c>
      <c r="F29" s="1">
        <v>27</v>
      </c>
    </row>
    <row r="30" spans="1:6" x14ac:dyDescent="0.35">
      <c r="A30" s="1">
        <v>42809</v>
      </c>
      <c r="B30" s="2">
        <v>46205</v>
      </c>
      <c r="C30" s="1" t="s">
        <v>5</v>
      </c>
      <c r="D30" s="1">
        <v>2026</v>
      </c>
      <c r="E30" s="1">
        <v>7</v>
      </c>
      <c r="F30" s="1">
        <v>27</v>
      </c>
    </row>
    <row r="31" spans="1:6" x14ac:dyDescent="0.35">
      <c r="A31" s="1">
        <v>42808</v>
      </c>
      <c r="B31" s="2">
        <v>46205</v>
      </c>
      <c r="C31" s="1" t="s">
        <v>5</v>
      </c>
      <c r="D31" s="1">
        <v>2026</v>
      </c>
      <c r="E31" s="1">
        <v>7</v>
      </c>
      <c r="F31" s="1">
        <v>27</v>
      </c>
    </row>
    <row r="32" spans="1:6" x14ac:dyDescent="0.35">
      <c r="A32" s="1">
        <v>42807</v>
      </c>
      <c r="B32" s="2">
        <v>46205</v>
      </c>
      <c r="C32" s="1" t="s">
        <v>5</v>
      </c>
      <c r="D32" s="1">
        <v>2026</v>
      </c>
      <c r="E32" s="1">
        <v>7</v>
      </c>
      <c r="F32" s="1">
        <v>27</v>
      </c>
    </row>
    <row r="33" spans="1:6" x14ac:dyDescent="0.35">
      <c r="A33" s="1">
        <v>42806</v>
      </c>
      <c r="B33" s="2">
        <v>46205</v>
      </c>
      <c r="C33" s="1" t="s">
        <v>5</v>
      </c>
      <c r="D33" s="1">
        <v>2026</v>
      </c>
      <c r="E33" s="1">
        <v>7</v>
      </c>
      <c r="F33" s="1">
        <v>27</v>
      </c>
    </row>
    <row r="34" spans="1:6" x14ac:dyDescent="0.35">
      <c r="A34" s="1">
        <v>42852</v>
      </c>
      <c r="B34" s="2">
        <v>46206</v>
      </c>
      <c r="C34" s="1" t="s">
        <v>10</v>
      </c>
      <c r="D34" s="1">
        <v>2026</v>
      </c>
      <c r="E34" s="1">
        <v>7</v>
      </c>
      <c r="F34" s="1">
        <v>27</v>
      </c>
    </row>
    <row r="35" spans="1:6" x14ac:dyDescent="0.35">
      <c r="A35" s="1">
        <v>42851</v>
      </c>
      <c r="B35" s="2">
        <v>46206</v>
      </c>
      <c r="C35" s="1" t="s">
        <v>10</v>
      </c>
      <c r="D35" s="1">
        <v>2026</v>
      </c>
      <c r="E35" s="1">
        <v>7</v>
      </c>
      <c r="F35" s="1">
        <v>27</v>
      </c>
    </row>
    <row r="36" spans="1:6" x14ac:dyDescent="0.35">
      <c r="A36" s="1">
        <v>42846</v>
      </c>
      <c r="B36" s="2">
        <v>46206</v>
      </c>
      <c r="C36" s="1" t="s">
        <v>3</v>
      </c>
      <c r="D36" s="1">
        <v>2026</v>
      </c>
      <c r="E36" s="1">
        <v>7</v>
      </c>
      <c r="F36" s="1">
        <v>27</v>
      </c>
    </row>
    <row r="37" spans="1:6" x14ac:dyDescent="0.35">
      <c r="A37" s="1">
        <v>42838</v>
      </c>
      <c r="B37" s="2">
        <v>46206</v>
      </c>
      <c r="C37" s="1" t="s">
        <v>9</v>
      </c>
      <c r="D37" s="1">
        <v>2026</v>
      </c>
      <c r="E37" s="1">
        <v>7</v>
      </c>
      <c r="F37" s="1">
        <v>27</v>
      </c>
    </row>
    <row r="38" spans="1:6" x14ac:dyDescent="0.35">
      <c r="A38" s="1">
        <v>42828</v>
      </c>
      <c r="B38" s="2">
        <v>46206</v>
      </c>
      <c r="C38" s="1" t="s">
        <v>9</v>
      </c>
      <c r="D38" s="1">
        <v>2026</v>
      </c>
      <c r="E38" s="1">
        <v>7</v>
      </c>
      <c r="F38" s="1">
        <v>27</v>
      </c>
    </row>
    <row r="39" spans="1:6" x14ac:dyDescent="0.35">
      <c r="A39" s="1">
        <v>42826</v>
      </c>
      <c r="B39" s="2">
        <v>46206</v>
      </c>
      <c r="C39" s="1" t="s">
        <v>6</v>
      </c>
      <c r="D39" s="1">
        <v>2026</v>
      </c>
      <c r="E39" s="1">
        <v>7</v>
      </c>
      <c r="F39" s="1">
        <v>27</v>
      </c>
    </row>
    <row r="40" spans="1:6" x14ac:dyDescent="0.35">
      <c r="A40" s="1">
        <v>42825</v>
      </c>
      <c r="B40" s="2">
        <v>46206</v>
      </c>
      <c r="C40" s="1" t="s">
        <v>6</v>
      </c>
      <c r="D40" s="1">
        <v>2026</v>
      </c>
      <c r="E40" s="1">
        <v>7</v>
      </c>
      <c r="F40" s="1">
        <v>27</v>
      </c>
    </row>
    <row r="41" spans="1:6" x14ac:dyDescent="0.35">
      <c r="A41" s="1">
        <v>42824</v>
      </c>
      <c r="B41" s="2">
        <v>46206</v>
      </c>
      <c r="C41" s="1" t="s">
        <v>8</v>
      </c>
      <c r="D41" s="1">
        <v>2026</v>
      </c>
      <c r="E41" s="1">
        <v>7</v>
      </c>
      <c r="F41" s="1">
        <v>27</v>
      </c>
    </row>
    <row r="42" spans="1:6" x14ac:dyDescent="0.35">
      <c r="A42" s="1">
        <v>42823</v>
      </c>
      <c r="B42" s="2">
        <v>46206</v>
      </c>
      <c r="C42" s="1" t="s">
        <v>8</v>
      </c>
      <c r="D42" s="1">
        <v>2026</v>
      </c>
      <c r="E42" s="1">
        <v>7</v>
      </c>
      <c r="F42" s="1">
        <v>27</v>
      </c>
    </row>
    <row r="43" spans="1:6" x14ac:dyDescent="0.35">
      <c r="A43" s="1">
        <v>42860</v>
      </c>
      <c r="B43" s="2">
        <v>46207</v>
      </c>
      <c r="C43" s="1" t="s">
        <v>8</v>
      </c>
      <c r="D43" s="1">
        <v>2026</v>
      </c>
      <c r="E43" s="1">
        <v>7</v>
      </c>
      <c r="F43" s="1">
        <v>27</v>
      </c>
    </row>
    <row r="44" spans="1:6" x14ac:dyDescent="0.35">
      <c r="A44" s="1">
        <v>42859</v>
      </c>
      <c r="B44" s="2">
        <v>46207</v>
      </c>
      <c r="C44" s="1" t="s">
        <v>8</v>
      </c>
      <c r="D44" s="1">
        <v>2026</v>
      </c>
      <c r="E44" s="1">
        <v>7</v>
      </c>
      <c r="F44" s="1">
        <v>27</v>
      </c>
    </row>
    <row r="45" spans="1:6" x14ac:dyDescent="0.35">
      <c r="A45" s="1">
        <v>42902</v>
      </c>
      <c r="B45" s="2">
        <v>46209</v>
      </c>
      <c r="C45" s="1" t="s">
        <v>8</v>
      </c>
      <c r="D45" s="1">
        <v>2026</v>
      </c>
      <c r="E45" s="1">
        <v>7</v>
      </c>
      <c r="F45" s="1">
        <v>28</v>
      </c>
    </row>
    <row r="46" spans="1:6" x14ac:dyDescent="0.35">
      <c r="A46" s="1">
        <v>42901</v>
      </c>
      <c r="B46" s="2">
        <v>46209</v>
      </c>
      <c r="C46" s="1" t="s">
        <v>8</v>
      </c>
      <c r="D46" s="1">
        <v>2026</v>
      </c>
      <c r="E46" s="1">
        <v>7</v>
      </c>
      <c r="F46" s="1">
        <v>28</v>
      </c>
    </row>
    <row r="47" spans="1:6" x14ac:dyDescent="0.35">
      <c r="A47" s="1">
        <v>42900</v>
      </c>
      <c r="B47" s="2">
        <v>46209</v>
      </c>
      <c r="C47" s="1" t="s">
        <v>9</v>
      </c>
      <c r="D47" s="1">
        <v>2026</v>
      </c>
      <c r="E47" s="1">
        <v>7</v>
      </c>
      <c r="F47" s="1">
        <v>28</v>
      </c>
    </row>
    <row r="48" spans="1:6" x14ac:dyDescent="0.35">
      <c r="A48" s="1">
        <v>42899</v>
      </c>
      <c r="B48" s="2">
        <v>46209</v>
      </c>
      <c r="C48" s="1" t="s">
        <v>9</v>
      </c>
      <c r="D48" s="1">
        <v>2026</v>
      </c>
      <c r="E48" s="1">
        <v>7</v>
      </c>
      <c r="F48" s="1">
        <v>28</v>
      </c>
    </row>
    <row r="49" spans="1:6" x14ac:dyDescent="0.35">
      <c r="A49" s="1">
        <v>42895</v>
      </c>
      <c r="B49" s="2">
        <v>46209</v>
      </c>
      <c r="C49" s="1" t="s">
        <v>4</v>
      </c>
      <c r="D49" s="1">
        <v>2026</v>
      </c>
      <c r="E49" s="1">
        <v>7</v>
      </c>
      <c r="F49" s="1">
        <v>28</v>
      </c>
    </row>
    <row r="50" spans="1:6" x14ac:dyDescent="0.35">
      <c r="A50" s="1">
        <v>42894</v>
      </c>
      <c r="B50" s="2">
        <v>46209</v>
      </c>
      <c r="C50" s="1" t="s">
        <v>4</v>
      </c>
      <c r="D50" s="1">
        <v>2026</v>
      </c>
      <c r="E50" s="1">
        <v>7</v>
      </c>
      <c r="F50" s="1">
        <v>28</v>
      </c>
    </row>
    <row r="51" spans="1:6" x14ac:dyDescent="0.35">
      <c r="A51" s="1">
        <v>42893</v>
      </c>
      <c r="B51" s="2">
        <v>46209</v>
      </c>
      <c r="C51" s="1" t="s">
        <v>4</v>
      </c>
      <c r="D51" s="1">
        <v>2026</v>
      </c>
      <c r="E51" s="1">
        <v>7</v>
      </c>
      <c r="F51" s="1">
        <v>28</v>
      </c>
    </row>
    <row r="52" spans="1:6" x14ac:dyDescent="0.35">
      <c r="A52" s="1">
        <v>42925</v>
      </c>
      <c r="B52" s="2">
        <v>46209</v>
      </c>
      <c r="C52" s="1" t="s">
        <v>10</v>
      </c>
      <c r="D52" s="1">
        <v>2026</v>
      </c>
      <c r="E52" s="1">
        <v>7</v>
      </c>
      <c r="F52" s="1">
        <v>28</v>
      </c>
    </row>
    <row r="53" spans="1:6" x14ac:dyDescent="0.35">
      <c r="A53" s="1">
        <v>42924</v>
      </c>
      <c r="B53" s="2">
        <v>46209</v>
      </c>
      <c r="C53" s="1" t="s">
        <v>10</v>
      </c>
      <c r="D53" s="1">
        <v>2026</v>
      </c>
      <c r="E53" s="1">
        <v>7</v>
      </c>
      <c r="F53" s="1">
        <v>28</v>
      </c>
    </row>
    <row r="54" spans="1:6" x14ac:dyDescent="0.35">
      <c r="A54" s="1">
        <v>42923</v>
      </c>
      <c r="B54" s="2">
        <v>46209</v>
      </c>
      <c r="C54" s="1" t="s">
        <v>5</v>
      </c>
      <c r="D54" s="1">
        <v>2026</v>
      </c>
      <c r="E54" s="1">
        <v>7</v>
      </c>
      <c r="F54" s="1">
        <v>28</v>
      </c>
    </row>
    <row r="55" spans="1:6" x14ac:dyDescent="0.35">
      <c r="A55" s="1">
        <v>42922</v>
      </c>
      <c r="B55" s="2">
        <v>46209</v>
      </c>
      <c r="C55" s="1" t="s">
        <v>5</v>
      </c>
      <c r="D55" s="1">
        <v>2026</v>
      </c>
      <c r="E55" s="1">
        <v>7</v>
      </c>
      <c r="F55" s="1">
        <v>28</v>
      </c>
    </row>
    <row r="56" spans="1:6" x14ac:dyDescent="0.35">
      <c r="A56" s="1">
        <v>42921</v>
      </c>
      <c r="B56" s="2">
        <v>46209</v>
      </c>
      <c r="C56" s="1" t="s">
        <v>5</v>
      </c>
      <c r="D56" s="1">
        <v>2026</v>
      </c>
      <c r="E56" s="1">
        <v>7</v>
      </c>
      <c r="F56" s="1">
        <v>28</v>
      </c>
    </row>
    <row r="57" spans="1:6" x14ac:dyDescent="0.35">
      <c r="A57" s="1">
        <v>42920</v>
      </c>
      <c r="B57" s="2">
        <v>46209</v>
      </c>
      <c r="C57" s="1" t="s">
        <v>5</v>
      </c>
      <c r="D57" s="1">
        <v>2026</v>
      </c>
      <c r="E57" s="1">
        <v>7</v>
      </c>
      <c r="F57" s="1">
        <v>28</v>
      </c>
    </row>
    <row r="58" spans="1:6" x14ac:dyDescent="0.35">
      <c r="A58" s="1">
        <v>42919</v>
      </c>
      <c r="B58" s="2">
        <v>46209</v>
      </c>
      <c r="C58" s="1" t="s">
        <v>5</v>
      </c>
      <c r="D58" s="1">
        <v>2026</v>
      </c>
      <c r="E58" s="1">
        <v>7</v>
      </c>
      <c r="F58" s="1">
        <v>28</v>
      </c>
    </row>
    <row r="59" spans="1:6" x14ac:dyDescent="0.35">
      <c r="A59" s="1">
        <v>42918</v>
      </c>
      <c r="B59" s="2">
        <v>46209</v>
      </c>
      <c r="C59" s="1" t="s">
        <v>5</v>
      </c>
      <c r="D59" s="1">
        <v>2026</v>
      </c>
      <c r="E59" s="1">
        <v>7</v>
      </c>
      <c r="F59" s="1">
        <v>28</v>
      </c>
    </row>
    <row r="60" spans="1:6" x14ac:dyDescent="0.35">
      <c r="A60" s="1">
        <v>42917</v>
      </c>
      <c r="B60" s="2">
        <v>46209</v>
      </c>
      <c r="C60" s="1" t="s">
        <v>9</v>
      </c>
      <c r="D60" s="1">
        <v>2026</v>
      </c>
      <c r="E60" s="1">
        <v>7</v>
      </c>
      <c r="F60" s="1">
        <v>28</v>
      </c>
    </row>
    <row r="61" spans="1:6" x14ac:dyDescent="0.35">
      <c r="A61" s="1">
        <v>42916</v>
      </c>
      <c r="B61" s="2">
        <v>46209</v>
      </c>
      <c r="C61" s="1" t="s">
        <v>5</v>
      </c>
      <c r="D61" s="1">
        <v>2026</v>
      </c>
      <c r="E61" s="1">
        <v>7</v>
      </c>
      <c r="F61" s="1">
        <v>28</v>
      </c>
    </row>
    <row r="62" spans="1:6" x14ac:dyDescent="0.35">
      <c r="A62" s="1">
        <v>42915</v>
      </c>
      <c r="B62" s="2">
        <v>46209</v>
      </c>
      <c r="C62" s="1" t="s">
        <v>9</v>
      </c>
      <c r="D62" s="1">
        <v>2026</v>
      </c>
      <c r="E62" s="1">
        <v>7</v>
      </c>
      <c r="F62" s="1">
        <v>28</v>
      </c>
    </row>
    <row r="63" spans="1:6" x14ac:dyDescent="0.35">
      <c r="A63" s="1">
        <v>42914</v>
      </c>
      <c r="B63" s="2">
        <v>46209</v>
      </c>
      <c r="C63" s="1" t="s">
        <v>9</v>
      </c>
      <c r="D63" s="1">
        <v>2026</v>
      </c>
      <c r="E63" s="1">
        <v>7</v>
      </c>
      <c r="F63" s="1">
        <v>28</v>
      </c>
    </row>
    <row r="64" spans="1:6" x14ac:dyDescent="0.35">
      <c r="A64" s="1">
        <v>42932</v>
      </c>
      <c r="B64" s="2">
        <v>46210</v>
      </c>
      <c r="C64" s="1" t="s">
        <v>8</v>
      </c>
      <c r="D64" s="1">
        <v>2026</v>
      </c>
      <c r="E64" s="1">
        <v>7</v>
      </c>
      <c r="F64" s="1">
        <v>28</v>
      </c>
    </row>
    <row r="65" spans="1:6" x14ac:dyDescent="0.35">
      <c r="A65" s="1">
        <v>42931</v>
      </c>
      <c r="B65" s="2">
        <v>46210</v>
      </c>
      <c r="C65" s="1" t="s">
        <v>8</v>
      </c>
      <c r="D65" s="1">
        <v>2026</v>
      </c>
      <c r="E65" s="1">
        <v>7</v>
      </c>
      <c r="F65" s="1">
        <v>28</v>
      </c>
    </row>
    <row r="66" spans="1:6" x14ac:dyDescent="0.35">
      <c r="A66" s="1">
        <v>43004</v>
      </c>
      <c r="B66" s="2">
        <v>46210</v>
      </c>
      <c r="C66" s="1" t="s">
        <v>10</v>
      </c>
      <c r="D66" s="1">
        <v>2026</v>
      </c>
      <c r="E66" s="1">
        <v>7</v>
      </c>
      <c r="F66" s="1">
        <v>28</v>
      </c>
    </row>
    <row r="67" spans="1:6" x14ac:dyDescent="0.35">
      <c r="A67" s="1">
        <v>43003</v>
      </c>
      <c r="B67" s="2">
        <v>46210</v>
      </c>
      <c r="C67" s="1" t="s">
        <v>10</v>
      </c>
      <c r="D67" s="1">
        <v>2026</v>
      </c>
      <c r="E67" s="1">
        <v>7</v>
      </c>
      <c r="F67" s="1">
        <v>28</v>
      </c>
    </row>
    <row r="68" spans="1:6" x14ac:dyDescent="0.35">
      <c r="A68" s="1">
        <v>42965</v>
      </c>
      <c r="B68" s="2">
        <v>46210</v>
      </c>
      <c r="C68" s="1" t="s">
        <v>5</v>
      </c>
      <c r="D68" s="1">
        <v>2026</v>
      </c>
      <c r="E68" s="1">
        <v>7</v>
      </c>
      <c r="F68" s="1">
        <v>28</v>
      </c>
    </row>
    <row r="69" spans="1:6" x14ac:dyDescent="0.35">
      <c r="A69" s="1">
        <v>42964</v>
      </c>
      <c r="B69" s="2">
        <v>46210</v>
      </c>
      <c r="C69" s="1" t="s">
        <v>5</v>
      </c>
      <c r="D69" s="1">
        <v>2026</v>
      </c>
      <c r="E69" s="1">
        <v>7</v>
      </c>
      <c r="F69" s="1">
        <v>28</v>
      </c>
    </row>
    <row r="70" spans="1:6" x14ac:dyDescent="0.35">
      <c r="A70" s="1">
        <v>42960</v>
      </c>
      <c r="B70" s="2">
        <v>46210</v>
      </c>
      <c r="C70" s="1" t="s">
        <v>5</v>
      </c>
      <c r="D70" s="1">
        <v>2026</v>
      </c>
      <c r="E70" s="1">
        <v>7</v>
      </c>
      <c r="F70" s="1">
        <v>28</v>
      </c>
    </row>
    <row r="71" spans="1:6" x14ac:dyDescent="0.35">
      <c r="A71" s="1">
        <v>43060</v>
      </c>
      <c r="B71" s="2">
        <v>46211</v>
      </c>
      <c r="C71" s="1" t="s">
        <v>10</v>
      </c>
      <c r="D71" s="1">
        <v>2026</v>
      </c>
      <c r="E71" s="1">
        <v>7</v>
      </c>
      <c r="F71" s="1">
        <v>28</v>
      </c>
    </row>
    <row r="72" spans="1:6" x14ac:dyDescent="0.35">
      <c r="A72" s="1">
        <v>43059</v>
      </c>
      <c r="B72" s="2">
        <v>46211</v>
      </c>
      <c r="C72" s="1" t="s">
        <v>10</v>
      </c>
      <c r="D72" s="1">
        <v>2026</v>
      </c>
      <c r="E72" s="1">
        <v>7</v>
      </c>
      <c r="F72" s="1">
        <v>28</v>
      </c>
    </row>
    <row r="73" spans="1:6" x14ac:dyDescent="0.35">
      <c r="A73" s="1">
        <v>43036</v>
      </c>
      <c r="B73" s="2">
        <v>46211</v>
      </c>
      <c r="C73" s="1" t="s">
        <v>9</v>
      </c>
      <c r="D73" s="1">
        <v>2026</v>
      </c>
      <c r="E73" s="1">
        <v>7</v>
      </c>
      <c r="F73" s="1">
        <v>28</v>
      </c>
    </row>
    <row r="74" spans="1:6" x14ac:dyDescent="0.35">
      <c r="A74" s="1">
        <v>43035</v>
      </c>
      <c r="B74" s="2">
        <v>46211</v>
      </c>
      <c r="C74" s="1" t="s">
        <v>9</v>
      </c>
      <c r="D74" s="1">
        <v>2026</v>
      </c>
      <c r="E74" s="1">
        <v>7</v>
      </c>
      <c r="F74" s="1">
        <v>28</v>
      </c>
    </row>
    <row r="75" spans="1:6" x14ac:dyDescent="0.35">
      <c r="A75" s="1">
        <v>43034</v>
      </c>
      <c r="B75" s="2">
        <v>46211</v>
      </c>
      <c r="C75" s="1" t="s">
        <v>9</v>
      </c>
      <c r="D75" s="1">
        <v>2026</v>
      </c>
      <c r="E75" s="1">
        <v>7</v>
      </c>
      <c r="F75" s="1">
        <v>28</v>
      </c>
    </row>
    <row r="76" spans="1:6" x14ac:dyDescent="0.35">
      <c r="A76" s="1">
        <v>43033</v>
      </c>
      <c r="B76" s="2">
        <v>46211</v>
      </c>
      <c r="C76" s="1" t="s">
        <v>3</v>
      </c>
      <c r="D76" s="1">
        <v>2026</v>
      </c>
      <c r="E76" s="1">
        <v>7</v>
      </c>
      <c r="F76" s="1">
        <v>28</v>
      </c>
    </row>
    <row r="77" spans="1:6" x14ac:dyDescent="0.35">
      <c r="A77" s="1">
        <v>43021</v>
      </c>
      <c r="B77" s="2">
        <v>46211</v>
      </c>
      <c r="C77" s="1" t="s">
        <v>9</v>
      </c>
      <c r="D77" s="1">
        <v>2026</v>
      </c>
      <c r="E77" s="1">
        <v>7</v>
      </c>
      <c r="F77" s="1">
        <v>28</v>
      </c>
    </row>
    <row r="78" spans="1:6" x14ac:dyDescent="0.35">
      <c r="A78" s="1">
        <v>43119</v>
      </c>
      <c r="B78" s="2">
        <v>46212</v>
      </c>
      <c r="C78" s="1" t="s">
        <v>10</v>
      </c>
      <c r="D78" s="1">
        <v>2026</v>
      </c>
      <c r="E78" s="1">
        <v>7</v>
      </c>
      <c r="F78" s="1">
        <v>28</v>
      </c>
    </row>
    <row r="79" spans="1:6" x14ac:dyDescent="0.35">
      <c r="A79" s="1">
        <v>43118</v>
      </c>
      <c r="B79" s="2">
        <v>46212</v>
      </c>
      <c r="C79" s="1" t="s">
        <v>10</v>
      </c>
      <c r="D79" s="1">
        <v>2026</v>
      </c>
      <c r="E79" s="1">
        <v>7</v>
      </c>
      <c r="F79" s="1">
        <v>28</v>
      </c>
    </row>
    <row r="80" spans="1:6" x14ac:dyDescent="0.35">
      <c r="A80" s="1">
        <v>43067</v>
      </c>
      <c r="B80" s="2">
        <v>46212</v>
      </c>
      <c r="C80" s="1" t="s">
        <v>8</v>
      </c>
      <c r="D80" s="1">
        <v>2026</v>
      </c>
      <c r="E80" s="1">
        <v>7</v>
      </c>
      <c r="F80" s="1">
        <v>28</v>
      </c>
    </row>
    <row r="81" spans="1:6" x14ac:dyDescent="0.35">
      <c r="A81" s="1">
        <v>43066</v>
      </c>
      <c r="B81" s="2">
        <v>46212</v>
      </c>
      <c r="C81" s="1" t="s">
        <v>8</v>
      </c>
      <c r="D81" s="1">
        <v>2026</v>
      </c>
      <c r="E81" s="1">
        <v>7</v>
      </c>
      <c r="F81" s="1">
        <v>28</v>
      </c>
    </row>
    <row r="82" spans="1:6" x14ac:dyDescent="0.35">
      <c r="A82" s="1">
        <v>43172</v>
      </c>
      <c r="B82" s="2">
        <v>46213</v>
      </c>
      <c r="C82" s="1" t="s">
        <v>10</v>
      </c>
      <c r="D82" s="1">
        <v>2026</v>
      </c>
      <c r="E82" s="1">
        <v>7</v>
      </c>
      <c r="F82" s="1">
        <v>28</v>
      </c>
    </row>
    <row r="83" spans="1:6" x14ac:dyDescent="0.35">
      <c r="A83" s="1">
        <v>43171</v>
      </c>
      <c r="B83" s="2">
        <v>46213</v>
      </c>
      <c r="C83" s="1" t="s">
        <v>10</v>
      </c>
      <c r="D83" s="1">
        <v>2026</v>
      </c>
      <c r="E83" s="1">
        <v>7</v>
      </c>
      <c r="F83" s="1">
        <v>28</v>
      </c>
    </row>
    <row r="84" spans="1:6" x14ac:dyDescent="0.35">
      <c r="A84" s="1">
        <v>43200</v>
      </c>
      <c r="B84" s="2">
        <v>46214</v>
      </c>
      <c r="C84" s="1" t="s">
        <v>10</v>
      </c>
      <c r="D84" s="1">
        <v>2026</v>
      </c>
      <c r="E84" s="1">
        <v>7</v>
      </c>
      <c r="F84" s="1">
        <v>28</v>
      </c>
    </row>
    <row r="85" spans="1:6" x14ac:dyDescent="0.35">
      <c r="A85" s="1">
        <v>43199</v>
      </c>
      <c r="B85" s="2">
        <v>46214</v>
      </c>
      <c r="C85" s="1" t="s">
        <v>10</v>
      </c>
      <c r="D85" s="1">
        <v>2026</v>
      </c>
      <c r="E85" s="1">
        <v>7</v>
      </c>
      <c r="F85" s="1">
        <v>28</v>
      </c>
    </row>
    <row r="86" spans="1:6" x14ac:dyDescent="0.35">
      <c r="A86" s="1">
        <v>43258</v>
      </c>
      <c r="B86" s="2">
        <v>46216</v>
      </c>
      <c r="C86" s="1" t="s">
        <v>9</v>
      </c>
      <c r="D86" s="1">
        <v>2026</v>
      </c>
      <c r="E86" s="1">
        <v>7</v>
      </c>
      <c r="F86" s="1">
        <v>29</v>
      </c>
    </row>
    <row r="87" spans="1:6" x14ac:dyDescent="0.35">
      <c r="A87" s="1">
        <v>43254</v>
      </c>
      <c r="B87" s="2">
        <v>46216</v>
      </c>
      <c r="C87" s="1" t="s">
        <v>4</v>
      </c>
      <c r="D87" s="1">
        <v>2026</v>
      </c>
      <c r="E87" s="1">
        <v>7</v>
      </c>
      <c r="F87" s="1">
        <v>29</v>
      </c>
    </row>
    <row r="88" spans="1:6" x14ac:dyDescent="0.35">
      <c r="A88" s="1">
        <v>43244</v>
      </c>
      <c r="B88" s="2">
        <v>46216</v>
      </c>
      <c r="C88" s="1" t="s">
        <v>9</v>
      </c>
      <c r="D88" s="1">
        <v>2026</v>
      </c>
      <c r="E88" s="1">
        <v>7</v>
      </c>
      <c r="F88" s="1">
        <v>29</v>
      </c>
    </row>
    <row r="89" spans="1:6" x14ac:dyDescent="0.35">
      <c r="A89" s="1">
        <v>43243</v>
      </c>
      <c r="B89" s="2">
        <v>46216</v>
      </c>
      <c r="C89" s="1" t="s">
        <v>4</v>
      </c>
      <c r="D89" s="1">
        <v>2026</v>
      </c>
      <c r="E89" s="1">
        <v>7</v>
      </c>
      <c r="F89" s="1">
        <v>29</v>
      </c>
    </row>
    <row r="90" spans="1:6" x14ac:dyDescent="0.35">
      <c r="A90" s="1">
        <v>43242</v>
      </c>
      <c r="B90" s="2">
        <v>46216</v>
      </c>
      <c r="C90" s="1" t="s">
        <v>4</v>
      </c>
      <c r="D90" s="1">
        <v>2026</v>
      </c>
      <c r="E90" s="1">
        <v>7</v>
      </c>
      <c r="F90" s="1">
        <v>29</v>
      </c>
    </row>
    <row r="91" spans="1:6" x14ac:dyDescent="0.35">
      <c r="A91" s="1">
        <v>43238</v>
      </c>
      <c r="B91" s="2">
        <v>46216</v>
      </c>
      <c r="C91" s="1" t="s">
        <v>9</v>
      </c>
      <c r="D91" s="1">
        <v>2026</v>
      </c>
      <c r="E91" s="1">
        <v>7</v>
      </c>
      <c r="F91" s="1">
        <v>29</v>
      </c>
    </row>
    <row r="92" spans="1:6" x14ac:dyDescent="0.35">
      <c r="A92" s="1">
        <v>43224</v>
      </c>
      <c r="B92" s="2">
        <v>46216</v>
      </c>
      <c r="C92" s="1" t="s">
        <v>8</v>
      </c>
      <c r="D92" s="1">
        <v>2026</v>
      </c>
      <c r="E92" s="1">
        <v>7</v>
      </c>
      <c r="F92" s="1">
        <v>29</v>
      </c>
    </row>
    <row r="93" spans="1:6" x14ac:dyDescent="0.35">
      <c r="A93" s="1">
        <v>43223</v>
      </c>
      <c r="B93" s="2">
        <v>46216</v>
      </c>
      <c r="C93" s="1" t="s">
        <v>8</v>
      </c>
      <c r="D93" s="1">
        <v>2026</v>
      </c>
      <c r="E93" s="1">
        <v>7</v>
      </c>
      <c r="F93" s="1">
        <v>29</v>
      </c>
    </row>
    <row r="94" spans="1:6" x14ac:dyDescent="0.35">
      <c r="A94" s="1">
        <v>43269</v>
      </c>
      <c r="B94" s="2">
        <v>46217</v>
      </c>
      <c r="C94" s="1" t="s">
        <v>9</v>
      </c>
      <c r="D94" s="1">
        <v>2026</v>
      </c>
      <c r="E94" s="1">
        <v>7</v>
      </c>
      <c r="F94" s="1">
        <v>29</v>
      </c>
    </row>
    <row r="95" spans="1:6" x14ac:dyDescent="0.35">
      <c r="A95" s="1">
        <v>43268</v>
      </c>
      <c r="B95" s="2">
        <v>46217</v>
      </c>
      <c r="C95" s="1" t="s">
        <v>8</v>
      </c>
      <c r="D95" s="1">
        <v>2026</v>
      </c>
      <c r="E95" s="1">
        <v>7</v>
      </c>
      <c r="F95" s="1">
        <v>29</v>
      </c>
    </row>
    <row r="96" spans="1:6" x14ac:dyDescent="0.35">
      <c r="A96" s="1">
        <v>43267</v>
      </c>
      <c r="B96" s="2">
        <v>46217</v>
      </c>
      <c r="C96" s="1" t="s">
        <v>8</v>
      </c>
      <c r="D96" s="1">
        <v>2026</v>
      </c>
      <c r="E96" s="1">
        <v>7</v>
      </c>
      <c r="F96" s="1">
        <v>29</v>
      </c>
    </row>
    <row r="97" spans="1:6" x14ac:dyDescent="0.35">
      <c r="A97" s="1">
        <v>43306</v>
      </c>
      <c r="B97" s="2">
        <v>46217</v>
      </c>
      <c r="C97" s="1" t="s">
        <v>11</v>
      </c>
      <c r="D97" s="1">
        <v>2026</v>
      </c>
      <c r="E97" s="1">
        <v>7</v>
      </c>
      <c r="F97" s="1">
        <v>29</v>
      </c>
    </row>
    <row r="98" spans="1:6" x14ac:dyDescent="0.35">
      <c r="A98" s="1">
        <v>43305</v>
      </c>
      <c r="B98" s="2">
        <v>46217</v>
      </c>
      <c r="C98" s="1" t="s">
        <v>11</v>
      </c>
      <c r="D98" s="1">
        <v>2026</v>
      </c>
      <c r="E98" s="1">
        <v>7</v>
      </c>
      <c r="F98" s="1">
        <v>29</v>
      </c>
    </row>
    <row r="99" spans="1:6" x14ac:dyDescent="0.35">
      <c r="A99" s="1">
        <v>43287</v>
      </c>
      <c r="B99" s="2">
        <v>46217</v>
      </c>
      <c r="C99" s="1" t="s">
        <v>9</v>
      </c>
      <c r="D99" s="1">
        <v>2026</v>
      </c>
      <c r="E99" s="1">
        <v>7</v>
      </c>
      <c r="F99" s="1">
        <v>29</v>
      </c>
    </row>
    <row r="100" spans="1:6" x14ac:dyDescent="0.35">
      <c r="A100" s="1">
        <v>43286</v>
      </c>
      <c r="B100" s="2">
        <v>46217</v>
      </c>
      <c r="C100" s="1" t="s">
        <v>9</v>
      </c>
      <c r="D100" s="1">
        <v>2026</v>
      </c>
      <c r="E100" s="1">
        <v>7</v>
      </c>
      <c r="F100" s="1">
        <v>29</v>
      </c>
    </row>
    <row r="101" spans="1:6" x14ac:dyDescent="0.35">
      <c r="A101" s="1">
        <v>43284</v>
      </c>
      <c r="B101" s="2">
        <v>46217</v>
      </c>
      <c r="C101" s="1" t="s">
        <v>6</v>
      </c>
      <c r="D101" s="1">
        <v>2026</v>
      </c>
      <c r="E101" s="1">
        <v>7</v>
      </c>
      <c r="F101" s="1">
        <v>29</v>
      </c>
    </row>
    <row r="102" spans="1:6" x14ac:dyDescent="0.35">
      <c r="A102" s="1">
        <v>43283</v>
      </c>
      <c r="B102" s="2">
        <v>46217</v>
      </c>
      <c r="C102" s="1" t="s">
        <v>6</v>
      </c>
      <c r="D102" s="1">
        <v>2026</v>
      </c>
      <c r="E102" s="1">
        <v>7</v>
      </c>
      <c r="F102" s="1">
        <v>29</v>
      </c>
    </row>
    <row r="103" spans="1:6" x14ac:dyDescent="0.35">
      <c r="A103" s="1">
        <v>43275</v>
      </c>
      <c r="B103" s="2">
        <v>46217</v>
      </c>
      <c r="C103" s="1" t="s">
        <v>4</v>
      </c>
      <c r="D103" s="1">
        <v>2026</v>
      </c>
      <c r="E103" s="1">
        <v>7</v>
      </c>
      <c r="F103" s="1">
        <v>29</v>
      </c>
    </row>
    <row r="104" spans="1:6" x14ac:dyDescent="0.35">
      <c r="A104" s="1">
        <v>43274</v>
      </c>
      <c r="B104" s="2">
        <v>46217</v>
      </c>
      <c r="C104" s="1" t="s">
        <v>4</v>
      </c>
      <c r="D104" s="1">
        <v>2026</v>
      </c>
      <c r="E104" s="1">
        <v>7</v>
      </c>
      <c r="F104" s="1">
        <v>29</v>
      </c>
    </row>
    <row r="105" spans="1:6" x14ac:dyDescent="0.35">
      <c r="A105" s="1">
        <v>43273</v>
      </c>
      <c r="B105" s="2">
        <v>46217</v>
      </c>
      <c r="C105" s="1" t="s">
        <v>4</v>
      </c>
      <c r="D105" s="1">
        <v>2026</v>
      </c>
      <c r="E105" s="1">
        <v>7</v>
      </c>
      <c r="F105" s="1">
        <v>29</v>
      </c>
    </row>
    <row r="106" spans="1:6" x14ac:dyDescent="0.35">
      <c r="A106" s="1">
        <v>43271</v>
      </c>
      <c r="B106" s="2">
        <v>46217</v>
      </c>
      <c r="C106" s="1" t="s">
        <v>9</v>
      </c>
      <c r="D106" s="1">
        <v>2026</v>
      </c>
      <c r="E106" s="1">
        <v>7</v>
      </c>
      <c r="F106" s="1">
        <v>29</v>
      </c>
    </row>
    <row r="107" spans="1:6" x14ac:dyDescent="0.35">
      <c r="A107" s="1">
        <v>43282</v>
      </c>
      <c r="B107" s="2">
        <v>46217</v>
      </c>
      <c r="C107" s="1" t="s">
        <v>12</v>
      </c>
      <c r="D107" s="1">
        <v>2026</v>
      </c>
      <c r="E107" s="1">
        <v>7</v>
      </c>
      <c r="F107" s="1">
        <v>29</v>
      </c>
    </row>
    <row r="108" spans="1:6" x14ac:dyDescent="0.35">
      <c r="A108" s="1">
        <v>43281</v>
      </c>
      <c r="B108" s="2">
        <v>46217</v>
      </c>
      <c r="C108" s="1" t="s">
        <v>12</v>
      </c>
      <c r="D108" s="1">
        <v>2026</v>
      </c>
      <c r="E108" s="1">
        <v>7</v>
      </c>
      <c r="F108" s="1">
        <v>29</v>
      </c>
    </row>
    <row r="109" spans="1:6" x14ac:dyDescent="0.35">
      <c r="A109" s="1">
        <v>43280</v>
      </c>
      <c r="B109" s="2">
        <v>46217</v>
      </c>
      <c r="C109" s="1" t="s">
        <v>12</v>
      </c>
      <c r="D109" s="1">
        <v>2026</v>
      </c>
      <c r="E109" s="1">
        <v>7</v>
      </c>
      <c r="F109" s="1">
        <v>29</v>
      </c>
    </row>
    <row r="110" spans="1:6" x14ac:dyDescent="0.35">
      <c r="A110" s="1">
        <v>43279</v>
      </c>
      <c r="B110" s="2">
        <v>46217</v>
      </c>
      <c r="C110" s="1" t="s">
        <v>12</v>
      </c>
      <c r="D110" s="1">
        <v>2026</v>
      </c>
      <c r="E110" s="1">
        <v>7</v>
      </c>
      <c r="F110" s="1">
        <v>29</v>
      </c>
    </row>
    <row r="111" spans="1:6" x14ac:dyDescent="0.35">
      <c r="A111" s="1">
        <v>43277</v>
      </c>
      <c r="B111" s="2">
        <v>46217</v>
      </c>
      <c r="C111" s="1" t="s">
        <v>12</v>
      </c>
      <c r="D111" s="1">
        <v>2026</v>
      </c>
      <c r="E111" s="1">
        <v>7</v>
      </c>
      <c r="F111" s="1">
        <v>29</v>
      </c>
    </row>
    <row r="112" spans="1:6" x14ac:dyDescent="0.35">
      <c r="A112" s="1">
        <v>43278</v>
      </c>
      <c r="B112" s="2">
        <v>46217</v>
      </c>
      <c r="C112" s="1" t="s">
        <v>13</v>
      </c>
      <c r="D112" s="1">
        <v>2026</v>
      </c>
      <c r="E112" s="1">
        <v>7</v>
      </c>
      <c r="F112" s="1">
        <v>29</v>
      </c>
    </row>
    <row r="113" spans="1:6" x14ac:dyDescent="0.35">
      <c r="A113" s="1">
        <v>43276</v>
      </c>
      <c r="B113" s="2">
        <v>46217</v>
      </c>
      <c r="C113" s="1" t="s">
        <v>13</v>
      </c>
      <c r="D113" s="1">
        <v>2026</v>
      </c>
      <c r="E113" s="1">
        <v>7</v>
      </c>
      <c r="F113" s="1">
        <v>29</v>
      </c>
    </row>
    <row r="114" spans="1:6" x14ac:dyDescent="0.35">
      <c r="A114" s="1">
        <v>43376</v>
      </c>
      <c r="B114" s="2">
        <v>46218</v>
      </c>
      <c r="C114" s="1" t="s">
        <v>10</v>
      </c>
      <c r="D114" s="1">
        <v>2026</v>
      </c>
      <c r="E114" s="1">
        <v>7</v>
      </c>
      <c r="F114" s="1">
        <v>29</v>
      </c>
    </row>
    <row r="115" spans="1:6" x14ac:dyDescent="0.35">
      <c r="A115" s="1">
        <v>43371</v>
      </c>
      <c r="B115" s="2">
        <v>46218</v>
      </c>
      <c r="C115" s="1" t="s">
        <v>11</v>
      </c>
      <c r="D115" s="1">
        <v>2026</v>
      </c>
      <c r="E115" s="1">
        <v>7</v>
      </c>
      <c r="F115" s="1">
        <v>29</v>
      </c>
    </row>
    <row r="116" spans="1:6" x14ac:dyDescent="0.35">
      <c r="A116" s="1">
        <v>43367</v>
      </c>
      <c r="B116" s="2">
        <v>46218</v>
      </c>
      <c r="C116" s="1" t="s">
        <v>6</v>
      </c>
      <c r="D116" s="1">
        <v>2026</v>
      </c>
      <c r="E116" s="1">
        <v>7</v>
      </c>
      <c r="F116" s="1">
        <v>29</v>
      </c>
    </row>
    <row r="117" spans="1:6" x14ac:dyDescent="0.35">
      <c r="A117" s="1">
        <v>43366</v>
      </c>
      <c r="B117" s="2">
        <v>46218</v>
      </c>
      <c r="C117" s="1" t="s">
        <v>6</v>
      </c>
      <c r="D117" s="1">
        <v>2026</v>
      </c>
      <c r="E117" s="1">
        <v>7</v>
      </c>
      <c r="F117" s="1">
        <v>29</v>
      </c>
    </row>
    <row r="118" spans="1:6" x14ac:dyDescent="0.35">
      <c r="A118" s="1">
        <v>43357</v>
      </c>
      <c r="B118" s="2">
        <v>46218</v>
      </c>
      <c r="C118" s="1" t="s">
        <v>3</v>
      </c>
      <c r="D118" s="1">
        <v>2026</v>
      </c>
      <c r="E118" s="1">
        <v>7</v>
      </c>
      <c r="F118" s="1">
        <v>29</v>
      </c>
    </row>
    <row r="119" spans="1:6" x14ac:dyDescent="0.35">
      <c r="A119" s="1">
        <v>43356</v>
      </c>
      <c r="B119" s="2">
        <v>46218</v>
      </c>
      <c r="C119" s="1" t="s">
        <v>3</v>
      </c>
      <c r="D119" s="1">
        <v>2026</v>
      </c>
      <c r="E119" s="1">
        <v>7</v>
      </c>
      <c r="F119" s="1">
        <v>29</v>
      </c>
    </row>
    <row r="120" spans="1:6" x14ac:dyDescent="0.35">
      <c r="A120" s="1">
        <v>43355</v>
      </c>
      <c r="B120" s="2">
        <v>46218</v>
      </c>
      <c r="C120" s="1" t="s">
        <v>9</v>
      </c>
      <c r="D120" s="1">
        <v>2026</v>
      </c>
      <c r="E120" s="1">
        <v>7</v>
      </c>
      <c r="F120" s="1">
        <v>29</v>
      </c>
    </row>
    <row r="121" spans="1:6" x14ac:dyDescent="0.35">
      <c r="A121" s="1">
        <v>43354</v>
      </c>
      <c r="B121" s="2">
        <v>46218</v>
      </c>
      <c r="C121" s="1" t="s">
        <v>9</v>
      </c>
      <c r="D121" s="1">
        <v>2026</v>
      </c>
      <c r="E121" s="1">
        <v>7</v>
      </c>
      <c r="F121" s="1">
        <v>29</v>
      </c>
    </row>
    <row r="122" spans="1:6" x14ac:dyDescent="0.35">
      <c r="A122" s="1">
        <v>43341</v>
      </c>
      <c r="B122" s="2">
        <v>46218</v>
      </c>
      <c r="C122" s="1" t="s">
        <v>14</v>
      </c>
      <c r="D122" s="1">
        <v>2026</v>
      </c>
      <c r="E122" s="1">
        <v>7</v>
      </c>
      <c r="F122" s="1">
        <v>29</v>
      </c>
    </row>
    <row r="123" spans="1:6" x14ac:dyDescent="0.35">
      <c r="A123" s="1">
        <v>43340</v>
      </c>
      <c r="B123" s="2">
        <v>46218</v>
      </c>
      <c r="C123" s="1" t="s">
        <v>14</v>
      </c>
      <c r="D123" s="1">
        <v>2026</v>
      </c>
      <c r="E123" s="1">
        <v>7</v>
      </c>
      <c r="F123" s="1">
        <v>29</v>
      </c>
    </row>
    <row r="124" spans="1:6" x14ac:dyDescent="0.35">
      <c r="A124" s="1">
        <v>43339</v>
      </c>
      <c r="B124" s="2">
        <v>46218</v>
      </c>
      <c r="C124" s="1" t="s">
        <v>4</v>
      </c>
      <c r="D124" s="1">
        <v>2026</v>
      </c>
      <c r="E124" s="1">
        <v>7</v>
      </c>
      <c r="F124" s="1">
        <v>29</v>
      </c>
    </row>
    <row r="125" spans="1:6" x14ac:dyDescent="0.35">
      <c r="A125" s="1">
        <v>43338</v>
      </c>
      <c r="B125" s="2">
        <v>46218</v>
      </c>
      <c r="C125" s="1" t="s">
        <v>4</v>
      </c>
      <c r="D125" s="1">
        <v>2026</v>
      </c>
      <c r="E125" s="1">
        <v>7</v>
      </c>
      <c r="F125" s="1">
        <v>29</v>
      </c>
    </row>
    <row r="126" spans="1:6" x14ac:dyDescent="0.35">
      <c r="A126" s="1">
        <v>43329</v>
      </c>
      <c r="B126" s="2">
        <v>46218</v>
      </c>
      <c r="C126" s="1" t="s">
        <v>8</v>
      </c>
      <c r="D126" s="1">
        <v>2026</v>
      </c>
      <c r="E126" s="1">
        <v>7</v>
      </c>
      <c r="F126" s="1">
        <v>29</v>
      </c>
    </row>
    <row r="127" spans="1:6" x14ac:dyDescent="0.35">
      <c r="A127" s="1">
        <v>43328</v>
      </c>
      <c r="B127" s="2">
        <v>46218</v>
      </c>
      <c r="C127" s="1" t="s">
        <v>8</v>
      </c>
      <c r="D127" s="1">
        <v>2026</v>
      </c>
      <c r="E127" s="1">
        <v>7</v>
      </c>
      <c r="F127" s="1">
        <v>29</v>
      </c>
    </row>
    <row r="128" spans="1:6" x14ac:dyDescent="0.35">
      <c r="A128" s="1">
        <v>43352</v>
      </c>
      <c r="B128" s="2">
        <v>46218</v>
      </c>
      <c r="C128" s="1" t="s">
        <v>12</v>
      </c>
      <c r="D128" s="1">
        <v>2026</v>
      </c>
      <c r="E128" s="1">
        <v>7</v>
      </c>
      <c r="F128" s="1">
        <v>29</v>
      </c>
    </row>
    <row r="129" spans="1:6" x14ac:dyDescent="0.35">
      <c r="A129" s="1">
        <v>43351</v>
      </c>
      <c r="B129" s="2">
        <v>46218</v>
      </c>
      <c r="C129" s="1" t="s">
        <v>12</v>
      </c>
      <c r="D129" s="1">
        <v>2026</v>
      </c>
      <c r="E129" s="1">
        <v>7</v>
      </c>
      <c r="F129" s="1">
        <v>29</v>
      </c>
    </row>
    <row r="130" spans="1:6" x14ac:dyDescent="0.35">
      <c r="A130" s="1">
        <v>43349</v>
      </c>
      <c r="B130" s="2">
        <v>46218</v>
      </c>
      <c r="C130" s="1" t="s">
        <v>12</v>
      </c>
      <c r="D130" s="1">
        <v>2026</v>
      </c>
      <c r="E130" s="1">
        <v>7</v>
      </c>
      <c r="F130" s="1">
        <v>29</v>
      </c>
    </row>
    <row r="131" spans="1:6" x14ac:dyDescent="0.35">
      <c r="A131" s="1">
        <v>43347</v>
      </c>
      <c r="B131" s="2">
        <v>46218</v>
      </c>
      <c r="C131" s="1" t="s">
        <v>12</v>
      </c>
      <c r="D131" s="1">
        <v>2026</v>
      </c>
      <c r="E131" s="1">
        <v>7</v>
      </c>
      <c r="F131" s="1">
        <v>29</v>
      </c>
    </row>
    <row r="132" spans="1:6" x14ac:dyDescent="0.35">
      <c r="A132" s="1">
        <v>43345</v>
      </c>
      <c r="B132" s="2">
        <v>46218</v>
      </c>
      <c r="C132" s="1" t="s">
        <v>12</v>
      </c>
      <c r="D132" s="1">
        <v>2026</v>
      </c>
      <c r="E132" s="1">
        <v>7</v>
      </c>
      <c r="F132" s="1">
        <v>29</v>
      </c>
    </row>
    <row r="133" spans="1:6" x14ac:dyDescent="0.35">
      <c r="A133" s="1">
        <v>43331</v>
      </c>
      <c r="B133" s="2">
        <v>46218</v>
      </c>
      <c r="C133" s="1" t="s">
        <v>13</v>
      </c>
      <c r="D133" s="1">
        <v>2026</v>
      </c>
      <c r="E133" s="1">
        <v>7</v>
      </c>
      <c r="F133" s="1">
        <v>29</v>
      </c>
    </row>
    <row r="134" spans="1:6" x14ac:dyDescent="0.35">
      <c r="A134" s="1">
        <v>43330</v>
      </c>
      <c r="B134" s="2">
        <v>46218</v>
      </c>
      <c r="C134" s="1" t="s">
        <v>13</v>
      </c>
      <c r="D134" s="1">
        <v>2026</v>
      </c>
      <c r="E134" s="1">
        <v>7</v>
      </c>
      <c r="F134" s="1">
        <v>29</v>
      </c>
    </row>
    <row r="135" spans="1:6" x14ac:dyDescent="0.35">
      <c r="A135" s="1">
        <v>43409</v>
      </c>
      <c r="B135" s="2">
        <v>46219</v>
      </c>
      <c r="C135" s="1" t="s">
        <v>12</v>
      </c>
      <c r="D135" s="1">
        <v>2026</v>
      </c>
      <c r="E135" s="1">
        <v>7</v>
      </c>
      <c r="F135" s="1">
        <v>29</v>
      </c>
    </row>
    <row r="136" spans="1:6" x14ac:dyDescent="0.35">
      <c r="A136" s="1">
        <v>43408</v>
      </c>
      <c r="B136" s="2">
        <v>46219</v>
      </c>
      <c r="C136" s="1" t="s">
        <v>12</v>
      </c>
      <c r="D136" s="1">
        <v>2026</v>
      </c>
      <c r="E136" s="1">
        <v>7</v>
      </c>
      <c r="F136" s="1">
        <v>29</v>
      </c>
    </row>
    <row r="137" spans="1:6" x14ac:dyDescent="0.35">
      <c r="A137" s="1">
        <v>43397</v>
      </c>
      <c r="B137" s="2">
        <v>46219</v>
      </c>
      <c r="C137" s="1" t="s">
        <v>4</v>
      </c>
      <c r="D137" s="1">
        <v>2026</v>
      </c>
      <c r="E137" s="1">
        <v>7</v>
      </c>
      <c r="F137" s="1">
        <v>29</v>
      </c>
    </row>
    <row r="138" spans="1:6" x14ac:dyDescent="0.35">
      <c r="A138" s="1">
        <v>43396</v>
      </c>
      <c r="B138" s="2">
        <v>46219</v>
      </c>
      <c r="C138" s="1" t="s">
        <v>4</v>
      </c>
      <c r="D138" s="1">
        <v>2026</v>
      </c>
      <c r="E138" s="1">
        <v>7</v>
      </c>
      <c r="F138" s="1">
        <v>29</v>
      </c>
    </row>
    <row r="139" spans="1:6" x14ac:dyDescent="0.35">
      <c r="A139" s="1">
        <v>43395</v>
      </c>
      <c r="B139" s="2">
        <v>46219</v>
      </c>
      <c r="C139" s="1" t="s">
        <v>4</v>
      </c>
      <c r="D139" s="1">
        <v>2026</v>
      </c>
      <c r="E139" s="1">
        <v>7</v>
      </c>
      <c r="F139" s="1">
        <v>29</v>
      </c>
    </row>
    <row r="140" spans="1:6" x14ac:dyDescent="0.35">
      <c r="A140" s="1">
        <v>43440</v>
      </c>
      <c r="B140" s="2">
        <v>46219</v>
      </c>
      <c r="C140" s="1" t="s">
        <v>15</v>
      </c>
      <c r="D140" s="1">
        <v>2026</v>
      </c>
      <c r="E140" s="1">
        <v>7</v>
      </c>
      <c r="F140" s="1">
        <v>29</v>
      </c>
    </row>
    <row r="141" spans="1:6" x14ac:dyDescent="0.35">
      <c r="A141" s="1">
        <v>43439</v>
      </c>
      <c r="B141" s="2">
        <v>46219</v>
      </c>
      <c r="C141" s="1" t="s">
        <v>15</v>
      </c>
      <c r="D141" s="1">
        <v>2026</v>
      </c>
      <c r="E141" s="1">
        <v>7</v>
      </c>
      <c r="F141" s="1">
        <v>29</v>
      </c>
    </row>
    <row r="142" spans="1:6" x14ac:dyDescent="0.35">
      <c r="A142" s="1">
        <v>43438</v>
      </c>
      <c r="B142" s="2">
        <v>46219</v>
      </c>
      <c r="C142" s="1" t="s">
        <v>15</v>
      </c>
      <c r="D142" s="1">
        <v>2026</v>
      </c>
      <c r="E142" s="1">
        <v>7</v>
      </c>
      <c r="F142" s="1">
        <v>29</v>
      </c>
    </row>
    <row r="143" spans="1:6" x14ac:dyDescent="0.35">
      <c r="A143" s="1">
        <v>43435</v>
      </c>
      <c r="B143" s="2">
        <v>46219</v>
      </c>
      <c r="C143" s="1" t="s">
        <v>10</v>
      </c>
      <c r="D143" s="1">
        <v>2026</v>
      </c>
      <c r="E143" s="1">
        <v>7</v>
      </c>
      <c r="F143" s="1">
        <v>29</v>
      </c>
    </row>
    <row r="144" spans="1:6" x14ac:dyDescent="0.35">
      <c r="A144" s="1">
        <v>43434</v>
      </c>
      <c r="B144" s="2">
        <v>46219</v>
      </c>
      <c r="C144" s="1" t="s">
        <v>10</v>
      </c>
      <c r="D144" s="1">
        <v>2026</v>
      </c>
      <c r="E144" s="1">
        <v>7</v>
      </c>
      <c r="F144" s="1">
        <v>29</v>
      </c>
    </row>
    <row r="145" spans="1:6" x14ac:dyDescent="0.35">
      <c r="A145" s="1">
        <v>43429</v>
      </c>
      <c r="B145" s="2">
        <v>46219</v>
      </c>
      <c r="C145" s="1" t="s">
        <v>16</v>
      </c>
      <c r="D145" s="1">
        <v>2026</v>
      </c>
      <c r="E145" s="1">
        <v>7</v>
      </c>
      <c r="F145" s="1">
        <v>29</v>
      </c>
    </row>
    <row r="146" spans="1:6" x14ac:dyDescent="0.35">
      <c r="A146" s="1">
        <v>43428</v>
      </c>
      <c r="B146" s="2">
        <v>46219</v>
      </c>
      <c r="C146" s="1" t="s">
        <v>16</v>
      </c>
      <c r="D146" s="1">
        <v>2026</v>
      </c>
      <c r="E146" s="1">
        <v>7</v>
      </c>
      <c r="F146" s="1">
        <v>29</v>
      </c>
    </row>
    <row r="147" spans="1:6" x14ac:dyDescent="0.35">
      <c r="A147" s="1">
        <v>43427</v>
      </c>
      <c r="B147" s="2">
        <v>46219</v>
      </c>
      <c r="C147" s="1" t="s">
        <v>16</v>
      </c>
      <c r="D147" s="1">
        <v>2026</v>
      </c>
      <c r="E147" s="1">
        <v>7</v>
      </c>
      <c r="F147" s="1">
        <v>29</v>
      </c>
    </row>
    <row r="148" spans="1:6" x14ac:dyDescent="0.35">
      <c r="A148" s="1">
        <v>43426</v>
      </c>
      <c r="B148" s="2">
        <v>46219</v>
      </c>
      <c r="C148" s="1" t="s">
        <v>16</v>
      </c>
      <c r="D148" s="1">
        <v>2026</v>
      </c>
      <c r="E148" s="1">
        <v>7</v>
      </c>
      <c r="F148" s="1">
        <v>29</v>
      </c>
    </row>
    <row r="149" spans="1:6" x14ac:dyDescent="0.35">
      <c r="A149" s="1">
        <v>43425</v>
      </c>
      <c r="B149" s="2">
        <v>46219</v>
      </c>
      <c r="C149" s="1" t="s">
        <v>16</v>
      </c>
      <c r="D149" s="1">
        <v>2026</v>
      </c>
      <c r="E149" s="1">
        <v>7</v>
      </c>
      <c r="F149" s="1">
        <v>29</v>
      </c>
    </row>
    <row r="150" spans="1:6" x14ac:dyDescent="0.35">
      <c r="A150" s="1">
        <v>43424</v>
      </c>
      <c r="B150" s="2">
        <v>46219</v>
      </c>
      <c r="C150" s="1" t="s">
        <v>11</v>
      </c>
      <c r="D150" s="1">
        <v>2026</v>
      </c>
      <c r="E150" s="1">
        <v>7</v>
      </c>
      <c r="F150" s="1">
        <v>29</v>
      </c>
    </row>
    <row r="151" spans="1:6" x14ac:dyDescent="0.35">
      <c r="A151" s="1">
        <v>43420</v>
      </c>
      <c r="B151" s="2">
        <v>46219</v>
      </c>
      <c r="C151" s="1" t="s">
        <v>6</v>
      </c>
      <c r="D151" s="1">
        <v>2026</v>
      </c>
      <c r="E151" s="1">
        <v>7</v>
      </c>
      <c r="F151" s="1">
        <v>29</v>
      </c>
    </row>
    <row r="152" spans="1:6" x14ac:dyDescent="0.35">
      <c r="A152" s="1">
        <v>43419</v>
      </c>
      <c r="B152" s="2">
        <v>46219</v>
      </c>
      <c r="C152" s="1" t="s">
        <v>6</v>
      </c>
      <c r="D152" s="1">
        <v>2026</v>
      </c>
      <c r="E152" s="1">
        <v>7</v>
      </c>
      <c r="F152" s="1">
        <v>29</v>
      </c>
    </row>
    <row r="153" spans="1:6" x14ac:dyDescent="0.35">
      <c r="A153" s="1">
        <v>43418</v>
      </c>
      <c r="B153" s="2">
        <v>46219</v>
      </c>
      <c r="C153" s="1" t="s">
        <v>6</v>
      </c>
      <c r="D153" s="1">
        <v>2026</v>
      </c>
      <c r="E153" s="1">
        <v>7</v>
      </c>
      <c r="F153" s="1">
        <v>29</v>
      </c>
    </row>
    <row r="154" spans="1:6" x14ac:dyDescent="0.35">
      <c r="A154" s="1">
        <v>43417</v>
      </c>
      <c r="B154" s="2">
        <v>46219</v>
      </c>
      <c r="C154" s="1" t="s">
        <v>14</v>
      </c>
      <c r="D154" s="1">
        <v>2026</v>
      </c>
      <c r="E154" s="1">
        <v>7</v>
      </c>
      <c r="F154" s="1">
        <v>29</v>
      </c>
    </row>
    <row r="155" spans="1:6" x14ac:dyDescent="0.35">
      <c r="A155" s="1">
        <v>43416</v>
      </c>
      <c r="B155" s="2">
        <v>46219</v>
      </c>
      <c r="C155" s="1" t="s">
        <v>14</v>
      </c>
      <c r="D155" s="1">
        <v>2026</v>
      </c>
      <c r="E155" s="1">
        <v>7</v>
      </c>
      <c r="F155" s="1">
        <v>29</v>
      </c>
    </row>
    <row r="156" spans="1:6" x14ac:dyDescent="0.35">
      <c r="A156" s="1">
        <v>43407</v>
      </c>
      <c r="B156" s="2">
        <v>46219</v>
      </c>
      <c r="C156" s="1" t="s">
        <v>12</v>
      </c>
      <c r="D156" s="1">
        <v>2026</v>
      </c>
      <c r="E156" s="1">
        <v>7</v>
      </c>
      <c r="F156" s="1">
        <v>29</v>
      </c>
    </row>
    <row r="157" spans="1:6" x14ac:dyDescent="0.35">
      <c r="A157" s="1">
        <v>43406</v>
      </c>
      <c r="B157" s="2">
        <v>46219</v>
      </c>
      <c r="C157" s="1" t="s">
        <v>12</v>
      </c>
      <c r="D157" s="1">
        <v>2026</v>
      </c>
      <c r="E157" s="1">
        <v>7</v>
      </c>
      <c r="F157" s="1">
        <v>29</v>
      </c>
    </row>
    <row r="158" spans="1:6" x14ac:dyDescent="0.35">
      <c r="A158" s="1">
        <v>43405</v>
      </c>
      <c r="B158" s="2">
        <v>46219</v>
      </c>
      <c r="C158" s="1" t="s">
        <v>12</v>
      </c>
      <c r="D158" s="1">
        <v>2026</v>
      </c>
      <c r="E158" s="1">
        <v>7</v>
      </c>
      <c r="F158" s="1">
        <v>29</v>
      </c>
    </row>
    <row r="159" spans="1:6" x14ac:dyDescent="0.35">
      <c r="A159" s="1">
        <v>43384</v>
      </c>
      <c r="B159" s="2">
        <v>46219</v>
      </c>
      <c r="C159" s="1" t="s">
        <v>13</v>
      </c>
      <c r="D159" s="1">
        <v>2026</v>
      </c>
      <c r="E159" s="1">
        <v>7</v>
      </c>
      <c r="F159" s="1">
        <v>29</v>
      </c>
    </row>
    <row r="160" spans="1:6" x14ac:dyDescent="0.35">
      <c r="A160" s="1">
        <v>43383</v>
      </c>
      <c r="B160" s="2">
        <v>46219</v>
      </c>
      <c r="C160" s="1" t="s">
        <v>13</v>
      </c>
      <c r="D160" s="1">
        <v>2026</v>
      </c>
      <c r="E160" s="1">
        <v>7</v>
      </c>
      <c r="F160" s="1">
        <v>29</v>
      </c>
    </row>
    <row r="161" spans="1:6" x14ac:dyDescent="0.35">
      <c r="A161" s="1">
        <v>43476</v>
      </c>
      <c r="B161" s="2">
        <v>46220</v>
      </c>
      <c r="C161" s="1" t="s">
        <v>12</v>
      </c>
      <c r="D161" s="1">
        <v>2026</v>
      </c>
      <c r="E161" s="1">
        <v>7</v>
      </c>
      <c r="F161" s="1">
        <v>29</v>
      </c>
    </row>
    <row r="162" spans="1:6" x14ac:dyDescent="0.35">
      <c r="A162" s="1">
        <v>43475</v>
      </c>
      <c r="B162" s="2">
        <v>46220</v>
      </c>
      <c r="C162" s="1" t="s">
        <v>12</v>
      </c>
      <c r="D162" s="1">
        <v>2026</v>
      </c>
      <c r="E162" s="1">
        <v>7</v>
      </c>
      <c r="F162" s="1">
        <v>29</v>
      </c>
    </row>
    <row r="163" spans="1:6" x14ac:dyDescent="0.35">
      <c r="A163" s="1">
        <v>43474</v>
      </c>
      <c r="B163" s="2">
        <v>46220</v>
      </c>
      <c r="C163" s="1" t="s">
        <v>12</v>
      </c>
      <c r="D163" s="1">
        <v>2026</v>
      </c>
      <c r="E163" s="1">
        <v>7</v>
      </c>
      <c r="F163" s="1">
        <v>29</v>
      </c>
    </row>
    <row r="164" spans="1:6" x14ac:dyDescent="0.35">
      <c r="A164" s="1">
        <v>43473</v>
      </c>
      <c r="B164" s="2">
        <v>46220</v>
      </c>
      <c r="C164" s="1" t="s">
        <v>12</v>
      </c>
      <c r="D164" s="1">
        <v>2026</v>
      </c>
      <c r="E164" s="1">
        <v>7</v>
      </c>
      <c r="F164" s="1">
        <v>29</v>
      </c>
    </row>
    <row r="165" spans="1:6" x14ac:dyDescent="0.35">
      <c r="A165" s="1">
        <v>43471</v>
      </c>
      <c r="B165" s="2">
        <v>46220</v>
      </c>
      <c r="C165" s="1" t="s">
        <v>10</v>
      </c>
      <c r="D165" s="1">
        <v>2026</v>
      </c>
      <c r="E165" s="1">
        <v>7</v>
      </c>
      <c r="F165" s="1">
        <v>29</v>
      </c>
    </row>
    <row r="166" spans="1:6" x14ac:dyDescent="0.35">
      <c r="A166" s="1">
        <v>43470</v>
      </c>
      <c r="B166" s="2">
        <v>46220</v>
      </c>
      <c r="C166" s="1" t="s">
        <v>10</v>
      </c>
      <c r="D166" s="1">
        <v>2026</v>
      </c>
      <c r="E166" s="1">
        <v>7</v>
      </c>
      <c r="F166" s="1">
        <v>29</v>
      </c>
    </row>
    <row r="167" spans="1:6" x14ac:dyDescent="0.35">
      <c r="A167" s="1">
        <v>43469</v>
      </c>
      <c r="B167" s="2">
        <v>46220</v>
      </c>
      <c r="C167" s="1" t="s">
        <v>16</v>
      </c>
      <c r="D167" s="1">
        <v>2026</v>
      </c>
      <c r="E167" s="1">
        <v>7</v>
      </c>
      <c r="F167" s="1">
        <v>29</v>
      </c>
    </row>
    <row r="168" spans="1:6" x14ac:dyDescent="0.35">
      <c r="A168" s="1">
        <v>43468</v>
      </c>
      <c r="B168" s="2">
        <v>46220</v>
      </c>
      <c r="C168" s="1" t="s">
        <v>16</v>
      </c>
      <c r="D168" s="1">
        <v>2026</v>
      </c>
      <c r="E168" s="1">
        <v>7</v>
      </c>
      <c r="F168" s="1">
        <v>29</v>
      </c>
    </row>
    <row r="169" spans="1:6" x14ac:dyDescent="0.35">
      <c r="A169" s="1">
        <v>43467</v>
      </c>
      <c r="B169" s="2">
        <v>46220</v>
      </c>
      <c r="C169" s="1" t="s">
        <v>16</v>
      </c>
      <c r="D169" s="1">
        <v>2026</v>
      </c>
      <c r="E169" s="1">
        <v>7</v>
      </c>
      <c r="F169" s="1">
        <v>29</v>
      </c>
    </row>
    <row r="170" spans="1:6" x14ac:dyDescent="0.35">
      <c r="A170" s="1">
        <v>43466</v>
      </c>
      <c r="B170" s="2">
        <v>46220</v>
      </c>
      <c r="C170" s="1" t="s">
        <v>16</v>
      </c>
      <c r="D170" s="1">
        <v>2026</v>
      </c>
      <c r="E170" s="1">
        <v>7</v>
      </c>
      <c r="F170" s="1">
        <v>29</v>
      </c>
    </row>
    <row r="171" spans="1:6" x14ac:dyDescent="0.35">
      <c r="A171" s="1">
        <v>43465</v>
      </c>
      <c r="B171" s="2">
        <v>46220</v>
      </c>
      <c r="C171" s="1" t="s">
        <v>16</v>
      </c>
      <c r="D171" s="1">
        <v>2026</v>
      </c>
      <c r="E171" s="1">
        <v>7</v>
      </c>
      <c r="F171" s="1">
        <v>29</v>
      </c>
    </row>
    <row r="172" spans="1:6" x14ac:dyDescent="0.35">
      <c r="A172" s="1">
        <v>43464</v>
      </c>
      <c r="B172" s="2">
        <v>46220</v>
      </c>
      <c r="C172" s="1" t="s">
        <v>6</v>
      </c>
      <c r="D172" s="1">
        <v>2026</v>
      </c>
      <c r="E172" s="1">
        <v>7</v>
      </c>
      <c r="F172" s="1">
        <v>29</v>
      </c>
    </row>
    <row r="173" spans="1:6" x14ac:dyDescent="0.35">
      <c r="A173" s="1">
        <v>43463</v>
      </c>
      <c r="B173" s="2">
        <v>46220</v>
      </c>
      <c r="C173" s="1" t="s">
        <v>6</v>
      </c>
      <c r="D173" s="1">
        <v>2026</v>
      </c>
      <c r="E173" s="1">
        <v>7</v>
      </c>
      <c r="F173" s="1">
        <v>29</v>
      </c>
    </row>
    <row r="174" spans="1:6" x14ac:dyDescent="0.35">
      <c r="A174" s="1">
        <v>43462</v>
      </c>
      <c r="B174" s="2">
        <v>46220</v>
      </c>
      <c r="C174" s="1" t="s">
        <v>6</v>
      </c>
      <c r="D174" s="1">
        <v>2026</v>
      </c>
      <c r="E174" s="1">
        <v>7</v>
      </c>
      <c r="F174" s="1">
        <v>29</v>
      </c>
    </row>
    <row r="175" spans="1:6" x14ac:dyDescent="0.35">
      <c r="A175" s="1">
        <v>43447</v>
      </c>
      <c r="B175" s="2">
        <v>46220</v>
      </c>
      <c r="C175" s="1" t="s">
        <v>17</v>
      </c>
      <c r="D175" s="1">
        <v>2026</v>
      </c>
      <c r="E175" s="1">
        <v>7</v>
      </c>
      <c r="F175" s="1">
        <v>29</v>
      </c>
    </row>
    <row r="176" spans="1:6" x14ac:dyDescent="0.35">
      <c r="A176" s="1">
        <v>43444</v>
      </c>
      <c r="B176" s="2">
        <v>46220</v>
      </c>
      <c r="C176" s="1" t="s">
        <v>17</v>
      </c>
      <c r="D176" s="1">
        <v>2026</v>
      </c>
      <c r="E176" s="1">
        <v>7</v>
      </c>
      <c r="F176" s="1">
        <v>29</v>
      </c>
    </row>
    <row r="177" spans="1:6" x14ac:dyDescent="0.35">
      <c r="A177" s="1">
        <v>43442</v>
      </c>
      <c r="B177" s="2">
        <v>46220</v>
      </c>
      <c r="C177" s="1" t="s">
        <v>4</v>
      </c>
      <c r="D177" s="1">
        <v>2026</v>
      </c>
      <c r="E177" s="1">
        <v>7</v>
      </c>
      <c r="F177" s="1">
        <v>29</v>
      </c>
    </row>
    <row r="178" spans="1:6" x14ac:dyDescent="0.35">
      <c r="A178" s="1">
        <v>43441</v>
      </c>
      <c r="B178" s="2">
        <v>46220</v>
      </c>
      <c r="C178" s="1" t="s">
        <v>4</v>
      </c>
      <c r="D178" s="1">
        <v>2026</v>
      </c>
      <c r="E178" s="1">
        <v>7</v>
      </c>
      <c r="F178" s="1">
        <v>29</v>
      </c>
    </row>
    <row r="179" spans="1:6" x14ac:dyDescent="0.35">
      <c r="A179" s="1">
        <v>43472</v>
      </c>
      <c r="B179" s="2">
        <v>46220</v>
      </c>
      <c r="C179" s="1" t="s">
        <v>12</v>
      </c>
      <c r="D179" s="1">
        <v>2026</v>
      </c>
      <c r="E179" s="1">
        <v>7</v>
      </c>
      <c r="F179" s="1">
        <v>29</v>
      </c>
    </row>
    <row r="180" spans="1:6" x14ac:dyDescent="0.35">
      <c r="A180" s="1">
        <v>43486</v>
      </c>
      <c r="B180" s="2">
        <v>46221</v>
      </c>
      <c r="C180" s="1" t="s">
        <v>17</v>
      </c>
      <c r="D180" s="1">
        <v>2026</v>
      </c>
      <c r="E180" s="1">
        <v>7</v>
      </c>
      <c r="F180" s="1">
        <v>29</v>
      </c>
    </row>
    <row r="181" spans="1:6" x14ac:dyDescent="0.35">
      <c r="A181" s="1">
        <v>43485</v>
      </c>
      <c r="B181" s="2">
        <v>46221</v>
      </c>
      <c r="C181" s="1" t="s">
        <v>17</v>
      </c>
      <c r="D181" s="1">
        <v>2026</v>
      </c>
      <c r="E181" s="1">
        <v>7</v>
      </c>
      <c r="F181" s="1">
        <v>29</v>
      </c>
    </row>
    <row r="182" spans="1:6" x14ac:dyDescent="0.35">
      <c r="A182" s="1">
        <v>43481</v>
      </c>
      <c r="B182" s="2">
        <v>46221</v>
      </c>
      <c r="C182" s="1" t="s">
        <v>8</v>
      </c>
      <c r="D182" s="1">
        <v>2026</v>
      </c>
      <c r="E182" s="1">
        <v>7</v>
      </c>
      <c r="F182" s="1">
        <v>29</v>
      </c>
    </row>
    <row r="183" spans="1:6" x14ac:dyDescent="0.35">
      <c r="A183" s="1">
        <v>43480</v>
      </c>
      <c r="B183" s="2">
        <v>46221</v>
      </c>
      <c r="C183" s="1" t="s">
        <v>8</v>
      </c>
      <c r="D183" s="1">
        <v>2026</v>
      </c>
      <c r="E183" s="1">
        <v>7</v>
      </c>
      <c r="F183" s="1">
        <v>29</v>
      </c>
    </row>
    <row r="184" spans="1:6" x14ac:dyDescent="0.35">
      <c r="A184" s="1">
        <v>43520</v>
      </c>
      <c r="B184" s="2">
        <v>46223</v>
      </c>
      <c r="C184" s="1" t="s">
        <v>12</v>
      </c>
      <c r="D184" s="1">
        <v>2026</v>
      </c>
      <c r="E184" s="1">
        <v>7</v>
      </c>
      <c r="F184" s="1">
        <v>30</v>
      </c>
    </row>
    <row r="185" spans="1:6" x14ac:dyDescent="0.35">
      <c r="A185" s="1">
        <v>43519</v>
      </c>
      <c r="B185" s="2">
        <v>46223</v>
      </c>
      <c r="C185" s="1" t="s">
        <v>12</v>
      </c>
      <c r="D185" s="1">
        <v>2026</v>
      </c>
      <c r="E185" s="1">
        <v>7</v>
      </c>
      <c r="F185" s="1">
        <v>30</v>
      </c>
    </row>
    <row r="186" spans="1:6" x14ac:dyDescent="0.35">
      <c r="A186" s="1">
        <v>43518</v>
      </c>
      <c r="B186" s="2">
        <v>46223</v>
      </c>
      <c r="C186" s="1" t="s">
        <v>12</v>
      </c>
      <c r="D186" s="1">
        <v>2026</v>
      </c>
      <c r="E186" s="1">
        <v>7</v>
      </c>
      <c r="F186" s="1">
        <v>30</v>
      </c>
    </row>
    <row r="187" spans="1:6" x14ac:dyDescent="0.35">
      <c r="A187" s="1">
        <v>43517</v>
      </c>
      <c r="B187" s="2">
        <v>46223</v>
      </c>
      <c r="C187" s="1" t="s">
        <v>12</v>
      </c>
      <c r="D187" s="1">
        <v>2026</v>
      </c>
      <c r="E187" s="1">
        <v>7</v>
      </c>
      <c r="F187" s="1">
        <v>30</v>
      </c>
    </row>
    <row r="188" spans="1:6" x14ac:dyDescent="0.35">
      <c r="A188" s="1">
        <v>43497</v>
      </c>
      <c r="B188" s="2">
        <v>46223</v>
      </c>
      <c r="C188" s="1" t="s">
        <v>14</v>
      </c>
      <c r="D188" s="1">
        <v>2026</v>
      </c>
      <c r="E188" s="1">
        <v>7</v>
      </c>
      <c r="F188" s="1">
        <v>30</v>
      </c>
    </row>
    <row r="189" spans="1:6" x14ac:dyDescent="0.35">
      <c r="A189" s="1">
        <v>43496</v>
      </c>
      <c r="B189" s="2">
        <v>46223</v>
      </c>
      <c r="C189" s="1" t="s">
        <v>14</v>
      </c>
      <c r="D189" s="1">
        <v>2026</v>
      </c>
      <c r="E189" s="1">
        <v>7</v>
      </c>
      <c r="F189" s="1">
        <v>30</v>
      </c>
    </row>
    <row r="190" spans="1:6" x14ac:dyDescent="0.35">
      <c r="A190" s="1">
        <v>43495</v>
      </c>
      <c r="B190" s="2">
        <v>46223</v>
      </c>
      <c r="C190" s="1" t="s">
        <v>9</v>
      </c>
      <c r="D190" s="1">
        <v>2026</v>
      </c>
      <c r="E190" s="1">
        <v>7</v>
      </c>
      <c r="F190" s="1">
        <v>30</v>
      </c>
    </row>
    <row r="191" spans="1:6" x14ac:dyDescent="0.35">
      <c r="A191" s="1">
        <v>43582</v>
      </c>
      <c r="B191" s="2">
        <v>46223</v>
      </c>
      <c r="C191" s="1" t="s">
        <v>15</v>
      </c>
      <c r="D191" s="1">
        <v>2026</v>
      </c>
      <c r="E191" s="1">
        <v>7</v>
      </c>
      <c r="F191" s="1">
        <v>30</v>
      </c>
    </row>
    <row r="192" spans="1:6" x14ac:dyDescent="0.35">
      <c r="A192" s="1">
        <v>43571</v>
      </c>
      <c r="B192" s="2">
        <v>46223</v>
      </c>
      <c r="C192" s="1" t="s">
        <v>16</v>
      </c>
      <c r="D192" s="1">
        <v>2026</v>
      </c>
      <c r="E192" s="1">
        <v>7</v>
      </c>
      <c r="F192" s="1">
        <v>30</v>
      </c>
    </row>
    <row r="193" spans="1:6" x14ac:dyDescent="0.35">
      <c r="A193" s="1">
        <v>43568</v>
      </c>
      <c r="B193" s="2">
        <v>46223</v>
      </c>
      <c r="C193" s="1" t="s">
        <v>16</v>
      </c>
      <c r="D193" s="1">
        <v>2026</v>
      </c>
      <c r="E193" s="1">
        <v>7</v>
      </c>
      <c r="F193" s="1">
        <v>30</v>
      </c>
    </row>
    <row r="194" spans="1:6" x14ac:dyDescent="0.35">
      <c r="A194" s="1">
        <v>43557</v>
      </c>
      <c r="B194" s="2">
        <v>46223</v>
      </c>
      <c r="C194" s="1" t="s">
        <v>11</v>
      </c>
      <c r="D194" s="1">
        <v>2026</v>
      </c>
      <c r="E194" s="1">
        <v>7</v>
      </c>
      <c r="F194" s="1">
        <v>30</v>
      </c>
    </row>
    <row r="195" spans="1:6" x14ac:dyDescent="0.35">
      <c r="A195" s="1">
        <v>43556</v>
      </c>
      <c r="B195" s="2">
        <v>46223</v>
      </c>
      <c r="C195" s="1" t="s">
        <v>3</v>
      </c>
      <c r="D195" s="1">
        <v>2026</v>
      </c>
      <c r="E195" s="1">
        <v>7</v>
      </c>
      <c r="F195" s="1">
        <v>30</v>
      </c>
    </row>
    <row r="196" spans="1:6" x14ac:dyDescent="0.35">
      <c r="A196" s="1">
        <v>43537</v>
      </c>
      <c r="B196" s="2">
        <v>46223</v>
      </c>
      <c r="C196" s="1" t="s">
        <v>9</v>
      </c>
      <c r="D196" s="1">
        <v>2026</v>
      </c>
      <c r="E196" s="1">
        <v>7</v>
      </c>
      <c r="F196" s="1">
        <v>30</v>
      </c>
    </row>
    <row r="197" spans="1:6" x14ac:dyDescent="0.35">
      <c r="A197" s="1">
        <v>43536</v>
      </c>
      <c r="B197" s="2">
        <v>46223</v>
      </c>
      <c r="C197" s="1" t="s">
        <v>9</v>
      </c>
      <c r="D197" s="1">
        <v>2026</v>
      </c>
      <c r="E197" s="1">
        <v>7</v>
      </c>
      <c r="F197" s="1">
        <v>30</v>
      </c>
    </row>
    <row r="198" spans="1:6" x14ac:dyDescent="0.35">
      <c r="A198" s="1">
        <v>43527</v>
      </c>
      <c r="B198" s="2">
        <v>46223</v>
      </c>
      <c r="C198" s="1" t="s">
        <v>17</v>
      </c>
      <c r="D198" s="1">
        <v>2026</v>
      </c>
      <c r="E198" s="1">
        <v>7</v>
      </c>
      <c r="F198" s="1">
        <v>30</v>
      </c>
    </row>
    <row r="199" spans="1:6" x14ac:dyDescent="0.35">
      <c r="A199" s="1">
        <v>43526</v>
      </c>
      <c r="B199" s="2">
        <v>46223</v>
      </c>
      <c r="C199" s="1" t="s">
        <v>17</v>
      </c>
      <c r="D199" s="1">
        <v>2026</v>
      </c>
      <c r="E199" s="1">
        <v>7</v>
      </c>
      <c r="F199" s="1">
        <v>30</v>
      </c>
    </row>
    <row r="200" spans="1:6" x14ac:dyDescent="0.35">
      <c r="A200" s="1">
        <v>43524</v>
      </c>
      <c r="B200" s="2">
        <v>46223</v>
      </c>
      <c r="C200" s="1" t="s">
        <v>4</v>
      </c>
      <c r="D200" s="1">
        <v>2026</v>
      </c>
      <c r="E200" s="1">
        <v>7</v>
      </c>
      <c r="F200" s="1">
        <v>30</v>
      </c>
    </row>
    <row r="201" spans="1:6" x14ac:dyDescent="0.35">
      <c r="A201" s="1">
        <v>43511</v>
      </c>
      <c r="B201" s="2">
        <v>46223</v>
      </c>
      <c r="C201" s="1" t="s">
        <v>6</v>
      </c>
      <c r="D201" s="1">
        <v>2026</v>
      </c>
      <c r="E201" s="1">
        <v>7</v>
      </c>
      <c r="F201" s="1">
        <v>30</v>
      </c>
    </row>
    <row r="202" spans="1:6" x14ac:dyDescent="0.35">
      <c r="A202" s="1">
        <v>43509</v>
      </c>
      <c r="B202" s="2">
        <v>46223</v>
      </c>
      <c r="C202" s="1" t="s">
        <v>6</v>
      </c>
      <c r="D202" s="1">
        <v>2026</v>
      </c>
      <c r="E202" s="1">
        <v>7</v>
      </c>
      <c r="F202" s="1">
        <v>30</v>
      </c>
    </row>
    <row r="203" spans="1:6" x14ac:dyDescent="0.35">
      <c r="A203" s="1">
        <v>43507</v>
      </c>
      <c r="B203" s="2">
        <v>46223</v>
      </c>
      <c r="C203" s="1" t="s">
        <v>6</v>
      </c>
      <c r="D203" s="1">
        <v>2026</v>
      </c>
      <c r="E203" s="1">
        <v>7</v>
      </c>
      <c r="F203" s="1">
        <v>30</v>
      </c>
    </row>
    <row r="204" spans="1:6" x14ac:dyDescent="0.35">
      <c r="A204" s="1">
        <v>43506</v>
      </c>
      <c r="B204" s="2">
        <v>46223</v>
      </c>
      <c r="C204" s="1" t="s">
        <v>4</v>
      </c>
      <c r="D204" s="1">
        <v>2026</v>
      </c>
      <c r="E204" s="1">
        <v>7</v>
      </c>
      <c r="F204" s="1">
        <v>30</v>
      </c>
    </row>
    <row r="205" spans="1:6" x14ac:dyDescent="0.35">
      <c r="A205" s="1">
        <v>43505</v>
      </c>
      <c r="B205" s="2">
        <v>46223</v>
      </c>
      <c r="C205" s="1" t="s">
        <v>4</v>
      </c>
      <c r="D205" s="1">
        <v>2026</v>
      </c>
      <c r="E205" s="1">
        <v>7</v>
      </c>
      <c r="F205" s="1">
        <v>30</v>
      </c>
    </row>
    <row r="206" spans="1:6" x14ac:dyDescent="0.35">
      <c r="A206" s="1">
        <v>43503</v>
      </c>
      <c r="B206" s="2">
        <v>46223</v>
      </c>
      <c r="C206" s="1" t="s">
        <v>8</v>
      </c>
      <c r="D206" s="1">
        <v>2026</v>
      </c>
      <c r="E206" s="1">
        <v>7</v>
      </c>
      <c r="F206" s="1">
        <v>30</v>
      </c>
    </row>
    <row r="207" spans="1:6" x14ac:dyDescent="0.35">
      <c r="A207" s="1">
        <v>43502</v>
      </c>
      <c r="B207" s="2">
        <v>46223</v>
      </c>
      <c r="C207" s="1" t="s">
        <v>9</v>
      </c>
      <c r="D207" s="1">
        <v>2026</v>
      </c>
      <c r="E207" s="1">
        <v>7</v>
      </c>
      <c r="F207" s="1">
        <v>30</v>
      </c>
    </row>
    <row r="208" spans="1:6" x14ac:dyDescent="0.35">
      <c r="A208" s="1">
        <v>43501</v>
      </c>
      <c r="B208" s="2">
        <v>46223</v>
      </c>
      <c r="C208" s="1" t="s">
        <v>8</v>
      </c>
      <c r="D208" s="1">
        <v>2026</v>
      </c>
      <c r="E208" s="1">
        <v>7</v>
      </c>
      <c r="F208" s="1">
        <v>30</v>
      </c>
    </row>
    <row r="209" spans="1:6" x14ac:dyDescent="0.35">
      <c r="A209" s="1">
        <v>43516</v>
      </c>
      <c r="B209" s="2">
        <v>46223</v>
      </c>
      <c r="C209" s="1" t="s">
        <v>12</v>
      </c>
      <c r="D209" s="1">
        <v>2026</v>
      </c>
      <c r="E209" s="1">
        <v>7</v>
      </c>
      <c r="F209" s="1">
        <v>30</v>
      </c>
    </row>
    <row r="210" spans="1:6" x14ac:dyDescent="0.35">
      <c r="A210" s="1">
        <v>43510</v>
      </c>
      <c r="B210" s="2">
        <v>46223</v>
      </c>
      <c r="C210" s="1" t="s">
        <v>13</v>
      </c>
      <c r="D210" s="1">
        <v>2026</v>
      </c>
      <c r="E210" s="1">
        <v>7</v>
      </c>
      <c r="F210" s="1">
        <v>30</v>
      </c>
    </row>
    <row r="211" spans="1:6" x14ac:dyDescent="0.35">
      <c r="A211" s="1">
        <v>43508</v>
      </c>
      <c r="B211" s="2">
        <v>46223</v>
      </c>
      <c r="C211" s="1" t="s">
        <v>13</v>
      </c>
      <c r="D211" s="1">
        <v>2026</v>
      </c>
      <c r="E211" s="1">
        <v>7</v>
      </c>
      <c r="F211" s="1">
        <v>30</v>
      </c>
    </row>
    <row r="212" spans="1:6" x14ac:dyDescent="0.35">
      <c r="A212" s="1">
        <v>43615</v>
      </c>
      <c r="B212" s="2">
        <v>46224</v>
      </c>
      <c r="C212" s="1" t="s">
        <v>18</v>
      </c>
      <c r="D212" s="1">
        <v>2026</v>
      </c>
      <c r="E212" s="1">
        <v>7</v>
      </c>
      <c r="F212" s="1">
        <v>30</v>
      </c>
    </row>
    <row r="213" spans="1:6" x14ac:dyDescent="0.35">
      <c r="A213" s="1">
        <v>43652</v>
      </c>
      <c r="B213" s="2">
        <v>46224</v>
      </c>
      <c r="C213" s="1" t="s">
        <v>12</v>
      </c>
      <c r="D213" s="1">
        <v>2026</v>
      </c>
      <c r="E213" s="1">
        <v>7</v>
      </c>
      <c r="F213" s="1">
        <v>30</v>
      </c>
    </row>
    <row r="214" spans="1:6" x14ac:dyDescent="0.35">
      <c r="A214" s="1">
        <v>43651</v>
      </c>
      <c r="B214" s="2">
        <v>46224</v>
      </c>
      <c r="C214" s="1" t="s">
        <v>12</v>
      </c>
      <c r="D214" s="1">
        <v>2026</v>
      </c>
      <c r="E214" s="1">
        <v>7</v>
      </c>
      <c r="F214" s="1">
        <v>30</v>
      </c>
    </row>
    <row r="215" spans="1:6" x14ac:dyDescent="0.35">
      <c r="A215" s="1">
        <v>43650</v>
      </c>
      <c r="B215" s="2">
        <v>46224</v>
      </c>
      <c r="C215" s="1" t="s">
        <v>12</v>
      </c>
      <c r="D215" s="1">
        <v>2026</v>
      </c>
      <c r="E215" s="1">
        <v>7</v>
      </c>
      <c r="F215" s="1">
        <v>30</v>
      </c>
    </row>
    <row r="216" spans="1:6" x14ac:dyDescent="0.35">
      <c r="A216" s="1">
        <v>43649</v>
      </c>
      <c r="B216" s="2">
        <v>46224</v>
      </c>
      <c r="C216" s="1" t="s">
        <v>12</v>
      </c>
      <c r="D216" s="1">
        <v>2026</v>
      </c>
      <c r="E216" s="1">
        <v>7</v>
      </c>
      <c r="F216" s="1">
        <v>30</v>
      </c>
    </row>
    <row r="217" spans="1:6" x14ac:dyDescent="0.35">
      <c r="A217" s="1">
        <v>43648</v>
      </c>
      <c r="B217" s="2">
        <v>46224</v>
      </c>
      <c r="C217" s="1" t="s">
        <v>12</v>
      </c>
      <c r="D217" s="1">
        <v>2026</v>
      </c>
      <c r="E217" s="1">
        <v>7</v>
      </c>
      <c r="F217" s="1">
        <v>30</v>
      </c>
    </row>
    <row r="218" spans="1:6" x14ac:dyDescent="0.35">
      <c r="A218" s="1">
        <v>43606</v>
      </c>
      <c r="B218" s="2">
        <v>46224</v>
      </c>
      <c r="C218" s="1" t="s">
        <v>14</v>
      </c>
      <c r="D218" s="1">
        <v>2026</v>
      </c>
      <c r="E218" s="1">
        <v>7</v>
      </c>
      <c r="F218" s="1">
        <v>30</v>
      </c>
    </row>
    <row r="219" spans="1:6" x14ac:dyDescent="0.35">
      <c r="A219" s="1">
        <v>43605</v>
      </c>
      <c r="B219" s="2">
        <v>46224</v>
      </c>
      <c r="C219" s="1" t="s">
        <v>14</v>
      </c>
      <c r="D219" s="1">
        <v>2026</v>
      </c>
      <c r="E219" s="1">
        <v>7</v>
      </c>
      <c r="F219" s="1">
        <v>30</v>
      </c>
    </row>
    <row r="220" spans="1:6" x14ac:dyDescent="0.35">
      <c r="A220" s="1">
        <v>43593</v>
      </c>
      <c r="B220" s="2">
        <v>46224</v>
      </c>
      <c r="C220" s="1" t="s">
        <v>8</v>
      </c>
      <c r="D220" s="1">
        <v>2026</v>
      </c>
      <c r="E220" s="1">
        <v>7</v>
      </c>
      <c r="F220" s="1">
        <v>30</v>
      </c>
    </row>
    <row r="221" spans="1:6" x14ac:dyDescent="0.35">
      <c r="A221" s="1">
        <v>43592</v>
      </c>
      <c r="B221" s="2">
        <v>46224</v>
      </c>
      <c r="C221" s="1" t="s">
        <v>8</v>
      </c>
      <c r="D221" s="1">
        <v>2026</v>
      </c>
      <c r="E221" s="1">
        <v>7</v>
      </c>
      <c r="F221" s="1">
        <v>30</v>
      </c>
    </row>
    <row r="222" spans="1:6" x14ac:dyDescent="0.35">
      <c r="A222" s="1">
        <v>43587</v>
      </c>
      <c r="B222" s="2">
        <v>46224</v>
      </c>
      <c r="C222" s="1" t="s">
        <v>19</v>
      </c>
      <c r="D222" s="1">
        <v>2026</v>
      </c>
      <c r="E222" s="1">
        <v>7</v>
      </c>
      <c r="F222" s="1">
        <v>30</v>
      </c>
    </row>
    <row r="223" spans="1:6" x14ac:dyDescent="0.35">
      <c r="A223" s="1">
        <v>43584</v>
      </c>
      <c r="B223" s="2">
        <v>46224</v>
      </c>
      <c r="C223" s="1" t="s">
        <v>19</v>
      </c>
      <c r="D223" s="1">
        <v>2026</v>
      </c>
      <c r="E223" s="1">
        <v>7</v>
      </c>
      <c r="F223" s="1">
        <v>30</v>
      </c>
    </row>
    <row r="224" spans="1:6" x14ac:dyDescent="0.35">
      <c r="A224" s="1">
        <v>43656</v>
      </c>
      <c r="B224" s="2">
        <v>46224</v>
      </c>
      <c r="C224" s="1" t="s">
        <v>10</v>
      </c>
      <c r="D224" s="1">
        <v>2026</v>
      </c>
      <c r="E224" s="1">
        <v>7</v>
      </c>
      <c r="F224" s="1">
        <v>30</v>
      </c>
    </row>
    <row r="225" spans="1:6" x14ac:dyDescent="0.35">
      <c r="A225" s="1">
        <v>43655</v>
      </c>
      <c r="B225" s="2">
        <v>46224</v>
      </c>
      <c r="C225" s="1" t="s">
        <v>10</v>
      </c>
      <c r="D225" s="1">
        <v>2026</v>
      </c>
      <c r="E225" s="1">
        <v>7</v>
      </c>
      <c r="F225" s="1">
        <v>30</v>
      </c>
    </row>
    <row r="226" spans="1:6" x14ac:dyDescent="0.35">
      <c r="A226" s="1">
        <v>43654</v>
      </c>
      <c r="B226" s="2">
        <v>46224</v>
      </c>
      <c r="C226" s="1" t="s">
        <v>16</v>
      </c>
      <c r="D226" s="1">
        <v>2026</v>
      </c>
      <c r="E226" s="1">
        <v>7</v>
      </c>
      <c r="F226" s="1">
        <v>30</v>
      </c>
    </row>
    <row r="227" spans="1:6" x14ac:dyDescent="0.35">
      <c r="A227" s="1">
        <v>43653</v>
      </c>
      <c r="B227" s="2">
        <v>46224</v>
      </c>
      <c r="C227" s="1" t="s">
        <v>16</v>
      </c>
      <c r="D227" s="1">
        <v>2026</v>
      </c>
      <c r="E227" s="1">
        <v>7</v>
      </c>
      <c r="F227" s="1">
        <v>30</v>
      </c>
    </row>
    <row r="228" spans="1:6" x14ac:dyDescent="0.35">
      <c r="A228" s="1">
        <v>43647</v>
      </c>
      <c r="B228" s="2">
        <v>46224</v>
      </c>
      <c r="C228" s="1" t="s">
        <v>19</v>
      </c>
      <c r="D228" s="1">
        <v>2026</v>
      </c>
      <c r="E228" s="1">
        <v>7</v>
      </c>
      <c r="F228" s="1">
        <v>30</v>
      </c>
    </row>
    <row r="229" spans="1:6" x14ac:dyDescent="0.35">
      <c r="A229" s="1">
        <v>43646</v>
      </c>
      <c r="B229" s="2">
        <v>46224</v>
      </c>
      <c r="C229" s="1" t="s">
        <v>19</v>
      </c>
      <c r="D229" s="1">
        <v>2026</v>
      </c>
      <c r="E229" s="1">
        <v>7</v>
      </c>
      <c r="F229" s="1">
        <v>30</v>
      </c>
    </row>
    <row r="230" spans="1:6" x14ac:dyDescent="0.35">
      <c r="A230" s="1">
        <v>43645</v>
      </c>
      <c r="B230" s="2">
        <v>46224</v>
      </c>
      <c r="C230" s="1" t="s">
        <v>19</v>
      </c>
      <c r="D230" s="1">
        <v>2026</v>
      </c>
      <c r="E230" s="1">
        <v>7</v>
      </c>
      <c r="F230" s="1">
        <v>30</v>
      </c>
    </row>
    <row r="231" spans="1:6" x14ac:dyDescent="0.35">
      <c r="A231" s="1">
        <v>43644</v>
      </c>
      <c r="B231" s="2">
        <v>46224</v>
      </c>
      <c r="C231" s="1" t="s">
        <v>19</v>
      </c>
      <c r="D231" s="1">
        <v>2026</v>
      </c>
      <c r="E231" s="1">
        <v>7</v>
      </c>
      <c r="F231" s="1">
        <v>30</v>
      </c>
    </row>
    <row r="232" spans="1:6" x14ac:dyDescent="0.35">
      <c r="A232" s="1">
        <v>43643</v>
      </c>
      <c r="B232" s="2">
        <v>46224</v>
      </c>
      <c r="C232" s="1" t="s">
        <v>19</v>
      </c>
      <c r="D232" s="1">
        <v>2026</v>
      </c>
      <c r="E232" s="1">
        <v>7</v>
      </c>
      <c r="F232" s="1">
        <v>30</v>
      </c>
    </row>
    <row r="233" spans="1:6" x14ac:dyDescent="0.35">
      <c r="A233" s="1">
        <v>43642</v>
      </c>
      <c r="B233" s="2">
        <v>46224</v>
      </c>
      <c r="C233" s="1" t="s">
        <v>19</v>
      </c>
      <c r="D233" s="1">
        <v>2026</v>
      </c>
      <c r="E233" s="1">
        <v>7</v>
      </c>
      <c r="F233" s="1">
        <v>30</v>
      </c>
    </row>
    <row r="234" spans="1:6" x14ac:dyDescent="0.35">
      <c r="A234" s="1">
        <v>43641</v>
      </c>
      <c r="B234" s="2">
        <v>46224</v>
      </c>
      <c r="C234" s="1" t="s">
        <v>19</v>
      </c>
      <c r="D234" s="1">
        <v>2026</v>
      </c>
      <c r="E234" s="1">
        <v>7</v>
      </c>
      <c r="F234" s="1">
        <v>30</v>
      </c>
    </row>
    <row r="235" spans="1:6" x14ac:dyDescent="0.35">
      <c r="A235" s="1">
        <v>43640</v>
      </c>
      <c r="B235" s="2">
        <v>46224</v>
      </c>
      <c r="C235" s="1" t="s">
        <v>19</v>
      </c>
      <c r="D235" s="1">
        <v>2026</v>
      </c>
      <c r="E235" s="1">
        <v>7</v>
      </c>
      <c r="F235" s="1">
        <v>30</v>
      </c>
    </row>
    <row r="236" spans="1:6" x14ac:dyDescent="0.35">
      <c r="A236" s="1">
        <v>43639</v>
      </c>
      <c r="B236" s="2">
        <v>46224</v>
      </c>
      <c r="C236" s="1" t="s">
        <v>3</v>
      </c>
      <c r="D236" s="1">
        <v>2026</v>
      </c>
      <c r="E236" s="1">
        <v>7</v>
      </c>
      <c r="F236" s="1">
        <v>30</v>
      </c>
    </row>
    <row r="237" spans="1:6" x14ac:dyDescent="0.35">
      <c r="A237" s="1">
        <v>43628</v>
      </c>
      <c r="B237" s="2">
        <v>46224</v>
      </c>
      <c r="C237" s="1" t="s">
        <v>9</v>
      </c>
      <c r="D237" s="1">
        <v>2026</v>
      </c>
      <c r="E237" s="1">
        <v>7</v>
      </c>
      <c r="F237" s="1">
        <v>30</v>
      </c>
    </row>
    <row r="238" spans="1:6" x14ac:dyDescent="0.35">
      <c r="A238" s="1">
        <v>43627</v>
      </c>
      <c r="B238" s="2">
        <v>46224</v>
      </c>
      <c r="C238" s="1" t="s">
        <v>3</v>
      </c>
      <c r="D238" s="1">
        <v>2026</v>
      </c>
      <c r="E238" s="1">
        <v>7</v>
      </c>
      <c r="F238" s="1">
        <v>30</v>
      </c>
    </row>
    <row r="239" spans="1:6" x14ac:dyDescent="0.35">
      <c r="A239" s="1">
        <v>43624</v>
      </c>
      <c r="B239" s="2">
        <v>46224</v>
      </c>
      <c r="C239" s="1" t="s">
        <v>17</v>
      </c>
      <c r="D239" s="1">
        <v>2026</v>
      </c>
      <c r="E239" s="1">
        <v>7</v>
      </c>
      <c r="F239" s="1">
        <v>30</v>
      </c>
    </row>
    <row r="240" spans="1:6" x14ac:dyDescent="0.35">
      <c r="A240" s="1">
        <v>43623</v>
      </c>
      <c r="B240" s="2">
        <v>46224</v>
      </c>
      <c r="C240" s="1" t="s">
        <v>17</v>
      </c>
      <c r="D240" s="1">
        <v>2026</v>
      </c>
      <c r="E240" s="1">
        <v>7</v>
      </c>
      <c r="F240" s="1">
        <v>30</v>
      </c>
    </row>
    <row r="241" spans="1:6" x14ac:dyDescent="0.35">
      <c r="A241" s="1">
        <v>43621</v>
      </c>
      <c r="B241" s="2">
        <v>46224</v>
      </c>
      <c r="C241" s="1" t="s">
        <v>4</v>
      </c>
      <c r="D241" s="1">
        <v>2026</v>
      </c>
      <c r="E241" s="1">
        <v>7</v>
      </c>
      <c r="F241" s="1">
        <v>30</v>
      </c>
    </row>
    <row r="242" spans="1:6" x14ac:dyDescent="0.35">
      <c r="A242" s="1">
        <v>43620</v>
      </c>
      <c r="B242" s="2">
        <v>46224</v>
      </c>
      <c r="C242" s="1" t="s">
        <v>4</v>
      </c>
      <c r="D242" s="1">
        <v>2026</v>
      </c>
      <c r="E242" s="1">
        <v>7</v>
      </c>
      <c r="F242" s="1">
        <v>30</v>
      </c>
    </row>
    <row r="243" spans="1:6" x14ac:dyDescent="0.35">
      <c r="A243" s="1">
        <v>43619</v>
      </c>
      <c r="B243" s="2">
        <v>46224</v>
      </c>
      <c r="C243" s="1" t="s">
        <v>9</v>
      </c>
      <c r="D243" s="1">
        <v>2026</v>
      </c>
      <c r="E243" s="1">
        <v>7</v>
      </c>
      <c r="F243" s="1">
        <v>30</v>
      </c>
    </row>
    <row r="244" spans="1:6" x14ac:dyDescent="0.35">
      <c r="A244" s="1">
        <v>43616</v>
      </c>
      <c r="B244" s="2">
        <v>46224</v>
      </c>
      <c r="C244" s="1" t="s">
        <v>9</v>
      </c>
      <c r="D244" s="1">
        <v>2026</v>
      </c>
      <c r="E244" s="1">
        <v>7</v>
      </c>
      <c r="F244" s="1">
        <v>30</v>
      </c>
    </row>
    <row r="245" spans="1:6" x14ac:dyDescent="0.35">
      <c r="A245" s="1">
        <v>43676</v>
      </c>
      <c r="B245" s="2">
        <v>46225</v>
      </c>
      <c r="C245" s="1" t="s">
        <v>18</v>
      </c>
      <c r="D245" s="1">
        <v>2026</v>
      </c>
      <c r="E245" s="1">
        <v>7</v>
      </c>
      <c r="F245" s="1">
        <v>30</v>
      </c>
    </row>
    <row r="246" spans="1:6" x14ac:dyDescent="0.35">
      <c r="A246" s="1">
        <v>43727</v>
      </c>
      <c r="B246" s="2">
        <v>46225</v>
      </c>
      <c r="C246" s="1" t="s">
        <v>12</v>
      </c>
      <c r="D246" s="1">
        <v>2026</v>
      </c>
      <c r="E246" s="1">
        <v>7</v>
      </c>
      <c r="F246" s="1">
        <v>30</v>
      </c>
    </row>
    <row r="247" spans="1:6" x14ac:dyDescent="0.35">
      <c r="A247" s="1">
        <v>43726</v>
      </c>
      <c r="B247" s="2">
        <v>46225</v>
      </c>
      <c r="C247" s="1" t="s">
        <v>12</v>
      </c>
      <c r="D247" s="1">
        <v>2026</v>
      </c>
      <c r="E247" s="1">
        <v>7</v>
      </c>
      <c r="F247" s="1">
        <v>30</v>
      </c>
    </row>
    <row r="248" spans="1:6" x14ac:dyDescent="0.35">
      <c r="A248" s="1">
        <v>43725</v>
      </c>
      <c r="B248" s="2">
        <v>46225</v>
      </c>
      <c r="C248" s="1" t="s">
        <v>12</v>
      </c>
      <c r="D248" s="1">
        <v>2026</v>
      </c>
      <c r="E248" s="1">
        <v>7</v>
      </c>
      <c r="F248" s="1">
        <v>30</v>
      </c>
    </row>
    <row r="249" spans="1:6" x14ac:dyDescent="0.35">
      <c r="A249" s="1">
        <v>43724</v>
      </c>
      <c r="B249" s="2">
        <v>46225</v>
      </c>
      <c r="C249" s="1" t="s">
        <v>12</v>
      </c>
      <c r="D249" s="1">
        <v>2026</v>
      </c>
      <c r="E249" s="1">
        <v>7</v>
      </c>
      <c r="F249" s="1">
        <v>30</v>
      </c>
    </row>
    <row r="250" spans="1:6" x14ac:dyDescent="0.35">
      <c r="A250" s="1">
        <v>43723</v>
      </c>
      <c r="B250" s="2">
        <v>46225</v>
      </c>
      <c r="C250" s="1" t="s">
        <v>12</v>
      </c>
      <c r="D250" s="1">
        <v>2026</v>
      </c>
      <c r="E250" s="1">
        <v>7</v>
      </c>
      <c r="F250" s="1">
        <v>30</v>
      </c>
    </row>
    <row r="251" spans="1:6" x14ac:dyDescent="0.35">
      <c r="A251" s="1">
        <v>43662</v>
      </c>
      <c r="B251" s="2">
        <v>46225</v>
      </c>
      <c r="C251" s="1" t="s">
        <v>8</v>
      </c>
      <c r="D251" s="1">
        <v>2026</v>
      </c>
      <c r="E251" s="1">
        <v>7</v>
      </c>
      <c r="F251" s="1">
        <v>30</v>
      </c>
    </row>
    <row r="252" spans="1:6" x14ac:dyDescent="0.35">
      <c r="A252" s="1">
        <v>43661</v>
      </c>
      <c r="B252" s="2">
        <v>46225</v>
      </c>
      <c r="C252" s="1" t="s">
        <v>8</v>
      </c>
      <c r="D252" s="1">
        <v>2026</v>
      </c>
      <c r="E252" s="1">
        <v>7</v>
      </c>
      <c r="F252" s="1">
        <v>30</v>
      </c>
    </row>
    <row r="253" spans="1:6" x14ac:dyDescent="0.35">
      <c r="A253" s="1">
        <v>43730</v>
      </c>
      <c r="B253" s="2">
        <v>46225</v>
      </c>
      <c r="C253" s="1" t="s">
        <v>10</v>
      </c>
      <c r="D253" s="1">
        <v>2026</v>
      </c>
      <c r="E253" s="1">
        <v>7</v>
      </c>
      <c r="F253" s="1">
        <v>30</v>
      </c>
    </row>
    <row r="254" spans="1:6" x14ac:dyDescent="0.35">
      <c r="A254" s="1">
        <v>43729</v>
      </c>
      <c r="B254" s="2">
        <v>46225</v>
      </c>
      <c r="C254" s="1" t="s">
        <v>10</v>
      </c>
      <c r="D254" s="1">
        <v>2026</v>
      </c>
      <c r="E254" s="1">
        <v>7</v>
      </c>
      <c r="F254" s="1">
        <v>30</v>
      </c>
    </row>
    <row r="255" spans="1:6" x14ac:dyDescent="0.35">
      <c r="A255" s="1">
        <v>43728</v>
      </c>
      <c r="B255" s="2">
        <v>46225</v>
      </c>
      <c r="C255" s="1" t="s">
        <v>3</v>
      </c>
      <c r="D255" s="1">
        <v>2026</v>
      </c>
      <c r="E255" s="1">
        <v>7</v>
      </c>
      <c r="F255" s="1">
        <v>30</v>
      </c>
    </row>
    <row r="256" spans="1:6" x14ac:dyDescent="0.35">
      <c r="A256" s="1">
        <v>43722</v>
      </c>
      <c r="B256" s="2">
        <v>46225</v>
      </c>
      <c r="C256" s="1" t="s">
        <v>20</v>
      </c>
      <c r="D256" s="1">
        <v>2026</v>
      </c>
      <c r="E256" s="1">
        <v>7</v>
      </c>
      <c r="F256" s="1">
        <v>30</v>
      </c>
    </row>
    <row r="257" spans="1:6" x14ac:dyDescent="0.35">
      <c r="A257" s="1">
        <v>43721</v>
      </c>
      <c r="B257" s="2">
        <v>46225</v>
      </c>
      <c r="C257" s="1" t="s">
        <v>20</v>
      </c>
      <c r="D257" s="1">
        <v>2026</v>
      </c>
      <c r="E257" s="1">
        <v>7</v>
      </c>
      <c r="F257" s="1">
        <v>30</v>
      </c>
    </row>
    <row r="258" spans="1:6" x14ac:dyDescent="0.35">
      <c r="A258" s="1">
        <v>43716</v>
      </c>
      <c r="B258" s="2">
        <v>46225</v>
      </c>
      <c r="C258" s="1" t="s">
        <v>19</v>
      </c>
      <c r="D258" s="1">
        <v>2026</v>
      </c>
      <c r="E258" s="1">
        <v>7</v>
      </c>
      <c r="F258" s="1">
        <v>30</v>
      </c>
    </row>
    <row r="259" spans="1:6" x14ac:dyDescent="0.35">
      <c r="A259" s="1">
        <v>43703</v>
      </c>
      <c r="B259" s="2">
        <v>46225</v>
      </c>
      <c r="C259" s="1" t="s">
        <v>16</v>
      </c>
      <c r="D259" s="1">
        <v>2026</v>
      </c>
      <c r="E259" s="1">
        <v>7</v>
      </c>
      <c r="F259" s="1">
        <v>30</v>
      </c>
    </row>
    <row r="260" spans="1:6" x14ac:dyDescent="0.35">
      <c r="A260" s="1">
        <v>43702</v>
      </c>
      <c r="B260" s="2">
        <v>46225</v>
      </c>
      <c r="C260" s="1" t="s">
        <v>16</v>
      </c>
      <c r="D260" s="1">
        <v>2026</v>
      </c>
      <c r="E260" s="1">
        <v>7</v>
      </c>
      <c r="F260" s="1">
        <v>30</v>
      </c>
    </row>
    <row r="261" spans="1:6" x14ac:dyDescent="0.35">
      <c r="A261" s="1">
        <v>43682</v>
      </c>
      <c r="B261" s="2">
        <v>46225</v>
      </c>
      <c r="C261" s="1" t="s">
        <v>11</v>
      </c>
      <c r="D261" s="1">
        <v>2026</v>
      </c>
      <c r="E261" s="1">
        <v>7</v>
      </c>
      <c r="F261" s="1">
        <v>30</v>
      </c>
    </row>
    <row r="262" spans="1:6" x14ac:dyDescent="0.35">
      <c r="A262" s="1">
        <v>43681</v>
      </c>
      <c r="B262" s="2">
        <v>46225</v>
      </c>
      <c r="C262" s="1" t="s">
        <v>9</v>
      </c>
      <c r="D262" s="1">
        <v>2026</v>
      </c>
      <c r="E262" s="1">
        <v>7</v>
      </c>
      <c r="F262" s="1">
        <v>30</v>
      </c>
    </row>
    <row r="263" spans="1:6" x14ac:dyDescent="0.35">
      <c r="A263" s="1">
        <v>43680</v>
      </c>
      <c r="B263" s="2">
        <v>46225</v>
      </c>
      <c r="C263" s="1" t="s">
        <v>11</v>
      </c>
      <c r="D263" s="1">
        <v>2026</v>
      </c>
      <c r="E263" s="1">
        <v>7</v>
      </c>
      <c r="F263" s="1">
        <v>30</v>
      </c>
    </row>
    <row r="264" spans="1:6" x14ac:dyDescent="0.35">
      <c r="A264" s="1">
        <v>43679</v>
      </c>
      <c r="B264" s="2">
        <v>46225</v>
      </c>
      <c r="C264" s="1" t="s">
        <v>9</v>
      </c>
      <c r="D264" s="1">
        <v>2026</v>
      </c>
      <c r="E264" s="1">
        <v>7</v>
      </c>
      <c r="F264" s="1">
        <v>30</v>
      </c>
    </row>
    <row r="265" spans="1:6" x14ac:dyDescent="0.35">
      <c r="A265" s="1">
        <v>43678</v>
      </c>
      <c r="B265" s="2">
        <v>46225</v>
      </c>
      <c r="C265" s="1" t="s">
        <v>9</v>
      </c>
      <c r="D265" s="1">
        <v>2026</v>
      </c>
      <c r="E265" s="1">
        <v>7</v>
      </c>
      <c r="F265" s="1">
        <v>30</v>
      </c>
    </row>
    <row r="266" spans="1:6" x14ac:dyDescent="0.35">
      <c r="A266" s="1">
        <v>43677</v>
      </c>
      <c r="B266" s="2">
        <v>46225</v>
      </c>
      <c r="C266" s="1" t="s">
        <v>9</v>
      </c>
      <c r="D266" s="1">
        <v>2026</v>
      </c>
      <c r="E266" s="1">
        <v>7</v>
      </c>
      <c r="F266" s="1">
        <v>30</v>
      </c>
    </row>
    <row r="267" spans="1:6" x14ac:dyDescent="0.35">
      <c r="A267" s="1">
        <v>43674</v>
      </c>
      <c r="B267" s="2">
        <v>46225</v>
      </c>
      <c r="C267" s="1" t="s">
        <v>3</v>
      </c>
      <c r="D267" s="1">
        <v>2026</v>
      </c>
      <c r="E267" s="1">
        <v>7</v>
      </c>
      <c r="F267" s="1">
        <v>30</v>
      </c>
    </row>
    <row r="268" spans="1:6" x14ac:dyDescent="0.35">
      <c r="A268" s="1">
        <v>43673</v>
      </c>
      <c r="B268" s="2">
        <v>46225</v>
      </c>
      <c r="C268" s="1" t="s">
        <v>3</v>
      </c>
      <c r="D268" s="1">
        <v>2026</v>
      </c>
      <c r="E268" s="1">
        <v>7</v>
      </c>
      <c r="F268" s="1">
        <v>30</v>
      </c>
    </row>
    <row r="269" spans="1:6" x14ac:dyDescent="0.35">
      <c r="A269" s="1">
        <v>43672</v>
      </c>
      <c r="B269" s="2">
        <v>46225</v>
      </c>
      <c r="C269" s="1" t="s">
        <v>19</v>
      </c>
      <c r="D269" s="1">
        <v>2026</v>
      </c>
      <c r="E269" s="1">
        <v>7</v>
      </c>
      <c r="F269" s="1">
        <v>30</v>
      </c>
    </row>
    <row r="270" spans="1:6" x14ac:dyDescent="0.35">
      <c r="A270" s="1">
        <v>43671</v>
      </c>
      <c r="B270" s="2">
        <v>46225</v>
      </c>
      <c r="C270" s="1" t="s">
        <v>6</v>
      </c>
      <c r="D270" s="1">
        <v>2026</v>
      </c>
      <c r="E270" s="1">
        <v>7</v>
      </c>
      <c r="F270" s="1">
        <v>30</v>
      </c>
    </row>
    <row r="271" spans="1:6" x14ac:dyDescent="0.35">
      <c r="A271" s="1">
        <v>43670</v>
      </c>
      <c r="B271" s="2">
        <v>46225</v>
      </c>
      <c r="C271" s="1" t="s">
        <v>6</v>
      </c>
      <c r="D271" s="1">
        <v>2026</v>
      </c>
      <c r="E271" s="1">
        <v>7</v>
      </c>
      <c r="F271" s="1">
        <v>30</v>
      </c>
    </row>
    <row r="272" spans="1:6" x14ac:dyDescent="0.35">
      <c r="A272" s="1">
        <v>43669</v>
      </c>
      <c r="B272" s="2">
        <v>46225</v>
      </c>
      <c r="C272" s="1" t="s">
        <v>6</v>
      </c>
      <c r="D272" s="1">
        <v>2026</v>
      </c>
      <c r="E272" s="1">
        <v>7</v>
      </c>
      <c r="F272" s="1">
        <v>30</v>
      </c>
    </row>
    <row r="273" spans="1:6" x14ac:dyDescent="0.35">
      <c r="A273" s="1">
        <v>43667</v>
      </c>
      <c r="B273" s="2">
        <v>46225</v>
      </c>
      <c r="C273" s="1" t="s">
        <v>4</v>
      </c>
      <c r="D273" s="1">
        <v>2026</v>
      </c>
      <c r="E273" s="1">
        <v>7</v>
      </c>
      <c r="F273" s="1">
        <v>30</v>
      </c>
    </row>
    <row r="274" spans="1:6" x14ac:dyDescent="0.35">
      <c r="A274" s="1">
        <v>43666</v>
      </c>
      <c r="B274" s="2">
        <v>46225</v>
      </c>
      <c r="C274" s="1" t="s">
        <v>4</v>
      </c>
      <c r="D274" s="1">
        <v>2026</v>
      </c>
      <c r="E274" s="1">
        <v>7</v>
      </c>
      <c r="F274" s="1">
        <v>30</v>
      </c>
    </row>
    <row r="275" spans="1:6" x14ac:dyDescent="0.35">
      <c r="A275" s="1">
        <v>43664</v>
      </c>
      <c r="B275" s="2">
        <v>46225</v>
      </c>
      <c r="C275" s="1" t="s">
        <v>13</v>
      </c>
      <c r="D275" s="1">
        <v>2026</v>
      </c>
      <c r="E275" s="1">
        <v>7</v>
      </c>
      <c r="F275" s="1">
        <v>30</v>
      </c>
    </row>
    <row r="276" spans="1:6" x14ac:dyDescent="0.35">
      <c r="A276" s="1">
        <v>43663</v>
      </c>
      <c r="B276" s="2">
        <v>46225</v>
      </c>
      <c r="C276" s="1" t="s">
        <v>13</v>
      </c>
      <c r="D276" s="1">
        <v>2026</v>
      </c>
      <c r="E276" s="1">
        <v>7</v>
      </c>
      <c r="F276" s="1">
        <v>30</v>
      </c>
    </row>
    <row r="277" spans="1:6" x14ac:dyDescent="0.35">
      <c r="A277" s="1">
        <v>43786</v>
      </c>
      <c r="B277" s="2">
        <v>46226</v>
      </c>
      <c r="C277" s="1" t="s">
        <v>12</v>
      </c>
      <c r="D277" s="1">
        <v>2026</v>
      </c>
      <c r="E277" s="1">
        <v>7</v>
      </c>
      <c r="F277" s="1">
        <v>30</v>
      </c>
    </row>
    <row r="278" spans="1:6" x14ac:dyDescent="0.35">
      <c r="A278" s="1">
        <v>43785</v>
      </c>
      <c r="B278" s="2">
        <v>46226</v>
      </c>
      <c r="C278" s="1" t="s">
        <v>12</v>
      </c>
      <c r="D278" s="1">
        <v>2026</v>
      </c>
      <c r="E278" s="1">
        <v>7</v>
      </c>
      <c r="F278" s="1">
        <v>30</v>
      </c>
    </row>
    <row r="279" spans="1:6" x14ac:dyDescent="0.35">
      <c r="A279" s="1">
        <v>43784</v>
      </c>
      <c r="B279" s="2">
        <v>46226</v>
      </c>
      <c r="C279" s="1" t="s">
        <v>12</v>
      </c>
      <c r="D279" s="1">
        <v>2026</v>
      </c>
      <c r="E279" s="1">
        <v>7</v>
      </c>
      <c r="F279" s="1">
        <v>30</v>
      </c>
    </row>
    <row r="280" spans="1:6" x14ac:dyDescent="0.35">
      <c r="A280" s="1">
        <v>43783</v>
      </c>
      <c r="B280" s="2">
        <v>46226</v>
      </c>
      <c r="C280" s="1" t="s">
        <v>12</v>
      </c>
      <c r="D280" s="1">
        <v>2026</v>
      </c>
      <c r="E280" s="1">
        <v>7</v>
      </c>
      <c r="F280" s="1">
        <v>30</v>
      </c>
    </row>
    <row r="281" spans="1:6" x14ac:dyDescent="0.35">
      <c r="A281" s="1">
        <v>43782</v>
      </c>
      <c r="B281" s="2">
        <v>46226</v>
      </c>
      <c r="C281" s="1" t="s">
        <v>12</v>
      </c>
      <c r="D281" s="1">
        <v>2026</v>
      </c>
      <c r="E281" s="1">
        <v>7</v>
      </c>
      <c r="F281" s="1">
        <v>30</v>
      </c>
    </row>
    <row r="282" spans="1:6" x14ac:dyDescent="0.35">
      <c r="A282" s="1">
        <v>43733</v>
      </c>
      <c r="B282" s="2">
        <v>46226</v>
      </c>
      <c r="C282" s="1" t="s">
        <v>8</v>
      </c>
      <c r="D282" s="1">
        <v>2026</v>
      </c>
      <c r="E282" s="1">
        <v>7</v>
      </c>
      <c r="F282" s="1">
        <v>30</v>
      </c>
    </row>
    <row r="283" spans="1:6" x14ac:dyDescent="0.35">
      <c r="A283" s="1">
        <v>43732</v>
      </c>
      <c r="B283" s="2">
        <v>46226</v>
      </c>
      <c r="C283" s="1" t="s">
        <v>8</v>
      </c>
      <c r="D283" s="1">
        <v>2026</v>
      </c>
      <c r="E283" s="1">
        <v>7</v>
      </c>
      <c r="F283" s="1">
        <v>30</v>
      </c>
    </row>
    <row r="284" spans="1:6" x14ac:dyDescent="0.35">
      <c r="A284" s="1">
        <v>43731</v>
      </c>
      <c r="B284" s="2">
        <v>46226</v>
      </c>
      <c r="C284" s="1" t="s">
        <v>8</v>
      </c>
      <c r="D284" s="1">
        <v>2026</v>
      </c>
      <c r="E284" s="1">
        <v>7</v>
      </c>
      <c r="F284" s="1">
        <v>30</v>
      </c>
    </row>
    <row r="285" spans="1:6" x14ac:dyDescent="0.35">
      <c r="A285" s="1">
        <v>43792</v>
      </c>
      <c r="B285" s="2">
        <v>46226</v>
      </c>
      <c r="C285" s="1" t="s">
        <v>16</v>
      </c>
      <c r="D285" s="1">
        <v>2026</v>
      </c>
      <c r="E285" s="1">
        <v>7</v>
      </c>
      <c r="F285" s="1">
        <v>30</v>
      </c>
    </row>
    <row r="286" spans="1:6" x14ac:dyDescent="0.35">
      <c r="A286" s="1">
        <v>43791</v>
      </c>
      <c r="B286" s="2">
        <v>46226</v>
      </c>
      <c r="C286" s="1" t="s">
        <v>16</v>
      </c>
      <c r="D286" s="1">
        <v>2026</v>
      </c>
      <c r="E286" s="1">
        <v>7</v>
      </c>
      <c r="F286" s="1">
        <v>30</v>
      </c>
    </row>
    <row r="287" spans="1:6" x14ac:dyDescent="0.35">
      <c r="A287" s="1">
        <v>43790</v>
      </c>
      <c r="B287" s="2">
        <v>46226</v>
      </c>
      <c r="C287" s="1" t="s">
        <v>9</v>
      </c>
      <c r="D287" s="1">
        <v>2026</v>
      </c>
      <c r="E287" s="1">
        <v>7</v>
      </c>
      <c r="F287" s="1">
        <v>30</v>
      </c>
    </row>
    <row r="288" spans="1:6" x14ac:dyDescent="0.35">
      <c r="A288" s="1">
        <v>43789</v>
      </c>
      <c r="B288" s="2">
        <v>46226</v>
      </c>
      <c r="C288" s="1" t="s">
        <v>9</v>
      </c>
      <c r="D288" s="1">
        <v>2026</v>
      </c>
      <c r="E288" s="1">
        <v>7</v>
      </c>
      <c r="F288" s="1">
        <v>30</v>
      </c>
    </row>
    <row r="289" spans="1:6" x14ac:dyDescent="0.35">
      <c r="A289" s="1">
        <v>43788</v>
      </c>
      <c r="B289" s="2">
        <v>46226</v>
      </c>
      <c r="C289" s="1" t="s">
        <v>10</v>
      </c>
      <c r="D289" s="1">
        <v>2026</v>
      </c>
      <c r="E289" s="1">
        <v>7</v>
      </c>
      <c r="F289" s="1">
        <v>30</v>
      </c>
    </row>
    <row r="290" spans="1:6" x14ac:dyDescent="0.35">
      <c r="A290" s="1">
        <v>43787</v>
      </c>
      <c r="B290" s="2">
        <v>46226</v>
      </c>
      <c r="C290" s="1" t="s">
        <v>10</v>
      </c>
      <c r="D290" s="1">
        <v>2026</v>
      </c>
      <c r="E290" s="1">
        <v>7</v>
      </c>
      <c r="F290" s="1">
        <v>30</v>
      </c>
    </row>
    <row r="291" spans="1:6" x14ac:dyDescent="0.35">
      <c r="A291" s="1">
        <v>43781</v>
      </c>
      <c r="B291" s="2">
        <v>46226</v>
      </c>
      <c r="C291" s="1" t="s">
        <v>3</v>
      </c>
      <c r="D291" s="1">
        <v>2026</v>
      </c>
      <c r="E291" s="1">
        <v>7</v>
      </c>
      <c r="F291" s="1">
        <v>30</v>
      </c>
    </row>
    <row r="292" spans="1:6" x14ac:dyDescent="0.35">
      <c r="A292" s="1">
        <v>43769</v>
      </c>
      <c r="B292" s="2">
        <v>46226</v>
      </c>
      <c r="C292" s="1" t="s">
        <v>17</v>
      </c>
      <c r="D292" s="1">
        <v>2026</v>
      </c>
      <c r="E292" s="1">
        <v>7</v>
      </c>
      <c r="F292" s="1">
        <v>30</v>
      </c>
    </row>
    <row r="293" spans="1:6" x14ac:dyDescent="0.35">
      <c r="A293" s="1">
        <v>43768</v>
      </c>
      <c r="B293" s="2">
        <v>46226</v>
      </c>
      <c r="C293" s="1" t="s">
        <v>17</v>
      </c>
      <c r="D293" s="1">
        <v>2026</v>
      </c>
      <c r="E293" s="1">
        <v>7</v>
      </c>
      <c r="F293" s="1">
        <v>30</v>
      </c>
    </row>
    <row r="294" spans="1:6" x14ac:dyDescent="0.35">
      <c r="A294" s="1">
        <v>43767</v>
      </c>
      <c r="B294" s="2">
        <v>46226</v>
      </c>
      <c r="C294" s="1" t="s">
        <v>6</v>
      </c>
      <c r="D294" s="1">
        <v>2026</v>
      </c>
      <c r="E294" s="1">
        <v>7</v>
      </c>
      <c r="F294" s="1">
        <v>30</v>
      </c>
    </row>
    <row r="295" spans="1:6" x14ac:dyDescent="0.35">
      <c r="A295" s="1">
        <v>43766</v>
      </c>
      <c r="B295" s="2">
        <v>46226</v>
      </c>
      <c r="C295" s="1" t="s">
        <v>6</v>
      </c>
      <c r="D295" s="1">
        <v>2026</v>
      </c>
      <c r="E295" s="1">
        <v>7</v>
      </c>
      <c r="F295" s="1">
        <v>30</v>
      </c>
    </row>
    <row r="296" spans="1:6" x14ac:dyDescent="0.35">
      <c r="A296" s="1">
        <v>43765</v>
      </c>
      <c r="B296" s="2">
        <v>46226</v>
      </c>
      <c r="C296" s="1" t="s">
        <v>6</v>
      </c>
      <c r="D296" s="1">
        <v>2026</v>
      </c>
      <c r="E296" s="1">
        <v>7</v>
      </c>
      <c r="F296" s="1">
        <v>30</v>
      </c>
    </row>
    <row r="297" spans="1:6" x14ac:dyDescent="0.35">
      <c r="A297" s="1">
        <v>43764</v>
      </c>
      <c r="B297" s="2">
        <v>46226</v>
      </c>
      <c r="C297" s="1" t="s">
        <v>17</v>
      </c>
      <c r="D297" s="1">
        <v>2026</v>
      </c>
      <c r="E297" s="1">
        <v>7</v>
      </c>
      <c r="F297" s="1">
        <v>30</v>
      </c>
    </row>
    <row r="298" spans="1:6" x14ac:dyDescent="0.35">
      <c r="A298" s="1">
        <v>43762</v>
      </c>
      <c r="B298" s="2">
        <v>46226</v>
      </c>
      <c r="C298" s="1" t="s">
        <v>17</v>
      </c>
      <c r="D298" s="1">
        <v>2026</v>
      </c>
      <c r="E298" s="1">
        <v>7</v>
      </c>
      <c r="F298" s="1">
        <v>30</v>
      </c>
    </row>
    <row r="299" spans="1:6" x14ac:dyDescent="0.35">
      <c r="A299" s="1">
        <v>43757</v>
      </c>
      <c r="B299" s="2">
        <v>46226</v>
      </c>
      <c r="C299" s="1" t="s">
        <v>4</v>
      </c>
      <c r="D299" s="1">
        <v>2026</v>
      </c>
      <c r="E299" s="1">
        <v>7</v>
      </c>
      <c r="F299" s="1">
        <v>30</v>
      </c>
    </row>
    <row r="300" spans="1:6" x14ac:dyDescent="0.35">
      <c r="A300" s="1">
        <v>43756</v>
      </c>
      <c r="B300" s="2">
        <v>46226</v>
      </c>
      <c r="C300" s="1" t="s">
        <v>4</v>
      </c>
      <c r="D300" s="1">
        <v>2026</v>
      </c>
      <c r="E300" s="1">
        <v>7</v>
      </c>
      <c r="F300" s="1">
        <v>30</v>
      </c>
    </row>
    <row r="301" spans="1:6" x14ac:dyDescent="0.35">
      <c r="A301" s="1">
        <v>43749</v>
      </c>
      <c r="B301" s="2">
        <v>46226</v>
      </c>
      <c r="C301" s="1" t="s">
        <v>19</v>
      </c>
      <c r="D301" s="1">
        <v>2026</v>
      </c>
      <c r="E301" s="1">
        <v>7</v>
      </c>
      <c r="F301" s="1">
        <v>30</v>
      </c>
    </row>
    <row r="302" spans="1:6" x14ac:dyDescent="0.35">
      <c r="A302" s="1">
        <v>43743</v>
      </c>
      <c r="B302" s="2">
        <v>46226</v>
      </c>
      <c r="C302" s="1" t="s">
        <v>9</v>
      </c>
      <c r="D302" s="1">
        <v>2026</v>
      </c>
      <c r="E302" s="1">
        <v>7</v>
      </c>
      <c r="F302" s="1">
        <v>30</v>
      </c>
    </row>
    <row r="303" spans="1:6" x14ac:dyDescent="0.35">
      <c r="A303" s="1">
        <v>43740</v>
      </c>
      <c r="B303" s="2">
        <v>46226</v>
      </c>
      <c r="C303" s="1" t="s">
        <v>9</v>
      </c>
      <c r="D303" s="1">
        <v>2026</v>
      </c>
      <c r="E303" s="1">
        <v>7</v>
      </c>
      <c r="F303" s="1">
        <v>30</v>
      </c>
    </row>
    <row r="304" spans="1:6" x14ac:dyDescent="0.35">
      <c r="A304" s="1">
        <v>43738</v>
      </c>
      <c r="B304" s="2">
        <v>46226</v>
      </c>
      <c r="C304" s="1" t="s">
        <v>9</v>
      </c>
      <c r="D304" s="1">
        <v>2026</v>
      </c>
      <c r="E304" s="1">
        <v>7</v>
      </c>
      <c r="F304" s="1">
        <v>30</v>
      </c>
    </row>
    <row r="305" spans="1:6" x14ac:dyDescent="0.35">
      <c r="A305" s="1">
        <v>43831</v>
      </c>
      <c r="B305" s="2">
        <v>46227</v>
      </c>
      <c r="C305" s="1" t="s">
        <v>12</v>
      </c>
      <c r="D305" s="1">
        <v>2026</v>
      </c>
      <c r="E305" s="1">
        <v>7</v>
      </c>
      <c r="F305" s="1">
        <v>30</v>
      </c>
    </row>
    <row r="306" spans="1:6" x14ac:dyDescent="0.35">
      <c r="A306" s="1">
        <v>43830</v>
      </c>
      <c r="B306" s="2">
        <v>46227</v>
      </c>
      <c r="C306" s="1" t="s">
        <v>12</v>
      </c>
      <c r="D306" s="1">
        <v>2026</v>
      </c>
      <c r="E306" s="1">
        <v>7</v>
      </c>
      <c r="F306" s="1">
        <v>30</v>
      </c>
    </row>
    <row r="307" spans="1:6" x14ac:dyDescent="0.35">
      <c r="A307" s="1">
        <v>43829</v>
      </c>
      <c r="B307" s="2">
        <v>46227</v>
      </c>
      <c r="C307" s="1" t="s">
        <v>12</v>
      </c>
      <c r="D307" s="1">
        <v>2026</v>
      </c>
      <c r="E307" s="1">
        <v>7</v>
      </c>
      <c r="F307" s="1">
        <v>30</v>
      </c>
    </row>
    <row r="308" spans="1:6" x14ac:dyDescent="0.35">
      <c r="A308" s="1">
        <v>43828</v>
      </c>
      <c r="B308" s="2">
        <v>46227</v>
      </c>
      <c r="C308" s="1" t="s">
        <v>12</v>
      </c>
      <c r="D308" s="1">
        <v>2026</v>
      </c>
      <c r="E308" s="1">
        <v>7</v>
      </c>
      <c r="F308" s="1">
        <v>30</v>
      </c>
    </row>
    <row r="309" spans="1:6" x14ac:dyDescent="0.35">
      <c r="A309" s="1">
        <v>43827</v>
      </c>
      <c r="B309" s="2">
        <v>46227</v>
      </c>
      <c r="C309" s="1" t="s">
        <v>12</v>
      </c>
      <c r="D309" s="1">
        <v>2026</v>
      </c>
      <c r="E309" s="1">
        <v>7</v>
      </c>
      <c r="F309" s="1">
        <v>30</v>
      </c>
    </row>
    <row r="310" spans="1:6" x14ac:dyDescent="0.35">
      <c r="A310" s="1">
        <v>43806</v>
      </c>
      <c r="B310" s="2">
        <v>46227</v>
      </c>
      <c r="C310" s="1" t="s">
        <v>20</v>
      </c>
      <c r="D310" s="1">
        <v>2026</v>
      </c>
      <c r="E310" s="1">
        <v>7</v>
      </c>
      <c r="F310" s="1">
        <v>30</v>
      </c>
    </row>
    <row r="311" spans="1:6" x14ac:dyDescent="0.35">
      <c r="A311" s="1">
        <v>43805</v>
      </c>
      <c r="B311" s="2">
        <v>46227</v>
      </c>
      <c r="C311" s="1" t="s">
        <v>20</v>
      </c>
      <c r="D311" s="1">
        <v>2026</v>
      </c>
      <c r="E311" s="1">
        <v>7</v>
      </c>
      <c r="F311" s="1">
        <v>30</v>
      </c>
    </row>
    <row r="312" spans="1:6" x14ac:dyDescent="0.35">
      <c r="A312" s="1">
        <v>43804</v>
      </c>
      <c r="B312" s="2">
        <v>46227</v>
      </c>
      <c r="C312" s="1" t="s">
        <v>8</v>
      </c>
      <c r="D312" s="1">
        <v>2026</v>
      </c>
      <c r="E312" s="1">
        <v>7</v>
      </c>
      <c r="F312" s="1">
        <v>30</v>
      </c>
    </row>
    <row r="313" spans="1:6" x14ac:dyDescent="0.35">
      <c r="A313" s="1">
        <v>43803</v>
      </c>
      <c r="B313" s="2">
        <v>46227</v>
      </c>
      <c r="C313" s="1" t="s">
        <v>8</v>
      </c>
      <c r="D313" s="1">
        <v>2026</v>
      </c>
      <c r="E313" s="1">
        <v>7</v>
      </c>
      <c r="F313" s="1">
        <v>30</v>
      </c>
    </row>
    <row r="314" spans="1:6" x14ac:dyDescent="0.35">
      <c r="A314" s="1">
        <v>43853</v>
      </c>
      <c r="B314" s="2">
        <v>46227</v>
      </c>
      <c r="C314" s="1" t="s">
        <v>10</v>
      </c>
      <c r="D314" s="1">
        <v>2026</v>
      </c>
      <c r="E314" s="1">
        <v>7</v>
      </c>
      <c r="F314" s="1">
        <v>30</v>
      </c>
    </row>
    <row r="315" spans="1:6" x14ac:dyDescent="0.35">
      <c r="A315" s="1">
        <v>43852</v>
      </c>
      <c r="B315" s="2">
        <v>46227</v>
      </c>
      <c r="C315" s="1" t="s">
        <v>10</v>
      </c>
      <c r="D315" s="1">
        <v>2026</v>
      </c>
      <c r="E315" s="1">
        <v>7</v>
      </c>
      <c r="F315" s="1">
        <v>30</v>
      </c>
    </row>
    <row r="316" spans="1:6" x14ac:dyDescent="0.35">
      <c r="A316" s="1">
        <v>43851</v>
      </c>
      <c r="B316" s="2">
        <v>46227</v>
      </c>
      <c r="C316" s="1" t="s">
        <v>9</v>
      </c>
      <c r="D316" s="1">
        <v>2026</v>
      </c>
      <c r="E316" s="1">
        <v>7</v>
      </c>
      <c r="F316" s="1">
        <v>30</v>
      </c>
    </row>
    <row r="317" spans="1:6" x14ac:dyDescent="0.35">
      <c r="A317" s="1">
        <v>43850</v>
      </c>
      <c r="B317" s="2">
        <v>46227</v>
      </c>
      <c r="C317" s="1" t="s">
        <v>9</v>
      </c>
      <c r="D317" s="1">
        <v>2026</v>
      </c>
      <c r="E317" s="1">
        <v>7</v>
      </c>
      <c r="F317" s="1">
        <v>30</v>
      </c>
    </row>
    <row r="318" spans="1:6" x14ac:dyDescent="0.35">
      <c r="A318" s="1">
        <v>43849</v>
      </c>
      <c r="B318" s="2">
        <v>46227</v>
      </c>
      <c r="C318" s="1" t="s">
        <v>9</v>
      </c>
      <c r="D318" s="1">
        <v>2026</v>
      </c>
      <c r="E318" s="1">
        <v>7</v>
      </c>
      <c r="F318" s="1">
        <v>30</v>
      </c>
    </row>
    <row r="319" spans="1:6" x14ac:dyDescent="0.35">
      <c r="A319" s="1">
        <v>43840</v>
      </c>
      <c r="B319" s="2">
        <v>46227</v>
      </c>
      <c r="C319" s="1" t="s">
        <v>16</v>
      </c>
      <c r="D319" s="1">
        <v>2026</v>
      </c>
      <c r="E319" s="1">
        <v>7</v>
      </c>
      <c r="F319" s="1">
        <v>30</v>
      </c>
    </row>
    <row r="320" spans="1:6" x14ac:dyDescent="0.35">
      <c r="A320" s="1">
        <v>43839</v>
      </c>
      <c r="B320" s="2">
        <v>46227</v>
      </c>
      <c r="C320" s="1" t="s">
        <v>16</v>
      </c>
      <c r="D320" s="1">
        <v>2026</v>
      </c>
      <c r="E320" s="1">
        <v>7</v>
      </c>
      <c r="F320" s="1">
        <v>30</v>
      </c>
    </row>
    <row r="321" spans="1:6" x14ac:dyDescent="0.35">
      <c r="A321" s="1">
        <v>43838</v>
      </c>
      <c r="B321" s="2">
        <v>46227</v>
      </c>
      <c r="C321" s="1" t="s">
        <v>3</v>
      </c>
      <c r="D321" s="1">
        <v>2026</v>
      </c>
      <c r="E321" s="1">
        <v>7</v>
      </c>
      <c r="F321" s="1">
        <v>30</v>
      </c>
    </row>
    <row r="322" spans="1:6" x14ac:dyDescent="0.35">
      <c r="A322" s="1">
        <v>43837</v>
      </c>
      <c r="B322" s="2">
        <v>46227</v>
      </c>
      <c r="C322" s="1" t="s">
        <v>3</v>
      </c>
      <c r="D322" s="1">
        <v>2026</v>
      </c>
      <c r="E322" s="1">
        <v>7</v>
      </c>
      <c r="F322" s="1">
        <v>30</v>
      </c>
    </row>
    <row r="323" spans="1:6" x14ac:dyDescent="0.35">
      <c r="A323" s="1">
        <v>43836</v>
      </c>
      <c r="B323" s="2">
        <v>46227</v>
      </c>
      <c r="C323" s="1" t="s">
        <v>3</v>
      </c>
      <c r="D323" s="1">
        <v>2026</v>
      </c>
      <c r="E323" s="1">
        <v>7</v>
      </c>
      <c r="F323" s="1">
        <v>30</v>
      </c>
    </row>
    <row r="324" spans="1:6" x14ac:dyDescent="0.35">
      <c r="A324" s="1">
        <v>43835</v>
      </c>
      <c r="B324" s="2">
        <v>46227</v>
      </c>
      <c r="C324" s="1" t="s">
        <v>3</v>
      </c>
      <c r="D324" s="1">
        <v>2026</v>
      </c>
      <c r="E324" s="1">
        <v>7</v>
      </c>
      <c r="F324" s="1">
        <v>30</v>
      </c>
    </row>
    <row r="325" spans="1:6" x14ac:dyDescent="0.35">
      <c r="A325" s="1">
        <v>43825</v>
      </c>
      <c r="B325" s="2">
        <v>46227</v>
      </c>
      <c r="C325" s="1" t="s">
        <v>6</v>
      </c>
      <c r="D325" s="1">
        <v>2026</v>
      </c>
      <c r="E325" s="1">
        <v>7</v>
      </c>
      <c r="F325" s="1">
        <v>30</v>
      </c>
    </row>
    <row r="326" spans="1:6" x14ac:dyDescent="0.35">
      <c r="A326" s="1">
        <v>43824</v>
      </c>
      <c r="B326" s="2">
        <v>46227</v>
      </c>
      <c r="C326" s="1" t="s">
        <v>6</v>
      </c>
      <c r="D326" s="1">
        <v>2026</v>
      </c>
      <c r="E326" s="1">
        <v>7</v>
      </c>
      <c r="F326" s="1">
        <v>30</v>
      </c>
    </row>
    <row r="327" spans="1:6" x14ac:dyDescent="0.35">
      <c r="A327" s="1">
        <v>43823</v>
      </c>
      <c r="B327" s="2">
        <v>46227</v>
      </c>
      <c r="C327" s="1" t="s">
        <v>6</v>
      </c>
      <c r="D327" s="1">
        <v>2026</v>
      </c>
      <c r="E327" s="1">
        <v>7</v>
      </c>
      <c r="F327" s="1">
        <v>30</v>
      </c>
    </row>
    <row r="328" spans="1:6" x14ac:dyDescent="0.35">
      <c r="A328" s="1">
        <v>43822</v>
      </c>
      <c r="B328" s="2">
        <v>46227</v>
      </c>
      <c r="C328" s="1" t="s">
        <v>11</v>
      </c>
      <c r="D328" s="1">
        <v>2026</v>
      </c>
      <c r="E328" s="1">
        <v>7</v>
      </c>
      <c r="F328" s="1">
        <v>30</v>
      </c>
    </row>
    <row r="329" spans="1:6" x14ac:dyDescent="0.35">
      <c r="A329" s="1">
        <v>43821</v>
      </c>
      <c r="B329" s="2">
        <v>46227</v>
      </c>
      <c r="C329" s="1" t="s">
        <v>17</v>
      </c>
      <c r="D329" s="1">
        <v>2026</v>
      </c>
      <c r="E329" s="1">
        <v>7</v>
      </c>
      <c r="F329" s="1">
        <v>30</v>
      </c>
    </row>
    <row r="330" spans="1:6" x14ac:dyDescent="0.35">
      <c r="A330" s="1">
        <v>43819</v>
      </c>
      <c r="B330" s="2">
        <v>46227</v>
      </c>
      <c r="C330" s="1" t="s">
        <v>17</v>
      </c>
      <c r="D330" s="1">
        <v>2026</v>
      </c>
      <c r="E330" s="1">
        <v>7</v>
      </c>
      <c r="F330" s="1">
        <v>30</v>
      </c>
    </row>
    <row r="331" spans="1:6" x14ac:dyDescent="0.35">
      <c r="A331" s="1">
        <v>43818</v>
      </c>
      <c r="B331" s="2">
        <v>46227</v>
      </c>
      <c r="C331" s="1" t="s">
        <v>17</v>
      </c>
      <c r="D331" s="1">
        <v>2026</v>
      </c>
      <c r="E331" s="1">
        <v>7</v>
      </c>
      <c r="F331" s="1">
        <v>30</v>
      </c>
    </row>
    <row r="332" spans="1:6" x14ac:dyDescent="0.35">
      <c r="A332" s="1">
        <v>43817</v>
      </c>
      <c r="B332" s="2">
        <v>46227</v>
      </c>
      <c r="C332" s="1" t="s">
        <v>17</v>
      </c>
      <c r="D332" s="1">
        <v>2026</v>
      </c>
      <c r="E332" s="1">
        <v>7</v>
      </c>
      <c r="F332" s="1">
        <v>30</v>
      </c>
    </row>
    <row r="333" spans="1:6" x14ac:dyDescent="0.35">
      <c r="A333" s="1">
        <v>43816</v>
      </c>
      <c r="B333" s="2">
        <v>46227</v>
      </c>
      <c r="C333" s="1" t="s">
        <v>4</v>
      </c>
      <c r="D333" s="1">
        <v>2026</v>
      </c>
      <c r="E333" s="1">
        <v>7</v>
      </c>
      <c r="F333" s="1">
        <v>30</v>
      </c>
    </row>
    <row r="334" spans="1:6" x14ac:dyDescent="0.35">
      <c r="A334" s="1">
        <v>43815</v>
      </c>
      <c r="B334" s="2">
        <v>46227</v>
      </c>
      <c r="C334" s="1" t="s">
        <v>4</v>
      </c>
      <c r="D334" s="1">
        <v>2026</v>
      </c>
      <c r="E334" s="1">
        <v>7</v>
      </c>
      <c r="F334" s="1">
        <v>30</v>
      </c>
    </row>
    <row r="335" spans="1:6" x14ac:dyDescent="0.35">
      <c r="A335" s="1">
        <v>43814</v>
      </c>
      <c r="B335" s="2">
        <v>46227</v>
      </c>
      <c r="C335" s="1" t="s">
        <v>4</v>
      </c>
      <c r="D335" s="1">
        <v>2026</v>
      </c>
      <c r="E335" s="1">
        <v>7</v>
      </c>
      <c r="F335" s="1">
        <v>30</v>
      </c>
    </row>
    <row r="336" spans="1:6" x14ac:dyDescent="0.35">
      <c r="A336" s="1">
        <v>43810</v>
      </c>
      <c r="B336" s="2">
        <v>46227</v>
      </c>
      <c r="C336" s="1" t="s">
        <v>9</v>
      </c>
      <c r="D336" s="1">
        <v>2026</v>
      </c>
      <c r="E336" s="1">
        <v>7</v>
      </c>
      <c r="F336" s="1">
        <v>30</v>
      </c>
    </row>
    <row r="337" spans="1:6" x14ac:dyDescent="0.35">
      <c r="A337" s="1">
        <v>43883</v>
      </c>
      <c r="B337" s="2">
        <v>46228</v>
      </c>
      <c r="C337" s="1" t="s">
        <v>12</v>
      </c>
      <c r="D337" s="1">
        <v>2026</v>
      </c>
      <c r="E337" s="1">
        <v>7</v>
      </c>
      <c r="F337" s="1">
        <v>30</v>
      </c>
    </row>
    <row r="338" spans="1:6" x14ac:dyDescent="0.35">
      <c r="A338" s="1">
        <v>43881</v>
      </c>
      <c r="B338" s="2">
        <v>46228</v>
      </c>
      <c r="C338" s="1" t="s">
        <v>12</v>
      </c>
      <c r="D338" s="1">
        <v>2026</v>
      </c>
      <c r="E338" s="1">
        <v>7</v>
      </c>
      <c r="F338" s="1">
        <v>30</v>
      </c>
    </row>
    <row r="339" spans="1:6" x14ac:dyDescent="0.35">
      <c r="A339" s="1">
        <v>43880</v>
      </c>
      <c r="B339" s="2">
        <v>46228</v>
      </c>
      <c r="C339" s="1" t="s">
        <v>12</v>
      </c>
      <c r="D339" s="1">
        <v>2026</v>
      </c>
      <c r="E339" s="1">
        <v>7</v>
      </c>
      <c r="F339" s="1">
        <v>30</v>
      </c>
    </row>
    <row r="340" spans="1:6" x14ac:dyDescent="0.35">
      <c r="A340" s="1">
        <v>43879</v>
      </c>
      <c r="B340" s="2">
        <v>46228</v>
      </c>
      <c r="C340" s="1" t="s">
        <v>12</v>
      </c>
      <c r="D340" s="1">
        <v>2026</v>
      </c>
      <c r="E340" s="1">
        <v>7</v>
      </c>
      <c r="F340" s="1">
        <v>30</v>
      </c>
    </row>
    <row r="341" spans="1:6" x14ac:dyDescent="0.35">
      <c r="A341" s="1">
        <v>43878</v>
      </c>
      <c r="B341" s="2">
        <v>46228</v>
      </c>
      <c r="C341" s="1" t="s">
        <v>12</v>
      </c>
      <c r="D341" s="1">
        <v>2026</v>
      </c>
      <c r="E341" s="1">
        <v>7</v>
      </c>
      <c r="F341" s="1">
        <v>30</v>
      </c>
    </row>
    <row r="342" spans="1:6" x14ac:dyDescent="0.35">
      <c r="A342" s="1">
        <v>43873</v>
      </c>
      <c r="B342" s="2">
        <v>46228</v>
      </c>
      <c r="C342" s="1" t="s">
        <v>17</v>
      </c>
      <c r="D342" s="1">
        <v>2026</v>
      </c>
      <c r="E342" s="1">
        <v>7</v>
      </c>
      <c r="F342" s="1">
        <v>30</v>
      </c>
    </row>
    <row r="343" spans="1:6" x14ac:dyDescent="0.35">
      <c r="A343" s="1">
        <v>43871</v>
      </c>
      <c r="B343" s="2">
        <v>46228</v>
      </c>
      <c r="C343" s="1" t="s">
        <v>17</v>
      </c>
      <c r="D343" s="1">
        <v>2026</v>
      </c>
      <c r="E343" s="1">
        <v>7</v>
      </c>
      <c r="F343" s="1">
        <v>30</v>
      </c>
    </row>
    <row r="344" spans="1:6" x14ac:dyDescent="0.35">
      <c r="A344" s="1">
        <v>43870</v>
      </c>
      <c r="B344" s="2">
        <v>46228</v>
      </c>
      <c r="C344" s="1" t="s">
        <v>17</v>
      </c>
      <c r="D344" s="1">
        <v>2026</v>
      </c>
      <c r="E344" s="1">
        <v>7</v>
      </c>
      <c r="F344" s="1">
        <v>30</v>
      </c>
    </row>
    <row r="345" spans="1:6" x14ac:dyDescent="0.35">
      <c r="A345" s="1">
        <v>43856</v>
      </c>
      <c r="B345" s="2">
        <v>46228</v>
      </c>
      <c r="C345" s="1" t="s">
        <v>8</v>
      </c>
      <c r="D345" s="1">
        <v>2026</v>
      </c>
      <c r="E345" s="1">
        <v>7</v>
      </c>
      <c r="F345" s="1">
        <v>30</v>
      </c>
    </row>
    <row r="346" spans="1:6" x14ac:dyDescent="0.35">
      <c r="A346" s="1">
        <v>43854</v>
      </c>
      <c r="B346" s="2">
        <v>46228</v>
      </c>
      <c r="C346" s="1" t="s">
        <v>8</v>
      </c>
      <c r="D346" s="1">
        <v>2026</v>
      </c>
      <c r="E346" s="1">
        <v>7</v>
      </c>
      <c r="F346" s="1">
        <v>30</v>
      </c>
    </row>
    <row r="347" spans="1:6" x14ac:dyDescent="0.35">
      <c r="A347" s="1">
        <v>43876</v>
      </c>
      <c r="B347" s="2">
        <v>46228</v>
      </c>
      <c r="C347" s="1" t="s">
        <v>13</v>
      </c>
      <c r="D347" s="1">
        <v>2026</v>
      </c>
      <c r="E347" s="1">
        <v>7</v>
      </c>
      <c r="F347" s="1">
        <v>30</v>
      </c>
    </row>
    <row r="348" spans="1:6" x14ac:dyDescent="0.35">
      <c r="A348" s="1">
        <v>43875</v>
      </c>
      <c r="B348" s="2">
        <v>46228</v>
      </c>
      <c r="C348" s="1" t="s">
        <v>13</v>
      </c>
      <c r="D348" s="1">
        <v>2026</v>
      </c>
      <c r="E348" s="1">
        <v>7</v>
      </c>
      <c r="F348" s="1">
        <v>30</v>
      </c>
    </row>
    <row r="349" spans="1:6" x14ac:dyDescent="0.35">
      <c r="A349" s="1">
        <v>43922</v>
      </c>
      <c r="B349" s="2">
        <v>46229</v>
      </c>
      <c r="C349" s="1" t="s">
        <v>20</v>
      </c>
      <c r="D349" s="1">
        <v>2026</v>
      </c>
      <c r="E349" s="1">
        <v>7</v>
      </c>
      <c r="F349" s="1">
        <v>31</v>
      </c>
    </row>
    <row r="350" spans="1:6" x14ac:dyDescent="0.35">
      <c r="A350" s="1">
        <v>43921</v>
      </c>
      <c r="B350" s="2">
        <v>46229</v>
      </c>
      <c r="C350" s="1" t="s">
        <v>20</v>
      </c>
      <c r="D350" s="1">
        <v>2026</v>
      </c>
      <c r="E350" s="1">
        <v>7</v>
      </c>
      <c r="F350" s="1">
        <v>31</v>
      </c>
    </row>
    <row r="351" spans="1:6" x14ac:dyDescent="0.35">
      <c r="A351" s="1">
        <v>43942</v>
      </c>
      <c r="B351" s="2">
        <v>46230</v>
      </c>
      <c r="C351" s="1" t="s">
        <v>12</v>
      </c>
      <c r="D351" s="1">
        <v>2026</v>
      </c>
      <c r="E351" s="1">
        <v>7</v>
      </c>
      <c r="F351" s="1">
        <v>31</v>
      </c>
    </row>
    <row r="352" spans="1:6" x14ac:dyDescent="0.35">
      <c r="A352" s="1">
        <v>43941</v>
      </c>
      <c r="B352" s="2">
        <v>46230</v>
      </c>
      <c r="C352" s="1" t="s">
        <v>12</v>
      </c>
      <c r="D352" s="1">
        <v>2026</v>
      </c>
      <c r="E352" s="1">
        <v>7</v>
      </c>
      <c r="F352" s="1">
        <v>31</v>
      </c>
    </row>
    <row r="353" spans="1:6" x14ac:dyDescent="0.35">
      <c r="A353" s="1">
        <v>43940</v>
      </c>
      <c r="B353" s="2">
        <v>46230</v>
      </c>
      <c r="C353" s="1" t="s">
        <v>12</v>
      </c>
      <c r="D353" s="1">
        <v>2026</v>
      </c>
      <c r="E353" s="1">
        <v>7</v>
      </c>
      <c r="F353" s="1">
        <v>31</v>
      </c>
    </row>
    <row r="354" spans="1:6" x14ac:dyDescent="0.35">
      <c r="A354" s="1">
        <v>43939</v>
      </c>
      <c r="B354" s="2">
        <v>46230</v>
      </c>
      <c r="C354" s="1" t="s">
        <v>12</v>
      </c>
      <c r="D354" s="1">
        <v>2026</v>
      </c>
      <c r="E354" s="1">
        <v>7</v>
      </c>
      <c r="F354" s="1">
        <v>31</v>
      </c>
    </row>
    <row r="355" spans="1:6" x14ac:dyDescent="0.35">
      <c r="A355" s="1">
        <v>43938</v>
      </c>
      <c r="B355" s="2">
        <v>46230</v>
      </c>
      <c r="C355" s="1" t="s">
        <v>12</v>
      </c>
      <c r="D355" s="1">
        <v>2026</v>
      </c>
      <c r="E355" s="1">
        <v>7</v>
      </c>
      <c r="F355" s="1">
        <v>31</v>
      </c>
    </row>
    <row r="356" spans="1:6" x14ac:dyDescent="0.35">
      <c r="A356" s="1">
        <v>43924</v>
      </c>
      <c r="B356" s="2">
        <v>46230</v>
      </c>
      <c r="C356" s="1" t="s">
        <v>8</v>
      </c>
      <c r="D356" s="1">
        <v>2026</v>
      </c>
      <c r="E356" s="1">
        <v>7</v>
      </c>
      <c r="F356" s="1">
        <v>31</v>
      </c>
    </row>
    <row r="357" spans="1:6" x14ac:dyDescent="0.35">
      <c r="A357" s="1">
        <v>43923</v>
      </c>
      <c r="B357" s="2">
        <v>46230</v>
      </c>
      <c r="C357" s="1" t="s">
        <v>8</v>
      </c>
      <c r="D357" s="1">
        <v>2026</v>
      </c>
      <c r="E357" s="1">
        <v>7</v>
      </c>
      <c r="F357" s="1">
        <v>31</v>
      </c>
    </row>
    <row r="358" spans="1:6" x14ac:dyDescent="0.35">
      <c r="A358" s="1">
        <v>43965</v>
      </c>
      <c r="B358" s="2">
        <v>46230</v>
      </c>
      <c r="C358" s="1" t="s">
        <v>10</v>
      </c>
      <c r="D358" s="1">
        <v>2026</v>
      </c>
      <c r="E358" s="1">
        <v>7</v>
      </c>
      <c r="F358" s="1">
        <v>31</v>
      </c>
    </row>
    <row r="359" spans="1:6" x14ac:dyDescent="0.35">
      <c r="A359" s="1">
        <v>43964</v>
      </c>
      <c r="B359" s="2">
        <v>46230</v>
      </c>
      <c r="C359" s="1" t="s">
        <v>10</v>
      </c>
      <c r="D359" s="1">
        <v>2026</v>
      </c>
      <c r="E359" s="1">
        <v>7</v>
      </c>
      <c r="F359" s="1">
        <v>31</v>
      </c>
    </row>
    <row r="360" spans="1:6" x14ac:dyDescent="0.35">
      <c r="A360" s="1">
        <v>43963</v>
      </c>
      <c r="B360" s="2">
        <v>46230</v>
      </c>
      <c r="C360" s="1" t="s">
        <v>19</v>
      </c>
      <c r="D360" s="1">
        <v>2026</v>
      </c>
      <c r="E360" s="1">
        <v>7</v>
      </c>
      <c r="F360" s="1">
        <v>31</v>
      </c>
    </row>
    <row r="361" spans="1:6" x14ac:dyDescent="0.35">
      <c r="A361" s="1">
        <v>43962</v>
      </c>
      <c r="B361" s="2">
        <v>46230</v>
      </c>
      <c r="C361" s="1" t="s">
        <v>3</v>
      </c>
      <c r="D361" s="1">
        <v>2026</v>
      </c>
      <c r="E361" s="1">
        <v>7</v>
      </c>
      <c r="F361" s="1">
        <v>31</v>
      </c>
    </row>
    <row r="362" spans="1:6" x14ac:dyDescent="0.35">
      <c r="A362" s="1">
        <v>43961</v>
      </c>
      <c r="B362" s="2">
        <v>46230</v>
      </c>
      <c r="C362" s="1" t="s">
        <v>3</v>
      </c>
      <c r="D362" s="1">
        <v>2026</v>
      </c>
      <c r="E362" s="1">
        <v>7</v>
      </c>
      <c r="F362" s="1">
        <v>31</v>
      </c>
    </row>
    <row r="363" spans="1:6" x14ac:dyDescent="0.35">
      <c r="A363" s="1">
        <v>43960</v>
      </c>
      <c r="B363" s="2">
        <v>46230</v>
      </c>
      <c r="C363" s="1" t="s">
        <v>17</v>
      </c>
      <c r="D363" s="1">
        <v>2026</v>
      </c>
      <c r="E363" s="1">
        <v>7</v>
      </c>
      <c r="F363" s="1">
        <v>31</v>
      </c>
    </row>
    <row r="364" spans="1:6" x14ac:dyDescent="0.35">
      <c r="A364" s="1">
        <v>43959</v>
      </c>
      <c r="B364" s="2">
        <v>46230</v>
      </c>
      <c r="C364" s="1" t="s">
        <v>17</v>
      </c>
      <c r="D364" s="1">
        <v>2026</v>
      </c>
      <c r="E364" s="1">
        <v>7</v>
      </c>
      <c r="F364" s="1">
        <v>31</v>
      </c>
    </row>
    <row r="365" spans="1:6" x14ac:dyDescent="0.35">
      <c r="A365" s="1">
        <v>43958</v>
      </c>
      <c r="B365" s="2">
        <v>46230</v>
      </c>
      <c r="C365" s="1" t="s">
        <v>17</v>
      </c>
      <c r="D365" s="1">
        <v>2026</v>
      </c>
      <c r="E365" s="1">
        <v>7</v>
      </c>
      <c r="F365" s="1">
        <v>31</v>
      </c>
    </row>
    <row r="366" spans="1:6" x14ac:dyDescent="0.35">
      <c r="A366" s="1">
        <v>43957</v>
      </c>
      <c r="B366" s="2">
        <v>46230</v>
      </c>
      <c r="C366" s="1" t="s">
        <v>17</v>
      </c>
      <c r="D366" s="1">
        <v>2026</v>
      </c>
      <c r="E366" s="1">
        <v>7</v>
      </c>
      <c r="F366" s="1">
        <v>31</v>
      </c>
    </row>
    <row r="367" spans="1:6" x14ac:dyDescent="0.35">
      <c r="A367" s="1">
        <v>43951</v>
      </c>
      <c r="B367" s="2">
        <v>46230</v>
      </c>
      <c r="C367" s="1" t="s">
        <v>9</v>
      </c>
      <c r="D367" s="1">
        <v>2026</v>
      </c>
      <c r="E367" s="1">
        <v>7</v>
      </c>
      <c r="F367" s="1">
        <v>31</v>
      </c>
    </row>
    <row r="368" spans="1:6" x14ac:dyDescent="0.35">
      <c r="A368" s="1">
        <v>43950</v>
      </c>
      <c r="B368" s="2">
        <v>46230</v>
      </c>
      <c r="C368" s="1" t="s">
        <v>9</v>
      </c>
      <c r="D368" s="1">
        <v>2026</v>
      </c>
      <c r="E368" s="1">
        <v>7</v>
      </c>
      <c r="F368" s="1">
        <v>31</v>
      </c>
    </row>
    <row r="369" spans="1:6" x14ac:dyDescent="0.35">
      <c r="A369" s="1">
        <v>43949</v>
      </c>
      <c r="B369" s="2">
        <v>46230</v>
      </c>
      <c r="C369" s="1" t="s">
        <v>9</v>
      </c>
      <c r="D369" s="1">
        <v>2026</v>
      </c>
      <c r="E369" s="1">
        <v>7</v>
      </c>
      <c r="F369" s="1">
        <v>31</v>
      </c>
    </row>
    <row r="370" spans="1:6" x14ac:dyDescent="0.35">
      <c r="A370" s="1">
        <v>43948</v>
      </c>
      <c r="B370" s="2">
        <v>46230</v>
      </c>
      <c r="C370" s="1" t="s">
        <v>9</v>
      </c>
      <c r="D370" s="1">
        <v>2026</v>
      </c>
      <c r="E370" s="1">
        <v>7</v>
      </c>
      <c r="F370" s="1">
        <v>31</v>
      </c>
    </row>
    <row r="371" spans="1:6" x14ac:dyDescent="0.35">
      <c r="A371" s="1">
        <v>43934</v>
      </c>
      <c r="B371" s="2">
        <v>46230</v>
      </c>
      <c r="C371" s="1" t="s">
        <v>19</v>
      </c>
      <c r="D371" s="1">
        <v>2026</v>
      </c>
      <c r="E371" s="1">
        <v>7</v>
      </c>
      <c r="F371" s="1">
        <v>31</v>
      </c>
    </row>
    <row r="372" spans="1:6" x14ac:dyDescent="0.35">
      <c r="A372" s="1">
        <v>43932</v>
      </c>
      <c r="B372" s="2">
        <v>46230</v>
      </c>
      <c r="C372" s="1" t="s">
        <v>4</v>
      </c>
      <c r="D372" s="1">
        <v>2026</v>
      </c>
      <c r="E372" s="1">
        <v>7</v>
      </c>
      <c r="F372" s="1">
        <v>31</v>
      </c>
    </row>
    <row r="373" spans="1:6" x14ac:dyDescent="0.35">
      <c r="A373" s="1">
        <v>43930</v>
      </c>
      <c r="B373" s="2">
        <v>46230</v>
      </c>
      <c r="C373" s="1" t="s">
        <v>4</v>
      </c>
      <c r="D373" s="1">
        <v>2026</v>
      </c>
      <c r="E373" s="1">
        <v>7</v>
      </c>
      <c r="F373" s="1">
        <v>31</v>
      </c>
    </row>
    <row r="374" spans="1:6" x14ac:dyDescent="0.35">
      <c r="A374" s="1">
        <v>44004</v>
      </c>
      <c r="B374" s="2">
        <v>46231</v>
      </c>
      <c r="C374" s="1" t="s">
        <v>12</v>
      </c>
      <c r="D374" s="1">
        <v>2026</v>
      </c>
      <c r="E374" s="1">
        <v>7</v>
      </c>
      <c r="F374" s="1">
        <v>31</v>
      </c>
    </row>
    <row r="375" spans="1:6" x14ac:dyDescent="0.35">
      <c r="A375" s="1">
        <v>44003</v>
      </c>
      <c r="B375" s="2">
        <v>46231</v>
      </c>
      <c r="C375" s="1" t="s">
        <v>12</v>
      </c>
      <c r="D375" s="1">
        <v>2026</v>
      </c>
      <c r="E375" s="1">
        <v>7</v>
      </c>
      <c r="F375" s="1">
        <v>31</v>
      </c>
    </row>
    <row r="376" spans="1:6" x14ac:dyDescent="0.35">
      <c r="A376" s="1">
        <v>44002</v>
      </c>
      <c r="B376" s="2">
        <v>46231</v>
      </c>
      <c r="C376" s="1" t="s">
        <v>12</v>
      </c>
      <c r="D376" s="1">
        <v>2026</v>
      </c>
      <c r="E376" s="1">
        <v>7</v>
      </c>
      <c r="F376" s="1">
        <v>31</v>
      </c>
    </row>
    <row r="377" spans="1:6" x14ac:dyDescent="0.35">
      <c r="A377" s="1">
        <v>44001</v>
      </c>
      <c r="B377" s="2">
        <v>46231</v>
      </c>
      <c r="C377" s="1" t="s">
        <v>12</v>
      </c>
      <c r="D377" s="1">
        <v>2026</v>
      </c>
      <c r="E377" s="1">
        <v>7</v>
      </c>
      <c r="F377" s="1">
        <v>31</v>
      </c>
    </row>
    <row r="378" spans="1:6" x14ac:dyDescent="0.35">
      <c r="A378" s="1">
        <v>44000</v>
      </c>
      <c r="B378" s="2">
        <v>46231</v>
      </c>
      <c r="C378" s="1" t="s">
        <v>12</v>
      </c>
      <c r="D378" s="1">
        <v>2026</v>
      </c>
      <c r="E378" s="1">
        <v>7</v>
      </c>
      <c r="F378" s="1">
        <v>31</v>
      </c>
    </row>
    <row r="379" spans="1:6" x14ac:dyDescent="0.35">
      <c r="A379" s="1">
        <v>44010</v>
      </c>
      <c r="B379" s="2">
        <v>46231</v>
      </c>
      <c r="C379" s="1" t="s">
        <v>20</v>
      </c>
      <c r="D379" s="1">
        <v>2026</v>
      </c>
      <c r="E379" s="1">
        <v>7</v>
      </c>
      <c r="F379" s="1">
        <v>31</v>
      </c>
    </row>
    <row r="380" spans="1:6" x14ac:dyDescent="0.35">
      <c r="A380" s="1">
        <v>44009</v>
      </c>
      <c r="B380" s="2">
        <v>46231</v>
      </c>
      <c r="C380" s="1" t="s">
        <v>20</v>
      </c>
      <c r="D380" s="1">
        <v>2026</v>
      </c>
      <c r="E380" s="1">
        <v>7</v>
      </c>
      <c r="F380" s="1">
        <v>31</v>
      </c>
    </row>
    <row r="381" spans="1:6" x14ac:dyDescent="0.35">
      <c r="A381" s="1">
        <v>44008</v>
      </c>
      <c r="B381" s="2">
        <v>46231</v>
      </c>
      <c r="C381" s="1" t="s">
        <v>10</v>
      </c>
      <c r="D381" s="1">
        <v>2026</v>
      </c>
      <c r="E381" s="1">
        <v>7</v>
      </c>
      <c r="F381" s="1">
        <v>31</v>
      </c>
    </row>
    <row r="382" spans="1:6" x14ac:dyDescent="0.35">
      <c r="A382" s="1">
        <v>44007</v>
      </c>
      <c r="B382" s="2">
        <v>46231</v>
      </c>
      <c r="C382" s="1" t="s">
        <v>16</v>
      </c>
      <c r="D382" s="1">
        <v>2026</v>
      </c>
      <c r="E382" s="1">
        <v>7</v>
      </c>
      <c r="F382" s="1">
        <v>31</v>
      </c>
    </row>
    <row r="383" spans="1:6" x14ac:dyDescent="0.35">
      <c r="A383" s="1">
        <v>44006</v>
      </c>
      <c r="B383" s="2">
        <v>46231</v>
      </c>
      <c r="C383" s="1" t="s">
        <v>10</v>
      </c>
      <c r="D383" s="1">
        <v>2026</v>
      </c>
      <c r="E383" s="1">
        <v>7</v>
      </c>
      <c r="F383" s="1">
        <v>31</v>
      </c>
    </row>
    <row r="384" spans="1:6" x14ac:dyDescent="0.35">
      <c r="A384" s="1">
        <v>44005</v>
      </c>
      <c r="B384" s="2">
        <v>46231</v>
      </c>
      <c r="C384" s="1" t="s">
        <v>16</v>
      </c>
      <c r="D384" s="1">
        <v>2026</v>
      </c>
      <c r="E384" s="1">
        <v>7</v>
      </c>
      <c r="F384" s="1">
        <v>31</v>
      </c>
    </row>
    <row r="385" spans="1:6" x14ac:dyDescent="0.35">
      <c r="A385" s="1">
        <v>43999</v>
      </c>
      <c r="B385" s="2">
        <v>46231</v>
      </c>
      <c r="C385" s="1" t="s">
        <v>11</v>
      </c>
      <c r="D385" s="1">
        <v>2026</v>
      </c>
      <c r="E385" s="1">
        <v>7</v>
      </c>
      <c r="F385" s="1">
        <v>31</v>
      </c>
    </row>
    <row r="386" spans="1:6" x14ac:dyDescent="0.35">
      <c r="A386" s="1">
        <v>43998</v>
      </c>
      <c r="B386" s="2">
        <v>46231</v>
      </c>
      <c r="C386" s="1" t="s">
        <v>11</v>
      </c>
      <c r="D386" s="1">
        <v>2026</v>
      </c>
      <c r="E386" s="1">
        <v>7</v>
      </c>
      <c r="F386" s="1">
        <v>31</v>
      </c>
    </row>
    <row r="387" spans="1:6" x14ac:dyDescent="0.35">
      <c r="A387" s="1">
        <v>43997</v>
      </c>
      <c r="B387" s="2">
        <v>46231</v>
      </c>
      <c r="C387" s="1" t="s">
        <v>9</v>
      </c>
      <c r="D387" s="1">
        <v>2026</v>
      </c>
      <c r="E387" s="1">
        <v>7</v>
      </c>
      <c r="F387" s="1">
        <v>31</v>
      </c>
    </row>
    <row r="388" spans="1:6" x14ac:dyDescent="0.35">
      <c r="A388" s="1">
        <v>43996</v>
      </c>
      <c r="B388" s="2">
        <v>46231</v>
      </c>
      <c r="C388" s="1" t="s">
        <v>9</v>
      </c>
      <c r="D388" s="1">
        <v>2026</v>
      </c>
      <c r="E388" s="1">
        <v>7</v>
      </c>
      <c r="F388" s="1">
        <v>31</v>
      </c>
    </row>
    <row r="389" spans="1:6" x14ac:dyDescent="0.35">
      <c r="A389" s="1">
        <v>43995</v>
      </c>
      <c r="B389" s="2">
        <v>46231</v>
      </c>
      <c r="C389" s="1" t="s">
        <v>9</v>
      </c>
      <c r="D389" s="1">
        <v>2026</v>
      </c>
      <c r="E389" s="1">
        <v>7</v>
      </c>
      <c r="F389" s="1">
        <v>31</v>
      </c>
    </row>
    <row r="390" spans="1:6" x14ac:dyDescent="0.35">
      <c r="A390" s="1">
        <v>43994</v>
      </c>
      <c r="B390" s="2">
        <v>46231</v>
      </c>
      <c r="C390" s="1" t="s">
        <v>9</v>
      </c>
      <c r="D390" s="1">
        <v>2026</v>
      </c>
      <c r="E390" s="1">
        <v>7</v>
      </c>
      <c r="F390" s="1">
        <v>31</v>
      </c>
    </row>
    <row r="391" spans="1:6" x14ac:dyDescent="0.35">
      <c r="A391" s="1">
        <v>43993</v>
      </c>
      <c r="B391" s="2">
        <v>46231</v>
      </c>
      <c r="C391" s="1" t="s">
        <v>9</v>
      </c>
      <c r="D391" s="1">
        <v>2026</v>
      </c>
      <c r="E391" s="1">
        <v>7</v>
      </c>
      <c r="F391" s="1">
        <v>31</v>
      </c>
    </row>
    <row r="392" spans="1:6" x14ac:dyDescent="0.35">
      <c r="A392" s="1">
        <v>43988</v>
      </c>
      <c r="B392" s="2">
        <v>46231</v>
      </c>
      <c r="C392" s="1" t="s">
        <v>4</v>
      </c>
      <c r="D392" s="1">
        <v>2026</v>
      </c>
      <c r="E392" s="1">
        <v>7</v>
      </c>
      <c r="F392" s="1">
        <v>31</v>
      </c>
    </row>
    <row r="393" spans="1:6" x14ac:dyDescent="0.35">
      <c r="A393" s="1">
        <v>43987</v>
      </c>
      <c r="B393" s="2">
        <v>46231</v>
      </c>
      <c r="C393" s="1" t="s">
        <v>4</v>
      </c>
      <c r="D393" s="1">
        <v>2026</v>
      </c>
      <c r="E393" s="1">
        <v>7</v>
      </c>
      <c r="F393" s="1">
        <v>31</v>
      </c>
    </row>
    <row r="394" spans="1:6" x14ac:dyDescent="0.35">
      <c r="A394" s="1">
        <v>43981</v>
      </c>
      <c r="B394" s="2">
        <v>46231</v>
      </c>
      <c r="C394" s="1" t="s">
        <v>17</v>
      </c>
      <c r="D394" s="1">
        <v>2026</v>
      </c>
      <c r="E394" s="1">
        <v>7</v>
      </c>
      <c r="F394" s="1">
        <v>31</v>
      </c>
    </row>
    <row r="395" spans="1:6" x14ac:dyDescent="0.35">
      <c r="A395" s="1">
        <v>43980</v>
      </c>
      <c r="B395" s="2">
        <v>46231</v>
      </c>
      <c r="C395" s="1" t="s">
        <v>17</v>
      </c>
      <c r="D395" s="1">
        <v>2026</v>
      </c>
      <c r="E395" s="1">
        <v>7</v>
      </c>
      <c r="F395" s="1">
        <v>31</v>
      </c>
    </row>
    <row r="396" spans="1:6" x14ac:dyDescent="0.35">
      <c r="A396" s="1">
        <v>43979</v>
      </c>
      <c r="B396" s="2">
        <v>46231</v>
      </c>
      <c r="C396" s="1" t="s">
        <v>17</v>
      </c>
      <c r="D396" s="1">
        <v>2026</v>
      </c>
      <c r="E396" s="1">
        <v>7</v>
      </c>
      <c r="F396" s="1">
        <v>31</v>
      </c>
    </row>
    <row r="397" spans="1:6" x14ac:dyDescent="0.35">
      <c r="A397" s="1">
        <v>43978</v>
      </c>
      <c r="B397" s="2">
        <v>46231</v>
      </c>
      <c r="C397" s="1" t="s">
        <v>17</v>
      </c>
      <c r="D397" s="1">
        <v>2026</v>
      </c>
      <c r="E397" s="1">
        <v>7</v>
      </c>
      <c r="F397" s="1">
        <v>31</v>
      </c>
    </row>
    <row r="398" spans="1:6" x14ac:dyDescent="0.35">
      <c r="A398" s="1">
        <v>43977</v>
      </c>
      <c r="B398" s="2">
        <v>46231</v>
      </c>
      <c r="C398" s="1" t="s">
        <v>3</v>
      </c>
      <c r="D398" s="1">
        <v>2026</v>
      </c>
      <c r="E398" s="1">
        <v>7</v>
      </c>
      <c r="F398" s="1">
        <v>31</v>
      </c>
    </row>
    <row r="399" spans="1:6" x14ac:dyDescent="0.35">
      <c r="A399" s="1">
        <v>43975</v>
      </c>
      <c r="B399" s="2">
        <v>46231</v>
      </c>
      <c r="C399" s="1" t="s">
        <v>3</v>
      </c>
      <c r="D399" s="1">
        <v>2026</v>
      </c>
      <c r="E399" s="1">
        <v>7</v>
      </c>
      <c r="F399" s="1">
        <v>31</v>
      </c>
    </row>
    <row r="400" spans="1:6" x14ac:dyDescent="0.35">
      <c r="A400" s="1">
        <v>43974</v>
      </c>
      <c r="B400" s="2">
        <v>46231</v>
      </c>
      <c r="C400" s="1" t="s">
        <v>19</v>
      </c>
      <c r="D400" s="1">
        <v>2026</v>
      </c>
      <c r="E400" s="1">
        <v>7</v>
      </c>
      <c r="F400" s="1">
        <v>31</v>
      </c>
    </row>
    <row r="401" spans="1:6" x14ac:dyDescent="0.35">
      <c r="A401" s="1">
        <v>43971</v>
      </c>
      <c r="B401" s="2">
        <v>46231</v>
      </c>
      <c r="C401" s="1" t="s">
        <v>19</v>
      </c>
      <c r="D401" s="1">
        <v>2026</v>
      </c>
      <c r="E401" s="1">
        <v>7</v>
      </c>
      <c r="F401" s="1">
        <v>31</v>
      </c>
    </row>
    <row r="402" spans="1:6" x14ac:dyDescent="0.35">
      <c r="A402" s="1">
        <v>43970</v>
      </c>
      <c r="B402" s="2">
        <v>46231</v>
      </c>
      <c r="C402" s="1" t="s">
        <v>8</v>
      </c>
      <c r="D402" s="1">
        <v>2026</v>
      </c>
      <c r="E402" s="1">
        <v>7</v>
      </c>
      <c r="F402" s="1">
        <v>31</v>
      </c>
    </row>
    <row r="403" spans="1:6" x14ac:dyDescent="0.35">
      <c r="A403" s="1">
        <v>43969</v>
      </c>
      <c r="B403" s="2">
        <v>46231</v>
      </c>
      <c r="C403" s="1" t="s">
        <v>8</v>
      </c>
      <c r="D403" s="1">
        <v>2026</v>
      </c>
      <c r="E403" s="1">
        <v>7</v>
      </c>
      <c r="F403" s="1">
        <v>31</v>
      </c>
    </row>
    <row r="404" spans="1:6" x14ac:dyDescent="0.35">
      <c r="A404" s="1">
        <v>43967</v>
      </c>
      <c r="B404" s="2">
        <v>46231</v>
      </c>
      <c r="C404" s="1" t="s">
        <v>21</v>
      </c>
      <c r="D404" s="1">
        <v>2026</v>
      </c>
      <c r="E404" s="1">
        <v>7</v>
      </c>
      <c r="F404" s="1">
        <v>31</v>
      </c>
    </row>
    <row r="405" spans="1:6" x14ac:dyDescent="0.35">
      <c r="A405" s="1">
        <v>43973</v>
      </c>
      <c r="B405" s="2">
        <v>46231</v>
      </c>
      <c r="C405" s="1" t="s">
        <v>13</v>
      </c>
      <c r="D405" s="1">
        <v>2026</v>
      </c>
      <c r="E405" s="1">
        <v>7</v>
      </c>
      <c r="F405" s="1">
        <v>31</v>
      </c>
    </row>
    <row r="406" spans="1:6" x14ac:dyDescent="0.35">
      <c r="A406" s="1">
        <v>43972</v>
      </c>
      <c r="B406" s="2">
        <v>46231</v>
      </c>
      <c r="C406" s="1" t="s">
        <v>13</v>
      </c>
      <c r="D406" s="1">
        <v>2026</v>
      </c>
      <c r="E406" s="1">
        <v>7</v>
      </c>
      <c r="F406" s="1">
        <v>31</v>
      </c>
    </row>
    <row r="407" spans="1:6" x14ac:dyDescent="0.35">
      <c r="A407" s="1">
        <v>44014</v>
      </c>
      <c r="B407" s="2">
        <v>46232</v>
      </c>
      <c r="C407" s="1" t="s">
        <v>18</v>
      </c>
      <c r="D407" s="1">
        <v>2026</v>
      </c>
      <c r="E407" s="1">
        <v>7</v>
      </c>
      <c r="F407" s="1">
        <v>31</v>
      </c>
    </row>
    <row r="408" spans="1:6" x14ac:dyDescent="0.35">
      <c r="A408" s="1">
        <v>44013</v>
      </c>
      <c r="B408" s="2">
        <v>46232</v>
      </c>
      <c r="C408" s="1" t="s">
        <v>18</v>
      </c>
      <c r="D408" s="1">
        <v>2026</v>
      </c>
      <c r="E408" s="1">
        <v>7</v>
      </c>
      <c r="F408" s="1">
        <v>31</v>
      </c>
    </row>
    <row r="409" spans="1:6" x14ac:dyDescent="0.35">
      <c r="A409" s="1">
        <v>44012</v>
      </c>
      <c r="B409" s="2">
        <v>46232</v>
      </c>
      <c r="C409" s="1" t="s">
        <v>18</v>
      </c>
      <c r="D409" s="1">
        <v>2026</v>
      </c>
      <c r="E409" s="1">
        <v>7</v>
      </c>
      <c r="F409" s="1">
        <v>31</v>
      </c>
    </row>
    <row r="410" spans="1:6" x14ac:dyDescent="0.35">
      <c r="A410" s="1">
        <v>44011</v>
      </c>
      <c r="B410" s="2">
        <v>46232</v>
      </c>
      <c r="C410" s="1" t="s">
        <v>18</v>
      </c>
      <c r="D410" s="1">
        <v>2026</v>
      </c>
      <c r="E410" s="1">
        <v>7</v>
      </c>
      <c r="F410" s="1">
        <v>31</v>
      </c>
    </row>
    <row r="411" spans="1:6" x14ac:dyDescent="0.35">
      <c r="A411" s="1">
        <v>44058</v>
      </c>
      <c r="B411" s="2">
        <v>46232</v>
      </c>
      <c r="C411" s="1" t="s">
        <v>20</v>
      </c>
      <c r="D411" s="1">
        <v>2026</v>
      </c>
      <c r="E411" s="1">
        <v>7</v>
      </c>
      <c r="F411" s="1">
        <v>31</v>
      </c>
    </row>
    <row r="412" spans="1:6" x14ac:dyDescent="0.35">
      <c r="A412" s="1">
        <v>44057</v>
      </c>
      <c r="B412" s="2">
        <v>46232</v>
      </c>
      <c r="C412" s="1" t="s">
        <v>20</v>
      </c>
      <c r="D412" s="1">
        <v>2026</v>
      </c>
      <c r="E412" s="1">
        <v>7</v>
      </c>
      <c r="F412" s="1">
        <v>31</v>
      </c>
    </row>
    <row r="413" spans="1:6" x14ac:dyDescent="0.35">
      <c r="A413" s="1">
        <v>44056</v>
      </c>
      <c r="B413" s="2">
        <v>46232</v>
      </c>
      <c r="C413" s="1" t="s">
        <v>10</v>
      </c>
      <c r="D413" s="1">
        <v>2026</v>
      </c>
      <c r="E413" s="1">
        <v>7</v>
      </c>
      <c r="F413" s="1">
        <v>31</v>
      </c>
    </row>
    <row r="414" spans="1:6" x14ac:dyDescent="0.35">
      <c r="A414" s="1">
        <v>44055</v>
      </c>
      <c r="B414" s="2">
        <v>46232</v>
      </c>
      <c r="C414" s="1" t="s">
        <v>10</v>
      </c>
      <c r="D414" s="1">
        <v>2026</v>
      </c>
      <c r="E414" s="1">
        <v>7</v>
      </c>
      <c r="F414" s="1">
        <v>31</v>
      </c>
    </row>
    <row r="415" spans="1:6" x14ac:dyDescent="0.35">
      <c r="A415" s="1">
        <v>44054</v>
      </c>
      <c r="B415" s="2">
        <v>46232</v>
      </c>
      <c r="C415" s="1" t="s">
        <v>16</v>
      </c>
      <c r="D415" s="1">
        <v>2026</v>
      </c>
      <c r="E415" s="1">
        <v>7</v>
      </c>
      <c r="F415" s="1">
        <v>31</v>
      </c>
    </row>
    <row r="416" spans="1:6" x14ac:dyDescent="0.35">
      <c r="A416" s="1">
        <v>44053</v>
      </c>
      <c r="B416" s="2">
        <v>46232</v>
      </c>
      <c r="C416" s="1" t="s">
        <v>16</v>
      </c>
      <c r="D416" s="1">
        <v>2026</v>
      </c>
      <c r="E416" s="1">
        <v>7</v>
      </c>
      <c r="F416" s="1">
        <v>31</v>
      </c>
    </row>
    <row r="417" spans="1:6" x14ac:dyDescent="0.35">
      <c r="A417" s="1">
        <v>44052</v>
      </c>
      <c r="B417" s="2">
        <v>46232</v>
      </c>
      <c r="C417" s="1" t="s">
        <v>3</v>
      </c>
      <c r="D417" s="1">
        <v>2026</v>
      </c>
      <c r="E417" s="1">
        <v>7</v>
      </c>
      <c r="F417" s="1">
        <v>31</v>
      </c>
    </row>
    <row r="418" spans="1:6" x14ac:dyDescent="0.35">
      <c r="A418" s="1">
        <v>44051</v>
      </c>
      <c r="B418" s="2">
        <v>46232</v>
      </c>
      <c r="C418" s="1" t="s">
        <v>9</v>
      </c>
      <c r="D418" s="1">
        <v>2026</v>
      </c>
      <c r="E418" s="1">
        <v>7</v>
      </c>
      <c r="F418" s="1">
        <v>31</v>
      </c>
    </row>
    <row r="419" spans="1:6" x14ac:dyDescent="0.35">
      <c r="A419" s="1">
        <v>44050</v>
      </c>
      <c r="B419" s="2">
        <v>46232</v>
      </c>
      <c r="C419" s="1" t="s">
        <v>9</v>
      </c>
      <c r="D419" s="1">
        <v>2026</v>
      </c>
      <c r="E419" s="1">
        <v>7</v>
      </c>
      <c r="F419" s="1">
        <v>31</v>
      </c>
    </row>
    <row r="420" spans="1:6" x14ac:dyDescent="0.35">
      <c r="A420" s="1">
        <v>44049</v>
      </c>
      <c r="B420" s="2">
        <v>46232</v>
      </c>
      <c r="C420" s="1" t="s">
        <v>9</v>
      </c>
      <c r="D420" s="1">
        <v>2026</v>
      </c>
      <c r="E420" s="1">
        <v>7</v>
      </c>
      <c r="F420" s="1">
        <v>31</v>
      </c>
    </row>
    <row r="421" spans="1:6" x14ac:dyDescent="0.35">
      <c r="A421" s="1">
        <v>44048</v>
      </c>
      <c r="B421" s="2">
        <v>46232</v>
      </c>
      <c r="C421" s="1" t="s">
        <v>9</v>
      </c>
      <c r="D421" s="1">
        <v>2026</v>
      </c>
      <c r="E421" s="1">
        <v>7</v>
      </c>
      <c r="F421" s="1">
        <v>31</v>
      </c>
    </row>
    <row r="422" spans="1:6" x14ac:dyDescent="0.35">
      <c r="A422" s="1">
        <v>44047</v>
      </c>
      <c r="B422" s="2">
        <v>46232</v>
      </c>
      <c r="C422" s="1" t="s">
        <v>9</v>
      </c>
      <c r="D422" s="1">
        <v>2026</v>
      </c>
      <c r="E422" s="1">
        <v>7</v>
      </c>
      <c r="F422" s="1">
        <v>31</v>
      </c>
    </row>
    <row r="423" spans="1:6" x14ac:dyDescent="0.35">
      <c r="A423" s="1">
        <v>44036</v>
      </c>
      <c r="B423" s="2">
        <v>46232</v>
      </c>
      <c r="C423" s="1" t="s">
        <v>6</v>
      </c>
      <c r="D423" s="1">
        <v>2026</v>
      </c>
      <c r="E423" s="1">
        <v>7</v>
      </c>
      <c r="F423" s="1">
        <v>31</v>
      </c>
    </row>
    <row r="424" spans="1:6" x14ac:dyDescent="0.35">
      <c r="A424" s="1">
        <v>44035</v>
      </c>
      <c r="B424" s="2">
        <v>46232</v>
      </c>
      <c r="C424" s="1" t="s">
        <v>6</v>
      </c>
      <c r="D424" s="1">
        <v>2026</v>
      </c>
      <c r="E424" s="1">
        <v>7</v>
      </c>
      <c r="F424" s="1">
        <v>31</v>
      </c>
    </row>
    <row r="425" spans="1:6" x14ac:dyDescent="0.35">
      <c r="A425" s="1">
        <v>44034</v>
      </c>
      <c r="B425" s="2">
        <v>46232</v>
      </c>
      <c r="C425" s="1" t="s">
        <v>6</v>
      </c>
      <c r="D425" s="1">
        <v>2026</v>
      </c>
      <c r="E425" s="1">
        <v>7</v>
      </c>
      <c r="F425" s="1">
        <v>31</v>
      </c>
    </row>
    <row r="426" spans="1:6" x14ac:dyDescent="0.35">
      <c r="A426" s="1">
        <v>44029</v>
      </c>
      <c r="B426" s="2">
        <v>46232</v>
      </c>
      <c r="C426" s="1" t="s">
        <v>8</v>
      </c>
      <c r="D426" s="1">
        <v>2026</v>
      </c>
      <c r="E426" s="1">
        <v>7</v>
      </c>
      <c r="F426" s="1">
        <v>31</v>
      </c>
    </row>
    <row r="427" spans="1:6" x14ac:dyDescent="0.35">
      <c r="A427" s="1">
        <v>44028</v>
      </c>
      <c r="B427" s="2">
        <v>46232</v>
      </c>
      <c r="C427" s="1" t="s">
        <v>8</v>
      </c>
      <c r="D427" s="1">
        <v>2026</v>
      </c>
      <c r="E427" s="1">
        <v>7</v>
      </c>
      <c r="F427" s="1">
        <v>31</v>
      </c>
    </row>
    <row r="428" spans="1:6" x14ac:dyDescent="0.35">
      <c r="A428" s="1">
        <v>44027</v>
      </c>
      <c r="B428" s="2">
        <v>46232</v>
      </c>
      <c r="C428" s="1" t="s">
        <v>17</v>
      </c>
      <c r="D428" s="1">
        <v>2026</v>
      </c>
      <c r="E428" s="1">
        <v>7</v>
      </c>
      <c r="F428" s="1">
        <v>31</v>
      </c>
    </row>
    <row r="429" spans="1:6" x14ac:dyDescent="0.35">
      <c r="A429" s="1">
        <v>44026</v>
      </c>
      <c r="B429" s="2">
        <v>46232</v>
      </c>
      <c r="C429" s="1" t="s">
        <v>17</v>
      </c>
      <c r="D429" s="1">
        <v>2026</v>
      </c>
      <c r="E429" s="1">
        <v>7</v>
      </c>
      <c r="F429" s="1">
        <v>31</v>
      </c>
    </row>
    <row r="430" spans="1:6" x14ac:dyDescent="0.35">
      <c r="A430" s="1">
        <v>44025</v>
      </c>
      <c r="B430" s="2">
        <v>46232</v>
      </c>
      <c r="C430" s="1" t="s">
        <v>17</v>
      </c>
      <c r="D430" s="1">
        <v>2026</v>
      </c>
      <c r="E430" s="1">
        <v>7</v>
      </c>
      <c r="F430" s="1">
        <v>31</v>
      </c>
    </row>
    <row r="431" spans="1:6" x14ac:dyDescent="0.35">
      <c r="A431" s="1">
        <v>44024</v>
      </c>
      <c r="B431" s="2">
        <v>46232</v>
      </c>
      <c r="C431" s="1" t="s">
        <v>17</v>
      </c>
      <c r="D431" s="1">
        <v>2026</v>
      </c>
      <c r="E431" s="1">
        <v>7</v>
      </c>
      <c r="F431" s="1">
        <v>31</v>
      </c>
    </row>
    <row r="432" spans="1:6" x14ac:dyDescent="0.35">
      <c r="A432" s="1">
        <v>44016</v>
      </c>
      <c r="B432" s="2">
        <v>46232</v>
      </c>
      <c r="C432" s="1" t="s">
        <v>13</v>
      </c>
      <c r="D432" s="1">
        <v>2026</v>
      </c>
      <c r="E432" s="1">
        <v>7</v>
      </c>
      <c r="F432" s="1">
        <v>31</v>
      </c>
    </row>
    <row r="433" spans="1:6" x14ac:dyDescent="0.35">
      <c r="A433" s="1">
        <v>44015</v>
      </c>
      <c r="B433" s="2">
        <v>46232</v>
      </c>
      <c r="C433" s="1" t="s">
        <v>13</v>
      </c>
      <c r="D433" s="1">
        <v>2026</v>
      </c>
      <c r="E433" s="1">
        <v>7</v>
      </c>
      <c r="F433" s="1">
        <v>31</v>
      </c>
    </row>
    <row r="434" spans="1:6" x14ac:dyDescent="0.35">
      <c r="A434" s="1">
        <v>44081</v>
      </c>
      <c r="B434" s="2">
        <v>46233</v>
      </c>
      <c r="C434" s="1" t="s">
        <v>17</v>
      </c>
      <c r="D434" s="1">
        <v>2026</v>
      </c>
      <c r="E434" s="1">
        <v>7</v>
      </c>
      <c r="F434" s="1">
        <v>31</v>
      </c>
    </row>
    <row r="435" spans="1:6" x14ac:dyDescent="0.35">
      <c r="A435" s="1">
        <v>44080</v>
      </c>
      <c r="B435" s="2">
        <v>46233</v>
      </c>
      <c r="C435" s="1" t="s">
        <v>17</v>
      </c>
      <c r="D435" s="1">
        <v>2026</v>
      </c>
      <c r="E435" s="1">
        <v>7</v>
      </c>
      <c r="F435" s="1">
        <v>31</v>
      </c>
    </row>
    <row r="436" spans="1:6" x14ac:dyDescent="0.35">
      <c r="A436" s="1">
        <v>44079</v>
      </c>
      <c r="B436" s="2">
        <v>46233</v>
      </c>
      <c r="C436" s="1" t="s">
        <v>17</v>
      </c>
      <c r="D436" s="1">
        <v>2026</v>
      </c>
      <c r="E436" s="1">
        <v>7</v>
      </c>
      <c r="F436" s="1">
        <v>31</v>
      </c>
    </row>
    <row r="437" spans="1:6" x14ac:dyDescent="0.35">
      <c r="A437" s="1">
        <v>44078</v>
      </c>
      <c r="B437" s="2">
        <v>46233</v>
      </c>
      <c r="C437" s="1" t="s">
        <v>17</v>
      </c>
      <c r="D437" s="1">
        <v>2026</v>
      </c>
      <c r="E437" s="1">
        <v>7</v>
      </c>
      <c r="F437" s="1">
        <v>31</v>
      </c>
    </row>
    <row r="438" spans="1:6" x14ac:dyDescent="0.35">
      <c r="A438" s="1">
        <v>44077</v>
      </c>
      <c r="B438" s="2">
        <v>46233</v>
      </c>
      <c r="C438" s="1" t="s">
        <v>3</v>
      </c>
      <c r="D438" s="1">
        <v>2026</v>
      </c>
      <c r="E438" s="1">
        <v>7</v>
      </c>
      <c r="F438" s="1">
        <v>31</v>
      </c>
    </row>
    <row r="439" spans="1:6" x14ac:dyDescent="0.35">
      <c r="A439" s="1">
        <v>44076</v>
      </c>
      <c r="B439" s="2">
        <v>46233</v>
      </c>
      <c r="C439" s="1" t="s">
        <v>11</v>
      </c>
      <c r="D439" s="1">
        <v>2026</v>
      </c>
      <c r="E439" s="1">
        <v>7</v>
      </c>
      <c r="F439" s="1">
        <v>31</v>
      </c>
    </row>
    <row r="440" spans="1:6" x14ac:dyDescent="0.35">
      <c r="A440" s="1">
        <v>44075</v>
      </c>
      <c r="B440" s="2">
        <v>46233</v>
      </c>
      <c r="C440" s="1" t="s">
        <v>3</v>
      </c>
      <c r="D440" s="1">
        <v>2026</v>
      </c>
      <c r="E440" s="1">
        <v>7</v>
      </c>
      <c r="F440" s="1">
        <v>31</v>
      </c>
    </row>
    <row r="441" spans="1:6" x14ac:dyDescent="0.35">
      <c r="A441" s="1">
        <v>44074</v>
      </c>
      <c r="B441" s="2">
        <v>46233</v>
      </c>
      <c r="C441" s="1" t="s">
        <v>19</v>
      </c>
      <c r="D441" s="1">
        <v>2026</v>
      </c>
      <c r="E441" s="1">
        <v>7</v>
      </c>
      <c r="F441" s="1">
        <v>31</v>
      </c>
    </row>
    <row r="442" spans="1:6" x14ac:dyDescent="0.35">
      <c r="A442" s="1">
        <v>44073</v>
      </c>
      <c r="B442" s="2">
        <v>46233</v>
      </c>
      <c r="C442" s="1" t="s">
        <v>19</v>
      </c>
      <c r="D442" s="1">
        <v>2026</v>
      </c>
      <c r="E442" s="1">
        <v>7</v>
      </c>
      <c r="F442" s="1">
        <v>31</v>
      </c>
    </row>
    <row r="443" spans="1:6" x14ac:dyDescent="0.35">
      <c r="A443" s="1">
        <v>44068</v>
      </c>
      <c r="B443" s="2">
        <v>46233</v>
      </c>
      <c r="C443" s="1" t="s">
        <v>9</v>
      </c>
      <c r="D443" s="1">
        <v>2026</v>
      </c>
      <c r="E443" s="1">
        <v>7</v>
      </c>
      <c r="F443" s="1">
        <v>31</v>
      </c>
    </row>
    <row r="444" spans="1:6" x14ac:dyDescent="0.35">
      <c r="A444" s="1">
        <v>44066</v>
      </c>
      <c r="B444" s="2">
        <v>46233</v>
      </c>
      <c r="C444" s="1" t="s">
        <v>8</v>
      </c>
      <c r="D444" s="1">
        <v>2026</v>
      </c>
      <c r="E444" s="1">
        <v>7</v>
      </c>
      <c r="F444" s="1">
        <v>31</v>
      </c>
    </row>
    <row r="445" spans="1:6" x14ac:dyDescent="0.35">
      <c r="A445" s="1">
        <v>44065</v>
      </c>
      <c r="B445" s="2">
        <v>46233</v>
      </c>
      <c r="C445" s="1" t="s">
        <v>8</v>
      </c>
      <c r="D445" s="1">
        <v>2026</v>
      </c>
      <c r="E445" s="1">
        <v>7</v>
      </c>
      <c r="F445" s="1">
        <v>31</v>
      </c>
    </row>
    <row r="446" spans="1:6" x14ac:dyDescent="0.35">
      <c r="A446" s="1">
        <v>44064</v>
      </c>
      <c r="B446" s="2">
        <v>46233</v>
      </c>
      <c r="C446" s="1" t="s">
        <v>19</v>
      </c>
      <c r="D446" s="1">
        <v>2026</v>
      </c>
      <c r="E446" s="1">
        <v>7</v>
      </c>
      <c r="F446" s="1">
        <v>31</v>
      </c>
    </row>
    <row r="447" spans="1:6" x14ac:dyDescent="0.35">
      <c r="A447" s="1">
        <v>44063</v>
      </c>
      <c r="B447" s="2">
        <v>46233</v>
      </c>
      <c r="C447" s="1" t="s">
        <v>19</v>
      </c>
      <c r="D447" s="1">
        <v>2026</v>
      </c>
      <c r="E447" s="1">
        <v>7</v>
      </c>
      <c r="F447" s="1">
        <v>31</v>
      </c>
    </row>
    <row r="448" spans="1:6" x14ac:dyDescent="0.35">
      <c r="A448" s="1">
        <v>44103</v>
      </c>
      <c r="B448" s="2">
        <v>46233</v>
      </c>
      <c r="C448" s="1" t="s">
        <v>9</v>
      </c>
      <c r="D448" s="1">
        <v>2026</v>
      </c>
      <c r="E448" s="1">
        <v>7</v>
      </c>
      <c r="F448" s="1">
        <v>31</v>
      </c>
    </row>
    <row r="449" spans="1:6" x14ac:dyDescent="0.35">
      <c r="A449" s="1">
        <v>44102</v>
      </c>
      <c r="B449" s="2">
        <v>46233</v>
      </c>
      <c r="C449" s="1" t="s">
        <v>9</v>
      </c>
      <c r="D449" s="1">
        <v>2026</v>
      </c>
      <c r="E449" s="1">
        <v>7</v>
      </c>
      <c r="F449" s="1">
        <v>31</v>
      </c>
    </row>
    <row r="450" spans="1:6" x14ac:dyDescent="0.35">
      <c r="A450" s="1">
        <v>44101</v>
      </c>
      <c r="B450" s="2">
        <v>46233</v>
      </c>
      <c r="C450" s="1" t="s">
        <v>9</v>
      </c>
      <c r="D450" s="1">
        <v>2026</v>
      </c>
      <c r="E450" s="1">
        <v>7</v>
      </c>
      <c r="F450" s="1">
        <v>31</v>
      </c>
    </row>
    <row r="451" spans="1:6" x14ac:dyDescent="0.35">
      <c r="A451" s="1">
        <v>44100</v>
      </c>
      <c r="B451" s="2">
        <v>46233</v>
      </c>
      <c r="C451" s="1" t="s">
        <v>9</v>
      </c>
      <c r="D451" s="1">
        <v>2026</v>
      </c>
      <c r="E451" s="1">
        <v>7</v>
      </c>
      <c r="F451" s="1">
        <v>31</v>
      </c>
    </row>
    <row r="452" spans="1:6" x14ac:dyDescent="0.35">
      <c r="A452" s="1">
        <v>44099</v>
      </c>
      <c r="B452" s="2">
        <v>46233</v>
      </c>
      <c r="C452" s="1" t="s">
        <v>9</v>
      </c>
      <c r="D452" s="1">
        <v>2026</v>
      </c>
      <c r="E452" s="1">
        <v>7</v>
      </c>
      <c r="F452" s="1">
        <v>31</v>
      </c>
    </row>
    <row r="453" spans="1:6" x14ac:dyDescent="0.35">
      <c r="A453" s="1">
        <v>44098</v>
      </c>
      <c r="B453" s="2">
        <v>46233</v>
      </c>
      <c r="C453" s="1" t="s">
        <v>10</v>
      </c>
      <c r="D453" s="1">
        <v>2026</v>
      </c>
      <c r="E453" s="1">
        <v>7</v>
      </c>
      <c r="F453" s="1">
        <v>31</v>
      </c>
    </row>
    <row r="454" spans="1:6" x14ac:dyDescent="0.35">
      <c r="A454" s="1">
        <v>44097</v>
      </c>
      <c r="B454" s="2">
        <v>46233</v>
      </c>
      <c r="C454" s="1" t="s">
        <v>10</v>
      </c>
      <c r="D454" s="1">
        <v>2026</v>
      </c>
      <c r="E454" s="1">
        <v>7</v>
      </c>
      <c r="F454" s="1">
        <v>31</v>
      </c>
    </row>
    <row r="455" spans="1:6" x14ac:dyDescent="0.35">
      <c r="A455" s="1">
        <v>44096</v>
      </c>
      <c r="B455" s="2">
        <v>46233</v>
      </c>
      <c r="C455" s="1" t="s">
        <v>20</v>
      </c>
      <c r="D455" s="1">
        <v>2026</v>
      </c>
      <c r="E455" s="1">
        <v>7</v>
      </c>
      <c r="F455" s="1">
        <v>31</v>
      </c>
    </row>
    <row r="456" spans="1:6" x14ac:dyDescent="0.35">
      <c r="A456" s="1">
        <v>44095</v>
      </c>
      <c r="B456" s="2">
        <v>46233</v>
      </c>
      <c r="C456" s="1" t="s">
        <v>20</v>
      </c>
      <c r="D456" s="1">
        <v>2026</v>
      </c>
      <c r="E456" s="1">
        <v>7</v>
      </c>
      <c r="F456" s="1">
        <v>31</v>
      </c>
    </row>
    <row r="457" spans="1:6" x14ac:dyDescent="0.35">
      <c r="A457" s="1">
        <v>44094</v>
      </c>
      <c r="B457" s="2">
        <v>46233</v>
      </c>
      <c r="C457" s="1" t="s">
        <v>16</v>
      </c>
      <c r="D457" s="1">
        <v>2026</v>
      </c>
      <c r="E457" s="1">
        <v>7</v>
      </c>
      <c r="F457" s="1">
        <v>31</v>
      </c>
    </row>
    <row r="458" spans="1:6" x14ac:dyDescent="0.35">
      <c r="A458" s="1">
        <v>44093</v>
      </c>
      <c r="B458" s="2">
        <v>46233</v>
      </c>
      <c r="C458" s="1" t="s">
        <v>16</v>
      </c>
      <c r="D458" s="1">
        <v>2026</v>
      </c>
      <c r="E458" s="1">
        <v>7</v>
      </c>
      <c r="F458" s="1">
        <v>31</v>
      </c>
    </row>
    <row r="459" spans="1:6" x14ac:dyDescent="0.35">
      <c r="A459" s="1">
        <v>44104</v>
      </c>
      <c r="B459" s="2">
        <v>46234</v>
      </c>
      <c r="C459" s="1" t="s">
        <v>19</v>
      </c>
      <c r="D459" s="1">
        <v>2026</v>
      </c>
      <c r="E459" s="1">
        <v>7</v>
      </c>
      <c r="F459" s="1">
        <v>31</v>
      </c>
    </row>
    <row r="460" spans="1:6" x14ac:dyDescent="0.35">
      <c r="A460" s="1">
        <v>44160</v>
      </c>
      <c r="B460" s="2">
        <v>46234</v>
      </c>
      <c r="C460" s="1" t="s">
        <v>10</v>
      </c>
      <c r="D460" s="1">
        <v>2026</v>
      </c>
      <c r="E460" s="1">
        <v>7</v>
      </c>
      <c r="F460" s="1">
        <v>31</v>
      </c>
    </row>
    <row r="461" spans="1:6" x14ac:dyDescent="0.35">
      <c r="A461" s="1">
        <v>44159</v>
      </c>
      <c r="B461" s="2">
        <v>46234</v>
      </c>
      <c r="C461" s="1" t="s">
        <v>10</v>
      </c>
      <c r="D461" s="1">
        <v>2026</v>
      </c>
      <c r="E461" s="1">
        <v>7</v>
      </c>
      <c r="F461" s="1">
        <v>31</v>
      </c>
    </row>
    <row r="462" spans="1:6" x14ac:dyDescent="0.35">
      <c r="A462" s="1">
        <v>44157</v>
      </c>
      <c r="B462" s="2">
        <v>46234</v>
      </c>
      <c r="C462" s="1" t="s">
        <v>20</v>
      </c>
      <c r="D462" s="1">
        <v>2026</v>
      </c>
      <c r="E462" s="1">
        <v>7</v>
      </c>
      <c r="F462" s="1">
        <v>31</v>
      </c>
    </row>
    <row r="463" spans="1:6" x14ac:dyDescent="0.35">
      <c r="A463" s="1">
        <v>44135</v>
      </c>
      <c r="B463" s="2">
        <v>46234</v>
      </c>
      <c r="C463" s="1" t="s">
        <v>17</v>
      </c>
      <c r="D463" s="1">
        <v>2026</v>
      </c>
      <c r="E463" s="1">
        <v>7</v>
      </c>
      <c r="F463" s="1">
        <v>31</v>
      </c>
    </row>
    <row r="464" spans="1:6" x14ac:dyDescent="0.35">
      <c r="A464" s="1">
        <v>44134</v>
      </c>
      <c r="B464" s="2">
        <v>46234</v>
      </c>
      <c r="C464" s="1" t="s">
        <v>17</v>
      </c>
      <c r="D464" s="1">
        <v>2026</v>
      </c>
      <c r="E464" s="1">
        <v>7</v>
      </c>
      <c r="F464" s="1">
        <v>31</v>
      </c>
    </row>
    <row r="465" spans="1:6" x14ac:dyDescent="0.35">
      <c r="A465" s="1">
        <v>44133</v>
      </c>
      <c r="B465" s="2">
        <v>46234</v>
      </c>
      <c r="C465" s="1" t="s">
        <v>17</v>
      </c>
      <c r="D465" s="1">
        <v>2026</v>
      </c>
      <c r="E465" s="1">
        <v>7</v>
      </c>
      <c r="F465" s="1">
        <v>31</v>
      </c>
    </row>
    <row r="466" spans="1:6" x14ac:dyDescent="0.35">
      <c r="A466" s="1">
        <v>44132</v>
      </c>
      <c r="B466" s="2">
        <v>46234</v>
      </c>
      <c r="C466" s="1" t="s">
        <v>17</v>
      </c>
      <c r="D466" s="1">
        <v>2026</v>
      </c>
      <c r="E466" s="1">
        <v>7</v>
      </c>
      <c r="F466" s="1">
        <v>31</v>
      </c>
    </row>
    <row r="467" spans="1:6" x14ac:dyDescent="0.35">
      <c r="A467" s="1">
        <v>44131</v>
      </c>
      <c r="B467" s="2">
        <v>46234</v>
      </c>
      <c r="C467" s="1" t="s">
        <v>16</v>
      </c>
      <c r="D467" s="1">
        <v>2026</v>
      </c>
      <c r="E467" s="1">
        <v>7</v>
      </c>
      <c r="F467" s="1">
        <v>31</v>
      </c>
    </row>
    <row r="468" spans="1:6" x14ac:dyDescent="0.35">
      <c r="A468" s="1">
        <v>44130</v>
      </c>
      <c r="B468" s="2">
        <v>46234</v>
      </c>
      <c r="C468" s="1" t="s">
        <v>16</v>
      </c>
      <c r="D468" s="1">
        <v>2026</v>
      </c>
      <c r="E468" s="1">
        <v>7</v>
      </c>
      <c r="F468" s="1">
        <v>31</v>
      </c>
    </row>
    <row r="469" spans="1:6" x14ac:dyDescent="0.35">
      <c r="A469" s="1">
        <v>44128</v>
      </c>
      <c r="B469" s="2">
        <v>46234</v>
      </c>
      <c r="C469" s="1" t="s">
        <v>6</v>
      </c>
      <c r="D469" s="1">
        <v>2026</v>
      </c>
      <c r="E469" s="1">
        <v>7</v>
      </c>
      <c r="F469" s="1">
        <v>31</v>
      </c>
    </row>
    <row r="470" spans="1:6" x14ac:dyDescent="0.35">
      <c r="A470" s="1">
        <v>44127</v>
      </c>
      <c r="B470" s="2">
        <v>46234</v>
      </c>
      <c r="C470" s="1" t="s">
        <v>6</v>
      </c>
      <c r="D470" s="1">
        <v>2026</v>
      </c>
      <c r="E470" s="1">
        <v>7</v>
      </c>
      <c r="F470" s="1">
        <v>31</v>
      </c>
    </row>
    <row r="471" spans="1:6" x14ac:dyDescent="0.35">
      <c r="A471" s="1">
        <v>44125</v>
      </c>
      <c r="B471" s="2">
        <v>46234</v>
      </c>
      <c r="C471" s="1" t="s">
        <v>6</v>
      </c>
      <c r="D471" s="1">
        <v>2026</v>
      </c>
      <c r="E471" s="1">
        <v>7</v>
      </c>
      <c r="F471" s="1">
        <v>31</v>
      </c>
    </row>
    <row r="472" spans="1:6" x14ac:dyDescent="0.35">
      <c r="A472" s="1">
        <v>44121</v>
      </c>
      <c r="B472" s="2">
        <v>46234</v>
      </c>
      <c r="C472" s="1" t="s">
        <v>3</v>
      </c>
      <c r="D472" s="1">
        <v>2026</v>
      </c>
      <c r="E472" s="1">
        <v>7</v>
      </c>
      <c r="F472" s="1">
        <v>31</v>
      </c>
    </row>
    <row r="473" spans="1:6" x14ac:dyDescent="0.35">
      <c r="A473" s="1">
        <v>44118</v>
      </c>
      <c r="B473" s="2">
        <v>46234</v>
      </c>
      <c r="C473" s="1" t="s">
        <v>9</v>
      </c>
      <c r="D473" s="1">
        <v>2026</v>
      </c>
      <c r="E473" s="1">
        <v>7</v>
      </c>
      <c r="F473" s="1">
        <v>31</v>
      </c>
    </row>
    <row r="474" spans="1:6" x14ac:dyDescent="0.35">
      <c r="A474" s="1">
        <v>44117</v>
      </c>
      <c r="B474" s="2">
        <v>46234</v>
      </c>
      <c r="C474" s="1" t="s">
        <v>7</v>
      </c>
      <c r="D474" s="1">
        <v>2026</v>
      </c>
      <c r="E474" s="1">
        <v>7</v>
      </c>
      <c r="F474" s="1">
        <v>31</v>
      </c>
    </row>
    <row r="475" spans="1:6" x14ac:dyDescent="0.35">
      <c r="A475" s="1">
        <v>44116</v>
      </c>
      <c r="B475" s="2">
        <v>46234</v>
      </c>
      <c r="C475" s="1" t="s">
        <v>7</v>
      </c>
      <c r="D475" s="1">
        <v>2026</v>
      </c>
      <c r="E475" s="1">
        <v>7</v>
      </c>
      <c r="F475" s="1">
        <v>31</v>
      </c>
    </row>
    <row r="476" spans="1:6" x14ac:dyDescent="0.35">
      <c r="A476" s="1">
        <v>44114</v>
      </c>
      <c r="B476" s="2">
        <v>46234</v>
      </c>
      <c r="C476" s="1" t="s">
        <v>9</v>
      </c>
      <c r="D476" s="1">
        <v>2026</v>
      </c>
      <c r="E476" s="1">
        <v>7</v>
      </c>
      <c r="F476" s="1">
        <v>31</v>
      </c>
    </row>
    <row r="477" spans="1:6" x14ac:dyDescent="0.35">
      <c r="A477" s="1">
        <v>44112</v>
      </c>
      <c r="B477" s="2">
        <v>46234</v>
      </c>
      <c r="C477" s="1" t="s">
        <v>9</v>
      </c>
      <c r="D477" s="1">
        <v>2026</v>
      </c>
      <c r="E477" s="1">
        <v>7</v>
      </c>
      <c r="F477" s="1">
        <v>31</v>
      </c>
    </row>
    <row r="478" spans="1:6" x14ac:dyDescent="0.35">
      <c r="A478" s="1">
        <v>44108</v>
      </c>
      <c r="B478" s="2">
        <v>46234</v>
      </c>
      <c r="C478" s="1" t="s">
        <v>8</v>
      </c>
      <c r="D478" s="1">
        <v>2026</v>
      </c>
      <c r="E478" s="1">
        <v>7</v>
      </c>
      <c r="F478" s="1">
        <v>31</v>
      </c>
    </row>
    <row r="479" spans="1:6" x14ac:dyDescent="0.35">
      <c r="A479" s="1">
        <v>44107</v>
      </c>
      <c r="B479" s="2">
        <v>46234</v>
      </c>
      <c r="C479" s="1" t="s">
        <v>8</v>
      </c>
      <c r="D479" s="1">
        <v>2026</v>
      </c>
      <c r="E479" s="1">
        <v>7</v>
      </c>
      <c r="F479" s="1">
        <v>31</v>
      </c>
    </row>
    <row r="480" spans="1:6" x14ac:dyDescent="0.35">
      <c r="A480" s="1">
        <v>44229</v>
      </c>
      <c r="B480" s="2">
        <v>46234</v>
      </c>
      <c r="C480" s="1" t="s">
        <v>21</v>
      </c>
      <c r="D480" s="1">
        <v>2026</v>
      </c>
      <c r="E480" s="1">
        <v>7</v>
      </c>
      <c r="F480" s="1">
        <v>31</v>
      </c>
    </row>
    <row r="481" spans="1:6" x14ac:dyDescent="0.35">
      <c r="A481" s="1">
        <v>44227</v>
      </c>
      <c r="B481" s="2">
        <v>46234</v>
      </c>
      <c r="C481" s="1" t="s">
        <v>21</v>
      </c>
      <c r="D481" s="1">
        <v>2026</v>
      </c>
      <c r="E481" s="1">
        <v>7</v>
      </c>
      <c r="F481" s="1">
        <v>31</v>
      </c>
    </row>
    <row r="482" spans="1:6" x14ac:dyDescent="0.35">
      <c r="A482" s="1">
        <v>44223</v>
      </c>
      <c r="B482" s="2">
        <v>46234</v>
      </c>
      <c r="C482" s="1" t="s">
        <v>21</v>
      </c>
      <c r="D482" s="1">
        <v>2026</v>
      </c>
      <c r="E482" s="1">
        <v>7</v>
      </c>
      <c r="F482" s="1">
        <v>31</v>
      </c>
    </row>
    <row r="483" spans="1:6" x14ac:dyDescent="0.35">
      <c r="A483" s="1">
        <v>44217</v>
      </c>
      <c r="B483" s="2">
        <v>46234</v>
      </c>
      <c r="C483" s="1" t="s">
        <v>21</v>
      </c>
      <c r="D483" s="1">
        <v>2026</v>
      </c>
      <c r="E483" s="1">
        <v>7</v>
      </c>
      <c r="F483" s="1">
        <v>31</v>
      </c>
    </row>
    <row r="484" spans="1:6" x14ac:dyDescent="0.35">
      <c r="A484" s="1">
        <v>44216</v>
      </c>
      <c r="B484" s="2">
        <v>46234</v>
      </c>
      <c r="C484" s="1" t="s">
        <v>21</v>
      </c>
      <c r="D484" s="1">
        <v>2026</v>
      </c>
      <c r="E484" s="1">
        <v>7</v>
      </c>
      <c r="F484" s="1">
        <v>31</v>
      </c>
    </row>
    <row r="485" spans="1:6" x14ac:dyDescent="0.35">
      <c r="A485" s="1">
        <v>44215</v>
      </c>
      <c r="B485" s="2">
        <v>46234</v>
      </c>
      <c r="C485" s="1" t="s">
        <v>21</v>
      </c>
      <c r="D485" s="1">
        <v>2026</v>
      </c>
      <c r="E485" s="1">
        <v>7</v>
      </c>
      <c r="F485" s="1">
        <v>31</v>
      </c>
    </row>
    <row r="486" spans="1:6" x14ac:dyDescent="0.35">
      <c r="A486" s="1">
        <v>44214</v>
      </c>
      <c r="B486" s="2">
        <v>46234</v>
      </c>
      <c r="C486" s="1" t="s">
        <v>21</v>
      </c>
      <c r="D486" s="1">
        <v>2026</v>
      </c>
      <c r="E486" s="1">
        <v>7</v>
      </c>
      <c r="F486" s="1">
        <v>31</v>
      </c>
    </row>
    <row r="487" spans="1:6" x14ac:dyDescent="0.35">
      <c r="A487" s="1">
        <v>44210</v>
      </c>
      <c r="B487" s="2">
        <v>46234</v>
      </c>
      <c r="C487" s="1" t="s">
        <v>21</v>
      </c>
      <c r="D487" s="1">
        <v>2026</v>
      </c>
      <c r="E487" s="1">
        <v>7</v>
      </c>
      <c r="F487" s="1">
        <v>31</v>
      </c>
    </row>
    <row r="488" spans="1:6" x14ac:dyDescent="0.35">
      <c r="A488" s="1">
        <v>44209</v>
      </c>
      <c r="B488" s="2">
        <v>46234</v>
      </c>
      <c r="C488" s="1" t="s">
        <v>21</v>
      </c>
      <c r="D488" s="1">
        <v>2026</v>
      </c>
      <c r="E488" s="1">
        <v>7</v>
      </c>
      <c r="F488" s="1">
        <v>31</v>
      </c>
    </row>
    <row r="489" spans="1:6" x14ac:dyDescent="0.35">
      <c r="A489" s="1">
        <v>44208</v>
      </c>
      <c r="B489" s="2">
        <v>46234</v>
      </c>
      <c r="C489" s="1" t="s">
        <v>21</v>
      </c>
      <c r="D489" s="1">
        <v>2026</v>
      </c>
      <c r="E489" s="1">
        <v>7</v>
      </c>
      <c r="F489" s="1">
        <v>31</v>
      </c>
    </row>
    <row r="490" spans="1:6" x14ac:dyDescent="0.35">
      <c r="A490" s="1">
        <v>44206</v>
      </c>
      <c r="B490" s="2">
        <v>46234</v>
      </c>
      <c r="C490" s="1" t="s">
        <v>21</v>
      </c>
      <c r="D490" s="1">
        <v>2026</v>
      </c>
      <c r="E490" s="1">
        <v>7</v>
      </c>
      <c r="F490" s="1">
        <v>31</v>
      </c>
    </row>
    <row r="491" spans="1:6" x14ac:dyDescent="0.35">
      <c r="A491" s="1">
        <v>44205</v>
      </c>
      <c r="B491" s="2">
        <v>46234</v>
      </c>
      <c r="C491" s="1" t="s">
        <v>21</v>
      </c>
      <c r="D491" s="1">
        <v>2026</v>
      </c>
      <c r="E491" s="1">
        <v>7</v>
      </c>
      <c r="F491" s="1">
        <v>31</v>
      </c>
    </row>
    <row r="492" spans="1:6" x14ac:dyDescent="0.35">
      <c r="A492" s="1">
        <v>44204</v>
      </c>
      <c r="B492" s="2">
        <v>46234</v>
      </c>
      <c r="C492" s="1" t="s">
        <v>21</v>
      </c>
      <c r="D492" s="1">
        <v>2026</v>
      </c>
      <c r="E492" s="1">
        <v>7</v>
      </c>
      <c r="F492" s="1">
        <v>31</v>
      </c>
    </row>
    <row r="493" spans="1:6" x14ac:dyDescent="0.35">
      <c r="A493" s="1">
        <v>44203</v>
      </c>
      <c r="B493" s="2">
        <v>46234</v>
      </c>
      <c r="C493" s="1" t="s">
        <v>21</v>
      </c>
      <c r="D493" s="1">
        <v>2026</v>
      </c>
      <c r="E493" s="1">
        <v>7</v>
      </c>
      <c r="F493" s="1">
        <v>31</v>
      </c>
    </row>
    <row r="494" spans="1:6" x14ac:dyDescent="0.35">
      <c r="A494" s="1">
        <v>44202</v>
      </c>
      <c r="B494" s="2">
        <v>46234</v>
      </c>
      <c r="C494" s="1" t="s">
        <v>21</v>
      </c>
      <c r="D494" s="1">
        <v>2026</v>
      </c>
      <c r="E494" s="1">
        <v>7</v>
      </c>
      <c r="F494" s="1">
        <v>31</v>
      </c>
    </row>
    <row r="495" spans="1:6" x14ac:dyDescent="0.35">
      <c r="A495" s="1">
        <v>44201</v>
      </c>
      <c r="B495" s="2">
        <v>46234</v>
      </c>
      <c r="C495" s="1" t="s">
        <v>21</v>
      </c>
      <c r="D495" s="1">
        <v>2026</v>
      </c>
      <c r="E495" s="1">
        <v>7</v>
      </c>
      <c r="F495" s="1">
        <v>31</v>
      </c>
    </row>
    <row r="496" spans="1:6" x14ac:dyDescent="0.35">
      <c r="A496" s="1">
        <v>44200</v>
      </c>
      <c r="B496" s="2">
        <v>46234</v>
      </c>
      <c r="C496" s="1" t="s">
        <v>21</v>
      </c>
      <c r="D496" s="1">
        <v>2026</v>
      </c>
      <c r="E496" s="1">
        <v>7</v>
      </c>
      <c r="F496" s="1">
        <v>31</v>
      </c>
    </row>
    <row r="497" spans="1:6" x14ac:dyDescent="0.35">
      <c r="A497" s="1">
        <v>44199</v>
      </c>
      <c r="B497" s="2">
        <v>46234</v>
      </c>
      <c r="C497" s="1" t="s">
        <v>21</v>
      </c>
      <c r="D497" s="1">
        <v>2026</v>
      </c>
      <c r="E497" s="1">
        <v>7</v>
      </c>
      <c r="F497" s="1">
        <v>31</v>
      </c>
    </row>
    <row r="498" spans="1:6" x14ac:dyDescent="0.35">
      <c r="A498" s="1">
        <v>44198</v>
      </c>
      <c r="B498" s="2">
        <v>46234</v>
      </c>
      <c r="C498" s="1" t="s">
        <v>21</v>
      </c>
      <c r="D498" s="1">
        <v>2026</v>
      </c>
      <c r="E498" s="1">
        <v>7</v>
      </c>
      <c r="F498" s="1">
        <v>31</v>
      </c>
    </row>
    <row r="499" spans="1:6" x14ac:dyDescent="0.35">
      <c r="A499" s="1">
        <v>44197</v>
      </c>
      <c r="B499" s="2">
        <v>46234</v>
      </c>
      <c r="C499" s="1" t="s">
        <v>21</v>
      </c>
      <c r="D499" s="1">
        <v>2026</v>
      </c>
      <c r="E499" s="1">
        <v>7</v>
      </c>
      <c r="F499" s="1">
        <v>31</v>
      </c>
    </row>
    <row r="500" spans="1:6" x14ac:dyDescent="0.35">
      <c r="A500" s="1">
        <v>44196</v>
      </c>
      <c r="B500" s="2">
        <v>46234</v>
      </c>
      <c r="C500" s="1" t="s">
        <v>21</v>
      </c>
      <c r="D500" s="1">
        <v>2026</v>
      </c>
      <c r="E500" s="1">
        <v>7</v>
      </c>
      <c r="F500" s="1">
        <v>31</v>
      </c>
    </row>
    <row r="501" spans="1:6" x14ac:dyDescent="0.35">
      <c r="A501" s="1">
        <v>44195</v>
      </c>
      <c r="B501" s="2">
        <v>46234</v>
      </c>
      <c r="C501" s="1" t="s">
        <v>21</v>
      </c>
      <c r="D501" s="1">
        <v>2026</v>
      </c>
      <c r="E501" s="1">
        <v>7</v>
      </c>
      <c r="F501" s="1">
        <v>31</v>
      </c>
    </row>
    <row r="502" spans="1:6" x14ac:dyDescent="0.35">
      <c r="A502" s="1">
        <v>44194</v>
      </c>
      <c r="B502" s="2">
        <v>46234</v>
      </c>
      <c r="C502" s="1" t="s">
        <v>21</v>
      </c>
      <c r="D502" s="1">
        <v>2026</v>
      </c>
      <c r="E502" s="1">
        <v>7</v>
      </c>
      <c r="F502" s="1">
        <v>31</v>
      </c>
    </row>
    <row r="503" spans="1:6" x14ac:dyDescent="0.35">
      <c r="A503" s="1">
        <v>44193</v>
      </c>
      <c r="B503" s="2">
        <v>46234</v>
      </c>
      <c r="C503" s="1" t="s">
        <v>21</v>
      </c>
      <c r="D503" s="1">
        <v>2026</v>
      </c>
      <c r="E503" s="1">
        <v>7</v>
      </c>
      <c r="F503" s="1">
        <v>31</v>
      </c>
    </row>
    <row r="504" spans="1:6" x14ac:dyDescent="0.35">
      <c r="A504" s="1">
        <v>44192</v>
      </c>
      <c r="B504" s="2">
        <v>46234</v>
      </c>
      <c r="C504" s="1" t="s">
        <v>21</v>
      </c>
      <c r="D504" s="1">
        <v>2026</v>
      </c>
      <c r="E504" s="1">
        <v>7</v>
      </c>
      <c r="F504" s="1">
        <v>31</v>
      </c>
    </row>
    <row r="505" spans="1:6" x14ac:dyDescent="0.35">
      <c r="A505" s="1">
        <v>44191</v>
      </c>
      <c r="B505" s="2">
        <v>46234</v>
      </c>
      <c r="C505" s="1" t="s">
        <v>21</v>
      </c>
      <c r="D505" s="1">
        <v>2026</v>
      </c>
      <c r="E505" s="1">
        <v>7</v>
      </c>
      <c r="F505" s="1">
        <v>31</v>
      </c>
    </row>
    <row r="506" spans="1:6" x14ac:dyDescent="0.35">
      <c r="A506" s="1">
        <v>44190</v>
      </c>
      <c r="B506" s="2">
        <v>46234</v>
      </c>
      <c r="C506" s="1" t="s">
        <v>21</v>
      </c>
      <c r="D506" s="1">
        <v>2026</v>
      </c>
      <c r="E506" s="1">
        <v>7</v>
      </c>
      <c r="F506" s="1">
        <v>31</v>
      </c>
    </row>
    <row r="507" spans="1:6" x14ac:dyDescent="0.35">
      <c r="A507" s="1">
        <v>44189</v>
      </c>
      <c r="B507" s="2">
        <v>46234</v>
      </c>
      <c r="C507" s="1" t="s">
        <v>21</v>
      </c>
      <c r="D507" s="1">
        <v>2026</v>
      </c>
      <c r="E507" s="1">
        <v>7</v>
      </c>
      <c r="F507" s="1">
        <v>31</v>
      </c>
    </row>
    <row r="508" spans="1:6" x14ac:dyDescent="0.35">
      <c r="A508" s="1">
        <v>44188</v>
      </c>
      <c r="B508" s="2">
        <v>46234</v>
      </c>
      <c r="C508" s="1" t="s">
        <v>21</v>
      </c>
      <c r="D508" s="1">
        <v>2026</v>
      </c>
      <c r="E508" s="1">
        <v>7</v>
      </c>
      <c r="F508" s="1">
        <v>31</v>
      </c>
    </row>
    <row r="509" spans="1:6" x14ac:dyDescent="0.35">
      <c r="A509" s="1">
        <v>44187</v>
      </c>
      <c r="B509" s="2">
        <v>46234</v>
      </c>
      <c r="C509" s="1" t="s">
        <v>21</v>
      </c>
      <c r="D509" s="1">
        <v>2026</v>
      </c>
      <c r="E509" s="1">
        <v>7</v>
      </c>
      <c r="F509" s="1">
        <v>31</v>
      </c>
    </row>
    <row r="510" spans="1:6" x14ac:dyDescent="0.35">
      <c r="A510" s="1">
        <v>44186</v>
      </c>
      <c r="B510" s="2">
        <v>46234</v>
      </c>
      <c r="C510" s="1" t="s">
        <v>21</v>
      </c>
      <c r="D510" s="1">
        <v>2026</v>
      </c>
      <c r="E510" s="1">
        <v>7</v>
      </c>
      <c r="F510" s="1">
        <v>31</v>
      </c>
    </row>
    <row r="511" spans="1:6" x14ac:dyDescent="0.35">
      <c r="A511" s="1">
        <v>44185</v>
      </c>
      <c r="B511" s="2">
        <v>46234</v>
      </c>
      <c r="C511" s="1" t="s">
        <v>21</v>
      </c>
      <c r="D511" s="1">
        <v>2026</v>
      </c>
      <c r="E511" s="1">
        <v>7</v>
      </c>
      <c r="F511" s="1">
        <v>31</v>
      </c>
    </row>
    <row r="512" spans="1:6" x14ac:dyDescent="0.35">
      <c r="A512" s="1">
        <v>44184</v>
      </c>
      <c r="B512" s="2">
        <v>46234</v>
      </c>
      <c r="C512" s="1" t="s">
        <v>21</v>
      </c>
      <c r="D512" s="1">
        <v>2026</v>
      </c>
      <c r="E512" s="1">
        <v>7</v>
      </c>
      <c r="F512" s="1">
        <v>31</v>
      </c>
    </row>
    <row r="513" spans="1:6" x14ac:dyDescent="0.35">
      <c r="A513" s="1">
        <v>44183</v>
      </c>
      <c r="B513" s="2">
        <v>46234</v>
      </c>
      <c r="C513" s="1" t="s">
        <v>21</v>
      </c>
      <c r="D513" s="1">
        <v>2026</v>
      </c>
      <c r="E513" s="1">
        <v>7</v>
      </c>
      <c r="F513" s="1">
        <v>31</v>
      </c>
    </row>
    <row r="514" spans="1:6" x14ac:dyDescent="0.35">
      <c r="A514" s="1">
        <v>44182</v>
      </c>
      <c r="B514" s="2">
        <v>46234</v>
      </c>
      <c r="C514" s="1" t="s">
        <v>21</v>
      </c>
      <c r="D514" s="1">
        <v>2026</v>
      </c>
      <c r="E514" s="1">
        <v>7</v>
      </c>
      <c r="F514" s="1">
        <v>31</v>
      </c>
    </row>
    <row r="515" spans="1:6" x14ac:dyDescent="0.35">
      <c r="A515" s="1">
        <v>44181</v>
      </c>
      <c r="B515" s="2">
        <v>46234</v>
      </c>
      <c r="C515" s="1" t="s">
        <v>21</v>
      </c>
      <c r="D515" s="1">
        <v>2026</v>
      </c>
      <c r="E515" s="1">
        <v>7</v>
      </c>
      <c r="F515" s="1">
        <v>31</v>
      </c>
    </row>
    <row r="516" spans="1:6" x14ac:dyDescent="0.35">
      <c r="A516" s="1">
        <v>44179</v>
      </c>
      <c r="B516" s="2">
        <v>46234</v>
      </c>
      <c r="C516" s="1" t="s">
        <v>21</v>
      </c>
      <c r="D516" s="1">
        <v>2026</v>
      </c>
      <c r="E516" s="1">
        <v>7</v>
      </c>
      <c r="F516" s="1">
        <v>31</v>
      </c>
    </row>
    <row r="517" spans="1:6" x14ac:dyDescent="0.35">
      <c r="A517" s="1">
        <v>44178</v>
      </c>
      <c r="B517" s="2">
        <v>46234</v>
      </c>
      <c r="C517" s="1" t="s">
        <v>21</v>
      </c>
      <c r="D517" s="1">
        <v>2026</v>
      </c>
      <c r="E517" s="1">
        <v>7</v>
      </c>
      <c r="F517" s="1">
        <v>31</v>
      </c>
    </row>
    <row r="518" spans="1:6" x14ac:dyDescent="0.35">
      <c r="A518" s="1">
        <v>44166</v>
      </c>
      <c r="B518" s="2">
        <v>46235</v>
      </c>
      <c r="C518" s="1" t="s">
        <v>17</v>
      </c>
      <c r="D518" s="1">
        <v>2026</v>
      </c>
      <c r="E518" s="1">
        <v>8</v>
      </c>
      <c r="F518" s="1">
        <v>31</v>
      </c>
    </row>
    <row r="519" spans="1:6" x14ac:dyDescent="0.35">
      <c r="A519" s="1">
        <v>44165</v>
      </c>
      <c r="B519" s="2">
        <v>46235</v>
      </c>
      <c r="C519" s="1" t="s">
        <v>17</v>
      </c>
      <c r="D519" s="1">
        <v>2026</v>
      </c>
      <c r="E519" s="1">
        <v>8</v>
      </c>
      <c r="F519" s="1">
        <v>31</v>
      </c>
    </row>
    <row r="520" spans="1:6" x14ac:dyDescent="0.35">
      <c r="A520" s="1">
        <v>44164</v>
      </c>
      <c r="B520" s="2">
        <v>46235</v>
      </c>
      <c r="C520" s="1" t="s">
        <v>17</v>
      </c>
      <c r="D520" s="1">
        <v>2026</v>
      </c>
      <c r="E520" s="1">
        <v>8</v>
      </c>
      <c r="F520" s="1">
        <v>31</v>
      </c>
    </row>
    <row r="521" spans="1:6" x14ac:dyDescent="0.35">
      <c r="A521" s="1">
        <v>44163</v>
      </c>
      <c r="B521" s="2">
        <v>46235</v>
      </c>
      <c r="C521" s="1" t="s">
        <v>17</v>
      </c>
      <c r="D521" s="1">
        <v>2026</v>
      </c>
      <c r="E521" s="1">
        <v>8</v>
      </c>
      <c r="F521" s="1">
        <v>31</v>
      </c>
    </row>
    <row r="522" spans="1:6" x14ac:dyDescent="0.35">
      <c r="A522" s="1">
        <v>44162</v>
      </c>
      <c r="B522" s="2">
        <v>46235</v>
      </c>
      <c r="C522" s="1" t="s">
        <v>8</v>
      </c>
      <c r="D522" s="1">
        <v>2026</v>
      </c>
      <c r="E522" s="1">
        <v>8</v>
      </c>
      <c r="F522" s="1">
        <v>31</v>
      </c>
    </row>
    <row r="523" spans="1:6" x14ac:dyDescent="0.35">
      <c r="A523" s="1">
        <v>44161</v>
      </c>
      <c r="B523" s="2">
        <v>46235</v>
      </c>
      <c r="C523" s="1" t="s">
        <v>8</v>
      </c>
      <c r="D523" s="1">
        <v>2026</v>
      </c>
      <c r="E523" s="1">
        <v>8</v>
      </c>
      <c r="F523" s="1">
        <v>31</v>
      </c>
    </row>
    <row r="524" spans="1:6" x14ac:dyDescent="0.35">
      <c r="A524" s="1">
        <v>44172</v>
      </c>
      <c r="B524" s="2">
        <v>46237</v>
      </c>
      <c r="C524" s="1" t="s">
        <v>8</v>
      </c>
      <c r="D524" s="1">
        <v>2026</v>
      </c>
      <c r="E524" s="1">
        <v>8</v>
      </c>
      <c r="F524" s="1">
        <v>32</v>
      </c>
    </row>
    <row r="525" spans="1:6" x14ac:dyDescent="0.35">
      <c r="A525" s="1">
        <v>44171</v>
      </c>
      <c r="B525" s="2">
        <v>46237</v>
      </c>
      <c r="C525" s="1" t="s">
        <v>8</v>
      </c>
      <c r="D525" s="1">
        <v>2026</v>
      </c>
      <c r="E525" s="1">
        <v>8</v>
      </c>
      <c r="F525" s="1">
        <v>32</v>
      </c>
    </row>
    <row r="526" spans="1:6" x14ac:dyDescent="0.35">
      <c r="A526" s="1">
        <v>44256</v>
      </c>
      <c r="B526" s="2">
        <v>46237</v>
      </c>
      <c r="C526" s="1" t="s">
        <v>10</v>
      </c>
      <c r="D526" s="1">
        <v>2026</v>
      </c>
      <c r="E526" s="1">
        <v>8</v>
      </c>
      <c r="F526" s="1">
        <v>32</v>
      </c>
    </row>
    <row r="527" spans="1:6" x14ac:dyDescent="0.35">
      <c r="A527" s="1">
        <v>44255</v>
      </c>
      <c r="B527" s="2">
        <v>46237</v>
      </c>
      <c r="C527" s="1" t="s">
        <v>10</v>
      </c>
      <c r="D527" s="1">
        <v>2026</v>
      </c>
      <c r="E527" s="1">
        <v>8</v>
      </c>
      <c r="F527" s="1">
        <v>32</v>
      </c>
    </row>
    <row r="528" spans="1:6" x14ac:dyDescent="0.35">
      <c r="A528" s="1">
        <v>44249</v>
      </c>
      <c r="B528" s="2">
        <v>46237</v>
      </c>
      <c r="C528" s="1" t="s">
        <v>3</v>
      </c>
      <c r="D528" s="1">
        <v>2026</v>
      </c>
      <c r="E528" s="1">
        <v>8</v>
      </c>
      <c r="F528" s="1">
        <v>32</v>
      </c>
    </row>
    <row r="529" spans="1:6" x14ac:dyDescent="0.35">
      <c r="A529" s="1">
        <v>44248</v>
      </c>
      <c r="B529" s="2">
        <v>46237</v>
      </c>
      <c r="C529" s="1" t="s">
        <v>3</v>
      </c>
      <c r="D529" s="1">
        <v>2026</v>
      </c>
      <c r="E529" s="1">
        <v>8</v>
      </c>
      <c r="F529" s="1">
        <v>32</v>
      </c>
    </row>
    <row r="530" spans="1:6" x14ac:dyDescent="0.35">
      <c r="A530" s="1">
        <v>44247</v>
      </c>
      <c r="B530" s="2">
        <v>46237</v>
      </c>
      <c r="C530" s="1" t="s">
        <v>3</v>
      </c>
      <c r="D530" s="1">
        <v>2026</v>
      </c>
      <c r="E530" s="1">
        <v>8</v>
      </c>
      <c r="F530" s="1">
        <v>32</v>
      </c>
    </row>
    <row r="531" spans="1:6" x14ac:dyDescent="0.35">
      <c r="A531" s="1">
        <v>44246</v>
      </c>
      <c r="B531" s="2">
        <v>46237</v>
      </c>
      <c r="C531" s="1" t="s">
        <v>20</v>
      </c>
      <c r="D531" s="1">
        <v>2026</v>
      </c>
      <c r="E531" s="1">
        <v>8</v>
      </c>
      <c r="F531" s="1">
        <v>32</v>
      </c>
    </row>
    <row r="532" spans="1:6" x14ac:dyDescent="0.35">
      <c r="A532" s="1">
        <v>44245</v>
      </c>
      <c r="B532" s="2">
        <v>46237</v>
      </c>
      <c r="C532" s="1" t="s">
        <v>20</v>
      </c>
      <c r="D532" s="1">
        <v>2026</v>
      </c>
      <c r="E532" s="1">
        <v>8</v>
      </c>
      <c r="F532" s="1">
        <v>32</v>
      </c>
    </row>
    <row r="533" spans="1:6" x14ac:dyDescent="0.35">
      <c r="A533" s="1">
        <v>44244</v>
      </c>
      <c r="B533" s="2">
        <v>46237</v>
      </c>
      <c r="C533" s="1" t="s">
        <v>16</v>
      </c>
      <c r="D533" s="1">
        <v>2026</v>
      </c>
      <c r="E533" s="1">
        <v>8</v>
      </c>
      <c r="F533" s="1">
        <v>32</v>
      </c>
    </row>
    <row r="534" spans="1:6" x14ac:dyDescent="0.35">
      <c r="A534" s="1">
        <v>44243</v>
      </c>
      <c r="B534" s="2">
        <v>46237</v>
      </c>
      <c r="C534" s="1" t="s">
        <v>16</v>
      </c>
      <c r="D534" s="1">
        <v>2026</v>
      </c>
      <c r="E534" s="1">
        <v>8</v>
      </c>
      <c r="F534" s="1">
        <v>32</v>
      </c>
    </row>
    <row r="535" spans="1:6" x14ac:dyDescent="0.35">
      <c r="A535" s="1">
        <v>44242</v>
      </c>
      <c r="B535" s="2">
        <v>46237</v>
      </c>
      <c r="C535" s="1" t="s">
        <v>15</v>
      </c>
      <c r="D535" s="1">
        <v>2026</v>
      </c>
      <c r="E535" s="1">
        <v>8</v>
      </c>
      <c r="F535" s="1">
        <v>32</v>
      </c>
    </row>
    <row r="536" spans="1:6" x14ac:dyDescent="0.35">
      <c r="A536" s="1">
        <v>44233</v>
      </c>
      <c r="B536" s="2">
        <v>46237</v>
      </c>
      <c r="C536" s="1" t="s">
        <v>14</v>
      </c>
      <c r="D536" s="1">
        <v>2026</v>
      </c>
      <c r="E536" s="1">
        <v>8</v>
      </c>
      <c r="F536" s="1">
        <v>32</v>
      </c>
    </row>
    <row r="537" spans="1:6" x14ac:dyDescent="0.35">
      <c r="A537" s="1">
        <v>44232</v>
      </c>
      <c r="B537" s="2">
        <v>46237</v>
      </c>
      <c r="C537" s="1" t="s">
        <v>14</v>
      </c>
      <c r="D537" s="1">
        <v>2026</v>
      </c>
      <c r="E537" s="1">
        <v>8</v>
      </c>
      <c r="F537" s="1">
        <v>32</v>
      </c>
    </row>
    <row r="538" spans="1:6" x14ac:dyDescent="0.35">
      <c r="A538" s="1">
        <v>44221</v>
      </c>
      <c r="B538" s="2">
        <v>46237</v>
      </c>
      <c r="C538" s="1" t="s">
        <v>15</v>
      </c>
      <c r="D538" s="1">
        <v>2026</v>
      </c>
      <c r="E538" s="1">
        <v>8</v>
      </c>
      <c r="F538" s="1">
        <v>32</v>
      </c>
    </row>
    <row r="539" spans="1:6" x14ac:dyDescent="0.35">
      <c r="A539" s="1">
        <v>44177</v>
      </c>
      <c r="B539" s="2">
        <v>46237</v>
      </c>
      <c r="C539" s="1" t="s">
        <v>7</v>
      </c>
      <c r="D539" s="1">
        <v>2026</v>
      </c>
      <c r="E539" s="1">
        <v>8</v>
      </c>
      <c r="F539" s="1">
        <v>32</v>
      </c>
    </row>
    <row r="540" spans="1:6" x14ac:dyDescent="0.35">
      <c r="A540" s="1">
        <v>44176</v>
      </c>
      <c r="B540" s="2">
        <v>46237</v>
      </c>
      <c r="C540" s="1" t="s">
        <v>7</v>
      </c>
      <c r="D540" s="1">
        <v>2026</v>
      </c>
      <c r="E540" s="1">
        <v>8</v>
      </c>
      <c r="F540" s="1">
        <v>32</v>
      </c>
    </row>
    <row r="541" spans="1:6" x14ac:dyDescent="0.35">
      <c r="A541" s="1">
        <v>44269</v>
      </c>
      <c r="B541" s="2">
        <v>46238</v>
      </c>
      <c r="C541" s="1" t="s">
        <v>21</v>
      </c>
      <c r="D541" s="1">
        <v>2026</v>
      </c>
      <c r="E541" s="1">
        <v>8</v>
      </c>
      <c r="F541" s="1">
        <v>32</v>
      </c>
    </row>
    <row r="542" spans="1:6" x14ac:dyDescent="0.35">
      <c r="A542" s="1">
        <v>44265</v>
      </c>
      <c r="B542" s="2">
        <v>46238</v>
      </c>
      <c r="C542" s="1" t="s">
        <v>22</v>
      </c>
      <c r="D542" s="1">
        <v>2026</v>
      </c>
      <c r="E542" s="1">
        <v>8</v>
      </c>
      <c r="F542" s="1">
        <v>32</v>
      </c>
    </row>
    <row r="543" spans="1:6" x14ac:dyDescent="0.35">
      <c r="A543" s="1">
        <v>44264</v>
      </c>
      <c r="B543" s="2">
        <v>46238</v>
      </c>
      <c r="C543" s="1" t="s">
        <v>22</v>
      </c>
      <c r="D543" s="1">
        <v>2026</v>
      </c>
      <c r="E543" s="1">
        <v>8</v>
      </c>
      <c r="F543" s="1">
        <v>32</v>
      </c>
    </row>
    <row r="544" spans="1:6" x14ac:dyDescent="0.35">
      <c r="A544" s="1">
        <v>44263</v>
      </c>
      <c r="B544" s="2">
        <v>46238</v>
      </c>
      <c r="C544" s="1" t="s">
        <v>22</v>
      </c>
      <c r="D544" s="1">
        <v>2026</v>
      </c>
      <c r="E544" s="1">
        <v>8</v>
      </c>
      <c r="F544" s="1">
        <v>32</v>
      </c>
    </row>
    <row r="545" spans="1:6" x14ac:dyDescent="0.35">
      <c r="A545" s="1">
        <v>44262</v>
      </c>
      <c r="B545" s="2">
        <v>46238</v>
      </c>
      <c r="C545" s="1" t="s">
        <v>22</v>
      </c>
      <c r="D545" s="1">
        <v>2026</v>
      </c>
      <c r="E545" s="1">
        <v>8</v>
      </c>
      <c r="F545" s="1">
        <v>32</v>
      </c>
    </row>
    <row r="546" spans="1:6" x14ac:dyDescent="0.35">
      <c r="A546" s="1">
        <v>44261</v>
      </c>
      <c r="B546" s="2">
        <v>46238</v>
      </c>
      <c r="C546" s="1" t="s">
        <v>22</v>
      </c>
      <c r="D546" s="1">
        <v>2026</v>
      </c>
      <c r="E546" s="1">
        <v>8</v>
      </c>
      <c r="F546" s="1">
        <v>32</v>
      </c>
    </row>
    <row r="547" spans="1:6" x14ac:dyDescent="0.35">
      <c r="A547" s="1">
        <v>44260</v>
      </c>
      <c r="B547" s="2">
        <v>46238</v>
      </c>
      <c r="C547" s="1" t="s">
        <v>22</v>
      </c>
      <c r="D547" s="1">
        <v>2026</v>
      </c>
      <c r="E547" s="1">
        <v>8</v>
      </c>
      <c r="F547" s="1">
        <v>32</v>
      </c>
    </row>
    <row r="548" spans="1:6" x14ac:dyDescent="0.35">
      <c r="A548" s="1">
        <v>44259</v>
      </c>
      <c r="B548" s="2">
        <v>46238</v>
      </c>
      <c r="C548" s="1" t="s">
        <v>22</v>
      </c>
      <c r="D548" s="1">
        <v>2026</v>
      </c>
      <c r="E548" s="1">
        <v>8</v>
      </c>
      <c r="F548" s="1">
        <v>32</v>
      </c>
    </row>
    <row r="549" spans="1:6" x14ac:dyDescent="0.35">
      <c r="A549" s="1">
        <v>44306</v>
      </c>
      <c r="B549" s="2">
        <v>46238</v>
      </c>
      <c r="C549" s="1" t="s">
        <v>16</v>
      </c>
      <c r="D549" s="1">
        <v>2026</v>
      </c>
      <c r="E549" s="1">
        <v>8</v>
      </c>
      <c r="F549" s="1">
        <v>32</v>
      </c>
    </row>
    <row r="550" spans="1:6" x14ac:dyDescent="0.35">
      <c r="A550" s="1">
        <v>44305</v>
      </c>
      <c r="B550" s="2">
        <v>46238</v>
      </c>
      <c r="C550" s="1" t="s">
        <v>16</v>
      </c>
      <c r="D550" s="1">
        <v>2026</v>
      </c>
      <c r="E550" s="1">
        <v>8</v>
      </c>
      <c r="F550" s="1">
        <v>32</v>
      </c>
    </row>
    <row r="551" spans="1:6" x14ac:dyDescent="0.35">
      <c r="A551" s="1">
        <v>44304</v>
      </c>
      <c r="B551" s="2">
        <v>46238</v>
      </c>
      <c r="C551" s="1" t="s">
        <v>10</v>
      </c>
      <c r="D551" s="1">
        <v>2026</v>
      </c>
      <c r="E551" s="1">
        <v>8</v>
      </c>
      <c r="F551" s="1">
        <v>32</v>
      </c>
    </row>
    <row r="552" spans="1:6" x14ac:dyDescent="0.35">
      <c r="A552" s="1">
        <v>44303</v>
      </c>
      <c r="B552" s="2">
        <v>46238</v>
      </c>
      <c r="C552" s="1" t="s">
        <v>10</v>
      </c>
      <c r="D552" s="1">
        <v>2026</v>
      </c>
      <c r="E552" s="1">
        <v>8</v>
      </c>
      <c r="F552" s="1">
        <v>32</v>
      </c>
    </row>
    <row r="553" spans="1:6" x14ac:dyDescent="0.35">
      <c r="A553" s="1">
        <v>44302</v>
      </c>
      <c r="B553" s="2">
        <v>46238</v>
      </c>
      <c r="C553" s="1" t="s">
        <v>3</v>
      </c>
      <c r="D553" s="1">
        <v>2026</v>
      </c>
      <c r="E553" s="1">
        <v>8</v>
      </c>
      <c r="F553" s="1">
        <v>32</v>
      </c>
    </row>
    <row r="554" spans="1:6" x14ac:dyDescent="0.35">
      <c r="A554" s="1">
        <v>44300</v>
      </c>
      <c r="B554" s="2">
        <v>46238</v>
      </c>
      <c r="C554" s="1" t="s">
        <v>17</v>
      </c>
      <c r="D554" s="1">
        <v>2026</v>
      </c>
      <c r="E554" s="1">
        <v>8</v>
      </c>
      <c r="F554" s="1">
        <v>32</v>
      </c>
    </row>
    <row r="555" spans="1:6" x14ac:dyDescent="0.35">
      <c r="A555" s="1">
        <v>44299</v>
      </c>
      <c r="B555" s="2">
        <v>46238</v>
      </c>
      <c r="C555" s="1" t="s">
        <v>17</v>
      </c>
      <c r="D555" s="1">
        <v>2026</v>
      </c>
      <c r="E555" s="1">
        <v>8</v>
      </c>
      <c r="F555" s="1">
        <v>32</v>
      </c>
    </row>
    <row r="556" spans="1:6" x14ac:dyDescent="0.35">
      <c r="A556" s="1">
        <v>44297</v>
      </c>
      <c r="B556" s="2">
        <v>46238</v>
      </c>
      <c r="C556" s="1" t="s">
        <v>17</v>
      </c>
      <c r="D556" s="1">
        <v>2026</v>
      </c>
      <c r="E556" s="1">
        <v>8</v>
      </c>
      <c r="F556" s="1">
        <v>32</v>
      </c>
    </row>
    <row r="557" spans="1:6" x14ac:dyDescent="0.35">
      <c r="A557" s="1">
        <v>44278</v>
      </c>
      <c r="B557" s="2">
        <v>46238</v>
      </c>
      <c r="C557" s="1" t="s">
        <v>21</v>
      </c>
      <c r="D557" s="1">
        <v>2026</v>
      </c>
      <c r="E557" s="1">
        <v>8</v>
      </c>
      <c r="F557" s="1">
        <v>32</v>
      </c>
    </row>
    <row r="558" spans="1:6" x14ac:dyDescent="0.35">
      <c r="A558" s="1">
        <v>44277</v>
      </c>
      <c r="B558" s="2">
        <v>46238</v>
      </c>
      <c r="C558" s="1" t="s">
        <v>3</v>
      </c>
      <c r="D558" s="1">
        <v>2026</v>
      </c>
      <c r="E558" s="1">
        <v>8</v>
      </c>
      <c r="F558" s="1">
        <v>32</v>
      </c>
    </row>
    <row r="559" spans="1:6" x14ac:dyDescent="0.35">
      <c r="A559" s="1">
        <v>44276</v>
      </c>
      <c r="B559" s="2">
        <v>46238</v>
      </c>
      <c r="C559" s="1" t="s">
        <v>21</v>
      </c>
      <c r="D559" s="1">
        <v>2026</v>
      </c>
      <c r="E559" s="1">
        <v>8</v>
      </c>
      <c r="F559" s="1">
        <v>32</v>
      </c>
    </row>
    <row r="560" spans="1:6" x14ac:dyDescent="0.35">
      <c r="A560" s="1">
        <v>44275</v>
      </c>
      <c r="B560" s="2">
        <v>46238</v>
      </c>
      <c r="C560" s="1" t="s">
        <v>21</v>
      </c>
      <c r="D560" s="1">
        <v>2026</v>
      </c>
      <c r="E560" s="1">
        <v>8</v>
      </c>
      <c r="F560" s="1">
        <v>32</v>
      </c>
    </row>
    <row r="561" spans="1:6" x14ac:dyDescent="0.35">
      <c r="A561" s="1">
        <v>44274</v>
      </c>
      <c r="B561" s="2">
        <v>46238</v>
      </c>
      <c r="C561" s="1" t="s">
        <v>3</v>
      </c>
      <c r="D561" s="1">
        <v>2026</v>
      </c>
      <c r="E561" s="1">
        <v>8</v>
      </c>
      <c r="F561" s="1">
        <v>32</v>
      </c>
    </row>
    <row r="562" spans="1:6" x14ac:dyDescent="0.35">
      <c r="A562" s="1">
        <v>44273</v>
      </c>
      <c r="B562" s="2">
        <v>46238</v>
      </c>
      <c r="C562" s="1" t="s">
        <v>19</v>
      </c>
      <c r="D562" s="1">
        <v>2026</v>
      </c>
      <c r="E562" s="1">
        <v>8</v>
      </c>
      <c r="F562" s="1">
        <v>32</v>
      </c>
    </row>
    <row r="563" spans="1:6" x14ac:dyDescent="0.35">
      <c r="A563" s="1">
        <v>44272</v>
      </c>
      <c r="B563" s="2">
        <v>46238</v>
      </c>
      <c r="C563" s="1" t="s">
        <v>19</v>
      </c>
      <c r="D563" s="1">
        <v>2026</v>
      </c>
      <c r="E563" s="1">
        <v>8</v>
      </c>
      <c r="F563" s="1">
        <v>32</v>
      </c>
    </row>
    <row r="564" spans="1:6" x14ac:dyDescent="0.35">
      <c r="A564" s="1">
        <v>44271</v>
      </c>
      <c r="B564" s="2">
        <v>46238</v>
      </c>
      <c r="C564" s="1" t="s">
        <v>19</v>
      </c>
      <c r="D564" s="1">
        <v>2026</v>
      </c>
      <c r="E564" s="1">
        <v>8</v>
      </c>
      <c r="F564" s="1">
        <v>32</v>
      </c>
    </row>
    <row r="565" spans="1:6" x14ac:dyDescent="0.35">
      <c r="A565" s="1">
        <v>44270</v>
      </c>
      <c r="B565" s="2">
        <v>46238</v>
      </c>
      <c r="C565" s="1" t="s">
        <v>7</v>
      </c>
      <c r="D565" s="1">
        <v>2026</v>
      </c>
      <c r="E565" s="1">
        <v>8</v>
      </c>
      <c r="F565" s="1">
        <v>32</v>
      </c>
    </row>
    <row r="566" spans="1:6" x14ac:dyDescent="0.35">
      <c r="A566" s="1">
        <v>44379</v>
      </c>
      <c r="B566" s="2">
        <v>46239</v>
      </c>
      <c r="C566" s="1" t="s">
        <v>10</v>
      </c>
      <c r="D566" s="1">
        <v>2026</v>
      </c>
      <c r="E566" s="1">
        <v>8</v>
      </c>
      <c r="F566" s="1">
        <v>32</v>
      </c>
    </row>
    <row r="567" spans="1:6" x14ac:dyDescent="0.35">
      <c r="A567" s="1">
        <v>44378</v>
      </c>
      <c r="B567" s="2">
        <v>46239</v>
      </c>
      <c r="C567" s="1" t="s">
        <v>10</v>
      </c>
      <c r="D567" s="1">
        <v>2026</v>
      </c>
      <c r="E567" s="1">
        <v>8</v>
      </c>
      <c r="F567" s="1">
        <v>32</v>
      </c>
    </row>
    <row r="568" spans="1:6" x14ac:dyDescent="0.35">
      <c r="A568" s="1">
        <v>44377</v>
      </c>
      <c r="B568" s="2">
        <v>46239</v>
      </c>
      <c r="C568" s="1" t="s">
        <v>11</v>
      </c>
      <c r="D568" s="1">
        <v>2026</v>
      </c>
      <c r="E568" s="1">
        <v>8</v>
      </c>
      <c r="F568" s="1">
        <v>32</v>
      </c>
    </row>
    <row r="569" spans="1:6" x14ac:dyDescent="0.35">
      <c r="A569" s="1">
        <v>44373</v>
      </c>
      <c r="B569" s="2">
        <v>46239</v>
      </c>
      <c r="C569" s="1" t="s">
        <v>9</v>
      </c>
      <c r="D569" s="1">
        <v>2026</v>
      </c>
      <c r="E569" s="1">
        <v>8</v>
      </c>
      <c r="F569" s="1">
        <v>32</v>
      </c>
    </row>
    <row r="570" spans="1:6" x14ac:dyDescent="0.35">
      <c r="A570" s="1">
        <v>44372</v>
      </c>
      <c r="B570" s="2">
        <v>46239</v>
      </c>
      <c r="C570" s="1" t="s">
        <v>9</v>
      </c>
      <c r="D570" s="1">
        <v>2026</v>
      </c>
      <c r="E570" s="1">
        <v>8</v>
      </c>
      <c r="F570" s="1">
        <v>32</v>
      </c>
    </row>
    <row r="571" spans="1:6" x14ac:dyDescent="0.35">
      <c r="A571" s="1">
        <v>44370</v>
      </c>
      <c r="B571" s="2">
        <v>46239</v>
      </c>
      <c r="C571" s="1" t="s">
        <v>9</v>
      </c>
      <c r="D571" s="1">
        <v>2026</v>
      </c>
      <c r="E571" s="1">
        <v>8</v>
      </c>
      <c r="F571" s="1">
        <v>32</v>
      </c>
    </row>
    <row r="572" spans="1:6" x14ac:dyDescent="0.35">
      <c r="A572" s="1">
        <v>44361</v>
      </c>
      <c r="B572" s="2">
        <v>46239</v>
      </c>
      <c r="C572" s="1" t="s">
        <v>16</v>
      </c>
      <c r="D572" s="1">
        <v>2026</v>
      </c>
      <c r="E572" s="1">
        <v>8</v>
      </c>
      <c r="F572" s="1">
        <v>32</v>
      </c>
    </row>
    <row r="573" spans="1:6" x14ac:dyDescent="0.35">
      <c r="A573" s="1">
        <v>44360</v>
      </c>
      <c r="B573" s="2">
        <v>46239</v>
      </c>
      <c r="C573" s="1" t="s">
        <v>16</v>
      </c>
      <c r="D573" s="1">
        <v>2026</v>
      </c>
      <c r="E573" s="1">
        <v>8</v>
      </c>
      <c r="F573" s="1">
        <v>32</v>
      </c>
    </row>
    <row r="574" spans="1:6" x14ac:dyDescent="0.35">
      <c r="A574" s="1">
        <v>44359</v>
      </c>
      <c r="B574" s="2">
        <v>46239</v>
      </c>
      <c r="C574" s="1" t="s">
        <v>21</v>
      </c>
      <c r="D574" s="1">
        <v>2026</v>
      </c>
      <c r="E574" s="1">
        <v>8</v>
      </c>
      <c r="F574" s="1">
        <v>32</v>
      </c>
    </row>
    <row r="575" spans="1:6" x14ac:dyDescent="0.35">
      <c r="A575" s="1">
        <v>44358</v>
      </c>
      <c r="B575" s="2">
        <v>46239</v>
      </c>
      <c r="C575" s="1" t="s">
        <v>21</v>
      </c>
      <c r="D575" s="1">
        <v>2026</v>
      </c>
      <c r="E575" s="1">
        <v>8</v>
      </c>
      <c r="F575" s="1">
        <v>32</v>
      </c>
    </row>
    <row r="576" spans="1:6" x14ac:dyDescent="0.35">
      <c r="A576" s="1">
        <v>44357</v>
      </c>
      <c r="B576" s="2">
        <v>46239</v>
      </c>
      <c r="C576" s="1" t="s">
        <v>22</v>
      </c>
      <c r="D576" s="1">
        <v>2026</v>
      </c>
      <c r="E576" s="1">
        <v>8</v>
      </c>
      <c r="F576" s="1">
        <v>32</v>
      </c>
    </row>
    <row r="577" spans="1:6" x14ac:dyDescent="0.35">
      <c r="A577" s="1">
        <v>44356</v>
      </c>
      <c r="B577" s="2">
        <v>46239</v>
      </c>
      <c r="C577" s="1" t="s">
        <v>22</v>
      </c>
      <c r="D577" s="1">
        <v>2026</v>
      </c>
      <c r="E577" s="1">
        <v>8</v>
      </c>
      <c r="F577" s="1">
        <v>32</v>
      </c>
    </row>
    <row r="578" spans="1:6" x14ac:dyDescent="0.35">
      <c r="A578" s="1">
        <v>44355</v>
      </c>
      <c r="B578" s="2">
        <v>46239</v>
      </c>
      <c r="C578" s="1" t="s">
        <v>22</v>
      </c>
      <c r="D578" s="1">
        <v>2026</v>
      </c>
      <c r="E578" s="1">
        <v>8</v>
      </c>
      <c r="F578" s="1">
        <v>32</v>
      </c>
    </row>
    <row r="579" spans="1:6" x14ac:dyDescent="0.35">
      <c r="A579" s="1">
        <v>44354</v>
      </c>
      <c r="B579" s="2">
        <v>46239</v>
      </c>
      <c r="C579" s="1" t="s">
        <v>22</v>
      </c>
      <c r="D579" s="1">
        <v>2026</v>
      </c>
      <c r="E579" s="1">
        <v>8</v>
      </c>
      <c r="F579" s="1">
        <v>32</v>
      </c>
    </row>
    <row r="580" spans="1:6" x14ac:dyDescent="0.35">
      <c r="A580" s="1">
        <v>44353</v>
      </c>
      <c r="B580" s="2">
        <v>46239</v>
      </c>
      <c r="C580" s="1" t="s">
        <v>22</v>
      </c>
      <c r="D580" s="1">
        <v>2026</v>
      </c>
      <c r="E580" s="1">
        <v>8</v>
      </c>
      <c r="F580" s="1">
        <v>32</v>
      </c>
    </row>
    <row r="581" spans="1:6" x14ac:dyDescent="0.35">
      <c r="A581" s="1">
        <v>44352</v>
      </c>
      <c r="B581" s="2">
        <v>46239</v>
      </c>
      <c r="C581" s="1" t="s">
        <v>23</v>
      </c>
      <c r="D581" s="1">
        <v>2026</v>
      </c>
      <c r="E581" s="1">
        <v>8</v>
      </c>
      <c r="F581" s="1">
        <v>32</v>
      </c>
    </row>
    <row r="582" spans="1:6" x14ac:dyDescent="0.35">
      <c r="A582" s="1">
        <v>44351</v>
      </c>
      <c r="B582" s="2">
        <v>46239</v>
      </c>
      <c r="C582" s="1" t="s">
        <v>23</v>
      </c>
      <c r="D582" s="1">
        <v>2026</v>
      </c>
      <c r="E582" s="1">
        <v>8</v>
      </c>
      <c r="F582" s="1">
        <v>32</v>
      </c>
    </row>
    <row r="583" spans="1:6" x14ac:dyDescent="0.35">
      <c r="A583" s="1">
        <v>44350</v>
      </c>
      <c r="B583" s="2">
        <v>46239</v>
      </c>
      <c r="C583" s="1" t="s">
        <v>9</v>
      </c>
      <c r="D583" s="1">
        <v>2026</v>
      </c>
      <c r="E583" s="1">
        <v>8</v>
      </c>
      <c r="F583" s="1">
        <v>32</v>
      </c>
    </row>
    <row r="584" spans="1:6" x14ac:dyDescent="0.35">
      <c r="A584" s="1">
        <v>44349</v>
      </c>
      <c r="B584" s="2">
        <v>46239</v>
      </c>
      <c r="C584" s="1" t="s">
        <v>8</v>
      </c>
      <c r="D584" s="1">
        <v>2026</v>
      </c>
      <c r="E584" s="1">
        <v>8</v>
      </c>
      <c r="F584" s="1">
        <v>32</v>
      </c>
    </row>
    <row r="585" spans="1:6" x14ac:dyDescent="0.35">
      <c r="A585" s="1">
        <v>44348</v>
      </c>
      <c r="B585" s="2">
        <v>46239</v>
      </c>
      <c r="C585" s="1" t="s">
        <v>8</v>
      </c>
      <c r="D585" s="1">
        <v>2026</v>
      </c>
      <c r="E585" s="1">
        <v>8</v>
      </c>
      <c r="F585" s="1">
        <v>32</v>
      </c>
    </row>
    <row r="586" spans="1:6" x14ac:dyDescent="0.35">
      <c r="A586" s="1">
        <v>44346</v>
      </c>
      <c r="B586" s="2">
        <v>46239</v>
      </c>
      <c r="C586" s="1" t="s">
        <v>7</v>
      </c>
      <c r="D586" s="1">
        <v>2026</v>
      </c>
      <c r="E586" s="1">
        <v>8</v>
      </c>
      <c r="F586" s="1">
        <v>32</v>
      </c>
    </row>
    <row r="587" spans="1:6" x14ac:dyDescent="0.35">
      <c r="A587" s="1">
        <v>44337</v>
      </c>
      <c r="B587" s="2">
        <v>46239</v>
      </c>
      <c r="C587" s="1" t="s">
        <v>3</v>
      </c>
      <c r="D587" s="1">
        <v>2026</v>
      </c>
      <c r="E587" s="1">
        <v>8</v>
      </c>
      <c r="F587" s="1">
        <v>32</v>
      </c>
    </row>
    <row r="588" spans="1:6" x14ac:dyDescent="0.35">
      <c r="A588" s="1">
        <v>44336</v>
      </c>
      <c r="B588" s="2">
        <v>46239</v>
      </c>
      <c r="C588" s="1" t="s">
        <v>3</v>
      </c>
      <c r="D588" s="1">
        <v>2026</v>
      </c>
      <c r="E588" s="1">
        <v>8</v>
      </c>
      <c r="F588" s="1">
        <v>32</v>
      </c>
    </row>
    <row r="589" spans="1:6" x14ac:dyDescent="0.35">
      <c r="A589" s="1">
        <v>44334</v>
      </c>
      <c r="B589" s="2">
        <v>46239</v>
      </c>
      <c r="C589" s="1" t="s">
        <v>19</v>
      </c>
      <c r="D589" s="1">
        <v>2026</v>
      </c>
      <c r="E589" s="1">
        <v>8</v>
      </c>
      <c r="F589" s="1">
        <v>32</v>
      </c>
    </row>
    <row r="590" spans="1:6" x14ac:dyDescent="0.35">
      <c r="A590" s="1">
        <v>44333</v>
      </c>
      <c r="B590" s="2">
        <v>46239</v>
      </c>
      <c r="C590" s="1" t="s">
        <v>7</v>
      </c>
      <c r="D590" s="1">
        <v>2026</v>
      </c>
      <c r="E590" s="1">
        <v>8</v>
      </c>
      <c r="F590" s="1">
        <v>32</v>
      </c>
    </row>
    <row r="591" spans="1:6" x14ac:dyDescent="0.35">
      <c r="A591" s="1">
        <v>44422</v>
      </c>
      <c r="B591" s="2">
        <v>46240</v>
      </c>
      <c r="C591" s="1" t="s">
        <v>10</v>
      </c>
      <c r="D591" s="1">
        <v>2026</v>
      </c>
      <c r="E591" s="1">
        <v>8</v>
      </c>
      <c r="F591" s="1">
        <v>32</v>
      </c>
    </row>
    <row r="592" spans="1:6" x14ac:dyDescent="0.35">
      <c r="A592" s="1">
        <v>44421</v>
      </c>
      <c r="B592" s="2">
        <v>46240</v>
      </c>
      <c r="C592" s="1" t="s">
        <v>10</v>
      </c>
      <c r="D592" s="1">
        <v>2026</v>
      </c>
      <c r="E592" s="1">
        <v>8</v>
      </c>
      <c r="F592" s="1">
        <v>32</v>
      </c>
    </row>
    <row r="593" spans="1:6" x14ac:dyDescent="0.35">
      <c r="A593" s="1">
        <v>44420</v>
      </c>
      <c r="B593" s="2">
        <v>46240</v>
      </c>
      <c r="C593" s="1" t="s">
        <v>16</v>
      </c>
      <c r="D593" s="1">
        <v>2026</v>
      </c>
      <c r="E593" s="1">
        <v>8</v>
      </c>
      <c r="F593" s="1">
        <v>32</v>
      </c>
    </row>
    <row r="594" spans="1:6" x14ac:dyDescent="0.35">
      <c r="A594" s="1">
        <v>44419</v>
      </c>
      <c r="B594" s="2">
        <v>46240</v>
      </c>
      <c r="C594" s="1" t="s">
        <v>16</v>
      </c>
      <c r="D594" s="1">
        <v>2026</v>
      </c>
      <c r="E594" s="1">
        <v>8</v>
      </c>
      <c r="F594" s="1">
        <v>32</v>
      </c>
    </row>
    <row r="595" spans="1:6" x14ac:dyDescent="0.35">
      <c r="A595" s="1">
        <v>44418</v>
      </c>
      <c r="B595" s="2">
        <v>46240</v>
      </c>
      <c r="C595" s="1" t="s">
        <v>3</v>
      </c>
      <c r="D595" s="1">
        <v>2026</v>
      </c>
      <c r="E595" s="1">
        <v>8</v>
      </c>
      <c r="F595" s="1">
        <v>32</v>
      </c>
    </row>
    <row r="596" spans="1:6" x14ac:dyDescent="0.35">
      <c r="A596" s="1">
        <v>44395</v>
      </c>
      <c r="B596" s="2">
        <v>46240</v>
      </c>
      <c r="C596" s="1" t="s">
        <v>9</v>
      </c>
      <c r="D596" s="1">
        <v>2026</v>
      </c>
      <c r="E596" s="1">
        <v>8</v>
      </c>
      <c r="F596" s="1">
        <v>32</v>
      </c>
    </row>
    <row r="597" spans="1:6" x14ac:dyDescent="0.35">
      <c r="A597" s="1">
        <v>44393</v>
      </c>
      <c r="B597" s="2">
        <v>46240</v>
      </c>
      <c r="C597" s="1" t="s">
        <v>17</v>
      </c>
      <c r="D597" s="1">
        <v>2026</v>
      </c>
      <c r="E597" s="1">
        <v>8</v>
      </c>
      <c r="F597" s="1">
        <v>32</v>
      </c>
    </row>
    <row r="598" spans="1:6" x14ac:dyDescent="0.35">
      <c r="A598" s="1">
        <v>44392</v>
      </c>
      <c r="B598" s="2">
        <v>46240</v>
      </c>
      <c r="C598" s="1" t="s">
        <v>7</v>
      </c>
      <c r="D598" s="1">
        <v>2026</v>
      </c>
      <c r="E598" s="1">
        <v>8</v>
      </c>
      <c r="F598" s="1">
        <v>32</v>
      </c>
    </row>
    <row r="599" spans="1:6" x14ac:dyDescent="0.35">
      <c r="A599" s="1">
        <v>44391</v>
      </c>
      <c r="B599" s="2">
        <v>46240</v>
      </c>
      <c r="C599" s="1" t="s">
        <v>17</v>
      </c>
      <c r="D599" s="1">
        <v>2026</v>
      </c>
      <c r="E599" s="1">
        <v>8</v>
      </c>
      <c r="F599" s="1">
        <v>32</v>
      </c>
    </row>
    <row r="600" spans="1:6" x14ac:dyDescent="0.35">
      <c r="A600" s="1">
        <v>44390</v>
      </c>
      <c r="B600" s="2">
        <v>46240</v>
      </c>
      <c r="C600" s="1" t="s">
        <v>7</v>
      </c>
      <c r="D600" s="1">
        <v>2026</v>
      </c>
      <c r="E600" s="1">
        <v>8</v>
      </c>
      <c r="F600" s="1">
        <v>32</v>
      </c>
    </row>
    <row r="601" spans="1:6" x14ac:dyDescent="0.35">
      <c r="A601" s="1">
        <v>44386</v>
      </c>
      <c r="B601" s="2">
        <v>46240</v>
      </c>
      <c r="C601" s="1" t="s">
        <v>8</v>
      </c>
      <c r="D601" s="1">
        <v>2026</v>
      </c>
      <c r="E601" s="1">
        <v>8</v>
      </c>
      <c r="F601" s="1">
        <v>32</v>
      </c>
    </row>
    <row r="602" spans="1:6" x14ac:dyDescent="0.35">
      <c r="A602" s="1">
        <v>44385</v>
      </c>
      <c r="B602" s="2">
        <v>46240</v>
      </c>
      <c r="C602" s="1" t="s">
        <v>8</v>
      </c>
      <c r="D602" s="1">
        <v>2026</v>
      </c>
      <c r="E602" s="1">
        <v>8</v>
      </c>
      <c r="F602" s="1">
        <v>32</v>
      </c>
    </row>
    <row r="603" spans="1:6" x14ac:dyDescent="0.35">
      <c r="A603" s="1">
        <v>44383</v>
      </c>
      <c r="B603" s="2">
        <v>46240</v>
      </c>
      <c r="C603" s="1" t="s">
        <v>9</v>
      </c>
      <c r="D603" s="1">
        <v>2026</v>
      </c>
      <c r="E603" s="1">
        <v>8</v>
      </c>
      <c r="F603" s="1">
        <v>32</v>
      </c>
    </row>
    <row r="604" spans="1:6" x14ac:dyDescent="0.35">
      <c r="A604" s="1">
        <v>44382</v>
      </c>
      <c r="B604" s="2">
        <v>46240</v>
      </c>
      <c r="C604" s="1" t="s">
        <v>9</v>
      </c>
      <c r="D604" s="1">
        <v>2026</v>
      </c>
      <c r="E604" s="1">
        <v>8</v>
      </c>
      <c r="F604" s="1">
        <v>32</v>
      </c>
    </row>
    <row r="605" spans="1:6" x14ac:dyDescent="0.35">
      <c r="A605" s="1">
        <v>44460</v>
      </c>
      <c r="B605" s="2">
        <v>46241</v>
      </c>
      <c r="C605" s="1" t="s">
        <v>10</v>
      </c>
      <c r="D605" s="1">
        <v>2026</v>
      </c>
      <c r="E605" s="1">
        <v>8</v>
      </c>
      <c r="F605" s="1">
        <v>32</v>
      </c>
    </row>
    <row r="606" spans="1:6" x14ac:dyDescent="0.35">
      <c r="A606" s="1">
        <v>44459</v>
      </c>
      <c r="B606" s="2">
        <v>46241</v>
      </c>
      <c r="C606" s="1" t="s">
        <v>10</v>
      </c>
      <c r="D606" s="1">
        <v>2026</v>
      </c>
      <c r="E606" s="1">
        <v>8</v>
      </c>
      <c r="F606" s="1">
        <v>32</v>
      </c>
    </row>
    <row r="607" spans="1:6" x14ac:dyDescent="0.35">
      <c r="A607" s="1">
        <v>44456</v>
      </c>
      <c r="B607" s="2">
        <v>46241</v>
      </c>
      <c r="C607" s="1" t="s">
        <v>17</v>
      </c>
      <c r="D607" s="1">
        <v>2026</v>
      </c>
      <c r="E607" s="1">
        <v>8</v>
      </c>
      <c r="F607" s="1">
        <v>32</v>
      </c>
    </row>
    <row r="608" spans="1:6" x14ac:dyDescent="0.35">
      <c r="A608" s="1">
        <v>44455</v>
      </c>
      <c r="B608" s="2">
        <v>46241</v>
      </c>
      <c r="C608" s="1" t="s">
        <v>17</v>
      </c>
      <c r="D608" s="1">
        <v>2026</v>
      </c>
      <c r="E608" s="1">
        <v>8</v>
      </c>
      <c r="F608" s="1">
        <v>32</v>
      </c>
    </row>
    <row r="609" spans="1:6" x14ac:dyDescent="0.35">
      <c r="A609" s="1">
        <v>44454</v>
      </c>
      <c r="B609" s="2">
        <v>46241</v>
      </c>
      <c r="C609" s="1" t="s">
        <v>16</v>
      </c>
      <c r="D609" s="1">
        <v>2026</v>
      </c>
      <c r="E609" s="1">
        <v>8</v>
      </c>
      <c r="F609" s="1">
        <v>32</v>
      </c>
    </row>
    <row r="610" spans="1:6" x14ac:dyDescent="0.35">
      <c r="A610" s="1">
        <v>44453</v>
      </c>
      <c r="B610" s="2">
        <v>46241</v>
      </c>
      <c r="C610" s="1" t="s">
        <v>16</v>
      </c>
      <c r="D610" s="1">
        <v>2026</v>
      </c>
      <c r="E610" s="1">
        <v>8</v>
      </c>
      <c r="F610" s="1">
        <v>32</v>
      </c>
    </row>
    <row r="611" spans="1:6" x14ac:dyDescent="0.35">
      <c r="A611" s="1">
        <v>44446</v>
      </c>
      <c r="B611" s="2">
        <v>46241</v>
      </c>
      <c r="C611" s="1" t="s">
        <v>8</v>
      </c>
      <c r="D611" s="1">
        <v>2026</v>
      </c>
      <c r="E611" s="1">
        <v>8</v>
      </c>
      <c r="F611" s="1">
        <v>32</v>
      </c>
    </row>
    <row r="612" spans="1:6" x14ac:dyDescent="0.35">
      <c r="A612" s="1">
        <v>44445</v>
      </c>
      <c r="B612" s="2">
        <v>46241</v>
      </c>
      <c r="C612" s="1" t="s">
        <v>8</v>
      </c>
      <c r="D612" s="1">
        <v>2026</v>
      </c>
      <c r="E612" s="1">
        <v>8</v>
      </c>
      <c r="F612" s="1">
        <v>32</v>
      </c>
    </row>
    <row r="613" spans="1:6" x14ac:dyDescent="0.35">
      <c r="A613" s="1">
        <v>44444</v>
      </c>
      <c r="B613" s="2">
        <v>46241</v>
      </c>
      <c r="C613" s="1" t="s">
        <v>21</v>
      </c>
      <c r="D613" s="1">
        <v>2026</v>
      </c>
      <c r="E613" s="1">
        <v>8</v>
      </c>
      <c r="F613" s="1">
        <v>32</v>
      </c>
    </row>
    <row r="614" spans="1:6" x14ac:dyDescent="0.35">
      <c r="A614" s="1">
        <v>44443</v>
      </c>
      <c r="B614" s="2">
        <v>46241</v>
      </c>
      <c r="C614" s="1" t="s">
        <v>7</v>
      </c>
      <c r="D614" s="1">
        <v>2026</v>
      </c>
      <c r="E614" s="1">
        <v>8</v>
      </c>
      <c r="F614" s="1">
        <v>32</v>
      </c>
    </row>
    <row r="615" spans="1:6" x14ac:dyDescent="0.35">
      <c r="A615" s="1">
        <v>44441</v>
      </c>
      <c r="B615" s="2">
        <v>46241</v>
      </c>
      <c r="C615" s="1" t="s">
        <v>3</v>
      </c>
      <c r="D615" s="1">
        <v>2026</v>
      </c>
      <c r="E615" s="1">
        <v>8</v>
      </c>
      <c r="F615" s="1">
        <v>32</v>
      </c>
    </row>
    <row r="616" spans="1:6" x14ac:dyDescent="0.35">
      <c r="A616" s="1">
        <v>44465</v>
      </c>
      <c r="B616" s="2">
        <v>46242</v>
      </c>
      <c r="C616" s="1" t="s">
        <v>10</v>
      </c>
      <c r="D616" s="1">
        <v>2026</v>
      </c>
      <c r="E616" s="1">
        <v>8</v>
      </c>
      <c r="F616" s="1">
        <v>32</v>
      </c>
    </row>
    <row r="617" spans="1:6" x14ac:dyDescent="0.35">
      <c r="A617" s="1">
        <v>44464</v>
      </c>
      <c r="B617" s="2">
        <v>46242</v>
      </c>
      <c r="C617" s="1" t="s">
        <v>10</v>
      </c>
      <c r="D617" s="1">
        <v>2026</v>
      </c>
      <c r="E617" s="1">
        <v>8</v>
      </c>
      <c r="F617" s="1">
        <v>32</v>
      </c>
    </row>
    <row r="618" spans="1:6" x14ac:dyDescent="0.35">
      <c r="A618" s="1">
        <v>44462</v>
      </c>
      <c r="B618" s="2">
        <v>46242</v>
      </c>
      <c r="C618" s="1" t="s">
        <v>23</v>
      </c>
      <c r="D618" s="1">
        <v>2026</v>
      </c>
      <c r="E618" s="1">
        <v>8</v>
      </c>
      <c r="F618" s="1">
        <v>32</v>
      </c>
    </row>
    <row r="619" spans="1:6" x14ac:dyDescent="0.35">
      <c r="A619" s="1">
        <v>44461</v>
      </c>
      <c r="B619" s="2">
        <v>46242</v>
      </c>
      <c r="C619" s="1" t="s">
        <v>23</v>
      </c>
      <c r="D619" s="1">
        <v>2026</v>
      </c>
      <c r="E619" s="1">
        <v>8</v>
      </c>
      <c r="F619" s="1">
        <v>32</v>
      </c>
    </row>
    <row r="620" spans="1:6" x14ac:dyDescent="0.35">
      <c r="A620" s="1">
        <v>44485</v>
      </c>
      <c r="B620" s="2">
        <v>46244</v>
      </c>
      <c r="C620" s="1" t="s">
        <v>8</v>
      </c>
      <c r="D620" s="1">
        <v>2026</v>
      </c>
      <c r="E620" s="1">
        <v>8</v>
      </c>
      <c r="F620" s="1">
        <v>33</v>
      </c>
    </row>
    <row r="621" spans="1:6" x14ac:dyDescent="0.35">
      <c r="A621" s="1">
        <v>44484</v>
      </c>
      <c r="B621" s="2">
        <v>46244</v>
      </c>
      <c r="C621" s="1" t="s">
        <v>8</v>
      </c>
      <c r="D621" s="1">
        <v>2026</v>
      </c>
      <c r="E621" s="1">
        <v>8</v>
      </c>
      <c r="F621" s="1">
        <v>33</v>
      </c>
    </row>
    <row r="622" spans="1:6" x14ac:dyDescent="0.35">
      <c r="A622" s="1">
        <v>44562</v>
      </c>
      <c r="B622" s="2">
        <v>46244</v>
      </c>
      <c r="C622" s="1" t="s">
        <v>10</v>
      </c>
      <c r="D622" s="1">
        <v>2026</v>
      </c>
      <c r="E622" s="1">
        <v>8</v>
      </c>
      <c r="F622" s="1">
        <v>33</v>
      </c>
    </row>
    <row r="623" spans="1:6" x14ac:dyDescent="0.35">
      <c r="A623" s="1">
        <v>44561</v>
      </c>
      <c r="B623" s="2">
        <v>46244</v>
      </c>
      <c r="C623" s="1" t="s">
        <v>10</v>
      </c>
      <c r="D623" s="1">
        <v>2026</v>
      </c>
      <c r="E623" s="1">
        <v>8</v>
      </c>
      <c r="F623" s="1">
        <v>33</v>
      </c>
    </row>
    <row r="624" spans="1:6" x14ac:dyDescent="0.35">
      <c r="A624" s="1">
        <v>44542</v>
      </c>
      <c r="B624" s="2">
        <v>46244</v>
      </c>
      <c r="C624" s="1" t="s">
        <v>3</v>
      </c>
      <c r="D624" s="1">
        <v>2026</v>
      </c>
      <c r="E624" s="1">
        <v>8</v>
      </c>
      <c r="F624" s="1">
        <v>33</v>
      </c>
    </row>
    <row r="625" spans="1:6" x14ac:dyDescent="0.35">
      <c r="A625" s="1">
        <v>44537</v>
      </c>
      <c r="B625" s="2">
        <v>46244</v>
      </c>
      <c r="C625" s="1" t="s">
        <v>16</v>
      </c>
      <c r="D625" s="1">
        <v>2026</v>
      </c>
      <c r="E625" s="1">
        <v>8</v>
      </c>
      <c r="F625" s="1">
        <v>33</v>
      </c>
    </row>
    <row r="626" spans="1:6" x14ac:dyDescent="0.35">
      <c r="A626" s="1">
        <v>44536</v>
      </c>
      <c r="B626" s="2">
        <v>46244</v>
      </c>
      <c r="C626" s="1" t="s">
        <v>16</v>
      </c>
      <c r="D626" s="1">
        <v>2026</v>
      </c>
      <c r="E626" s="1">
        <v>8</v>
      </c>
      <c r="F626" s="1">
        <v>33</v>
      </c>
    </row>
    <row r="627" spans="1:6" x14ac:dyDescent="0.35">
      <c r="A627" s="1">
        <v>44535</v>
      </c>
      <c r="B627" s="2">
        <v>46244</v>
      </c>
      <c r="C627" s="1" t="s">
        <v>21</v>
      </c>
      <c r="D627" s="1">
        <v>2026</v>
      </c>
      <c r="E627" s="1">
        <v>8</v>
      </c>
      <c r="F627" s="1">
        <v>33</v>
      </c>
    </row>
    <row r="628" spans="1:6" x14ac:dyDescent="0.35">
      <c r="A628" s="1">
        <v>44534</v>
      </c>
      <c r="B628" s="2">
        <v>46244</v>
      </c>
      <c r="C628" s="1" t="s">
        <v>3</v>
      </c>
      <c r="D628" s="1">
        <v>2026</v>
      </c>
      <c r="E628" s="1">
        <v>8</v>
      </c>
      <c r="F628" s="1">
        <v>33</v>
      </c>
    </row>
    <row r="629" spans="1:6" x14ac:dyDescent="0.35">
      <c r="A629" s="1">
        <v>44533</v>
      </c>
      <c r="B629" s="2">
        <v>46244</v>
      </c>
      <c r="C629" s="1" t="s">
        <v>21</v>
      </c>
      <c r="D629" s="1">
        <v>2026</v>
      </c>
      <c r="E629" s="1">
        <v>8</v>
      </c>
      <c r="F629" s="1">
        <v>33</v>
      </c>
    </row>
    <row r="630" spans="1:6" x14ac:dyDescent="0.35">
      <c r="A630" s="1">
        <v>44526</v>
      </c>
      <c r="B630" s="2">
        <v>46244</v>
      </c>
      <c r="C630" s="1" t="s">
        <v>9</v>
      </c>
      <c r="D630" s="1">
        <v>2026</v>
      </c>
      <c r="E630" s="1">
        <v>8</v>
      </c>
      <c r="F630" s="1">
        <v>33</v>
      </c>
    </row>
    <row r="631" spans="1:6" x14ac:dyDescent="0.35">
      <c r="A631" s="1">
        <v>44523</v>
      </c>
      <c r="B631" s="2">
        <v>46244</v>
      </c>
      <c r="C631" s="1" t="s">
        <v>9</v>
      </c>
      <c r="D631" s="1">
        <v>2026</v>
      </c>
      <c r="E631" s="1">
        <v>8</v>
      </c>
      <c r="F631" s="1">
        <v>33</v>
      </c>
    </row>
    <row r="632" spans="1:6" x14ac:dyDescent="0.35">
      <c r="A632" s="1">
        <v>44519</v>
      </c>
      <c r="B632" s="2">
        <v>46244</v>
      </c>
      <c r="C632" s="1" t="s">
        <v>9</v>
      </c>
      <c r="D632" s="1">
        <v>2026</v>
      </c>
      <c r="E632" s="1">
        <v>8</v>
      </c>
      <c r="F632" s="1">
        <v>33</v>
      </c>
    </row>
    <row r="633" spans="1:6" x14ac:dyDescent="0.35">
      <c r="A633" s="1">
        <v>44518</v>
      </c>
      <c r="B633" s="2">
        <v>46244</v>
      </c>
      <c r="C633" s="1" t="s">
        <v>9</v>
      </c>
      <c r="D633" s="1">
        <v>2026</v>
      </c>
      <c r="E633" s="1">
        <v>8</v>
      </c>
      <c r="F633" s="1">
        <v>33</v>
      </c>
    </row>
    <row r="634" spans="1:6" x14ac:dyDescent="0.35">
      <c r="A634" s="1">
        <v>44517</v>
      </c>
      <c r="B634" s="2">
        <v>46244</v>
      </c>
      <c r="C634" s="1" t="s">
        <v>7</v>
      </c>
      <c r="D634" s="1">
        <v>2026</v>
      </c>
      <c r="E634" s="1">
        <v>8</v>
      </c>
      <c r="F634" s="1">
        <v>33</v>
      </c>
    </row>
    <row r="635" spans="1:6" x14ac:dyDescent="0.35">
      <c r="A635" s="1">
        <v>44516</v>
      </c>
      <c r="B635" s="2">
        <v>46244</v>
      </c>
      <c r="C635" s="1" t="s">
        <v>23</v>
      </c>
      <c r="D635" s="1">
        <v>2026</v>
      </c>
      <c r="E635" s="1">
        <v>8</v>
      </c>
      <c r="F635" s="1">
        <v>33</v>
      </c>
    </row>
    <row r="636" spans="1:6" x14ac:dyDescent="0.35">
      <c r="A636" s="1">
        <v>44515</v>
      </c>
      <c r="B636" s="2">
        <v>46244</v>
      </c>
      <c r="C636" s="1" t="s">
        <v>23</v>
      </c>
      <c r="D636" s="1">
        <v>2026</v>
      </c>
      <c r="E636" s="1">
        <v>8</v>
      </c>
      <c r="F636" s="1">
        <v>33</v>
      </c>
    </row>
    <row r="637" spans="1:6" x14ac:dyDescent="0.35">
      <c r="A637" s="1">
        <v>44510</v>
      </c>
      <c r="B637" s="2">
        <v>46244</v>
      </c>
      <c r="C637" s="1" t="s">
        <v>17</v>
      </c>
      <c r="D637" s="1">
        <v>2026</v>
      </c>
      <c r="E637" s="1">
        <v>8</v>
      </c>
      <c r="F637" s="1">
        <v>33</v>
      </c>
    </row>
    <row r="638" spans="1:6" x14ac:dyDescent="0.35">
      <c r="A638" s="1">
        <v>44509</v>
      </c>
      <c r="B638" s="2">
        <v>46244</v>
      </c>
      <c r="C638" s="1" t="s">
        <v>17</v>
      </c>
      <c r="D638" s="1">
        <v>2026</v>
      </c>
      <c r="E638" s="1">
        <v>8</v>
      </c>
      <c r="F638" s="1">
        <v>33</v>
      </c>
    </row>
    <row r="639" spans="1:6" x14ac:dyDescent="0.35">
      <c r="A639" s="1">
        <v>44570</v>
      </c>
      <c r="B639" s="2">
        <v>46245</v>
      </c>
      <c r="C639" s="1" t="s">
        <v>8</v>
      </c>
      <c r="D639" s="1">
        <v>2026</v>
      </c>
      <c r="E639" s="1">
        <v>8</v>
      </c>
      <c r="F639" s="1">
        <v>33</v>
      </c>
    </row>
    <row r="640" spans="1:6" x14ac:dyDescent="0.35">
      <c r="A640" s="1">
        <v>44569</v>
      </c>
      <c r="B640" s="2">
        <v>46245</v>
      </c>
      <c r="C640" s="1" t="s">
        <v>8</v>
      </c>
      <c r="D640" s="1">
        <v>2026</v>
      </c>
      <c r="E640" s="1">
        <v>8</v>
      </c>
      <c r="F640" s="1">
        <v>33</v>
      </c>
    </row>
    <row r="641" spans="1:6" x14ac:dyDescent="0.35">
      <c r="A641" s="1">
        <v>44568</v>
      </c>
      <c r="B641" s="2">
        <v>46245</v>
      </c>
      <c r="C641" s="1" t="s">
        <v>15</v>
      </c>
      <c r="D641" s="1">
        <v>2026</v>
      </c>
      <c r="E641" s="1">
        <v>8</v>
      </c>
      <c r="F641" s="1">
        <v>33</v>
      </c>
    </row>
    <row r="642" spans="1:6" x14ac:dyDescent="0.35">
      <c r="A642" s="1">
        <v>44567</v>
      </c>
      <c r="B642" s="2">
        <v>46245</v>
      </c>
      <c r="C642" s="1" t="s">
        <v>15</v>
      </c>
      <c r="D642" s="1">
        <v>2026</v>
      </c>
      <c r="E642" s="1">
        <v>8</v>
      </c>
      <c r="F642" s="1">
        <v>33</v>
      </c>
    </row>
    <row r="643" spans="1:6" x14ac:dyDescent="0.35">
      <c r="A643" s="1">
        <v>44632</v>
      </c>
      <c r="B643" s="2">
        <v>46245</v>
      </c>
      <c r="C643" s="1" t="s">
        <v>10</v>
      </c>
      <c r="D643" s="1">
        <v>2026</v>
      </c>
      <c r="E643" s="1">
        <v>8</v>
      </c>
      <c r="F643" s="1">
        <v>33</v>
      </c>
    </row>
    <row r="644" spans="1:6" x14ac:dyDescent="0.35">
      <c r="A644" s="1">
        <v>44631</v>
      </c>
      <c r="B644" s="2">
        <v>46245</v>
      </c>
      <c r="C644" s="1" t="s">
        <v>10</v>
      </c>
      <c r="D644" s="1">
        <v>2026</v>
      </c>
      <c r="E644" s="1">
        <v>8</v>
      </c>
      <c r="F644" s="1">
        <v>33</v>
      </c>
    </row>
    <row r="645" spans="1:6" x14ac:dyDescent="0.35">
      <c r="A645" s="1">
        <v>44629</v>
      </c>
      <c r="B645" s="2">
        <v>46245</v>
      </c>
      <c r="C645" s="1" t="s">
        <v>16</v>
      </c>
      <c r="D645" s="1">
        <v>2026</v>
      </c>
      <c r="E645" s="1">
        <v>8</v>
      </c>
      <c r="F645" s="1">
        <v>33</v>
      </c>
    </row>
    <row r="646" spans="1:6" x14ac:dyDescent="0.35">
      <c r="A646" s="1">
        <v>44626</v>
      </c>
      <c r="B646" s="2">
        <v>46245</v>
      </c>
      <c r="C646" s="1" t="s">
        <v>24</v>
      </c>
      <c r="D646" s="1">
        <v>2026</v>
      </c>
      <c r="E646" s="1">
        <v>8</v>
      </c>
      <c r="F646" s="1">
        <v>33</v>
      </c>
    </row>
    <row r="647" spans="1:6" x14ac:dyDescent="0.35">
      <c r="A647" s="1">
        <v>44625</v>
      </c>
      <c r="B647" s="2">
        <v>46245</v>
      </c>
      <c r="C647" s="1" t="s">
        <v>24</v>
      </c>
      <c r="D647" s="1">
        <v>2026</v>
      </c>
      <c r="E647" s="1">
        <v>8</v>
      </c>
      <c r="F647" s="1">
        <v>33</v>
      </c>
    </row>
    <row r="648" spans="1:6" x14ac:dyDescent="0.35">
      <c r="A648" s="1">
        <v>44624</v>
      </c>
      <c r="B648" s="2">
        <v>46245</v>
      </c>
      <c r="C648" s="1" t="s">
        <v>24</v>
      </c>
      <c r="D648" s="1">
        <v>2026</v>
      </c>
      <c r="E648" s="1">
        <v>8</v>
      </c>
      <c r="F648" s="1">
        <v>33</v>
      </c>
    </row>
    <row r="649" spans="1:6" x14ac:dyDescent="0.35">
      <c r="A649" s="1">
        <v>44623</v>
      </c>
      <c r="B649" s="2">
        <v>46245</v>
      </c>
      <c r="C649" s="1" t="s">
        <v>24</v>
      </c>
      <c r="D649" s="1">
        <v>2026</v>
      </c>
      <c r="E649" s="1">
        <v>8</v>
      </c>
      <c r="F649" s="1">
        <v>33</v>
      </c>
    </row>
    <row r="650" spans="1:6" x14ac:dyDescent="0.35">
      <c r="A650" s="1">
        <v>44622</v>
      </c>
      <c r="B650" s="2">
        <v>46245</v>
      </c>
      <c r="C650" s="1" t="s">
        <v>24</v>
      </c>
      <c r="D650" s="1">
        <v>2026</v>
      </c>
      <c r="E650" s="1">
        <v>8</v>
      </c>
      <c r="F650" s="1">
        <v>33</v>
      </c>
    </row>
    <row r="651" spans="1:6" x14ac:dyDescent="0.35">
      <c r="A651" s="1">
        <v>44621</v>
      </c>
      <c r="B651" s="2">
        <v>46245</v>
      </c>
      <c r="C651" s="1" t="s">
        <v>24</v>
      </c>
      <c r="D651" s="1">
        <v>2026</v>
      </c>
      <c r="E651" s="1">
        <v>8</v>
      </c>
      <c r="F651" s="1">
        <v>33</v>
      </c>
    </row>
    <row r="652" spans="1:6" x14ac:dyDescent="0.35">
      <c r="A652" s="1">
        <v>44620</v>
      </c>
      <c r="B652" s="2">
        <v>46245</v>
      </c>
      <c r="C652" s="1" t="s">
        <v>24</v>
      </c>
      <c r="D652" s="1">
        <v>2026</v>
      </c>
      <c r="E652" s="1">
        <v>8</v>
      </c>
      <c r="F652" s="1">
        <v>33</v>
      </c>
    </row>
    <row r="653" spans="1:6" x14ac:dyDescent="0.35">
      <c r="A653" s="1">
        <v>44619</v>
      </c>
      <c r="B653" s="2">
        <v>46245</v>
      </c>
      <c r="C653" s="1" t="s">
        <v>24</v>
      </c>
      <c r="D653" s="1">
        <v>2026</v>
      </c>
      <c r="E653" s="1">
        <v>8</v>
      </c>
      <c r="F653" s="1">
        <v>33</v>
      </c>
    </row>
    <row r="654" spans="1:6" x14ac:dyDescent="0.35">
      <c r="A654" s="1">
        <v>44618</v>
      </c>
      <c r="B654" s="2">
        <v>46245</v>
      </c>
      <c r="C654" s="1" t="s">
        <v>24</v>
      </c>
      <c r="D654" s="1">
        <v>2026</v>
      </c>
      <c r="E654" s="1">
        <v>8</v>
      </c>
      <c r="F654" s="1">
        <v>33</v>
      </c>
    </row>
    <row r="655" spans="1:6" x14ac:dyDescent="0.35">
      <c r="A655" s="1">
        <v>44617</v>
      </c>
      <c r="B655" s="2">
        <v>46245</v>
      </c>
      <c r="C655" s="1" t="s">
        <v>24</v>
      </c>
      <c r="D655" s="1">
        <v>2026</v>
      </c>
      <c r="E655" s="1">
        <v>8</v>
      </c>
      <c r="F655" s="1">
        <v>33</v>
      </c>
    </row>
    <row r="656" spans="1:6" x14ac:dyDescent="0.35">
      <c r="A656" s="1">
        <v>44616</v>
      </c>
      <c r="B656" s="2">
        <v>46245</v>
      </c>
      <c r="C656" s="1" t="s">
        <v>9</v>
      </c>
      <c r="D656" s="1">
        <v>2026</v>
      </c>
      <c r="E656" s="1">
        <v>8</v>
      </c>
      <c r="F656" s="1">
        <v>33</v>
      </c>
    </row>
    <row r="657" spans="1:6" x14ac:dyDescent="0.35">
      <c r="A657" s="1">
        <v>44604</v>
      </c>
      <c r="B657" s="2">
        <v>46245</v>
      </c>
      <c r="C657" s="1" t="s">
        <v>7</v>
      </c>
      <c r="D657" s="1">
        <v>2026</v>
      </c>
      <c r="E657" s="1">
        <v>8</v>
      </c>
      <c r="F657" s="1">
        <v>33</v>
      </c>
    </row>
    <row r="658" spans="1:6" x14ac:dyDescent="0.35">
      <c r="A658" s="1">
        <v>44603</v>
      </c>
      <c r="B658" s="2">
        <v>46245</v>
      </c>
      <c r="C658" s="1" t="s">
        <v>7</v>
      </c>
      <c r="D658" s="1">
        <v>2026</v>
      </c>
      <c r="E658" s="1">
        <v>8</v>
      </c>
      <c r="F658" s="1">
        <v>33</v>
      </c>
    </row>
    <row r="659" spans="1:6" x14ac:dyDescent="0.35">
      <c r="A659" s="1">
        <v>44601</v>
      </c>
      <c r="B659" s="2">
        <v>46245</v>
      </c>
      <c r="C659" s="1" t="s">
        <v>19</v>
      </c>
      <c r="D659" s="1">
        <v>2026</v>
      </c>
      <c r="E659" s="1">
        <v>8</v>
      </c>
      <c r="F659" s="1">
        <v>33</v>
      </c>
    </row>
    <row r="660" spans="1:6" x14ac:dyDescent="0.35">
      <c r="A660" s="1">
        <v>44600</v>
      </c>
      <c r="B660" s="2">
        <v>46245</v>
      </c>
      <c r="C660" s="1" t="s">
        <v>19</v>
      </c>
      <c r="D660" s="1">
        <v>2026</v>
      </c>
      <c r="E660" s="1">
        <v>8</v>
      </c>
      <c r="F660" s="1">
        <v>33</v>
      </c>
    </row>
    <row r="661" spans="1:6" x14ac:dyDescent="0.35">
      <c r="A661" s="1">
        <v>44599</v>
      </c>
      <c r="B661" s="2">
        <v>46245</v>
      </c>
      <c r="C661" s="1" t="s">
        <v>19</v>
      </c>
      <c r="D661" s="1">
        <v>2026</v>
      </c>
      <c r="E661" s="1">
        <v>8</v>
      </c>
      <c r="F661" s="1">
        <v>33</v>
      </c>
    </row>
    <row r="662" spans="1:6" x14ac:dyDescent="0.35">
      <c r="A662" s="1">
        <v>44598</v>
      </c>
      <c r="B662" s="2">
        <v>46245</v>
      </c>
      <c r="C662" s="1" t="s">
        <v>19</v>
      </c>
      <c r="D662" s="1">
        <v>2026</v>
      </c>
      <c r="E662" s="1">
        <v>8</v>
      </c>
      <c r="F662" s="1">
        <v>33</v>
      </c>
    </row>
    <row r="663" spans="1:6" x14ac:dyDescent="0.35">
      <c r="A663" s="1">
        <v>44596</v>
      </c>
      <c r="B663" s="2">
        <v>46245</v>
      </c>
      <c r="C663" s="1" t="s">
        <v>9</v>
      </c>
      <c r="D663" s="1">
        <v>2026</v>
      </c>
      <c r="E663" s="1">
        <v>8</v>
      </c>
      <c r="F663" s="1">
        <v>33</v>
      </c>
    </row>
    <row r="664" spans="1:6" x14ac:dyDescent="0.35">
      <c r="A664" s="1">
        <v>44695</v>
      </c>
      <c r="B664" s="2">
        <v>46246</v>
      </c>
      <c r="C664" s="1" t="s">
        <v>10</v>
      </c>
      <c r="D664" s="1">
        <v>2026</v>
      </c>
      <c r="E664" s="1">
        <v>8</v>
      </c>
      <c r="F664" s="1">
        <v>33</v>
      </c>
    </row>
    <row r="665" spans="1:6" x14ac:dyDescent="0.35">
      <c r="A665" s="1">
        <v>44694</v>
      </c>
      <c r="B665" s="2">
        <v>46246</v>
      </c>
      <c r="C665" s="1" t="s">
        <v>10</v>
      </c>
      <c r="D665" s="1">
        <v>2026</v>
      </c>
      <c r="E665" s="1">
        <v>8</v>
      </c>
      <c r="F665" s="1">
        <v>33</v>
      </c>
    </row>
    <row r="666" spans="1:6" x14ac:dyDescent="0.35">
      <c r="A666" s="1">
        <v>44693</v>
      </c>
      <c r="B666" s="2">
        <v>46246</v>
      </c>
      <c r="C666" s="1" t="s">
        <v>11</v>
      </c>
      <c r="D666" s="1">
        <v>2026</v>
      </c>
      <c r="E666" s="1">
        <v>8</v>
      </c>
      <c r="F666" s="1">
        <v>33</v>
      </c>
    </row>
    <row r="667" spans="1:6" x14ac:dyDescent="0.35">
      <c r="A667" s="1">
        <v>44690</v>
      </c>
      <c r="B667" s="2">
        <v>46246</v>
      </c>
      <c r="C667" s="1" t="s">
        <v>16</v>
      </c>
      <c r="D667" s="1">
        <v>2026</v>
      </c>
      <c r="E667" s="1">
        <v>8</v>
      </c>
      <c r="F667" s="1">
        <v>33</v>
      </c>
    </row>
    <row r="668" spans="1:6" x14ac:dyDescent="0.35">
      <c r="A668" s="1">
        <v>44689</v>
      </c>
      <c r="B668" s="2">
        <v>46246</v>
      </c>
      <c r="C668" s="1" t="s">
        <v>16</v>
      </c>
      <c r="D668" s="1">
        <v>2026</v>
      </c>
      <c r="E668" s="1">
        <v>8</v>
      </c>
      <c r="F668" s="1">
        <v>33</v>
      </c>
    </row>
    <row r="669" spans="1:6" x14ac:dyDescent="0.35">
      <c r="A669" s="1">
        <v>44688</v>
      </c>
      <c r="B669" s="2">
        <v>46246</v>
      </c>
      <c r="C669" s="1" t="s">
        <v>17</v>
      </c>
      <c r="D669" s="1">
        <v>2026</v>
      </c>
      <c r="E669" s="1">
        <v>8</v>
      </c>
      <c r="F669" s="1">
        <v>33</v>
      </c>
    </row>
    <row r="670" spans="1:6" x14ac:dyDescent="0.35">
      <c r="A670" s="1">
        <v>44687</v>
      </c>
      <c r="B670" s="2">
        <v>46246</v>
      </c>
      <c r="C670" s="1" t="s">
        <v>17</v>
      </c>
      <c r="D670" s="1">
        <v>2026</v>
      </c>
      <c r="E670" s="1">
        <v>8</v>
      </c>
      <c r="F670" s="1">
        <v>33</v>
      </c>
    </row>
    <row r="671" spans="1:6" x14ac:dyDescent="0.35">
      <c r="A671" s="1">
        <v>44683</v>
      </c>
      <c r="B671" s="2">
        <v>46246</v>
      </c>
      <c r="C671" s="1" t="s">
        <v>21</v>
      </c>
      <c r="D671" s="1">
        <v>2026</v>
      </c>
      <c r="E671" s="1">
        <v>8</v>
      </c>
      <c r="F671" s="1">
        <v>33</v>
      </c>
    </row>
    <row r="672" spans="1:6" x14ac:dyDescent="0.35">
      <c r="A672" s="1">
        <v>44679</v>
      </c>
      <c r="B672" s="2">
        <v>46246</v>
      </c>
      <c r="C672" s="1" t="s">
        <v>24</v>
      </c>
      <c r="D672" s="1">
        <v>2026</v>
      </c>
      <c r="E672" s="1">
        <v>8</v>
      </c>
      <c r="F672" s="1">
        <v>33</v>
      </c>
    </row>
    <row r="673" spans="1:6" x14ac:dyDescent="0.35">
      <c r="A673" s="1">
        <v>44678</v>
      </c>
      <c r="B673" s="2">
        <v>46246</v>
      </c>
      <c r="C673" s="1" t="s">
        <v>24</v>
      </c>
      <c r="D673" s="1">
        <v>2026</v>
      </c>
      <c r="E673" s="1">
        <v>8</v>
      </c>
      <c r="F673" s="1">
        <v>33</v>
      </c>
    </row>
    <row r="674" spans="1:6" x14ac:dyDescent="0.35">
      <c r="A674" s="1">
        <v>44674</v>
      </c>
      <c r="B674" s="2">
        <v>46246</v>
      </c>
      <c r="C674" s="1" t="s">
        <v>9</v>
      </c>
      <c r="D674" s="1">
        <v>2026</v>
      </c>
      <c r="E674" s="1">
        <v>8</v>
      </c>
      <c r="F674" s="1">
        <v>33</v>
      </c>
    </row>
    <row r="675" spans="1:6" x14ac:dyDescent="0.35">
      <c r="A675" s="1">
        <v>44673</v>
      </c>
      <c r="B675" s="2">
        <v>46246</v>
      </c>
      <c r="C675" s="1" t="s">
        <v>23</v>
      </c>
      <c r="D675" s="1">
        <v>2026</v>
      </c>
      <c r="E675" s="1">
        <v>8</v>
      </c>
      <c r="F675" s="1">
        <v>33</v>
      </c>
    </row>
    <row r="676" spans="1:6" x14ac:dyDescent="0.35">
      <c r="A676" s="1">
        <v>44672</v>
      </c>
      <c r="B676" s="2">
        <v>46246</v>
      </c>
      <c r="C676" s="1" t="s">
        <v>23</v>
      </c>
      <c r="D676" s="1">
        <v>2026</v>
      </c>
      <c r="E676" s="1">
        <v>8</v>
      </c>
      <c r="F676" s="1">
        <v>33</v>
      </c>
    </row>
    <row r="677" spans="1:6" x14ac:dyDescent="0.35">
      <c r="A677" s="1">
        <v>44669</v>
      </c>
      <c r="B677" s="2">
        <v>46246</v>
      </c>
      <c r="C677" s="1" t="s">
        <v>7</v>
      </c>
      <c r="D677" s="1">
        <v>2026</v>
      </c>
      <c r="E677" s="1">
        <v>8</v>
      </c>
      <c r="F677" s="1">
        <v>33</v>
      </c>
    </row>
    <row r="678" spans="1:6" x14ac:dyDescent="0.35">
      <c r="A678" s="1">
        <v>44667</v>
      </c>
      <c r="B678" s="2">
        <v>46246</v>
      </c>
      <c r="C678" s="1" t="s">
        <v>7</v>
      </c>
      <c r="D678" s="1">
        <v>2026</v>
      </c>
      <c r="E678" s="1">
        <v>8</v>
      </c>
      <c r="F678" s="1">
        <v>33</v>
      </c>
    </row>
    <row r="679" spans="1:6" x14ac:dyDescent="0.35">
      <c r="A679" s="1">
        <v>44666</v>
      </c>
      <c r="B679" s="2">
        <v>46246</v>
      </c>
      <c r="C679" s="1" t="s">
        <v>7</v>
      </c>
      <c r="D679" s="1">
        <v>2026</v>
      </c>
      <c r="E679" s="1">
        <v>8</v>
      </c>
      <c r="F679" s="1">
        <v>33</v>
      </c>
    </row>
    <row r="680" spans="1:6" x14ac:dyDescent="0.35">
      <c r="A680" s="1">
        <v>44665</v>
      </c>
      <c r="B680" s="2">
        <v>46246</v>
      </c>
      <c r="C680" s="1" t="s">
        <v>19</v>
      </c>
      <c r="D680" s="1">
        <v>2026</v>
      </c>
      <c r="E680" s="1">
        <v>8</v>
      </c>
      <c r="F680" s="1">
        <v>33</v>
      </c>
    </row>
    <row r="681" spans="1:6" x14ac:dyDescent="0.35">
      <c r="A681" s="1">
        <v>44662</v>
      </c>
      <c r="B681" s="2">
        <v>46246</v>
      </c>
      <c r="C681" s="1" t="s">
        <v>19</v>
      </c>
      <c r="D681" s="1">
        <v>2026</v>
      </c>
      <c r="E681" s="1">
        <v>8</v>
      </c>
      <c r="F681" s="1">
        <v>33</v>
      </c>
    </row>
    <row r="682" spans="1:6" x14ac:dyDescent="0.35">
      <c r="A682" s="1">
        <v>44661</v>
      </c>
      <c r="B682" s="2">
        <v>46246</v>
      </c>
      <c r="C682" s="1" t="s">
        <v>19</v>
      </c>
      <c r="D682" s="1">
        <v>2026</v>
      </c>
      <c r="E682" s="1">
        <v>8</v>
      </c>
      <c r="F682" s="1">
        <v>33</v>
      </c>
    </row>
    <row r="683" spans="1:6" x14ac:dyDescent="0.35">
      <c r="A683" s="1">
        <v>44650</v>
      </c>
      <c r="B683" s="2">
        <v>46246</v>
      </c>
      <c r="C683" s="1" t="s">
        <v>9</v>
      </c>
      <c r="D683" s="1">
        <v>2026</v>
      </c>
      <c r="E683" s="1">
        <v>8</v>
      </c>
      <c r="F683" s="1">
        <v>33</v>
      </c>
    </row>
    <row r="684" spans="1:6" x14ac:dyDescent="0.35">
      <c r="A684" s="1">
        <v>44649</v>
      </c>
      <c r="B684" s="2">
        <v>46246</v>
      </c>
      <c r="C684" s="1" t="s">
        <v>9</v>
      </c>
      <c r="D684" s="1">
        <v>2026</v>
      </c>
      <c r="E684" s="1">
        <v>8</v>
      </c>
      <c r="F684" s="1">
        <v>33</v>
      </c>
    </row>
    <row r="685" spans="1:6" x14ac:dyDescent="0.35">
      <c r="A685" s="1">
        <v>44646</v>
      </c>
      <c r="B685" s="2">
        <v>46246</v>
      </c>
      <c r="C685" s="1" t="s">
        <v>21</v>
      </c>
      <c r="D685" s="1">
        <v>2026</v>
      </c>
      <c r="E685" s="1">
        <v>8</v>
      </c>
      <c r="F685" s="1">
        <v>33</v>
      </c>
    </row>
    <row r="686" spans="1:6" x14ac:dyDescent="0.35">
      <c r="A686" s="1">
        <v>44643</v>
      </c>
      <c r="B686" s="2">
        <v>46246</v>
      </c>
      <c r="C686" s="1" t="s">
        <v>21</v>
      </c>
      <c r="D686" s="1">
        <v>2026</v>
      </c>
      <c r="E686" s="1">
        <v>8</v>
      </c>
      <c r="F686" s="1">
        <v>33</v>
      </c>
    </row>
    <row r="687" spans="1:6" x14ac:dyDescent="0.35">
      <c r="A687" s="1">
        <v>44638</v>
      </c>
      <c r="B687" s="2">
        <v>46246</v>
      </c>
      <c r="C687" s="1" t="s">
        <v>24</v>
      </c>
      <c r="D687" s="1">
        <v>2026</v>
      </c>
      <c r="E687" s="1">
        <v>8</v>
      </c>
      <c r="F687" s="1">
        <v>33</v>
      </c>
    </row>
    <row r="688" spans="1:6" x14ac:dyDescent="0.35">
      <c r="A688" s="1">
        <v>44636</v>
      </c>
      <c r="B688" s="2">
        <v>46246</v>
      </c>
      <c r="C688" s="1" t="s">
        <v>8</v>
      </c>
      <c r="D688" s="1">
        <v>2026</v>
      </c>
      <c r="E688" s="1">
        <v>8</v>
      </c>
      <c r="F688" s="1">
        <v>33</v>
      </c>
    </row>
    <row r="689" spans="1:6" x14ac:dyDescent="0.35">
      <c r="A689" s="1">
        <v>44635</v>
      </c>
      <c r="B689" s="2">
        <v>46246</v>
      </c>
      <c r="C689" s="1" t="s">
        <v>8</v>
      </c>
      <c r="D689" s="1">
        <v>2026</v>
      </c>
      <c r="E689" s="1">
        <v>8</v>
      </c>
      <c r="F689" s="1">
        <v>33</v>
      </c>
    </row>
    <row r="690" spans="1:6" x14ac:dyDescent="0.35">
      <c r="A690" s="1">
        <v>44634</v>
      </c>
      <c r="B690" s="2">
        <v>46246</v>
      </c>
      <c r="C690" s="1" t="s">
        <v>19</v>
      </c>
      <c r="D690" s="1">
        <v>2026</v>
      </c>
      <c r="E690" s="1">
        <v>8</v>
      </c>
      <c r="F690" s="1">
        <v>33</v>
      </c>
    </row>
    <row r="691" spans="1:6" x14ac:dyDescent="0.35">
      <c r="A691" s="1">
        <v>44633</v>
      </c>
      <c r="B691" s="2">
        <v>46246</v>
      </c>
      <c r="C691" s="1" t="s">
        <v>19</v>
      </c>
      <c r="D691" s="1">
        <v>2026</v>
      </c>
      <c r="E691" s="1">
        <v>8</v>
      </c>
      <c r="F691" s="1">
        <v>33</v>
      </c>
    </row>
    <row r="692" spans="1:6" x14ac:dyDescent="0.35">
      <c r="A692" s="1">
        <v>44746</v>
      </c>
      <c r="B692" s="2">
        <v>46247</v>
      </c>
      <c r="C692" s="1" t="s">
        <v>10</v>
      </c>
      <c r="D692" s="1">
        <v>2026</v>
      </c>
      <c r="E692" s="1">
        <v>8</v>
      </c>
      <c r="F692" s="1">
        <v>33</v>
      </c>
    </row>
    <row r="693" spans="1:6" x14ac:dyDescent="0.35">
      <c r="A693" s="1">
        <v>44745</v>
      </c>
      <c r="B693" s="2">
        <v>46247</v>
      </c>
      <c r="C693" s="1" t="s">
        <v>10</v>
      </c>
      <c r="D693" s="1">
        <v>2026</v>
      </c>
      <c r="E693" s="1">
        <v>8</v>
      </c>
      <c r="F693" s="1">
        <v>33</v>
      </c>
    </row>
    <row r="694" spans="1:6" x14ac:dyDescent="0.35">
      <c r="A694" s="1">
        <v>44744</v>
      </c>
      <c r="B694" s="2">
        <v>46247</v>
      </c>
      <c r="C694" s="1" t="s">
        <v>19</v>
      </c>
      <c r="D694" s="1">
        <v>2026</v>
      </c>
      <c r="E694" s="1">
        <v>8</v>
      </c>
      <c r="F694" s="1">
        <v>33</v>
      </c>
    </row>
    <row r="695" spans="1:6" x14ac:dyDescent="0.35">
      <c r="A695" s="1">
        <v>44743</v>
      </c>
      <c r="B695" s="2">
        <v>46247</v>
      </c>
      <c r="C695" s="1" t="s">
        <v>19</v>
      </c>
      <c r="D695" s="1">
        <v>2026</v>
      </c>
      <c r="E695" s="1">
        <v>8</v>
      </c>
      <c r="F695" s="1">
        <v>33</v>
      </c>
    </row>
    <row r="696" spans="1:6" x14ac:dyDescent="0.35">
      <c r="A696" s="1">
        <v>44742</v>
      </c>
      <c r="B696" s="2">
        <v>46247</v>
      </c>
      <c r="C696" s="1" t="s">
        <v>19</v>
      </c>
      <c r="D696" s="1">
        <v>2026</v>
      </c>
      <c r="E696" s="1">
        <v>8</v>
      </c>
      <c r="F696" s="1">
        <v>33</v>
      </c>
    </row>
    <row r="697" spans="1:6" x14ac:dyDescent="0.35">
      <c r="A697" s="1">
        <v>44741</v>
      </c>
      <c r="B697" s="2">
        <v>46247</v>
      </c>
      <c r="C697" s="1" t="s">
        <v>16</v>
      </c>
      <c r="D697" s="1">
        <v>2026</v>
      </c>
      <c r="E697" s="1">
        <v>8</v>
      </c>
      <c r="F697" s="1">
        <v>33</v>
      </c>
    </row>
    <row r="698" spans="1:6" x14ac:dyDescent="0.35">
      <c r="A698" s="1">
        <v>44740</v>
      </c>
      <c r="B698" s="2">
        <v>46247</v>
      </c>
      <c r="C698" s="1" t="s">
        <v>16</v>
      </c>
      <c r="D698" s="1">
        <v>2026</v>
      </c>
      <c r="E698" s="1">
        <v>8</v>
      </c>
      <c r="F698" s="1">
        <v>33</v>
      </c>
    </row>
    <row r="699" spans="1:6" x14ac:dyDescent="0.35">
      <c r="A699" s="1">
        <v>44739</v>
      </c>
      <c r="B699" s="2">
        <v>46247</v>
      </c>
      <c r="C699" s="1" t="s">
        <v>9</v>
      </c>
      <c r="D699" s="1">
        <v>2026</v>
      </c>
      <c r="E699" s="1">
        <v>8</v>
      </c>
      <c r="F699" s="1">
        <v>33</v>
      </c>
    </row>
    <row r="700" spans="1:6" x14ac:dyDescent="0.35">
      <c r="A700" s="1">
        <v>44738</v>
      </c>
      <c r="B700" s="2">
        <v>46247</v>
      </c>
      <c r="C700" s="1" t="s">
        <v>9</v>
      </c>
      <c r="D700" s="1">
        <v>2026</v>
      </c>
      <c r="E700" s="1">
        <v>8</v>
      </c>
      <c r="F700" s="1">
        <v>33</v>
      </c>
    </row>
    <row r="701" spans="1:6" x14ac:dyDescent="0.35">
      <c r="A701" s="1">
        <v>44737</v>
      </c>
      <c r="B701" s="2">
        <v>46247</v>
      </c>
      <c r="C701" s="1" t="s">
        <v>9</v>
      </c>
      <c r="D701" s="1">
        <v>2026</v>
      </c>
      <c r="E701" s="1">
        <v>8</v>
      </c>
      <c r="F701" s="1">
        <v>33</v>
      </c>
    </row>
    <row r="702" spans="1:6" x14ac:dyDescent="0.35">
      <c r="A702" s="1">
        <v>44735</v>
      </c>
      <c r="B702" s="2">
        <v>46247</v>
      </c>
      <c r="C702" s="1" t="s">
        <v>23</v>
      </c>
      <c r="D702" s="1">
        <v>2026</v>
      </c>
      <c r="E702" s="1">
        <v>8</v>
      </c>
      <c r="F702" s="1">
        <v>33</v>
      </c>
    </row>
    <row r="703" spans="1:6" x14ac:dyDescent="0.35">
      <c r="A703" s="1">
        <v>44733</v>
      </c>
      <c r="B703" s="2">
        <v>46247</v>
      </c>
      <c r="C703" s="1" t="s">
        <v>23</v>
      </c>
      <c r="D703" s="1">
        <v>2026</v>
      </c>
      <c r="E703" s="1">
        <v>8</v>
      </c>
      <c r="F703" s="1">
        <v>33</v>
      </c>
    </row>
    <row r="704" spans="1:6" x14ac:dyDescent="0.35">
      <c r="A704" s="1">
        <v>44729</v>
      </c>
      <c r="B704" s="2">
        <v>46247</v>
      </c>
      <c r="C704" s="1" t="s">
        <v>3</v>
      </c>
      <c r="D704" s="1">
        <v>2026</v>
      </c>
      <c r="E704" s="1">
        <v>8</v>
      </c>
      <c r="F704" s="1">
        <v>33</v>
      </c>
    </row>
    <row r="705" spans="1:6" x14ac:dyDescent="0.35">
      <c r="A705" s="1">
        <v>44728</v>
      </c>
      <c r="B705" s="2">
        <v>46247</v>
      </c>
      <c r="C705" s="1" t="s">
        <v>3</v>
      </c>
      <c r="D705" s="1">
        <v>2026</v>
      </c>
      <c r="E705" s="1">
        <v>8</v>
      </c>
      <c r="F705" s="1">
        <v>33</v>
      </c>
    </row>
    <row r="706" spans="1:6" x14ac:dyDescent="0.35">
      <c r="A706" s="1">
        <v>44724</v>
      </c>
      <c r="B706" s="2">
        <v>46247</v>
      </c>
      <c r="C706" s="1" t="s">
        <v>7</v>
      </c>
      <c r="D706" s="1">
        <v>2026</v>
      </c>
      <c r="E706" s="1">
        <v>8</v>
      </c>
      <c r="F706" s="1">
        <v>33</v>
      </c>
    </row>
    <row r="707" spans="1:6" x14ac:dyDescent="0.35">
      <c r="A707" s="1">
        <v>44717</v>
      </c>
      <c r="B707" s="2">
        <v>46247</v>
      </c>
      <c r="C707" s="1" t="s">
        <v>17</v>
      </c>
      <c r="D707" s="1">
        <v>2026</v>
      </c>
      <c r="E707" s="1">
        <v>8</v>
      </c>
      <c r="F707" s="1">
        <v>33</v>
      </c>
    </row>
    <row r="708" spans="1:6" x14ac:dyDescent="0.35">
      <c r="A708" s="1">
        <v>44716</v>
      </c>
      <c r="B708" s="2">
        <v>46247</v>
      </c>
      <c r="C708" s="1" t="s">
        <v>17</v>
      </c>
      <c r="D708" s="1">
        <v>2026</v>
      </c>
      <c r="E708" s="1">
        <v>8</v>
      </c>
      <c r="F708" s="1">
        <v>33</v>
      </c>
    </row>
    <row r="709" spans="1:6" x14ac:dyDescent="0.35">
      <c r="A709" s="1">
        <v>44712</v>
      </c>
      <c r="B709" s="2">
        <v>46247</v>
      </c>
      <c r="C709" s="1" t="s">
        <v>5</v>
      </c>
      <c r="D709" s="1">
        <v>2026</v>
      </c>
      <c r="E709" s="1">
        <v>8</v>
      </c>
      <c r="F709" s="1">
        <v>33</v>
      </c>
    </row>
    <row r="710" spans="1:6" x14ac:dyDescent="0.35">
      <c r="A710" s="1">
        <v>44703</v>
      </c>
      <c r="B710" s="2">
        <v>46247</v>
      </c>
      <c r="C710" s="1" t="s">
        <v>7</v>
      </c>
      <c r="D710" s="1">
        <v>2026</v>
      </c>
      <c r="E710" s="1">
        <v>8</v>
      </c>
      <c r="F710" s="1">
        <v>33</v>
      </c>
    </row>
    <row r="711" spans="1:6" x14ac:dyDescent="0.35">
      <c r="A711" s="1">
        <v>44698</v>
      </c>
      <c r="B711" s="2">
        <v>46247</v>
      </c>
      <c r="C711" s="1" t="s">
        <v>5</v>
      </c>
      <c r="D711" s="1">
        <v>2026</v>
      </c>
      <c r="E711" s="1">
        <v>8</v>
      </c>
      <c r="F711" s="1">
        <v>33</v>
      </c>
    </row>
    <row r="712" spans="1:6" x14ac:dyDescent="0.35">
      <c r="A712" s="1">
        <v>44790</v>
      </c>
      <c r="B712" s="2">
        <v>46248</v>
      </c>
      <c r="C712" s="1" t="s">
        <v>10</v>
      </c>
      <c r="D712" s="1">
        <v>2026</v>
      </c>
      <c r="E712" s="1">
        <v>8</v>
      </c>
      <c r="F712" s="1">
        <v>33</v>
      </c>
    </row>
    <row r="713" spans="1:6" x14ac:dyDescent="0.35">
      <c r="A713" s="1">
        <v>44789</v>
      </c>
      <c r="B713" s="2">
        <v>46248</v>
      </c>
      <c r="C713" s="1" t="s">
        <v>10</v>
      </c>
      <c r="D713" s="1">
        <v>2026</v>
      </c>
      <c r="E713" s="1">
        <v>8</v>
      </c>
      <c r="F713" s="1">
        <v>33</v>
      </c>
    </row>
    <row r="714" spans="1:6" x14ac:dyDescent="0.35">
      <c r="A714" s="1">
        <v>44788</v>
      </c>
      <c r="B714" s="2">
        <v>46248</v>
      </c>
      <c r="C714" s="1" t="s">
        <v>17</v>
      </c>
      <c r="D714" s="1">
        <v>2026</v>
      </c>
      <c r="E714" s="1">
        <v>8</v>
      </c>
      <c r="F714" s="1">
        <v>33</v>
      </c>
    </row>
    <row r="715" spans="1:6" x14ac:dyDescent="0.35">
      <c r="A715" s="1">
        <v>44787</v>
      </c>
      <c r="B715" s="2">
        <v>46248</v>
      </c>
      <c r="C715" s="1" t="s">
        <v>17</v>
      </c>
      <c r="D715" s="1">
        <v>2026</v>
      </c>
      <c r="E715" s="1">
        <v>8</v>
      </c>
      <c r="F715" s="1">
        <v>33</v>
      </c>
    </row>
    <row r="716" spans="1:6" x14ac:dyDescent="0.35">
      <c r="A716" s="1">
        <v>44786</v>
      </c>
      <c r="B716" s="2">
        <v>46248</v>
      </c>
      <c r="C716" s="1" t="s">
        <v>11</v>
      </c>
      <c r="D716" s="1">
        <v>2026</v>
      </c>
      <c r="E716" s="1">
        <v>8</v>
      </c>
      <c r="F716" s="1">
        <v>33</v>
      </c>
    </row>
    <row r="717" spans="1:6" x14ac:dyDescent="0.35">
      <c r="A717" s="1">
        <v>44785</v>
      </c>
      <c r="B717" s="2">
        <v>46248</v>
      </c>
      <c r="C717" s="1" t="s">
        <v>9</v>
      </c>
      <c r="D717" s="1">
        <v>2026</v>
      </c>
      <c r="E717" s="1">
        <v>8</v>
      </c>
      <c r="F717" s="1">
        <v>33</v>
      </c>
    </row>
    <row r="718" spans="1:6" x14ac:dyDescent="0.35">
      <c r="A718" s="1">
        <v>44783</v>
      </c>
      <c r="B718" s="2">
        <v>46248</v>
      </c>
      <c r="C718" s="1" t="s">
        <v>7</v>
      </c>
      <c r="D718" s="1">
        <v>2026</v>
      </c>
      <c r="E718" s="1">
        <v>8</v>
      </c>
      <c r="F718" s="1">
        <v>33</v>
      </c>
    </row>
    <row r="719" spans="1:6" x14ac:dyDescent="0.35">
      <c r="A719" s="1">
        <v>44782</v>
      </c>
      <c r="B719" s="2">
        <v>46248</v>
      </c>
      <c r="C719" s="1" t="s">
        <v>7</v>
      </c>
      <c r="D719" s="1">
        <v>2026</v>
      </c>
      <c r="E719" s="1">
        <v>8</v>
      </c>
      <c r="F719" s="1">
        <v>33</v>
      </c>
    </row>
    <row r="720" spans="1:6" x14ac:dyDescent="0.35">
      <c r="A720" s="1">
        <v>44774</v>
      </c>
      <c r="B720" s="2">
        <v>46248</v>
      </c>
      <c r="C720" s="1" t="s">
        <v>8</v>
      </c>
      <c r="D720" s="1">
        <v>2026</v>
      </c>
      <c r="E720" s="1">
        <v>8</v>
      </c>
      <c r="F720" s="1">
        <v>33</v>
      </c>
    </row>
    <row r="721" spans="1:6" x14ac:dyDescent="0.35">
      <c r="A721" s="1">
        <v>44773</v>
      </c>
      <c r="B721" s="2">
        <v>46248</v>
      </c>
      <c r="C721" s="1" t="s">
        <v>8</v>
      </c>
      <c r="D721" s="1">
        <v>2026</v>
      </c>
      <c r="E721" s="1">
        <v>8</v>
      </c>
      <c r="F721" s="1">
        <v>33</v>
      </c>
    </row>
    <row r="722" spans="1:6" x14ac:dyDescent="0.35">
      <c r="A722" s="1">
        <v>44772</v>
      </c>
      <c r="B722" s="2">
        <v>46248</v>
      </c>
      <c r="C722" s="1" t="s">
        <v>8</v>
      </c>
      <c r="D722" s="1">
        <v>2026</v>
      </c>
      <c r="E722" s="1">
        <v>8</v>
      </c>
      <c r="F722" s="1">
        <v>33</v>
      </c>
    </row>
    <row r="723" spans="1:6" x14ac:dyDescent="0.35">
      <c r="A723" s="1">
        <v>44771</v>
      </c>
      <c r="B723" s="2">
        <v>46248</v>
      </c>
      <c r="C723" s="1" t="s">
        <v>8</v>
      </c>
      <c r="D723" s="1">
        <v>2026</v>
      </c>
      <c r="E723" s="1">
        <v>8</v>
      </c>
      <c r="F723" s="1">
        <v>33</v>
      </c>
    </row>
    <row r="724" spans="1:6" x14ac:dyDescent="0.35">
      <c r="A724" s="1">
        <v>44770</v>
      </c>
      <c r="B724" s="2">
        <v>46248</v>
      </c>
      <c r="C724" s="1" t="s">
        <v>8</v>
      </c>
      <c r="D724" s="1">
        <v>2026</v>
      </c>
      <c r="E724" s="1">
        <v>8</v>
      </c>
      <c r="F724" s="1">
        <v>33</v>
      </c>
    </row>
    <row r="725" spans="1:6" x14ac:dyDescent="0.35">
      <c r="A725" s="1">
        <v>44769</v>
      </c>
      <c r="B725" s="2">
        <v>46248</v>
      </c>
      <c r="C725" s="1" t="s">
        <v>8</v>
      </c>
      <c r="D725" s="1">
        <v>2026</v>
      </c>
      <c r="E725" s="1">
        <v>8</v>
      </c>
      <c r="F725" s="1">
        <v>33</v>
      </c>
    </row>
    <row r="726" spans="1:6" x14ac:dyDescent="0.35">
      <c r="A726" s="1">
        <v>44756</v>
      </c>
      <c r="B726" s="2">
        <v>46248</v>
      </c>
      <c r="C726" s="1" t="s">
        <v>3</v>
      </c>
      <c r="D726" s="1">
        <v>2026</v>
      </c>
      <c r="E726" s="1">
        <v>8</v>
      </c>
      <c r="F726" s="1">
        <v>33</v>
      </c>
    </row>
    <row r="727" spans="1:6" x14ac:dyDescent="0.35">
      <c r="A727" s="1">
        <v>44755</v>
      </c>
      <c r="B727" s="2">
        <v>46248</v>
      </c>
      <c r="C727" s="1" t="s">
        <v>9</v>
      </c>
      <c r="D727" s="1">
        <v>2026</v>
      </c>
      <c r="E727" s="1">
        <v>8</v>
      </c>
      <c r="F727" s="1">
        <v>33</v>
      </c>
    </row>
    <row r="728" spans="1:6" x14ac:dyDescent="0.35">
      <c r="A728" s="1">
        <v>44749</v>
      </c>
      <c r="B728" s="2">
        <v>46248</v>
      </c>
      <c r="C728" s="1" t="s">
        <v>21</v>
      </c>
      <c r="D728" s="1">
        <v>2026</v>
      </c>
      <c r="E728" s="1">
        <v>8</v>
      </c>
      <c r="F728" s="1">
        <v>33</v>
      </c>
    </row>
    <row r="729" spans="1:6" x14ac:dyDescent="0.35">
      <c r="A729" s="1">
        <v>44748</v>
      </c>
      <c r="B729" s="2">
        <v>46248</v>
      </c>
      <c r="C729" s="1" t="s">
        <v>21</v>
      </c>
      <c r="D729" s="1">
        <v>2026</v>
      </c>
      <c r="E729" s="1">
        <v>8</v>
      </c>
      <c r="F729" s="1">
        <v>33</v>
      </c>
    </row>
    <row r="730" spans="1:6" x14ac:dyDescent="0.35">
      <c r="A730" s="1">
        <v>44747</v>
      </c>
      <c r="B730" s="2">
        <v>46248</v>
      </c>
      <c r="C730" s="1" t="s">
        <v>21</v>
      </c>
      <c r="D730" s="1">
        <v>2026</v>
      </c>
      <c r="E730" s="1">
        <v>8</v>
      </c>
      <c r="F730" s="1">
        <v>33</v>
      </c>
    </row>
    <row r="731" spans="1:6" x14ac:dyDescent="0.35">
      <c r="A731" s="1">
        <v>44818</v>
      </c>
      <c r="B731" s="2">
        <v>46249</v>
      </c>
      <c r="C731" s="1" t="s">
        <v>17</v>
      </c>
      <c r="D731" s="1">
        <v>2026</v>
      </c>
      <c r="E731" s="1">
        <v>8</v>
      </c>
      <c r="F731" s="1">
        <v>33</v>
      </c>
    </row>
    <row r="732" spans="1:6" x14ac:dyDescent="0.35">
      <c r="A732" s="1">
        <v>44816</v>
      </c>
      <c r="B732" s="2">
        <v>46249</v>
      </c>
      <c r="C732" s="1" t="s">
        <v>10</v>
      </c>
      <c r="D732" s="1">
        <v>2026</v>
      </c>
      <c r="E732" s="1">
        <v>8</v>
      </c>
      <c r="F732" s="1">
        <v>33</v>
      </c>
    </row>
    <row r="733" spans="1:6" x14ac:dyDescent="0.35">
      <c r="A733" s="1">
        <v>44815</v>
      </c>
      <c r="B733" s="2">
        <v>46249</v>
      </c>
      <c r="C733" s="1" t="s">
        <v>10</v>
      </c>
      <c r="D733" s="1">
        <v>2026</v>
      </c>
      <c r="E733" s="1">
        <v>8</v>
      </c>
      <c r="F733" s="1">
        <v>33</v>
      </c>
    </row>
    <row r="734" spans="1:6" x14ac:dyDescent="0.35">
      <c r="A734" s="1">
        <v>44792</v>
      </c>
      <c r="B734" s="2">
        <v>46249</v>
      </c>
      <c r="C734" s="1" t="s">
        <v>8</v>
      </c>
      <c r="D734" s="1">
        <v>2026</v>
      </c>
      <c r="E734" s="1">
        <v>8</v>
      </c>
      <c r="F734" s="1">
        <v>33</v>
      </c>
    </row>
    <row r="735" spans="1:6" x14ac:dyDescent="0.35">
      <c r="A735" s="1">
        <v>44791</v>
      </c>
      <c r="B735" s="2">
        <v>46249</v>
      </c>
      <c r="C735" s="1" t="s">
        <v>8</v>
      </c>
      <c r="D735" s="1">
        <v>2026</v>
      </c>
      <c r="E735" s="1">
        <v>8</v>
      </c>
      <c r="F735" s="1">
        <v>33</v>
      </c>
    </row>
    <row r="736" spans="1:6" x14ac:dyDescent="0.35">
      <c r="A736" s="1">
        <v>44843</v>
      </c>
      <c r="B736" s="2">
        <v>46250</v>
      </c>
      <c r="C736" s="1" t="s">
        <v>25</v>
      </c>
      <c r="D736" s="1">
        <v>2026</v>
      </c>
      <c r="E736" s="1">
        <v>8</v>
      </c>
      <c r="F736" s="1">
        <v>34</v>
      </c>
    </row>
    <row r="737" spans="1:6" x14ac:dyDescent="0.35">
      <c r="A737" s="1">
        <v>44842</v>
      </c>
      <c r="B737" s="2">
        <v>46250</v>
      </c>
      <c r="C737" s="1" t="s">
        <v>25</v>
      </c>
      <c r="D737" s="1">
        <v>2026</v>
      </c>
      <c r="E737" s="1">
        <v>8</v>
      </c>
      <c r="F737" s="1">
        <v>34</v>
      </c>
    </row>
    <row r="738" spans="1:6" x14ac:dyDescent="0.35">
      <c r="A738" s="1">
        <v>44834</v>
      </c>
      <c r="B738" s="2">
        <v>46250</v>
      </c>
      <c r="C738" s="1" t="s">
        <v>25</v>
      </c>
      <c r="D738" s="1">
        <v>2026</v>
      </c>
      <c r="E738" s="1">
        <v>8</v>
      </c>
      <c r="F738" s="1">
        <v>34</v>
      </c>
    </row>
    <row r="739" spans="1:6" x14ac:dyDescent="0.35">
      <c r="A739" s="1">
        <v>44923</v>
      </c>
      <c r="B739" s="2">
        <v>46251</v>
      </c>
      <c r="C739" s="1" t="s">
        <v>10</v>
      </c>
      <c r="D739" s="1">
        <v>2026</v>
      </c>
      <c r="E739" s="1">
        <v>8</v>
      </c>
      <c r="F739" s="1">
        <v>34</v>
      </c>
    </row>
    <row r="740" spans="1:6" x14ac:dyDescent="0.35">
      <c r="A740" s="1">
        <v>44922</v>
      </c>
      <c r="B740" s="2">
        <v>46251</v>
      </c>
      <c r="C740" s="1" t="s">
        <v>10</v>
      </c>
      <c r="D740" s="1">
        <v>2026</v>
      </c>
      <c r="E740" s="1">
        <v>8</v>
      </c>
      <c r="F740" s="1">
        <v>34</v>
      </c>
    </row>
    <row r="741" spans="1:6" x14ac:dyDescent="0.35">
      <c r="A741" s="1">
        <v>44921</v>
      </c>
      <c r="B741" s="2">
        <v>46251</v>
      </c>
      <c r="C741" s="1" t="s">
        <v>23</v>
      </c>
      <c r="D741" s="1">
        <v>2026</v>
      </c>
      <c r="E741" s="1">
        <v>8</v>
      </c>
      <c r="F741" s="1">
        <v>34</v>
      </c>
    </row>
    <row r="742" spans="1:6" x14ac:dyDescent="0.35">
      <c r="A742" s="1">
        <v>44920</v>
      </c>
      <c r="B742" s="2">
        <v>46251</v>
      </c>
      <c r="C742" s="1" t="s">
        <v>23</v>
      </c>
      <c r="D742" s="1">
        <v>2026</v>
      </c>
      <c r="E742" s="1">
        <v>8</v>
      </c>
      <c r="F742" s="1">
        <v>34</v>
      </c>
    </row>
    <row r="743" spans="1:6" x14ac:dyDescent="0.35">
      <c r="A743" s="1">
        <v>44919</v>
      </c>
      <c r="B743" s="2">
        <v>46251</v>
      </c>
      <c r="C743" s="1" t="s">
        <v>9</v>
      </c>
      <c r="D743" s="1">
        <v>2026</v>
      </c>
      <c r="E743" s="1">
        <v>8</v>
      </c>
      <c r="F743" s="1">
        <v>34</v>
      </c>
    </row>
    <row r="744" spans="1:6" x14ac:dyDescent="0.35">
      <c r="A744" s="1">
        <v>44918</v>
      </c>
      <c r="B744" s="2">
        <v>46251</v>
      </c>
      <c r="C744" s="1" t="s">
        <v>9</v>
      </c>
      <c r="D744" s="1">
        <v>2026</v>
      </c>
      <c r="E744" s="1">
        <v>8</v>
      </c>
      <c r="F744" s="1">
        <v>34</v>
      </c>
    </row>
    <row r="745" spans="1:6" x14ac:dyDescent="0.35">
      <c r="A745" s="1">
        <v>44917</v>
      </c>
      <c r="B745" s="2">
        <v>46251</v>
      </c>
      <c r="C745" s="1" t="s">
        <v>9</v>
      </c>
      <c r="D745" s="1">
        <v>2026</v>
      </c>
      <c r="E745" s="1">
        <v>8</v>
      </c>
      <c r="F745" s="1">
        <v>34</v>
      </c>
    </row>
    <row r="746" spans="1:6" x14ac:dyDescent="0.35">
      <c r="A746" s="1">
        <v>44916</v>
      </c>
      <c r="B746" s="2">
        <v>46251</v>
      </c>
      <c r="C746" s="1" t="s">
        <v>9</v>
      </c>
      <c r="D746" s="1">
        <v>2026</v>
      </c>
      <c r="E746" s="1">
        <v>8</v>
      </c>
      <c r="F746" s="1">
        <v>34</v>
      </c>
    </row>
    <row r="747" spans="1:6" x14ac:dyDescent="0.35">
      <c r="A747" s="1">
        <v>44894</v>
      </c>
      <c r="B747" s="2">
        <v>46251</v>
      </c>
      <c r="C747" s="1" t="s">
        <v>5</v>
      </c>
      <c r="D747" s="1">
        <v>2026</v>
      </c>
      <c r="E747" s="1">
        <v>8</v>
      </c>
      <c r="F747" s="1">
        <v>34</v>
      </c>
    </row>
    <row r="748" spans="1:6" x14ac:dyDescent="0.35">
      <c r="A748" s="1">
        <v>44893</v>
      </c>
      <c r="B748" s="2">
        <v>46251</v>
      </c>
      <c r="C748" s="1" t="s">
        <v>21</v>
      </c>
      <c r="D748" s="1">
        <v>2026</v>
      </c>
      <c r="E748" s="1">
        <v>8</v>
      </c>
      <c r="F748" s="1">
        <v>34</v>
      </c>
    </row>
    <row r="749" spans="1:6" x14ac:dyDescent="0.35">
      <c r="A749" s="1">
        <v>44891</v>
      </c>
      <c r="B749" s="2">
        <v>46251</v>
      </c>
      <c r="C749" s="1" t="s">
        <v>21</v>
      </c>
      <c r="D749" s="1">
        <v>2026</v>
      </c>
      <c r="E749" s="1">
        <v>8</v>
      </c>
      <c r="F749" s="1">
        <v>34</v>
      </c>
    </row>
    <row r="750" spans="1:6" x14ac:dyDescent="0.35">
      <c r="A750" s="1">
        <v>44890</v>
      </c>
      <c r="B750" s="2">
        <v>46251</v>
      </c>
      <c r="C750" s="1" t="s">
        <v>21</v>
      </c>
      <c r="D750" s="1">
        <v>2026</v>
      </c>
      <c r="E750" s="1">
        <v>8</v>
      </c>
      <c r="F750" s="1">
        <v>34</v>
      </c>
    </row>
    <row r="751" spans="1:6" x14ac:dyDescent="0.35">
      <c r="A751" s="1">
        <v>44886</v>
      </c>
      <c r="B751" s="2">
        <v>46251</v>
      </c>
      <c r="C751" s="1" t="s">
        <v>7</v>
      </c>
      <c r="D751" s="1">
        <v>2026</v>
      </c>
      <c r="E751" s="1">
        <v>8</v>
      </c>
      <c r="F751" s="1">
        <v>34</v>
      </c>
    </row>
    <row r="752" spans="1:6" x14ac:dyDescent="0.35">
      <c r="A752" s="1">
        <v>44885</v>
      </c>
      <c r="B752" s="2">
        <v>46251</v>
      </c>
      <c r="C752" s="1" t="s">
        <v>7</v>
      </c>
      <c r="D752" s="1">
        <v>2026</v>
      </c>
      <c r="E752" s="1">
        <v>8</v>
      </c>
      <c r="F752" s="1">
        <v>34</v>
      </c>
    </row>
    <row r="753" spans="1:6" x14ac:dyDescent="0.35">
      <c r="A753" s="1">
        <v>44876</v>
      </c>
      <c r="B753" s="2">
        <v>46251</v>
      </c>
      <c r="C753" s="1" t="s">
        <v>3</v>
      </c>
      <c r="D753" s="1">
        <v>2026</v>
      </c>
      <c r="E753" s="1">
        <v>8</v>
      </c>
      <c r="F753" s="1">
        <v>34</v>
      </c>
    </row>
    <row r="754" spans="1:6" x14ac:dyDescent="0.35">
      <c r="A754" s="1">
        <v>44870</v>
      </c>
      <c r="B754" s="2">
        <v>46251</v>
      </c>
      <c r="C754" s="1" t="s">
        <v>5</v>
      </c>
      <c r="D754" s="1">
        <v>2026</v>
      </c>
      <c r="E754" s="1">
        <v>8</v>
      </c>
      <c r="F754" s="1">
        <v>34</v>
      </c>
    </row>
    <row r="755" spans="1:6" x14ac:dyDescent="0.35">
      <c r="A755" s="1">
        <v>44869</v>
      </c>
      <c r="B755" s="2">
        <v>46251</v>
      </c>
      <c r="C755" s="1" t="s">
        <v>5</v>
      </c>
      <c r="D755" s="1">
        <v>2026</v>
      </c>
      <c r="E755" s="1">
        <v>8</v>
      </c>
      <c r="F755" s="1">
        <v>34</v>
      </c>
    </row>
    <row r="756" spans="1:6" x14ac:dyDescent="0.35">
      <c r="A756" s="1">
        <v>44868</v>
      </c>
      <c r="B756" s="2">
        <v>46251</v>
      </c>
      <c r="C756" s="1" t="s">
        <v>5</v>
      </c>
      <c r="D756" s="1">
        <v>2026</v>
      </c>
      <c r="E756" s="1">
        <v>8</v>
      </c>
      <c r="F756" s="1">
        <v>34</v>
      </c>
    </row>
    <row r="757" spans="1:6" x14ac:dyDescent="0.35">
      <c r="A757" s="1">
        <v>44867</v>
      </c>
      <c r="B757" s="2">
        <v>46251</v>
      </c>
      <c r="C757" s="1" t="s">
        <v>3</v>
      </c>
      <c r="D757" s="1">
        <v>2026</v>
      </c>
      <c r="E757" s="1">
        <v>8</v>
      </c>
      <c r="F757" s="1">
        <v>34</v>
      </c>
    </row>
    <row r="758" spans="1:6" x14ac:dyDescent="0.35">
      <c r="A758" s="1">
        <v>44866</v>
      </c>
      <c r="B758" s="2">
        <v>46251</v>
      </c>
      <c r="C758" s="1" t="s">
        <v>3</v>
      </c>
      <c r="D758" s="1">
        <v>2026</v>
      </c>
      <c r="E758" s="1">
        <v>8</v>
      </c>
      <c r="F758" s="1">
        <v>34</v>
      </c>
    </row>
    <row r="759" spans="1:6" x14ac:dyDescent="0.35">
      <c r="A759" s="1">
        <v>44861</v>
      </c>
      <c r="B759" s="2">
        <v>46251</v>
      </c>
      <c r="C759" s="1" t="s">
        <v>19</v>
      </c>
      <c r="D759" s="1">
        <v>2026</v>
      </c>
      <c r="E759" s="1">
        <v>8</v>
      </c>
      <c r="F759" s="1">
        <v>34</v>
      </c>
    </row>
    <row r="760" spans="1:6" x14ac:dyDescent="0.35">
      <c r="A760" s="1">
        <v>44857</v>
      </c>
      <c r="B760" s="2">
        <v>46251</v>
      </c>
      <c r="C760" s="1" t="s">
        <v>8</v>
      </c>
      <c r="D760" s="1">
        <v>2026</v>
      </c>
      <c r="E760" s="1">
        <v>8</v>
      </c>
      <c r="F760" s="1">
        <v>34</v>
      </c>
    </row>
    <row r="761" spans="1:6" x14ac:dyDescent="0.35">
      <c r="A761" s="1">
        <v>44855</v>
      </c>
      <c r="B761" s="2">
        <v>46251</v>
      </c>
      <c r="C761" s="1" t="s">
        <v>8</v>
      </c>
      <c r="D761" s="1">
        <v>2026</v>
      </c>
      <c r="E761" s="1">
        <v>8</v>
      </c>
      <c r="F761" s="1">
        <v>34</v>
      </c>
    </row>
    <row r="762" spans="1:6" x14ac:dyDescent="0.35">
      <c r="A762" s="1">
        <v>44854</v>
      </c>
      <c r="B762" s="2">
        <v>46251</v>
      </c>
      <c r="C762" s="1" t="s">
        <v>19</v>
      </c>
      <c r="D762" s="1">
        <v>2026</v>
      </c>
      <c r="E762" s="1">
        <v>8</v>
      </c>
      <c r="F762" s="1">
        <v>34</v>
      </c>
    </row>
    <row r="763" spans="1:6" x14ac:dyDescent="0.35">
      <c r="A763" s="1">
        <v>44998</v>
      </c>
      <c r="B763" s="2">
        <v>46252</v>
      </c>
      <c r="C763" s="1" t="s">
        <v>10</v>
      </c>
      <c r="D763" s="1">
        <v>2026</v>
      </c>
      <c r="E763" s="1">
        <v>8</v>
      </c>
      <c r="F763" s="1">
        <v>34</v>
      </c>
    </row>
    <row r="764" spans="1:6" x14ac:dyDescent="0.35">
      <c r="A764" s="1">
        <v>44997</v>
      </c>
      <c r="B764" s="2">
        <v>46252</v>
      </c>
      <c r="C764" s="1" t="s">
        <v>10</v>
      </c>
      <c r="D764" s="1">
        <v>2026</v>
      </c>
      <c r="E764" s="1">
        <v>8</v>
      </c>
      <c r="F764" s="1">
        <v>34</v>
      </c>
    </row>
    <row r="765" spans="1:6" x14ac:dyDescent="0.35">
      <c r="A765" s="1">
        <v>44985</v>
      </c>
      <c r="B765" s="2">
        <v>46252</v>
      </c>
      <c r="C765" s="1" t="s">
        <v>23</v>
      </c>
      <c r="D765" s="1">
        <v>2026</v>
      </c>
      <c r="E765" s="1">
        <v>8</v>
      </c>
      <c r="F765" s="1">
        <v>34</v>
      </c>
    </row>
    <row r="766" spans="1:6" x14ac:dyDescent="0.35">
      <c r="A766" s="1">
        <v>44984</v>
      </c>
      <c r="B766" s="2">
        <v>46252</v>
      </c>
      <c r="C766" s="1" t="s">
        <v>23</v>
      </c>
      <c r="D766" s="1">
        <v>2026</v>
      </c>
      <c r="E766" s="1">
        <v>8</v>
      </c>
      <c r="F766" s="1">
        <v>34</v>
      </c>
    </row>
    <row r="767" spans="1:6" x14ac:dyDescent="0.35">
      <c r="A767" s="1">
        <v>44975</v>
      </c>
      <c r="B767" s="2">
        <v>46252</v>
      </c>
      <c r="C767" s="1" t="s">
        <v>3</v>
      </c>
      <c r="D767" s="1">
        <v>2026</v>
      </c>
      <c r="E767" s="1">
        <v>8</v>
      </c>
      <c r="F767" s="1">
        <v>34</v>
      </c>
    </row>
    <row r="768" spans="1:6" x14ac:dyDescent="0.35">
      <c r="A768" s="1">
        <v>44974</v>
      </c>
      <c r="B768" s="2">
        <v>46252</v>
      </c>
      <c r="C768" s="1" t="s">
        <v>3</v>
      </c>
      <c r="D768" s="1">
        <v>2026</v>
      </c>
      <c r="E768" s="1">
        <v>8</v>
      </c>
      <c r="F768" s="1">
        <v>34</v>
      </c>
    </row>
    <row r="769" spans="1:6" x14ac:dyDescent="0.35">
      <c r="A769" s="1">
        <v>44972</v>
      </c>
      <c r="B769" s="2">
        <v>46252</v>
      </c>
      <c r="C769" s="1" t="s">
        <v>24</v>
      </c>
      <c r="D769" s="1">
        <v>2026</v>
      </c>
      <c r="E769" s="1">
        <v>8</v>
      </c>
      <c r="F769" s="1">
        <v>34</v>
      </c>
    </row>
    <row r="770" spans="1:6" x14ac:dyDescent="0.35">
      <c r="A770" s="1">
        <v>44971</v>
      </c>
      <c r="B770" s="2">
        <v>46252</v>
      </c>
      <c r="C770" s="1" t="s">
        <v>24</v>
      </c>
      <c r="D770" s="1">
        <v>2026</v>
      </c>
      <c r="E770" s="1">
        <v>8</v>
      </c>
      <c r="F770" s="1">
        <v>34</v>
      </c>
    </row>
    <row r="771" spans="1:6" x14ac:dyDescent="0.35">
      <c r="A771" s="1">
        <v>44968</v>
      </c>
      <c r="B771" s="2">
        <v>46252</v>
      </c>
      <c r="C771" s="1" t="s">
        <v>24</v>
      </c>
      <c r="D771" s="1">
        <v>2026</v>
      </c>
      <c r="E771" s="1">
        <v>8</v>
      </c>
      <c r="F771" s="1">
        <v>34</v>
      </c>
    </row>
    <row r="772" spans="1:6" x14ac:dyDescent="0.35">
      <c r="A772" s="1">
        <v>44967</v>
      </c>
      <c r="B772" s="2">
        <v>46252</v>
      </c>
      <c r="C772" s="1" t="s">
        <v>24</v>
      </c>
      <c r="D772" s="1">
        <v>2026</v>
      </c>
      <c r="E772" s="1">
        <v>8</v>
      </c>
      <c r="F772" s="1">
        <v>34</v>
      </c>
    </row>
    <row r="773" spans="1:6" x14ac:dyDescent="0.35">
      <c r="A773" s="1">
        <v>44965</v>
      </c>
      <c r="B773" s="2">
        <v>46252</v>
      </c>
      <c r="C773" s="1" t="s">
        <v>24</v>
      </c>
      <c r="D773" s="1">
        <v>2026</v>
      </c>
      <c r="E773" s="1">
        <v>8</v>
      </c>
      <c r="F773" s="1">
        <v>34</v>
      </c>
    </row>
    <row r="774" spans="1:6" x14ac:dyDescent="0.35">
      <c r="A774" s="1">
        <v>44955</v>
      </c>
      <c r="B774" s="2">
        <v>46252</v>
      </c>
      <c r="C774" s="1" t="s">
        <v>7</v>
      </c>
      <c r="D774" s="1">
        <v>2026</v>
      </c>
      <c r="E774" s="1">
        <v>8</v>
      </c>
      <c r="F774" s="1">
        <v>34</v>
      </c>
    </row>
    <row r="775" spans="1:6" x14ac:dyDescent="0.35">
      <c r="A775" s="1">
        <v>44954</v>
      </c>
      <c r="B775" s="2">
        <v>46252</v>
      </c>
      <c r="C775" s="1" t="s">
        <v>7</v>
      </c>
      <c r="D775" s="1">
        <v>2026</v>
      </c>
      <c r="E775" s="1">
        <v>8</v>
      </c>
      <c r="F775" s="1">
        <v>34</v>
      </c>
    </row>
    <row r="776" spans="1:6" x14ac:dyDescent="0.35">
      <c r="A776" s="1">
        <v>44952</v>
      </c>
      <c r="B776" s="2">
        <v>46252</v>
      </c>
      <c r="C776" s="1" t="s">
        <v>17</v>
      </c>
      <c r="D776" s="1">
        <v>2026</v>
      </c>
      <c r="E776" s="1">
        <v>8</v>
      </c>
      <c r="F776" s="1">
        <v>34</v>
      </c>
    </row>
    <row r="777" spans="1:6" x14ac:dyDescent="0.35">
      <c r="A777" s="1">
        <v>44951</v>
      </c>
      <c r="B777" s="2">
        <v>46252</v>
      </c>
      <c r="C777" s="1" t="s">
        <v>17</v>
      </c>
      <c r="D777" s="1">
        <v>2026</v>
      </c>
      <c r="E777" s="1">
        <v>8</v>
      </c>
      <c r="F777" s="1">
        <v>34</v>
      </c>
    </row>
    <row r="778" spans="1:6" x14ac:dyDescent="0.35">
      <c r="A778" s="1">
        <v>44941</v>
      </c>
      <c r="B778" s="2">
        <v>46252</v>
      </c>
      <c r="C778" s="1" t="s">
        <v>8</v>
      </c>
      <c r="D778" s="1">
        <v>2026</v>
      </c>
      <c r="E778" s="1">
        <v>8</v>
      </c>
      <c r="F778" s="1">
        <v>34</v>
      </c>
    </row>
    <row r="779" spans="1:6" x14ac:dyDescent="0.35">
      <c r="A779" s="1">
        <v>44940</v>
      </c>
      <c r="B779" s="2">
        <v>46252</v>
      </c>
      <c r="C779" s="1" t="s">
        <v>8</v>
      </c>
      <c r="D779" s="1">
        <v>2026</v>
      </c>
      <c r="E779" s="1">
        <v>8</v>
      </c>
      <c r="F779" s="1">
        <v>34</v>
      </c>
    </row>
    <row r="780" spans="1:6" x14ac:dyDescent="0.35">
      <c r="A780" s="1">
        <v>44934</v>
      </c>
      <c r="B780" s="2">
        <v>46252</v>
      </c>
      <c r="C780" s="1" t="s">
        <v>3</v>
      </c>
      <c r="D780" s="1">
        <v>2026</v>
      </c>
      <c r="E780" s="1">
        <v>8</v>
      </c>
      <c r="F780" s="1">
        <v>34</v>
      </c>
    </row>
    <row r="781" spans="1:6" x14ac:dyDescent="0.35">
      <c r="A781" s="1">
        <v>45038</v>
      </c>
      <c r="B781" s="2">
        <v>46253</v>
      </c>
      <c r="C781" s="1" t="s">
        <v>5</v>
      </c>
      <c r="D781" s="1">
        <v>2026</v>
      </c>
      <c r="E781" s="1">
        <v>8</v>
      </c>
      <c r="F781" s="1">
        <v>34</v>
      </c>
    </row>
    <row r="782" spans="1:6" x14ac:dyDescent="0.35">
      <c r="A782" s="1">
        <v>45037</v>
      </c>
      <c r="B782" s="2">
        <v>46253</v>
      </c>
      <c r="C782" s="1" t="s">
        <v>5</v>
      </c>
      <c r="D782" s="1">
        <v>2026</v>
      </c>
      <c r="E782" s="1">
        <v>8</v>
      </c>
      <c r="F782" s="1">
        <v>34</v>
      </c>
    </row>
    <row r="783" spans="1:6" x14ac:dyDescent="0.35">
      <c r="A783" s="1">
        <v>45034</v>
      </c>
      <c r="B783" s="2">
        <v>46253</v>
      </c>
      <c r="C783" s="1" t="s">
        <v>7</v>
      </c>
      <c r="D783" s="1">
        <v>2026</v>
      </c>
      <c r="E783" s="1">
        <v>8</v>
      </c>
      <c r="F783" s="1">
        <v>34</v>
      </c>
    </row>
    <row r="784" spans="1:6" x14ac:dyDescent="0.35">
      <c r="A784" s="1">
        <v>45022</v>
      </c>
      <c r="B784" s="2">
        <v>46253</v>
      </c>
      <c r="C784" s="1" t="s">
        <v>17</v>
      </c>
      <c r="D784" s="1">
        <v>2026</v>
      </c>
      <c r="E784" s="1">
        <v>8</v>
      </c>
      <c r="F784" s="1">
        <v>34</v>
      </c>
    </row>
    <row r="785" spans="1:6" x14ac:dyDescent="0.35">
      <c r="A785" s="1">
        <v>45021</v>
      </c>
      <c r="B785" s="2">
        <v>46253</v>
      </c>
      <c r="C785" s="1" t="s">
        <v>17</v>
      </c>
      <c r="D785" s="1">
        <v>2026</v>
      </c>
      <c r="E785" s="1">
        <v>8</v>
      </c>
      <c r="F785" s="1">
        <v>34</v>
      </c>
    </row>
    <row r="786" spans="1:6" x14ac:dyDescent="0.35">
      <c r="A786" s="1">
        <v>45020</v>
      </c>
      <c r="B786" s="2">
        <v>46253</v>
      </c>
      <c r="C786" s="1" t="s">
        <v>5</v>
      </c>
      <c r="D786" s="1">
        <v>2026</v>
      </c>
      <c r="E786" s="1">
        <v>8</v>
      </c>
      <c r="F786" s="1">
        <v>34</v>
      </c>
    </row>
    <row r="787" spans="1:6" x14ac:dyDescent="0.35">
      <c r="A787" s="1">
        <v>45019</v>
      </c>
      <c r="B787" s="2">
        <v>46253</v>
      </c>
      <c r="C787" s="1" t="s">
        <v>5</v>
      </c>
      <c r="D787" s="1">
        <v>2026</v>
      </c>
      <c r="E787" s="1">
        <v>8</v>
      </c>
      <c r="F787" s="1">
        <v>34</v>
      </c>
    </row>
    <row r="788" spans="1:6" x14ac:dyDescent="0.35">
      <c r="A788" s="1">
        <v>45018</v>
      </c>
      <c r="B788" s="2">
        <v>46253</v>
      </c>
      <c r="C788" s="1" t="s">
        <v>5</v>
      </c>
      <c r="D788" s="1">
        <v>2026</v>
      </c>
      <c r="E788" s="1">
        <v>8</v>
      </c>
      <c r="F788" s="1">
        <v>34</v>
      </c>
    </row>
    <row r="789" spans="1:6" x14ac:dyDescent="0.35">
      <c r="A789" s="1">
        <v>45017</v>
      </c>
      <c r="B789" s="2">
        <v>46253</v>
      </c>
      <c r="C789" s="1" t="s">
        <v>5</v>
      </c>
      <c r="D789" s="1">
        <v>2026</v>
      </c>
      <c r="E789" s="1">
        <v>8</v>
      </c>
      <c r="F789" s="1">
        <v>34</v>
      </c>
    </row>
    <row r="790" spans="1:6" x14ac:dyDescent="0.35">
      <c r="A790" s="1">
        <v>45015</v>
      </c>
      <c r="B790" s="2">
        <v>46253</v>
      </c>
      <c r="C790" s="1" t="s">
        <v>3</v>
      </c>
      <c r="D790" s="1">
        <v>2026</v>
      </c>
      <c r="E790" s="1">
        <v>8</v>
      </c>
      <c r="F790" s="1">
        <v>34</v>
      </c>
    </row>
    <row r="791" spans="1:6" x14ac:dyDescent="0.35">
      <c r="A791" s="1">
        <v>45013</v>
      </c>
      <c r="B791" s="2">
        <v>46253</v>
      </c>
      <c r="C791" s="1" t="s">
        <v>3</v>
      </c>
      <c r="D791" s="1">
        <v>2026</v>
      </c>
      <c r="E791" s="1">
        <v>8</v>
      </c>
      <c r="F791" s="1">
        <v>34</v>
      </c>
    </row>
    <row r="792" spans="1:6" x14ac:dyDescent="0.35">
      <c r="A792" s="1">
        <v>45011</v>
      </c>
      <c r="B792" s="2">
        <v>46253</v>
      </c>
      <c r="C792" s="1" t="s">
        <v>3</v>
      </c>
      <c r="D792" s="1">
        <v>2026</v>
      </c>
      <c r="E792" s="1">
        <v>8</v>
      </c>
      <c r="F792" s="1">
        <v>34</v>
      </c>
    </row>
    <row r="793" spans="1:6" x14ac:dyDescent="0.35">
      <c r="A793" s="1">
        <v>45009</v>
      </c>
      <c r="B793" s="2">
        <v>46253</v>
      </c>
      <c r="C793" s="1" t="s">
        <v>3</v>
      </c>
      <c r="D793" s="1">
        <v>2026</v>
      </c>
      <c r="E793" s="1">
        <v>8</v>
      </c>
      <c r="F793" s="1">
        <v>34</v>
      </c>
    </row>
    <row r="794" spans="1:6" x14ac:dyDescent="0.35">
      <c r="A794" s="1">
        <v>45002</v>
      </c>
      <c r="B794" s="2">
        <v>46253</v>
      </c>
      <c r="C794" s="1" t="s">
        <v>8</v>
      </c>
      <c r="D794" s="1">
        <v>2026</v>
      </c>
      <c r="E794" s="1">
        <v>8</v>
      </c>
      <c r="F794" s="1">
        <v>34</v>
      </c>
    </row>
    <row r="795" spans="1:6" x14ac:dyDescent="0.35">
      <c r="A795" s="1">
        <v>45001</v>
      </c>
      <c r="B795" s="2">
        <v>46253</v>
      </c>
      <c r="C795" s="1" t="s">
        <v>8</v>
      </c>
      <c r="D795" s="1">
        <v>2026</v>
      </c>
      <c r="E795" s="1">
        <v>8</v>
      </c>
      <c r="F795" s="1">
        <v>34</v>
      </c>
    </row>
    <row r="796" spans="1:6" x14ac:dyDescent="0.35">
      <c r="A796" s="1">
        <v>45047</v>
      </c>
      <c r="B796" s="2">
        <v>46253</v>
      </c>
      <c r="C796" s="1" t="s">
        <v>10</v>
      </c>
      <c r="D796" s="1">
        <v>2026</v>
      </c>
      <c r="E796" s="1">
        <v>8</v>
      </c>
      <c r="F796" s="1">
        <v>34</v>
      </c>
    </row>
    <row r="797" spans="1:6" x14ac:dyDescent="0.35">
      <c r="A797" s="1">
        <v>45046</v>
      </c>
      <c r="B797" s="2">
        <v>46253</v>
      </c>
      <c r="C797" s="1" t="s">
        <v>10</v>
      </c>
      <c r="D797" s="1">
        <v>2026</v>
      </c>
      <c r="E797" s="1">
        <v>8</v>
      </c>
      <c r="F797" s="1">
        <v>34</v>
      </c>
    </row>
    <row r="798" spans="1:6" x14ac:dyDescent="0.35">
      <c r="A798" s="1">
        <v>45045</v>
      </c>
      <c r="B798" s="2">
        <v>46253</v>
      </c>
      <c r="C798" s="1" t="s">
        <v>3</v>
      </c>
      <c r="D798" s="1">
        <v>2026</v>
      </c>
      <c r="E798" s="1">
        <v>8</v>
      </c>
      <c r="F798" s="1">
        <v>34</v>
      </c>
    </row>
    <row r="799" spans="1:6" x14ac:dyDescent="0.35">
      <c r="A799" s="1">
        <v>45044</v>
      </c>
      <c r="B799" s="2">
        <v>46253</v>
      </c>
      <c r="C799" s="1" t="s">
        <v>3</v>
      </c>
      <c r="D799" s="1">
        <v>2026</v>
      </c>
      <c r="E799" s="1">
        <v>8</v>
      </c>
      <c r="F799" s="1">
        <v>34</v>
      </c>
    </row>
    <row r="800" spans="1:6" x14ac:dyDescent="0.35">
      <c r="A800" s="1">
        <v>45090</v>
      </c>
      <c r="B800" s="2">
        <v>46254</v>
      </c>
      <c r="C800" s="1" t="s">
        <v>10</v>
      </c>
      <c r="D800" s="1">
        <v>2026</v>
      </c>
      <c r="E800" s="1">
        <v>8</v>
      </c>
      <c r="F800" s="1">
        <v>34</v>
      </c>
    </row>
    <row r="801" spans="1:6" x14ac:dyDescent="0.35">
      <c r="A801" s="1">
        <v>45089</v>
      </c>
      <c r="B801" s="2">
        <v>46254</v>
      </c>
      <c r="C801" s="1" t="s">
        <v>10</v>
      </c>
      <c r="D801" s="1">
        <v>2026</v>
      </c>
      <c r="E801" s="1">
        <v>8</v>
      </c>
      <c r="F801" s="1">
        <v>34</v>
      </c>
    </row>
    <row r="802" spans="1:6" x14ac:dyDescent="0.35">
      <c r="A802" s="1">
        <v>45088</v>
      </c>
      <c r="B802" s="2">
        <v>46254</v>
      </c>
      <c r="C802" s="1" t="s">
        <v>9</v>
      </c>
      <c r="D802" s="1">
        <v>2026</v>
      </c>
      <c r="E802" s="1">
        <v>8</v>
      </c>
      <c r="F802" s="1">
        <v>34</v>
      </c>
    </row>
    <row r="803" spans="1:6" x14ac:dyDescent="0.35">
      <c r="A803" s="1">
        <v>45087</v>
      </c>
      <c r="B803" s="2">
        <v>46254</v>
      </c>
      <c r="C803" s="1" t="s">
        <v>9</v>
      </c>
      <c r="D803" s="1">
        <v>2026</v>
      </c>
      <c r="E803" s="1">
        <v>8</v>
      </c>
      <c r="F803" s="1">
        <v>34</v>
      </c>
    </row>
    <row r="804" spans="1:6" x14ac:dyDescent="0.35">
      <c r="A804" s="1">
        <v>45086</v>
      </c>
      <c r="B804" s="2">
        <v>46254</v>
      </c>
      <c r="C804" s="1" t="s">
        <v>9</v>
      </c>
      <c r="D804" s="1">
        <v>2026</v>
      </c>
      <c r="E804" s="1">
        <v>8</v>
      </c>
      <c r="F804" s="1">
        <v>34</v>
      </c>
    </row>
    <row r="805" spans="1:6" x14ac:dyDescent="0.35">
      <c r="A805" s="1">
        <v>45083</v>
      </c>
      <c r="B805" s="2">
        <v>46254</v>
      </c>
      <c r="C805" s="1" t="s">
        <v>9</v>
      </c>
      <c r="D805" s="1">
        <v>2026</v>
      </c>
      <c r="E805" s="1">
        <v>8</v>
      </c>
      <c r="F805" s="1">
        <v>34</v>
      </c>
    </row>
    <row r="806" spans="1:6" x14ac:dyDescent="0.35">
      <c r="A806" s="1">
        <v>45081</v>
      </c>
      <c r="B806" s="2">
        <v>46254</v>
      </c>
      <c r="C806" s="1" t="s">
        <v>9</v>
      </c>
      <c r="D806" s="1">
        <v>2026</v>
      </c>
      <c r="E806" s="1">
        <v>8</v>
      </c>
      <c r="F806" s="1">
        <v>34</v>
      </c>
    </row>
    <row r="807" spans="1:6" x14ac:dyDescent="0.35">
      <c r="A807" s="1">
        <v>45079</v>
      </c>
      <c r="B807" s="2">
        <v>46254</v>
      </c>
      <c r="C807" s="1" t="s">
        <v>9</v>
      </c>
      <c r="D807" s="1">
        <v>2026</v>
      </c>
      <c r="E807" s="1">
        <v>8</v>
      </c>
      <c r="F807" s="1">
        <v>34</v>
      </c>
    </row>
    <row r="808" spans="1:6" x14ac:dyDescent="0.35">
      <c r="A808" s="1">
        <v>45077</v>
      </c>
      <c r="B808" s="2">
        <v>46254</v>
      </c>
      <c r="C808" s="1" t="s">
        <v>9</v>
      </c>
      <c r="D808" s="1">
        <v>2026</v>
      </c>
      <c r="E808" s="1">
        <v>8</v>
      </c>
      <c r="F808" s="1">
        <v>34</v>
      </c>
    </row>
    <row r="809" spans="1:6" x14ac:dyDescent="0.35">
      <c r="A809" s="1">
        <v>45076</v>
      </c>
      <c r="B809" s="2">
        <v>46254</v>
      </c>
      <c r="C809" s="1" t="s">
        <v>9</v>
      </c>
      <c r="D809" s="1">
        <v>2026</v>
      </c>
      <c r="E809" s="1">
        <v>8</v>
      </c>
      <c r="F809" s="1">
        <v>34</v>
      </c>
    </row>
    <row r="810" spans="1:6" x14ac:dyDescent="0.35">
      <c r="A810" s="1">
        <v>45075</v>
      </c>
      <c r="B810" s="2">
        <v>46254</v>
      </c>
      <c r="C810" s="1" t="s">
        <v>3</v>
      </c>
      <c r="D810" s="1">
        <v>2026</v>
      </c>
      <c r="E810" s="1">
        <v>8</v>
      </c>
      <c r="F810" s="1">
        <v>34</v>
      </c>
    </row>
    <row r="811" spans="1:6" x14ac:dyDescent="0.35">
      <c r="A811" s="1">
        <v>45074</v>
      </c>
      <c r="B811" s="2">
        <v>46254</v>
      </c>
      <c r="C811" s="1" t="s">
        <v>3</v>
      </c>
      <c r="D811" s="1">
        <v>2026</v>
      </c>
      <c r="E811" s="1">
        <v>8</v>
      </c>
      <c r="F811" s="1">
        <v>34</v>
      </c>
    </row>
    <row r="812" spans="1:6" x14ac:dyDescent="0.35">
      <c r="A812" s="1">
        <v>45073</v>
      </c>
      <c r="B812" s="2">
        <v>46254</v>
      </c>
      <c r="C812" s="1" t="s">
        <v>3</v>
      </c>
      <c r="D812" s="1">
        <v>2026</v>
      </c>
      <c r="E812" s="1">
        <v>8</v>
      </c>
      <c r="F812" s="1">
        <v>34</v>
      </c>
    </row>
    <row r="813" spans="1:6" x14ac:dyDescent="0.35">
      <c r="A813" s="1">
        <v>45072</v>
      </c>
      <c r="B813" s="2">
        <v>46254</v>
      </c>
      <c r="C813" s="1" t="s">
        <v>3</v>
      </c>
      <c r="D813" s="1">
        <v>2026</v>
      </c>
      <c r="E813" s="1">
        <v>8</v>
      </c>
      <c r="F813" s="1">
        <v>34</v>
      </c>
    </row>
    <row r="814" spans="1:6" x14ac:dyDescent="0.35">
      <c r="A814" s="1">
        <v>45063</v>
      </c>
      <c r="B814" s="2">
        <v>46254</v>
      </c>
      <c r="C814" s="1" t="s">
        <v>3</v>
      </c>
      <c r="D814" s="1">
        <v>2026</v>
      </c>
      <c r="E814" s="1">
        <v>8</v>
      </c>
      <c r="F814" s="1">
        <v>34</v>
      </c>
    </row>
    <row r="815" spans="1:6" x14ac:dyDescent="0.35">
      <c r="A815" s="1">
        <v>45061</v>
      </c>
      <c r="B815" s="2">
        <v>46254</v>
      </c>
      <c r="C815" s="1" t="s">
        <v>8</v>
      </c>
      <c r="D815" s="1">
        <v>2026</v>
      </c>
      <c r="E815" s="1">
        <v>8</v>
      </c>
      <c r="F815" s="1">
        <v>34</v>
      </c>
    </row>
    <row r="816" spans="1:6" x14ac:dyDescent="0.35">
      <c r="A816" s="1">
        <v>45056</v>
      </c>
      <c r="B816" s="2">
        <v>46254</v>
      </c>
      <c r="C816" s="1" t="s">
        <v>24</v>
      </c>
      <c r="D816" s="1">
        <v>2026</v>
      </c>
      <c r="E816" s="1">
        <v>8</v>
      </c>
      <c r="F816" s="1">
        <v>34</v>
      </c>
    </row>
    <row r="817" spans="1:6" x14ac:dyDescent="0.35">
      <c r="A817" s="1">
        <v>45055</v>
      </c>
      <c r="B817" s="2">
        <v>46254</v>
      </c>
      <c r="C817" s="1" t="s">
        <v>24</v>
      </c>
      <c r="D817" s="1">
        <v>2026</v>
      </c>
      <c r="E817" s="1">
        <v>8</v>
      </c>
      <c r="F817" s="1">
        <v>34</v>
      </c>
    </row>
    <row r="818" spans="1:6" x14ac:dyDescent="0.35">
      <c r="A818" s="1">
        <v>45054</v>
      </c>
      <c r="B818" s="2">
        <v>46254</v>
      </c>
      <c r="C818" s="1" t="s">
        <v>24</v>
      </c>
      <c r="D818" s="1">
        <v>2026</v>
      </c>
      <c r="E818" s="1">
        <v>8</v>
      </c>
      <c r="F818" s="1">
        <v>34</v>
      </c>
    </row>
    <row r="819" spans="1:6" x14ac:dyDescent="0.35">
      <c r="A819" s="1">
        <v>45119</v>
      </c>
      <c r="B819" s="2">
        <v>46255</v>
      </c>
      <c r="C819" s="1" t="s">
        <v>26</v>
      </c>
      <c r="D819" s="1">
        <v>2026</v>
      </c>
      <c r="E819" s="1">
        <v>8</v>
      </c>
      <c r="F819" s="1">
        <v>34</v>
      </c>
    </row>
    <row r="820" spans="1:6" x14ac:dyDescent="0.35">
      <c r="A820" s="1">
        <v>45152</v>
      </c>
      <c r="B820" s="2">
        <v>46255</v>
      </c>
      <c r="C820" s="1" t="s">
        <v>10</v>
      </c>
      <c r="D820" s="1">
        <v>2026</v>
      </c>
      <c r="E820" s="1">
        <v>8</v>
      </c>
      <c r="F820" s="1">
        <v>34</v>
      </c>
    </row>
    <row r="821" spans="1:6" x14ac:dyDescent="0.35">
      <c r="A821" s="1">
        <v>45151</v>
      </c>
      <c r="B821" s="2">
        <v>46255</v>
      </c>
      <c r="C821" s="1" t="s">
        <v>10</v>
      </c>
      <c r="D821" s="1">
        <v>2026</v>
      </c>
      <c r="E821" s="1">
        <v>8</v>
      </c>
      <c r="F821" s="1">
        <v>34</v>
      </c>
    </row>
    <row r="822" spans="1:6" x14ac:dyDescent="0.35">
      <c r="A822" s="1">
        <v>45150</v>
      </c>
      <c r="B822" s="2">
        <v>46255</v>
      </c>
      <c r="C822" s="1" t="s">
        <v>3</v>
      </c>
      <c r="D822" s="1">
        <v>2026</v>
      </c>
      <c r="E822" s="1">
        <v>8</v>
      </c>
      <c r="F822" s="1">
        <v>34</v>
      </c>
    </row>
    <row r="823" spans="1:6" x14ac:dyDescent="0.35">
      <c r="A823" s="1">
        <v>45149</v>
      </c>
      <c r="B823" s="2">
        <v>46255</v>
      </c>
      <c r="C823" s="1" t="s">
        <v>3</v>
      </c>
      <c r="D823" s="1">
        <v>2026</v>
      </c>
      <c r="E823" s="1">
        <v>8</v>
      </c>
      <c r="F823" s="1">
        <v>34</v>
      </c>
    </row>
    <row r="824" spans="1:6" x14ac:dyDescent="0.35">
      <c r="A824" s="1">
        <v>45148</v>
      </c>
      <c r="B824" s="2">
        <v>46255</v>
      </c>
      <c r="C824" s="1" t="s">
        <v>3</v>
      </c>
      <c r="D824" s="1">
        <v>2026</v>
      </c>
      <c r="E824" s="1">
        <v>8</v>
      </c>
      <c r="F824" s="1">
        <v>34</v>
      </c>
    </row>
    <row r="825" spans="1:6" x14ac:dyDescent="0.35">
      <c r="A825" s="1">
        <v>45145</v>
      </c>
      <c r="B825" s="2">
        <v>46255</v>
      </c>
      <c r="C825" s="1" t="s">
        <v>9</v>
      </c>
      <c r="D825" s="1">
        <v>2026</v>
      </c>
      <c r="E825" s="1">
        <v>8</v>
      </c>
      <c r="F825" s="1">
        <v>34</v>
      </c>
    </row>
    <row r="826" spans="1:6" x14ac:dyDescent="0.35">
      <c r="A826" s="1">
        <v>45144</v>
      </c>
      <c r="B826" s="2">
        <v>46255</v>
      </c>
      <c r="C826" s="1" t="s">
        <v>9</v>
      </c>
      <c r="D826" s="1">
        <v>2026</v>
      </c>
      <c r="E826" s="1">
        <v>8</v>
      </c>
      <c r="F826" s="1">
        <v>34</v>
      </c>
    </row>
    <row r="827" spans="1:6" x14ac:dyDescent="0.35">
      <c r="A827" s="1">
        <v>45136</v>
      </c>
      <c r="B827" s="2">
        <v>46255</v>
      </c>
      <c r="C827" s="1" t="s">
        <v>17</v>
      </c>
      <c r="D827" s="1">
        <v>2026</v>
      </c>
      <c r="E827" s="1">
        <v>8</v>
      </c>
      <c r="F827" s="1">
        <v>34</v>
      </c>
    </row>
    <row r="828" spans="1:6" x14ac:dyDescent="0.35">
      <c r="A828" s="1">
        <v>45135</v>
      </c>
      <c r="B828" s="2">
        <v>46255</v>
      </c>
      <c r="C828" s="1" t="s">
        <v>17</v>
      </c>
      <c r="D828" s="1">
        <v>2026</v>
      </c>
      <c r="E828" s="1">
        <v>8</v>
      </c>
      <c r="F828" s="1">
        <v>34</v>
      </c>
    </row>
    <row r="829" spans="1:6" x14ac:dyDescent="0.35">
      <c r="A829" s="1">
        <v>45112</v>
      </c>
      <c r="B829" s="2">
        <v>46255</v>
      </c>
      <c r="C829" s="1" t="s">
        <v>7</v>
      </c>
      <c r="D829" s="1">
        <v>2026</v>
      </c>
      <c r="E829" s="1">
        <v>8</v>
      </c>
      <c r="F829" s="1">
        <v>34</v>
      </c>
    </row>
    <row r="830" spans="1:6" x14ac:dyDescent="0.35">
      <c r="A830" s="1">
        <v>45111</v>
      </c>
      <c r="B830" s="2">
        <v>46255</v>
      </c>
      <c r="C830" s="1" t="s">
        <v>10</v>
      </c>
      <c r="D830" s="1">
        <v>2026</v>
      </c>
      <c r="E830" s="1">
        <v>8</v>
      </c>
      <c r="F830" s="1">
        <v>34</v>
      </c>
    </row>
    <row r="831" spans="1:6" x14ac:dyDescent="0.35">
      <c r="A831" s="1">
        <v>45110</v>
      </c>
      <c r="B831" s="2">
        <v>46255</v>
      </c>
      <c r="C831" s="1" t="s">
        <v>8</v>
      </c>
      <c r="D831" s="1">
        <v>2026</v>
      </c>
      <c r="E831" s="1">
        <v>8</v>
      </c>
      <c r="F831" s="1">
        <v>34</v>
      </c>
    </row>
    <row r="832" spans="1:6" x14ac:dyDescent="0.35">
      <c r="A832" s="1">
        <v>45109</v>
      </c>
      <c r="B832" s="2">
        <v>46255</v>
      </c>
      <c r="C832" s="1" t="s">
        <v>8</v>
      </c>
      <c r="D832" s="1">
        <v>2026</v>
      </c>
      <c r="E832" s="1">
        <v>8</v>
      </c>
      <c r="F832" s="1">
        <v>34</v>
      </c>
    </row>
    <row r="833" spans="1:6" x14ac:dyDescent="0.35">
      <c r="A833" s="1">
        <v>45098</v>
      </c>
      <c r="B833" s="2">
        <v>46255</v>
      </c>
      <c r="C833" s="1" t="s">
        <v>19</v>
      </c>
      <c r="D833" s="1">
        <v>2026</v>
      </c>
      <c r="E833" s="1">
        <v>8</v>
      </c>
      <c r="F833" s="1">
        <v>34</v>
      </c>
    </row>
    <row r="834" spans="1:6" x14ac:dyDescent="0.35">
      <c r="A834" s="1">
        <v>45097</v>
      </c>
      <c r="B834" s="2">
        <v>46255</v>
      </c>
      <c r="C834" s="1" t="s">
        <v>19</v>
      </c>
      <c r="D834" s="1">
        <v>2026</v>
      </c>
      <c r="E834" s="1">
        <v>8</v>
      </c>
      <c r="F834" s="1">
        <v>34</v>
      </c>
    </row>
    <row r="835" spans="1:6" x14ac:dyDescent="0.35">
      <c r="A835" s="1">
        <v>45095</v>
      </c>
      <c r="B835" s="2">
        <v>46255</v>
      </c>
      <c r="C835" s="1" t="s">
        <v>19</v>
      </c>
      <c r="D835" s="1">
        <v>2026</v>
      </c>
      <c r="E835" s="1">
        <v>8</v>
      </c>
      <c r="F835" s="1">
        <v>34</v>
      </c>
    </row>
    <row r="836" spans="1:6" x14ac:dyDescent="0.35">
      <c r="A836" s="1">
        <v>45094</v>
      </c>
      <c r="B836" s="2">
        <v>46255</v>
      </c>
      <c r="C836" s="1" t="s">
        <v>19</v>
      </c>
      <c r="D836" s="1">
        <v>2026</v>
      </c>
      <c r="E836" s="1">
        <v>8</v>
      </c>
      <c r="F836" s="1">
        <v>34</v>
      </c>
    </row>
    <row r="837" spans="1:6" x14ac:dyDescent="0.35">
      <c r="A837" s="1">
        <v>45093</v>
      </c>
      <c r="B837" s="2">
        <v>46255</v>
      </c>
      <c r="C837" s="1" t="s">
        <v>19</v>
      </c>
      <c r="D837" s="1">
        <v>2026</v>
      </c>
      <c r="E837" s="1">
        <v>8</v>
      </c>
      <c r="F837" s="1">
        <v>34</v>
      </c>
    </row>
    <row r="838" spans="1:6" x14ac:dyDescent="0.35">
      <c r="A838" s="1">
        <v>45092</v>
      </c>
      <c r="B838" s="2">
        <v>46255</v>
      </c>
      <c r="C838" s="1" t="s">
        <v>19</v>
      </c>
      <c r="D838" s="1">
        <v>2026</v>
      </c>
      <c r="E838" s="1">
        <v>8</v>
      </c>
      <c r="F838" s="1">
        <v>34</v>
      </c>
    </row>
    <row r="839" spans="1:6" x14ac:dyDescent="0.35">
      <c r="A839" s="1">
        <v>45091</v>
      </c>
      <c r="B839" s="2">
        <v>46255</v>
      </c>
      <c r="C839" s="1" t="s">
        <v>19</v>
      </c>
      <c r="D839" s="1">
        <v>2026</v>
      </c>
      <c r="E839" s="1">
        <v>8</v>
      </c>
      <c r="F839" s="1">
        <v>34</v>
      </c>
    </row>
    <row r="840" spans="1:6" x14ac:dyDescent="0.35">
      <c r="A840" s="1">
        <v>45221</v>
      </c>
      <c r="B840" s="2">
        <v>46256</v>
      </c>
      <c r="C840" s="1" t="s">
        <v>8</v>
      </c>
      <c r="D840" s="1">
        <v>2026</v>
      </c>
      <c r="E840" s="1">
        <v>8</v>
      </c>
      <c r="F840" s="1">
        <v>34</v>
      </c>
    </row>
    <row r="841" spans="1:6" x14ac:dyDescent="0.35">
      <c r="A841" s="1">
        <v>45220</v>
      </c>
      <c r="B841" s="2">
        <v>46256</v>
      </c>
      <c r="C841" s="1" t="s">
        <v>8</v>
      </c>
      <c r="D841" s="1">
        <v>2026</v>
      </c>
      <c r="E841" s="1">
        <v>8</v>
      </c>
      <c r="F841" s="1">
        <v>34</v>
      </c>
    </row>
    <row r="842" spans="1:6" x14ac:dyDescent="0.35">
      <c r="A842" s="1">
        <v>45165</v>
      </c>
      <c r="B842" s="2">
        <v>46256</v>
      </c>
      <c r="C842" s="1" t="s">
        <v>10</v>
      </c>
      <c r="D842" s="1">
        <v>2026</v>
      </c>
      <c r="E842" s="1">
        <v>8</v>
      </c>
      <c r="F842" s="1">
        <v>34</v>
      </c>
    </row>
    <row r="843" spans="1:6" x14ac:dyDescent="0.35">
      <c r="A843" s="1">
        <v>45164</v>
      </c>
      <c r="B843" s="2">
        <v>46256</v>
      </c>
      <c r="C843" s="1" t="s">
        <v>10</v>
      </c>
      <c r="D843" s="1">
        <v>2026</v>
      </c>
      <c r="E843" s="1">
        <v>8</v>
      </c>
      <c r="F843" s="1">
        <v>34</v>
      </c>
    </row>
    <row r="844" spans="1:6" x14ac:dyDescent="0.35">
      <c r="A844" s="1">
        <v>45162</v>
      </c>
      <c r="B844" s="2">
        <v>46256</v>
      </c>
      <c r="C844" s="1" t="s">
        <v>8</v>
      </c>
      <c r="D844" s="1">
        <v>2026</v>
      </c>
      <c r="E844" s="1">
        <v>8</v>
      </c>
      <c r="F844" s="1">
        <v>34</v>
      </c>
    </row>
    <row r="845" spans="1:6" x14ac:dyDescent="0.35">
      <c r="A845" s="1">
        <v>45161</v>
      </c>
      <c r="B845" s="2">
        <v>46256</v>
      </c>
      <c r="C845" s="1" t="s">
        <v>8</v>
      </c>
      <c r="D845" s="1">
        <v>2026</v>
      </c>
      <c r="E845" s="1">
        <v>8</v>
      </c>
      <c r="F845" s="1">
        <v>34</v>
      </c>
    </row>
    <row r="846" spans="1:6" x14ac:dyDescent="0.35">
      <c r="A846" s="1">
        <v>45160</v>
      </c>
      <c r="B846" s="2">
        <v>46256</v>
      </c>
      <c r="C846" s="1" t="s">
        <v>5</v>
      </c>
      <c r="D846" s="1">
        <v>2026</v>
      </c>
      <c r="E846" s="1">
        <v>8</v>
      </c>
      <c r="F846" s="1">
        <v>34</v>
      </c>
    </row>
    <row r="847" spans="1:6" x14ac:dyDescent="0.35">
      <c r="A847" s="1">
        <v>45159</v>
      </c>
      <c r="B847" s="2">
        <v>46256</v>
      </c>
      <c r="C847" s="1" t="s">
        <v>5</v>
      </c>
      <c r="D847" s="1">
        <v>2026</v>
      </c>
      <c r="E847" s="1">
        <v>8</v>
      </c>
      <c r="F847" s="1">
        <v>34</v>
      </c>
    </row>
    <row r="848" spans="1:6" x14ac:dyDescent="0.35">
      <c r="A848" s="1">
        <v>45158</v>
      </c>
      <c r="B848" s="2">
        <v>46256</v>
      </c>
      <c r="C848" s="1" t="s">
        <v>5</v>
      </c>
      <c r="D848" s="1">
        <v>2026</v>
      </c>
      <c r="E848" s="1">
        <v>8</v>
      </c>
      <c r="F848" s="1">
        <v>34</v>
      </c>
    </row>
    <row r="849" spans="1:6" x14ac:dyDescent="0.35">
      <c r="A849" s="1">
        <v>45157</v>
      </c>
      <c r="B849" s="2">
        <v>46256</v>
      </c>
      <c r="C849" s="1" t="s">
        <v>5</v>
      </c>
      <c r="D849" s="1">
        <v>2026</v>
      </c>
      <c r="E849" s="1">
        <v>8</v>
      </c>
      <c r="F849" s="1">
        <v>34</v>
      </c>
    </row>
    <row r="850" spans="1:6" x14ac:dyDescent="0.35">
      <c r="A850" s="1">
        <v>45156</v>
      </c>
      <c r="B850" s="2">
        <v>46256</v>
      </c>
      <c r="C850" s="1" t="s">
        <v>5</v>
      </c>
      <c r="D850" s="1">
        <v>2026</v>
      </c>
      <c r="E850" s="1">
        <v>8</v>
      </c>
      <c r="F850" s="1">
        <v>34</v>
      </c>
    </row>
    <row r="851" spans="1:6" x14ac:dyDescent="0.35">
      <c r="A851" s="1">
        <v>45155</v>
      </c>
      <c r="B851" s="2">
        <v>46256</v>
      </c>
      <c r="C851" s="1" t="s">
        <v>5</v>
      </c>
      <c r="D851" s="1">
        <v>2026</v>
      </c>
      <c r="E851" s="1">
        <v>8</v>
      </c>
      <c r="F851" s="1">
        <v>34</v>
      </c>
    </row>
    <row r="852" spans="1:6" x14ac:dyDescent="0.35">
      <c r="A852" s="1">
        <v>45154</v>
      </c>
      <c r="B852" s="2">
        <v>46256</v>
      </c>
      <c r="C852" s="1" t="s">
        <v>5</v>
      </c>
      <c r="D852" s="1">
        <v>2026</v>
      </c>
      <c r="E852" s="1">
        <v>8</v>
      </c>
      <c r="F852" s="1">
        <v>34</v>
      </c>
    </row>
    <row r="853" spans="1:6" x14ac:dyDescent="0.35">
      <c r="A853" s="1">
        <v>45153</v>
      </c>
      <c r="B853" s="2">
        <v>46256</v>
      </c>
      <c r="C853" s="1" t="s">
        <v>5</v>
      </c>
      <c r="D853" s="1">
        <v>2026</v>
      </c>
      <c r="E853" s="1">
        <v>8</v>
      </c>
      <c r="F853" s="1">
        <v>34</v>
      </c>
    </row>
    <row r="854" spans="1:6" x14ac:dyDescent="0.35">
      <c r="A854" s="1">
        <v>45219</v>
      </c>
      <c r="B854" s="2">
        <v>46257</v>
      </c>
      <c r="C854" s="1" t="s">
        <v>17</v>
      </c>
      <c r="D854" s="1">
        <v>2026</v>
      </c>
      <c r="E854" s="1">
        <v>8</v>
      </c>
      <c r="F854" s="1">
        <v>35</v>
      </c>
    </row>
    <row r="855" spans="1:6" x14ac:dyDescent="0.35">
      <c r="A855" s="1">
        <v>45218</v>
      </c>
      <c r="B855" s="2">
        <v>46257</v>
      </c>
      <c r="C855" s="1" t="s">
        <v>17</v>
      </c>
      <c r="D855" s="1">
        <v>2026</v>
      </c>
      <c r="E855" s="1">
        <v>8</v>
      </c>
      <c r="F855" s="1">
        <v>35</v>
      </c>
    </row>
    <row r="856" spans="1:6" x14ac:dyDescent="0.35">
      <c r="A856" s="1">
        <v>45271</v>
      </c>
      <c r="B856" s="2">
        <v>46258</v>
      </c>
      <c r="C856" s="1" t="s">
        <v>10</v>
      </c>
      <c r="D856" s="1">
        <v>2026</v>
      </c>
      <c r="E856" s="1">
        <v>8</v>
      </c>
      <c r="F856" s="1">
        <v>35</v>
      </c>
    </row>
    <row r="857" spans="1:6" x14ac:dyDescent="0.35">
      <c r="A857" s="1">
        <v>45270</v>
      </c>
      <c r="B857" s="2">
        <v>46258</v>
      </c>
      <c r="C857" s="1" t="s">
        <v>10</v>
      </c>
      <c r="D857" s="1">
        <v>2026</v>
      </c>
      <c r="E857" s="1">
        <v>8</v>
      </c>
      <c r="F857" s="1">
        <v>35</v>
      </c>
    </row>
    <row r="858" spans="1:6" x14ac:dyDescent="0.35">
      <c r="A858" s="1">
        <v>45269</v>
      </c>
      <c r="B858" s="2">
        <v>46258</v>
      </c>
      <c r="C858" s="1" t="s">
        <v>11</v>
      </c>
      <c r="D858" s="1">
        <v>2026</v>
      </c>
      <c r="E858" s="1">
        <v>8</v>
      </c>
      <c r="F858" s="1">
        <v>35</v>
      </c>
    </row>
    <row r="859" spans="1:6" x14ac:dyDescent="0.35">
      <c r="A859" s="1">
        <v>45268</v>
      </c>
      <c r="B859" s="2">
        <v>46258</v>
      </c>
      <c r="C859" s="1" t="s">
        <v>3</v>
      </c>
      <c r="D859" s="1">
        <v>2026</v>
      </c>
      <c r="E859" s="1">
        <v>8</v>
      </c>
      <c r="F859" s="1">
        <v>35</v>
      </c>
    </row>
    <row r="860" spans="1:6" x14ac:dyDescent="0.35">
      <c r="A860" s="1">
        <v>45267</v>
      </c>
      <c r="B860" s="2">
        <v>46258</v>
      </c>
      <c r="C860" s="1" t="s">
        <v>3</v>
      </c>
      <c r="D860" s="1">
        <v>2026</v>
      </c>
      <c r="E860" s="1">
        <v>8</v>
      </c>
      <c r="F860" s="1">
        <v>35</v>
      </c>
    </row>
    <row r="861" spans="1:6" x14ac:dyDescent="0.35">
      <c r="A861" s="1">
        <v>45266</v>
      </c>
      <c r="B861" s="2">
        <v>46258</v>
      </c>
      <c r="C861" s="1" t="s">
        <v>3</v>
      </c>
      <c r="D861" s="1">
        <v>2026</v>
      </c>
      <c r="E861" s="1">
        <v>8</v>
      </c>
      <c r="F861" s="1">
        <v>35</v>
      </c>
    </row>
    <row r="862" spans="1:6" x14ac:dyDescent="0.35">
      <c r="A862" s="1">
        <v>45265</v>
      </c>
      <c r="B862" s="2">
        <v>46258</v>
      </c>
      <c r="C862" s="1" t="s">
        <v>3</v>
      </c>
      <c r="D862" s="1">
        <v>2026</v>
      </c>
      <c r="E862" s="1">
        <v>8</v>
      </c>
      <c r="F862" s="1">
        <v>35</v>
      </c>
    </row>
    <row r="863" spans="1:6" x14ac:dyDescent="0.35">
      <c r="A863" s="1">
        <v>45264</v>
      </c>
      <c r="B863" s="2">
        <v>46258</v>
      </c>
      <c r="C863" s="1" t="s">
        <v>3</v>
      </c>
      <c r="D863" s="1">
        <v>2026</v>
      </c>
      <c r="E863" s="1">
        <v>8</v>
      </c>
      <c r="F863" s="1">
        <v>35</v>
      </c>
    </row>
    <row r="864" spans="1:6" x14ac:dyDescent="0.35">
      <c r="A864" s="1">
        <v>45263</v>
      </c>
      <c r="B864" s="2">
        <v>46258</v>
      </c>
      <c r="C864" s="1" t="s">
        <v>3</v>
      </c>
      <c r="D864" s="1">
        <v>2026</v>
      </c>
      <c r="E864" s="1">
        <v>8</v>
      </c>
      <c r="F864" s="1">
        <v>35</v>
      </c>
    </row>
    <row r="865" spans="1:6" x14ac:dyDescent="0.35">
      <c r="A865" s="1">
        <v>45262</v>
      </c>
      <c r="B865" s="2">
        <v>46258</v>
      </c>
      <c r="C865" s="1" t="s">
        <v>3</v>
      </c>
      <c r="D865" s="1">
        <v>2026</v>
      </c>
      <c r="E865" s="1">
        <v>8</v>
      </c>
      <c r="F865" s="1">
        <v>35</v>
      </c>
    </row>
    <row r="866" spans="1:6" x14ac:dyDescent="0.35">
      <c r="A866" s="1">
        <v>45261</v>
      </c>
      <c r="B866" s="2">
        <v>46258</v>
      </c>
      <c r="C866" s="1" t="s">
        <v>3</v>
      </c>
      <c r="D866" s="1">
        <v>2026</v>
      </c>
      <c r="E866" s="1">
        <v>8</v>
      </c>
      <c r="F866" s="1">
        <v>35</v>
      </c>
    </row>
    <row r="867" spans="1:6" x14ac:dyDescent="0.35">
      <c r="A867" s="1">
        <v>45255</v>
      </c>
      <c r="B867" s="2">
        <v>46258</v>
      </c>
      <c r="C867" s="1" t="s">
        <v>9</v>
      </c>
      <c r="D867" s="1">
        <v>2026</v>
      </c>
      <c r="E867" s="1">
        <v>8</v>
      </c>
      <c r="F867" s="1">
        <v>35</v>
      </c>
    </row>
    <row r="868" spans="1:6" x14ac:dyDescent="0.35">
      <c r="A868" s="1">
        <v>45254</v>
      </c>
      <c r="B868" s="2">
        <v>46258</v>
      </c>
      <c r="C868" s="1" t="s">
        <v>17</v>
      </c>
      <c r="D868" s="1">
        <v>2026</v>
      </c>
      <c r="E868" s="1">
        <v>8</v>
      </c>
      <c r="F868" s="1">
        <v>35</v>
      </c>
    </row>
    <row r="869" spans="1:6" x14ac:dyDescent="0.35">
      <c r="A869" s="1">
        <v>45253</v>
      </c>
      <c r="B869" s="2">
        <v>46258</v>
      </c>
      <c r="C869" s="1" t="s">
        <v>17</v>
      </c>
      <c r="D869" s="1">
        <v>2026</v>
      </c>
      <c r="E869" s="1">
        <v>8</v>
      </c>
      <c r="F869" s="1">
        <v>35</v>
      </c>
    </row>
    <row r="870" spans="1:6" x14ac:dyDescent="0.35">
      <c r="A870" s="1">
        <v>45252</v>
      </c>
      <c r="B870" s="2">
        <v>46258</v>
      </c>
      <c r="C870" s="1" t="s">
        <v>23</v>
      </c>
      <c r="D870" s="1">
        <v>2026</v>
      </c>
      <c r="E870" s="1">
        <v>8</v>
      </c>
      <c r="F870" s="1">
        <v>35</v>
      </c>
    </row>
    <row r="871" spans="1:6" x14ac:dyDescent="0.35">
      <c r="A871" s="1">
        <v>45251</v>
      </c>
      <c r="B871" s="2">
        <v>46258</v>
      </c>
      <c r="C871" s="1" t="s">
        <v>23</v>
      </c>
      <c r="D871" s="1">
        <v>2026</v>
      </c>
      <c r="E871" s="1">
        <v>8</v>
      </c>
      <c r="F871" s="1">
        <v>35</v>
      </c>
    </row>
    <row r="872" spans="1:6" x14ac:dyDescent="0.35">
      <c r="A872" s="1">
        <v>45244</v>
      </c>
      <c r="B872" s="2">
        <v>46258</v>
      </c>
      <c r="C872" s="1" t="s">
        <v>6</v>
      </c>
      <c r="D872" s="1">
        <v>2026</v>
      </c>
      <c r="E872" s="1">
        <v>8</v>
      </c>
      <c r="F872" s="1">
        <v>35</v>
      </c>
    </row>
    <row r="873" spans="1:6" x14ac:dyDescent="0.35">
      <c r="A873" s="1">
        <v>45243</v>
      </c>
      <c r="B873" s="2">
        <v>46258</v>
      </c>
      <c r="C873" s="1" t="s">
        <v>6</v>
      </c>
      <c r="D873" s="1">
        <v>2026</v>
      </c>
      <c r="E873" s="1">
        <v>8</v>
      </c>
      <c r="F873" s="1">
        <v>35</v>
      </c>
    </row>
    <row r="874" spans="1:6" x14ac:dyDescent="0.35">
      <c r="A874" s="1">
        <v>45242</v>
      </c>
      <c r="B874" s="2">
        <v>46258</v>
      </c>
      <c r="C874" s="1" t="s">
        <v>6</v>
      </c>
      <c r="D874" s="1">
        <v>2026</v>
      </c>
      <c r="E874" s="1">
        <v>8</v>
      </c>
      <c r="F874" s="1">
        <v>35</v>
      </c>
    </row>
    <row r="875" spans="1:6" x14ac:dyDescent="0.35">
      <c r="A875" s="1">
        <v>45240</v>
      </c>
      <c r="B875" s="2">
        <v>46258</v>
      </c>
      <c r="C875" s="1" t="s">
        <v>27</v>
      </c>
      <c r="D875" s="1">
        <v>2026</v>
      </c>
      <c r="E875" s="1">
        <v>8</v>
      </c>
      <c r="F875" s="1">
        <v>35</v>
      </c>
    </row>
    <row r="876" spans="1:6" x14ac:dyDescent="0.35">
      <c r="A876" s="1">
        <v>45239</v>
      </c>
      <c r="B876" s="2">
        <v>46258</v>
      </c>
      <c r="C876" s="1" t="s">
        <v>27</v>
      </c>
      <c r="D876" s="1">
        <v>2026</v>
      </c>
      <c r="E876" s="1">
        <v>8</v>
      </c>
      <c r="F876" s="1">
        <v>35</v>
      </c>
    </row>
    <row r="877" spans="1:6" x14ac:dyDescent="0.35">
      <c r="A877" s="1">
        <v>45238</v>
      </c>
      <c r="B877" s="2">
        <v>46258</v>
      </c>
      <c r="C877" s="1" t="s">
        <v>27</v>
      </c>
      <c r="D877" s="1">
        <v>2026</v>
      </c>
      <c r="E877" s="1">
        <v>8</v>
      </c>
      <c r="F877" s="1">
        <v>35</v>
      </c>
    </row>
    <row r="878" spans="1:6" x14ac:dyDescent="0.35">
      <c r="A878" s="1">
        <v>45236</v>
      </c>
      <c r="B878" s="2">
        <v>46258</v>
      </c>
      <c r="C878" s="1" t="s">
        <v>7</v>
      </c>
      <c r="D878" s="1">
        <v>2026</v>
      </c>
      <c r="E878" s="1">
        <v>8</v>
      </c>
      <c r="F878" s="1">
        <v>35</v>
      </c>
    </row>
    <row r="879" spans="1:6" x14ac:dyDescent="0.35">
      <c r="A879" s="1">
        <v>45235</v>
      </c>
      <c r="B879" s="2">
        <v>46258</v>
      </c>
      <c r="C879" s="1" t="s">
        <v>4</v>
      </c>
      <c r="D879" s="1">
        <v>2026</v>
      </c>
      <c r="E879" s="1">
        <v>8</v>
      </c>
      <c r="F879" s="1">
        <v>35</v>
      </c>
    </row>
    <row r="880" spans="1:6" x14ac:dyDescent="0.35">
      <c r="A880" s="1">
        <v>45234</v>
      </c>
      <c r="B880" s="2">
        <v>46258</v>
      </c>
      <c r="C880" s="1" t="s">
        <v>9</v>
      </c>
      <c r="D880" s="1">
        <v>2026</v>
      </c>
      <c r="E880" s="1">
        <v>8</v>
      </c>
      <c r="F880" s="1">
        <v>35</v>
      </c>
    </row>
    <row r="881" spans="1:6" x14ac:dyDescent="0.35">
      <c r="A881" s="1">
        <v>45233</v>
      </c>
      <c r="B881" s="2">
        <v>46258</v>
      </c>
      <c r="C881" s="1" t="s">
        <v>4</v>
      </c>
      <c r="D881" s="1">
        <v>2026</v>
      </c>
      <c r="E881" s="1">
        <v>8</v>
      </c>
      <c r="F881" s="1">
        <v>35</v>
      </c>
    </row>
    <row r="882" spans="1:6" x14ac:dyDescent="0.35">
      <c r="A882" s="1">
        <v>45232</v>
      </c>
      <c r="B882" s="2">
        <v>46258</v>
      </c>
      <c r="C882" s="1" t="s">
        <v>9</v>
      </c>
      <c r="D882" s="1">
        <v>2026</v>
      </c>
      <c r="E882" s="1">
        <v>8</v>
      </c>
      <c r="F882" s="1">
        <v>35</v>
      </c>
    </row>
    <row r="883" spans="1:6" x14ac:dyDescent="0.35">
      <c r="A883" s="1">
        <v>45229</v>
      </c>
      <c r="B883" s="2">
        <v>46258</v>
      </c>
      <c r="C883" s="1" t="s">
        <v>9</v>
      </c>
      <c r="D883" s="1">
        <v>2026</v>
      </c>
      <c r="E883" s="1">
        <v>8</v>
      </c>
      <c r="F883" s="1">
        <v>35</v>
      </c>
    </row>
    <row r="884" spans="1:6" x14ac:dyDescent="0.35">
      <c r="A884" s="1">
        <v>45228</v>
      </c>
      <c r="B884" s="2">
        <v>46258</v>
      </c>
      <c r="C884" s="1" t="s">
        <v>9</v>
      </c>
      <c r="D884" s="1">
        <v>2026</v>
      </c>
      <c r="E884" s="1">
        <v>8</v>
      </c>
      <c r="F884" s="1">
        <v>35</v>
      </c>
    </row>
    <row r="885" spans="1:6" x14ac:dyDescent="0.35">
      <c r="A885" s="1">
        <v>45308</v>
      </c>
      <c r="B885" s="2">
        <v>46259</v>
      </c>
      <c r="C885" s="1" t="s">
        <v>10</v>
      </c>
      <c r="D885" s="1">
        <v>2026</v>
      </c>
      <c r="E885" s="1">
        <v>8</v>
      </c>
      <c r="F885" s="1">
        <v>35</v>
      </c>
    </row>
    <row r="886" spans="1:6" x14ac:dyDescent="0.35">
      <c r="A886" s="1">
        <v>45307</v>
      </c>
      <c r="B886" s="2">
        <v>46259</v>
      </c>
      <c r="C886" s="1" t="s">
        <v>10</v>
      </c>
      <c r="D886" s="1">
        <v>2026</v>
      </c>
      <c r="E886" s="1">
        <v>8</v>
      </c>
      <c r="F886" s="1">
        <v>35</v>
      </c>
    </row>
    <row r="887" spans="1:6" x14ac:dyDescent="0.35">
      <c r="A887" s="1">
        <v>45306</v>
      </c>
      <c r="B887" s="2">
        <v>46259</v>
      </c>
      <c r="C887" s="1" t="s">
        <v>16</v>
      </c>
      <c r="D887" s="1">
        <v>2026</v>
      </c>
      <c r="E887" s="1">
        <v>8</v>
      </c>
      <c r="F887" s="1">
        <v>35</v>
      </c>
    </row>
    <row r="888" spans="1:6" x14ac:dyDescent="0.35">
      <c r="A888" s="1">
        <v>45305</v>
      </c>
      <c r="B888" s="2">
        <v>46259</v>
      </c>
      <c r="C888" s="1" t="s">
        <v>16</v>
      </c>
      <c r="D888" s="1">
        <v>2026</v>
      </c>
      <c r="E888" s="1">
        <v>8</v>
      </c>
      <c r="F888" s="1">
        <v>35</v>
      </c>
    </row>
    <row r="889" spans="1:6" x14ac:dyDescent="0.35">
      <c r="A889" s="1">
        <v>45304</v>
      </c>
      <c r="B889" s="2">
        <v>46259</v>
      </c>
      <c r="C889" s="1" t="s">
        <v>9</v>
      </c>
      <c r="D889" s="1">
        <v>2026</v>
      </c>
      <c r="E889" s="1">
        <v>8</v>
      </c>
      <c r="F889" s="1">
        <v>35</v>
      </c>
    </row>
    <row r="890" spans="1:6" x14ac:dyDescent="0.35">
      <c r="A890" s="1">
        <v>45303</v>
      </c>
      <c r="B890" s="2">
        <v>46259</v>
      </c>
      <c r="C890" s="1" t="s">
        <v>9</v>
      </c>
      <c r="D890" s="1">
        <v>2026</v>
      </c>
      <c r="E890" s="1">
        <v>8</v>
      </c>
      <c r="F890" s="1">
        <v>35</v>
      </c>
    </row>
    <row r="891" spans="1:6" x14ac:dyDescent="0.35">
      <c r="A891" s="1">
        <v>45302</v>
      </c>
      <c r="B891" s="2">
        <v>46259</v>
      </c>
      <c r="C891" s="1" t="s">
        <v>23</v>
      </c>
      <c r="D891" s="1">
        <v>2026</v>
      </c>
      <c r="E891" s="1">
        <v>8</v>
      </c>
      <c r="F891" s="1">
        <v>35</v>
      </c>
    </row>
    <row r="892" spans="1:6" x14ac:dyDescent="0.35">
      <c r="A892" s="1">
        <v>45301</v>
      </c>
      <c r="B892" s="2">
        <v>46259</v>
      </c>
      <c r="C892" s="1" t="s">
        <v>23</v>
      </c>
      <c r="D892" s="1">
        <v>2026</v>
      </c>
      <c r="E892" s="1">
        <v>8</v>
      </c>
      <c r="F892" s="1">
        <v>35</v>
      </c>
    </row>
    <row r="893" spans="1:6" x14ac:dyDescent="0.35">
      <c r="A893" s="1">
        <v>45300</v>
      </c>
      <c r="B893" s="2">
        <v>46259</v>
      </c>
      <c r="C893" s="1" t="s">
        <v>4</v>
      </c>
      <c r="D893" s="1">
        <v>2026</v>
      </c>
      <c r="E893" s="1">
        <v>8</v>
      </c>
      <c r="F893" s="1">
        <v>35</v>
      </c>
    </row>
    <row r="894" spans="1:6" x14ac:dyDescent="0.35">
      <c r="A894" s="1">
        <v>45299</v>
      </c>
      <c r="B894" s="2">
        <v>46259</v>
      </c>
      <c r="C894" s="1" t="s">
        <v>4</v>
      </c>
      <c r="D894" s="1">
        <v>2026</v>
      </c>
      <c r="E894" s="1">
        <v>8</v>
      </c>
      <c r="F894" s="1">
        <v>35</v>
      </c>
    </row>
    <row r="895" spans="1:6" x14ac:dyDescent="0.35">
      <c r="A895" s="1">
        <v>45298</v>
      </c>
      <c r="B895" s="2">
        <v>46259</v>
      </c>
      <c r="C895" s="1" t="s">
        <v>4</v>
      </c>
      <c r="D895" s="1">
        <v>2026</v>
      </c>
      <c r="E895" s="1">
        <v>8</v>
      </c>
      <c r="F895" s="1">
        <v>35</v>
      </c>
    </row>
    <row r="896" spans="1:6" x14ac:dyDescent="0.35">
      <c r="A896" s="1">
        <v>45297</v>
      </c>
      <c r="B896" s="2">
        <v>46259</v>
      </c>
      <c r="C896" s="1" t="s">
        <v>6</v>
      </c>
      <c r="D896" s="1">
        <v>2026</v>
      </c>
      <c r="E896" s="1">
        <v>8</v>
      </c>
      <c r="F896" s="1">
        <v>35</v>
      </c>
    </row>
    <row r="897" spans="1:6" x14ac:dyDescent="0.35">
      <c r="A897" s="1">
        <v>45296</v>
      </c>
      <c r="B897" s="2">
        <v>46259</v>
      </c>
      <c r="C897" s="1" t="s">
        <v>6</v>
      </c>
      <c r="D897" s="1">
        <v>2026</v>
      </c>
      <c r="E897" s="1">
        <v>8</v>
      </c>
      <c r="F897" s="1">
        <v>35</v>
      </c>
    </row>
    <row r="898" spans="1:6" x14ac:dyDescent="0.35">
      <c r="A898" s="1">
        <v>45288</v>
      </c>
      <c r="B898" s="2">
        <v>46259</v>
      </c>
      <c r="C898" s="1" t="s">
        <v>7</v>
      </c>
      <c r="D898" s="1">
        <v>2026</v>
      </c>
      <c r="E898" s="1">
        <v>8</v>
      </c>
      <c r="F898" s="1">
        <v>35</v>
      </c>
    </row>
    <row r="899" spans="1:6" x14ac:dyDescent="0.35">
      <c r="A899" s="1">
        <v>45287</v>
      </c>
      <c r="B899" s="2">
        <v>46259</v>
      </c>
      <c r="C899" s="1" t="s">
        <v>7</v>
      </c>
      <c r="D899" s="1">
        <v>2026</v>
      </c>
      <c r="E899" s="1">
        <v>8</v>
      </c>
      <c r="F899" s="1">
        <v>35</v>
      </c>
    </row>
    <row r="900" spans="1:6" x14ac:dyDescent="0.35">
      <c r="A900" s="1">
        <v>45280</v>
      </c>
      <c r="B900" s="2">
        <v>46259</v>
      </c>
      <c r="C900" s="1" t="s">
        <v>17</v>
      </c>
      <c r="D900" s="1">
        <v>2026</v>
      </c>
      <c r="E900" s="1">
        <v>8</v>
      </c>
      <c r="F900" s="1">
        <v>35</v>
      </c>
    </row>
    <row r="901" spans="1:6" x14ac:dyDescent="0.35">
      <c r="A901" s="1">
        <v>45278</v>
      </c>
      <c r="B901" s="2">
        <v>46259</v>
      </c>
      <c r="C901" s="1" t="s">
        <v>17</v>
      </c>
      <c r="D901" s="1">
        <v>2026</v>
      </c>
      <c r="E901" s="1">
        <v>8</v>
      </c>
      <c r="F901" s="1">
        <v>35</v>
      </c>
    </row>
    <row r="902" spans="1:6" x14ac:dyDescent="0.35">
      <c r="A902" s="1">
        <v>45277</v>
      </c>
      <c r="B902" s="2">
        <v>46259</v>
      </c>
      <c r="C902" s="1" t="s">
        <v>8</v>
      </c>
      <c r="D902" s="1">
        <v>2026</v>
      </c>
      <c r="E902" s="1">
        <v>8</v>
      </c>
      <c r="F902" s="1">
        <v>35</v>
      </c>
    </row>
    <row r="903" spans="1:6" x14ac:dyDescent="0.35">
      <c r="A903" s="1">
        <v>45276</v>
      </c>
      <c r="B903" s="2">
        <v>46259</v>
      </c>
      <c r="C903" s="1" t="s">
        <v>8</v>
      </c>
      <c r="D903" s="1">
        <v>2026</v>
      </c>
      <c r="E903" s="1">
        <v>8</v>
      </c>
      <c r="F903" s="1">
        <v>35</v>
      </c>
    </row>
    <row r="904" spans="1:6" x14ac:dyDescent="0.35">
      <c r="A904" s="1">
        <v>45275</v>
      </c>
      <c r="B904" s="2">
        <v>46259</v>
      </c>
      <c r="C904" s="1" t="s">
        <v>3</v>
      </c>
      <c r="D904" s="1">
        <v>2026</v>
      </c>
      <c r="E904" s="1">
        <v>8</v>
      </c>
      <c r="F904" s="1">
        <v>35</v>
      </c>
    </row>
    <row r="905" spans="1:6" x14ac:dyDescent="0.35">
      <c r="A905" s="1">
        <v>45274</v>
      </c>
      <c r="B905" s="2">
        <v>46259</v>
      </c>
      <c r="C905" s="1" t="s">
        <v>19</v>
      </c>
      <c r="D905" s="1">
        <v>2026</v>
      </c>
      <c r="E905" s="1">
        <v>8</v>
      </c>
      <c r="F905" s="1">
        <v>35</v>
      </c>
    </row>
    <row r="906" spans="1:6" x14ac:dyDescent="0.35">
      <c r="A906" s="1">
        <v>45273</v>
      </c>
      <c r="B906" s="2">
        <v>46259</v>
      </c>
      <c r="C906" s="1" t="s">
        <v>19</v>
      </c>
      <c r="D906" s="1">
        <v>2026</v>
      </c>
      <c r="E906" s="1">
        <v>8</v>
      </c>
      <c r="F906" s="1">
        <v>35</v>
      </c>
    </row>
    <row r="907" spans="1:6" x14ac:dyDescent="0.35">
      <c r="A907" s="1">
        <v>45272</v>
      </c>
      <c r="B907" s="2">
        <v>46259</v>
      </c>
      <c r="C907" s="1" t="s">
        <v>19</v>
      </c>
      <c r="D907" s="1">
        <v>2026</v>
      </c>
      <c r="E907" s="1">
        <v>8</v>
      </c>
      <c r="F907" s="1">
        <v>35</v>
      </c>
    </row>
    <row r="908" spans="1:6" x14ac:dyDescent="0.35">
      <c r="A908" s="1">
        <v>45374</v>
      </c>
      <c r="B908" s="2">
        <v>46260</v>
      </c>
      <c r="C908" s="1" t="s">
        <v>10</v>
      </c>
      <c r="D908" s="1">
        <v>2026</v>
      </c>
      <c r="E908" s="1">
        <v>8</v>
      </c>
      <c r="F908" s="1">
        <v>35</v>
      </c>
    </row>
    <row r="909" spans="1:6" x14ac:dyDescent="0.35">
      <c r="A909" s="1">
        <v>45373</v>
      </c>
      <c r="B909" s="2">
        <v>46260</v>
      </c>
      <c r="C909" s="1" t="s">
        <v>10</v>
      </c>
      <c r="D909" s="1">
        <v>2026</v>
      </c>
      <c r="E909" s="1">
        <v>8</v>
      </c>
      <c r="F909" s="1">
        <v>35</v>
      </c>
    </row>
    <row r="910" spans="1:6" x14ac:dyDescent="0.35">
      <c r="A910" s="1">
        <v>45372</v>
      </c>
      <c r="B910" s="2">
        <v>46260</v>
      </c>
      <c r="C910" s="1" t="s">
        <v>9</v>
      </c>
      <c r="D910" s="1">
        <v>2026</v>
      </c>
      <c r="E910" s="1">
        <v>8</v>
      </c>
      <c r="F910" s="1">
        <v>35</v>
      </c>
    </row>
    <row r="911" spans="1:6" x14ac:dyDescent="0.35">
      <c r="A911" s="1">
        <v>45371</v>
      </c>
      <c r="B911" s="2">
        <v>46260</v>
      </c>
      <c r="C911" s="1" t="s">
        <v>9</v>
      </c>
      <c r="D911" s="1">
        <v>2026</v>
      </c>
      <c r="E911" s="1">
        <v>8</v>
      </c>
      <c r="F911" s="1">
        <v>35</v>
      </c>
    </row>
    <row r="912" spans="1:6" x14ac:dyDescent="0.35">
      <c r="A912" s="1">
        <v>45370</v>
      </c>
      <c r="B912" s="2">
        <v>46260</v>
      </c>
      <c r="C912" s="1" t="s">
        <v>9</v>
      </c>
      <c r="D912" s="1">
        <v>2026</v>
      </c>
      <c r="E912" s="1">
        <v>8</v>
      </c>
      <c r="F912" s="1">
        <v>35</v>
      </c>
    </row>
    <row r="913" spans="1:6" x14ac:dyDescent="0.35">
      <c r="A913" s="1">
        <v>45363</v>
      </c>
      <c r="B913" s="2">
        <v>46260</v>
      </c>
      <c r="C913" s="1" t="s">
        <v>16</v>
      </c>
      <c r="D913" s="1">
        <v>2026</v>
      </c>
      <c r="E913" s="1">
        <v>8</v>
      </c>
      <c r="F913" s="1">
        <v>35</v>
      </c>
    </row>
    <row r="914" spans="1:6" x14ac:dyDescent="0.35">
      <c r="A914" s="1">
        <v>45362</v>
      </c>
      <c r="B914" s="2">
        <v>46260</v>
      </c>
      <c r="C914" s="1" t="s">
        <v>16</v>
      </c>
      <c r="D914" s="1">
        <v>2026</v>
      </c>
      <c r="E914" s="1">
        <v>8</v>
      </c>
      <c r="F914" s="1">
        <v>35</v>
      </c>
    </row>
    <row r="915" spans="1:6" x14ac:dyDescent="0.35">
      <c r="A915" s="1">
        <v>45356</v>
      </c>
      <c r="B915" s="2">
        <v>46260</v>
      </c>
      <c r="C915" s="1" t="s">
        <v>23</v>
      </c>
      <c r="D915" s="1">
        <v>2026</v>
      </c>
      <c r="E915" s="1">
        <v>8</v>
      </c>
      <c r="F915" s="1">
        <v>35</v>
      </c>
    </row>
    <row r="916" spans="1:6" x14ac:dyDescent="0.35">
      <c r="A916" s="1">
        <v>45355</v>
      </c>
      <c r="B916" s="2">
        <v>46260</v>
      </c>
      <c r="C916" s="1" t="s">
        <v>23</v>
      </c>
      <c r="D916" s="1">
        <v>2026</v>
      </c>
      <c r="E916" s="1">
        <v>8</v>
      </c>
      <c r="F916" s="1">
        <v>35</v>
      </c>
    </row>
    <row r="917" spans="1:6" x14ac:dyDescent="0.35">
      <c r="A917" s="1">
        <v>45354</v>
      </c>
      <c r="B917" s="2">
        <v>46260</v>
      </c>
      <c r="C917" s="1" t="s">
        <v>11</v>
      </c>
      <c r="D917" s="1">
        <v>2026</v>
      </c>
      <c r="E917" s="1">
        <v>8</v>
      </c>
      <c r="F917" s="1">
        <v>35</v>
      </c>
    </row>
    <row r="918" spans="1:6" x14ac:dyDescent="0.35">
      <c r="A918" s="1">
        <v>45353</v>
      </c>
      <c r="B918" s="2">
        <v>46260</v>
      </c>
      <c r="C918" s="1" t="s">
        <v>24</v>
      </c>
      <c r="D918" s="1">
        <v>2026</v>
      </c>
      <c r="E918" s="1">
        <v>8</v>
      </c>
      <c r="F918" s="1">
        <v>35</v>
      </c>
    </row>
    <row r="919" spans="1:6" x14ac:dyDescent="0.35">
      <c r="A919" s="1">
        <v>45352</v>
      </c>
      <c r="B919" s="2">
        <v>46260</v>
      </c>
      <c r="C919" s="1" t="s">
        <v>24</v>
      </c>
      <c r="D919" s="1">
        <v>2026</v>
      </c>
      <c r="E919" s="1">
        <v>8</v>
      </c>
      <c r="F919" s="1">
        <v>35</v>
      </c>
    </row>
    <row r="920" spans="1:6" x14ac:dyDescent="0.35">
      <c r="A920" s="1">
        <v>45351</v>
      </c>
      <c r="B920" s="2">
        <v>46260</v>
      </c>
      <c r="C920" s="1" t="s">
        <v>24</v>
      </c>
      <c r="D920" s="1">
        <v>2026</v>
      </c>
      <c r="E920" s="1">
        <v>8</v>
      </c>
      <c r="F920" s="1">
        <v>35</v>
      </c>
    </row>
    <row r="921" spans="1:6" x14ac:dyDescent="0.35">
      <c r="A921" s="1">
        <v>45350</v>
      </c>
      <c r="B921" s="2">
        <v>46260</v>
      </c>
      <c r="C921" s="1" t="s">
        <v>24</v>
      </c>
      <c r="D921" s="1">
        <v>2026</v>
      </c>
      <c r="E921" s="1">
        <v>8</v>
      </c>
      <c r="F921" s="1">
        <v>35</v>
      </c>
    </row>
    <row r="922" spans="1:6" x14ac:dyDescent="0.35">
      <c r="A922" s="1">
        <v>45349</v>
      </c>
      <c r="B922" s="2">
        <v>46260</v>
      </c>
      <c r="C922" s="1" t="s">
        <v>24</v>
      </c>
      <c r="D922" s="1">
        <v>2026</v>
      </c>
      <c r="E922" s="1">
        <v>8</v>
      </c>
      <c r="F922" s="1">
        <v>35</v>
      </c>
    </row>
    <row r="923" spans="1:6" x14ac:dyDescent="0.35">
      <c r="A923" s="1">
        <v>45348</v>
      </c>
      <c r="B923" s="2">
        <v>46260</v>
      </c>
      <c r="C923" s="1" t="s">
        <v>24</v>
      </c>
      <c r="D923" s="1">
        <v>2026</v>
      </c>
      <c r="E923" s="1">
        <v>8</v>
      </c>
      <c r="F923" s="1">
        <v>35</v>
      </c>
    </row>
    <row r="924" spans="1:6" x14ac:dyDescent="0.35">
      <c r="A924" s="1">
        <v>45347</v>
      </c>
      <c r="B924" s="2">
        <v>46260</v>
      </c>
      <c r="C924" s="1" t="s">
        <v>24</v>
      </c>
      <c r="D924" s="1">
        <v>2026</v>
      </c>
      <c r="E924" s="1">
        <v>8</v>
      </c>
      <c r="F924" s="1">
        <v>35</v>
      </c>
    </row>
    <row r="925" spans="1:6" x14ac:dyDescent="0.35">
      <c r="A925" s="1">
        <v>45346</v>
      </c>
      <c r="B925" s="2">
        <v>46260</v>
      </c>
      <c r="C925" s="1" t="s">
        <v>24</v>
      </c>
      <c r="D925" s="1">
        <v>2026</v>
      </c>
      <c r="E925" s="1">
        <v>8</v>
      </c>
      <c r="F925" s="1">
        <v>35</v>
      </c>
    </row>
    <row r="926" spans="1:6" x14ac:dyDescent="0.35">
      <c r="A926" s="1">
        <v>45345</v>
      </c>
      <c r="B926" s="2">
        <v>46260</v>
      </c>
      <c r="C926" s="1" t="s">
        <v>24</v>
      </c>
      <c r="D926" s="1">
        <v>2026</v>
      </c>
      <c r="E926" s="1">
        <v>8</v>
      </c>
      <c r="F926" s="1">
        <v>35</v>
      </c>
    </row>
    <row r="927" spans="1:6" x14ac:dyDescent="0.35">
      <c r="A927" s="1">
        <v>45344</v>
      </c>
      <c r="B927" s="2">
        <v>46260</v>
      </c>
      <c r="C927" s="1" t="s">
        <v>24</v>
      </c>
      <c r="D927" s="1">
        <v>2026</v>
      </c>
      <c r="E927" s="1">
        <v>8</v>
      </c>
      <c r="F927" s="1">
        <v>35</v>
      </c>
    </row>
    <row r="928" spans="1:6" x14ac:dyDescent="0.35">
      <c r="A928" s="1">
        <v>45343</v>
      </c>
      <c r="B928" s="2">
        <v>46260</v>
      </c>
      <c r="C928" s="1" t="s">
        <v>24</v>
      </c>
      <c r="D928" s="1">
        <v>2026</v>
      </c>
      <c r="E928" s="1">
        <v>8</v>
      </c>
      <c r="F928" s="1">
        <v>35</v>
      </c>
    </row>
    <row r="929" spans="1:6" x14ac:dyDescent="0.35">
      <c r="A929" s="1">
        <v>45341</v>
      </c>
      <c r="B929" s="2">
        <v>46260</v>
      </c>
      <c r="C929" s="1" t="s">
        <v>3</v>
      </c>
      <c r="D929" s="1">
        <v>2026</v>
      </c>
      <c r="E929" s="1">
        <v>8</v>
      </c>
      <c r="F929" s="1">
        <v>35</v>
      </c>
    </row>
    <row r="930" spans="1:6" x14ac:dyDescent="0.35">
      <c r="A930" s="1">
        <v>45340</v>
      </c>
      <c r="B930" s="2">
        <v>46260</v>
      </c>
      <c r="C930" s="1" t="s">
        <v>17</v>
      </c>
      <c r="D930" s="1">
        <v>2026</v>
      </c>
      <c r="E930" s="1">
        <v>8</v>
      </c>
      <c r="F930" s="1">
        <v>35</v>
      </c>
    </row>
    <row r="931" spans="1:6" x14ac:dyDescent="0.35">
      <c r="A931" s="1">
        <v>45339</v>
      </c>
      <c r="B931" s="2">
        <v>46260</v>
      </c>
      <c r="C931" s="1" t="s">
        <v>17</v>
      </c>
      <c r="D931" s="1">
        <v>2026</v>
      </c>
      <c r="E931" s="1">
        <v>8</v>
      </c>
      <c r="F931" s="1">
        <v>35</v>
      </c>
    </row>
    <row r="932" spans="1:6" x14ac:dyDescent="0.35">
      <c r="A932" s="1">
        <v>45338</v>
      </c>
      <c r="B932" s="2">
        <v>46260</v>
      </c>
      <c r="C932" s="1" t="s">
        <v>6</v>
      </c>
      <c r="D932" s="1">
        <v>2026</v>
      </c>
      <c r="E932" s="1">
        <v>8</v>
      </c>
      <c r="F932" s="1">
        <v>35</v>
      </c>
    </row>
    <row r="933" spans="1:6" x14ac:dyDescent="0.35">
      <c r="A933" s="1">
        <v>45337</v>
      </c>
      <c r="B933" s="2">
        <v>46260</v>
      </c>
      <c r="C933" s="1" t="s">
        <v>6</v>
      </c>
      <c r="D933" s="1">
        <v>2026</v>
      </c>
      <c r="E933" s="1">
        <v>8</v>
      </c>
      <c r="F933" s="1">
        <v>35</v>
      </c>
    </row>
    <row r="934" spans="1:6" x14ac:dyDescent="0.35">
      <c r="A934" s="1">
        <v>45336</v>
      </c>
      <c r="B934" s="2">
        <v>46260</v>
      </c>
      <c r="C934" s="1" t="s">
        <v>6</v>
      </c>
      <c r="D934" s="1">
        <v>2026</v>
      </c>
      <c r="E934" s="1">
        <v>8</v>
      </c>
      <c r="F934" s="1">
        <v>35</v>
      </c>
    </row>
    <row r="935" spans="1:6" x14ac:dyDescent="0.35">
      <c r="A935" s="1">
        <v>45335</v>
      </c>
      <c r="B935" s="2">
        <v>46260</v>
      </c>
      <c r="C935" s="1" t="s">
        <v>3</v>
      </c>
      <c r="D935" s="1">
        <v>2026</v>
      </c>
      <c r="E935" s="1">
        <v>8</v>
      </c>
      <c r="F935" s="1">
        <v>35</v>
      </c>
    </row>
    <row r="936" spans="1:6" x14ac:dyDescent="0.35">
      <c r="A936" s="1">
        <v>45334</v>
      </c>
      <c r="B936" s="2">
        <v>46260</v>
      </c>
      <c r="C936" s="1" t="s">
        <v>3</v>
      </c>
      <c r="D936" s="1">
        <v>2026</v>
      </c>
      <c r="E936" s="1">
        <v>8</v>
      </c>
      <c r="F936" s="1">
        <v>35</v>
      </c>
    </row>
    <row r="937" spans="1:6" x14ac:dyDescent="0.35">
      <c r="A937" s="1">
        <v>45333</v>
      </c>
      <c r="B937" s="2">
        <v>46260</v>
      </c>
      <c r="C937" s="1" t="s">
        <v>3</v>
      </c>
      <c r="D937" s="1">
        <v>2026</v>
      </c>
      <c r="E937" s="1">
        <v>8</v>
      </c>
      <c r="F937" s="1">
        <v>35</v>
      </c>
    </row>
    <row r="938" spans="1:6" x14ac:dyDescent="0.35">
      <c r="A938" s="1">
        <v>45332</v>
      </c>
      <c r="B938" s="2">
        <v>46260</v>
      </c>
      <c r="C938" s="1" t="s">
        <v>7</v>
      </c>
      <c r="D938" s="1">
        <v>2026</v>
      </c>
      <c r="E938" s="1">
        <v>8</v>
      </c>
      <c r="F938" s="1">
        <v>35</v>
      </c>
    </row>
    <row r="939" spans="1:6" x14ac:dyDescent="0.35">
      <c r="A939" s="1">
        <v>45331</v>
      </c>
      <c r="B939" s="2">
        <v>46260</v>
      </c>
      <c r="C939" s="1" t="s">
        <v>7</v>
      </c>
      <c r="D939" s="1">
        <v>2026</v>
      </c>
      <c r="E939" s="1">
        <v>8</v>
      </c>
      <c r="F939" s="1">
        <v>35</v>
      </c>
    </row>
    <row r="940" spans="1:6" x14ac:dyDescent="0.35">
      <c r="A940" s="1">
        <v>45327</v>
      </c>
      <c r="B940" s="2">
        <v>46260</v>
      </c>
      <c r="C940" s="1" t="s">
        <v>5</v>
      </c>
      <c r="D940" s="1">
        <v>2026</v>
      </c>
      <c r="E940" s="1">
        <v>8</v>
      </c>
      <c r="F940" s="1">
        <v>35</v>
      </c>
    </row>
    <row r="941" spans="1:6" x14ac:dyDescent="0.35">
      <c r="A941" s="1">
        <v>45326</v>
      </c>
      <c r="B941" s="2">
        <v>46260</v>
      </c>
      <c r="C941" s="1" t="s">
        <v>5</v>
      </c>
      <c r="D941" s="1">
        <v>2026</v>
      </c>
      <c r="E941" s="1">
        <v>8</v>
      </c>
      <c r="F941" s="1">
        <v>35</v>
      </c>
    </row>
    <row r="942" spans="1:6" x14ac:dyDescent="0.35">
      <c r="A942" s="1">
        <v>45325</v>
      </c>
      <c r="B942" s="2">
        <v>46260</v>
      </c>
      <c r="C942" s="1" t="s">
        <v>5</v>
      </c>
      <c r="D942" s="1">
        <v>2026</v>
      </c>
      <c r="E942" s="1">
        <v>8</v>
      </c>
      <c r="F942" s="1">
        <v>35</v>
      </c>
    </row>
    <row r="943" spans="1:6" x14ac:dyDescent="0.35">
      <c r="A943" s="1">
        <v>45324</v>
      </c>
      <c r="B943" s="2">
        <v>46260</v>
      </c>
      <c r="C943" s="1" t="s">
        <v>5</v>
      </c>
      <c r="D943" s="1">
        <v>2026</v>
      </c>
      <c r="E943" s="1">
        <v>8</v>
      </c>
      <c r="F943" s="1">
        <v>35</v>
      </c>
    </row>
    <row r="944" spans="1:6" x14ac:dyDescent="0.35">
      <c r="A944" s="1">
        <v>45323</v>
      </c>
      <c r="B944" s="2">
        <v>46260</v>
      </c>
      <c r="C944" s="1" t="s">
        <v>8</v>
      </c>
      <c r="D944" s="1">
        <v>2026</v>
      </c>
      <c r="E944" s="1">
        <v>8</v>
      </c>
      <c r="F944" s="1">
        <v>35</v>
      </c>
    </row>
    <row r="945" spans="1:6" x14ac:dyDescent="0.35">
      <c r="A945" s="1">
        <v>45322</v>
      </c>
      <c r="B945" s="2">
        <v>46260</v>
      </c>
      <c r="C945" s="1" t="s">
        <v>5</v>
      </c>
      <c r="D945" s="1">
        <v>2026</v>
      </c>
      <c r="E945" s="1">
        <v>8</v>
      </c>
      <c r="F945" s="1">
        <v>35</v>
      </c>
    </row>
    <row r="946" spans="1:6" x14ac:dyDescent="0.35">
      <c r="A946" s="1">
        <v>45321</v>
      </c>
      <c r="B946" s="2">
        <v>46260</v>
      </c>
      <c r="C946" s="1" t="s">
        <v>8</v>
      </c>
      <c r="D946" s="1">
        <v>2026</v>
      </c>
      <c r="E946" s="1">
        <v>8</v>
      </c>
      <c r="F946" s="1">
        <v>35</v>
      </c>
    </row>
    <row r="947" spans="1:6" x14ac:dyDescent="0.35">
      <c r="A947" s="1">
        <v>45320</v>
      </c>
      <c r="B947" s="2">
        <v>46260</v>
      </c>
      <c r="C947" s="1" t="s">
        <v>19</v>
      </c>
      <c r="D947" s="1">
        <v>2026</v>
      </c>
      <c r="E947" s="1">
        <v>8</v>
      </c>
      <c r="F947" s="1">
        <v>35</v>
      </c>
    </row>
    <row r="948" spans="1:6" x14ac:dyDescent="0.35">
      <c r="A948" s="1">
        <v>45319</v>
      </c>
      <c r="B948" s="2">
        <v>46260</v>
      </c>
      <c r="C948" s="1" t="s">
        <v>3</v>
      </c>
      <c r="D948" s="1">
        <v>2026</v>
      </c>
      <c r="E948" s="1">
        <v>8</v>
      </c>
      <c r="F948" s="1">
        <v>35</v>
      </c>
    </row>
    <row r="949" spans="1:6" x14ac:dyDescent="0.35">
      <c r="A949" s="1">
        <v>45318</v>
      </c>
      <c r="B949" s="2">
        <v>46260</v>
      </c>
      <c r="C949" s="1" t="s">
        <v>3</v>
      </c>
      <c r="D949" s="1">
        <v>2026</v>
      </c>
      <c r="E949" s="1">
        <v>8</v>
      </c>
      <c r="F949" s="1">
        <v>35</v>
      </c>
    </row>
    <row r="950" spans="1:6" x14ac:dyDescent="0.35">
      <c r="A950" s="1">
        <v>45317</v>
      </c>
      <c r="B950" s="2">
        <v>46260</v>
      </c>
      <c r="C950" s="1" t="s">
        <v>5</v>
      </c>
      <c r="D950" s="1">
        <v>2026</v>
      </c>
      <c r="E950" s="1">
        <v>8</v>
      </c>
      <c r="F950" s="1">
        <v>35</v>
      </c>
    </row>
    <row r="951" spans="1:6" x14ac:dyDescent="0.35">
      <c r="A951" s="1">
        <v>45316</v>
      </c>
      <c r="B951" s="2">
        <v>46260</v>
      </c>
      <c r="C951" s="1" t="s">
        <v>24</v>
      </c>
      <c r="D951" s="1">
        <v>2026</v>
      </c>
      <c r="E951" s="1">
        <v>8</v>
      </c>
      <c r="F951" s="1">
        <v>35</v>
      </c>
    </row>
    <row r="952" spans="1:6" x14ac:dyDescent="0.35">
      <c r="A952" s="1">
        <v>45315</v>
      </c>
      <c r="B952" s="2">
        <v>46260</v>
      </c>
      <c r="C952" s="1" t="s">
        <v>3</v>
      </c>
      <c r="D952" s="1">
        <v>2026</v>
      </c>
      <c r="E952" s="1">
        <v>8</v>
      </c>
      <c r="F952" s="1">
        <v>35</v>
      </c>
    </row>
    <row r="953" spans="1:6" x14ac:dyDescent="0.35">
      <c r="A953" s="1">
        <v>45314</v>
      </c>
      <c r="B953" s="2">
        <v>46260</v>
      </c>
      <c r="C953" s="1" t="s">
        <v>24</v>
      </c>
      <c r="D953" s="1">
        <v>2026</v>
      </c>
      <c r="E953" s="1">
        <v>8</v>
      </c>
      <c r="F953" s="1">
        <v>35</v>
      </c>
    </row>
    <row r="954" spans="1:6" x14ac:dyDescent="0.35">
      <c r="A954" s="1">
        <v>45313</v>
      </c>
      <c r="B954" s="2">
        <v>46260</v>
      </c>
      <c r="C954" s="1" t="s">
        <v>24</v>
      </c>
      <c r="D954" s="1">
        <v>2026</v>
      </c>
      <c r="E954" s="1">
        <v>8</v>
      </c>
      <c r="F954" s="1">
        <v>35</v>
      </c>
    </row>
    <row r="955" spans="1:6" x14ac:dyDescent="0.35">
      <c r="A955" s="1">
        <v>45312</v>
      </c>
      <c r="B955" s="2">
        <v>46260</v>
      </c>
      <c r="C955" s="1" t="s">
        <v>24</v>
      </c>
      <c r="D955" s="1">
        <v>2026</v>
      </c>
      <c r="E955" s="1">
        <v>8</v>
      </c>
      <c r="F955" s="1">
        <v>35</v>
      </c>
    </row>
    <row r="956" spans="1:6" x14ac:dyDescent="0.35">
      <c r="A956" s="1">
        <v>45311</v>
      </c>
      <c r="B956" s="2">
        <v>46260</v>
      </c>
      <c r="C956" s="1" t="s">
        <v>24</v>
      </c>
      <c r="D956" s="1">
        <v>2026</v>
      </c>
      <c r="E956" s="1">
        <v>8</v>
      </c>
      <c r="F956" s="1">
        <v>35</v>
      </c>
    </row>
    <row r="957" spans="1:6" x14ac:dyDescent="0.35">
      <c r="A957" s="1">
        <v>45310</v>
      </c>
      <c r="B957" s="2">
        <v>46260</v>
      </c>
      <c r="C957" s="1" t="s">
        <v>24</v>
      </c>
      <c r="D957" s="1">
        <v>2026</v>
      </c>
      <c r="E957" s="1">
        <v>8</v>
      </c>
      <c r="F957" s="1">
        <v>35</v>
      </c>
    </row>
    <row r="958" spans="1:6" x14ac:dyDescent="0.35">
      <c r="A958" s="1">
        <v>45309</v>
      </c>
      <c r="B958" s="2">
        <v>46260</v>
      </c>
      <c r="C958" s="1" t="s">
        <v>24</v>
      </c>
      <c r="D958" s="1">
        <v>2026</v>
      </c>
      <c r="E958" s="1">
        <v>8</v>
      </c>
      <c r="F958" s="1">
        <v>35</v>
      </c>
    </row>
    <row r="959" spans="1:6" x14ac:dyDescent="0.35">
      <c r="A959" s="1">
        <v>45390</v>
      </c>
      <c r="B959" s="2">
        <v>46261</v>
      </c>
      <c r="C959" s="1" t="s">
        <v>8</v>
      </c>
      <c r="D959" s="1">
        <v>2026</v>
      </c>
      <c r="E959" s="1">
        <v>8</v>
      </c>
      <c r="F959" s="1">
        <v>35</v>
      </c>
    </row>
    <row r="960" spans="1:6" x14ac:dyDescent="0.35">
      <c r="A960" s="1">
        <v>45389</v>
      </c>
      <c r="B960" s="2">
        <v>46261</v>
      </c>
      <c r="C960" s="1" t="s">
        <v>8</v>
      </c>
      <c r="D960" s="1">
        <v>2026</v>
      </c>
      <c r="E960" s="1">
        <v>8</v>
      </c>
      <c r="F960" s="1">
        <v>35</v>
      </c>
    </row>
    <row r="961" spans="1:6" x14ac:dyDescent="0.35">
      <c r="A961" s="1">
        <v>45385</v>
      </c>
      <c r="B961" s="2">
        <v>46261</v>
      </c>
      <c r="C961" s="1" t="s">
        <v>19</v>
      </c>
      <c r="D961" s="1">
        <v>2026</v>
      </c>
      <c r="E961" s="1">
        <v>8</v>
      </c>
      <c r="F961" s="1">
        <v>35</v>
      </c>
    </row>
    <row r="962" spans="1:6" x14ac:dyDescent="0.35">
      <c r="A962" s="1">
        <v>45383</v>
      </c>
      <c r="B962" s="2">
        <v>46261</v>
      </c>
      <c r="C962" s="1" t="s">
        <v>19</v>
      </c>
      <c r="D962" s="1">
        <v>2026</v>
      </c>
      <c r="E962" s="1">
        <v>8</v>
      </c>
      <c r="F962" s="1">
        <v>35</v>
      </c>
    </row>
    <row r="963" spans="1:6" x14ac:dyDescent="0.35">
      <c r="A963" s="1">
        <v>45382</v>
      </c>
      <c r="B963" s="2">
        <v>46261</v>
      </c>
      <c r="C963" s="1" t="s">
        <v>19</v>
      </c>
      <c r="D963" s="1">
        <v>2026</v>
      </c>
      <c r="E963" s="1">
        <v>8</v>
      </c>
      <c r="F963" s="1">
        <v>35</v>
      </c>
    </row>
    <row r="964" spans="1:6" x14ac:dyDescent="0.35">
      <c r="A964" s="1">
        <v>45381</v>
      </c>
      <c r="B964" s="2">
        <v>46261</v>
      </c>
      <c r="C964" s="1" t="s">
        <v>19</v>
      </c>
      <c r="D964" s="1">
        <v>2026</v>
      </c>
      <c r="E964" s="1">
        <v>8</v>
      </c>
      <c r="F964" s="1">
        <v>35</v>
      </c>
    </row>
    <row r="965" spans="1:6" x14ac:dyDescent="0.35">
      <c r="A965" s="1">
        <v>45437</v>
      </c>
      <c r="B965" s="2">
        <v>46261</v>
      </c>
      <c r="C965" s="1" t="s">
        <v>20</v>
      </c>
      <c r="D965" s="1">
        <v>2026</v>
      </c>
      <c r="E965" s="1">
        <v>8</v>
      </c>
      <c r="F965" s="1">
        <v>35</v>
      </c>
    </row>
    <row r="966" spans="1:6" x14ac:dyDescent="0.35">
      <c r="A966" s="1">
        <v>45436</v>
      </c>
      <c r="B966" s="2">
        <v>46261</v>
      </c>
      <c r="C966" s="1" t="s">
        <v>20</v>
      </c>
      <c r="D966" s="1">
        <v>2026</v>
      </c>
      <c r="E966" s="1">
        <v>8</v>
      </c>
      <c r="F966" s="1">
        <v>35</v>
      </c>
    </row>
    <row r="967" spans="1:6" x14ac:dyDescent="0.35">
      <c r="A967" s="1">
        <v>45435</v>
      </c>
      <c r="B967" s="2">
        <v>46261</v>
      </c>
      <c r="C967" s="1" t="s">
        <v>10</v>
      </c>
      <c r="D967" s="1">
        <v>2026</v>
      </c>
      <c r="E967" s="1">
        <v>8</v>
      </c>
      <c r="F967" s="1">
        <v>35</v>
      </c>
    </row>
    <row r="968" spans="1:6" x14ac:dyDescent="0.35">
      <c r="A968" s="1">
        <v>45434</v>
      </c>
      <c r="B968" s="2">
        <v>46261</v>
      </c>
      <c r="C968" s="1" t="s">
        <v>10</v>
      </c>
      <c r="D968" s="1">
        <v>2026</v>
      </c>
      <c r="E968" s="1">
        <v>8</v>
      </c>
      <c r="F968" s="1">
        <v>35</v>
      </c>
    </row>
    <row r="969" spans="1:6" x14ac:dyDescent="0.35">
      <c r="A969" s="1">
        <v>45433</v>
      </c>
      <c r="B969" s="2">
        <v>46261</v>
      </c>
      <c r="C969" s="1" t="s">
        <v>15</v>
      </c>
      <c r="D969" s="1">
        <v>2026</v>
      </c>
      <c r="E969" s="1">
        <v>8</v>
      </c>
      <c r="F969" s="1">
        <v>35</v>
      </c>
    </row>
    <row r="970" spans="1:6" x14ac:dyDescent="0.35">
      <c r="A970" s="1">
        <v>45432</v>
      </c>
      <c r="B970" s="2">
        <v>46261</v>
      </c>
      <c r="C970" s="1" t="s">
        <v>15</v>
      </c>
      <c r="D970" s="1">
        <v>2026</v>
      </c>
      <c r="E970" s="1">
        <v>8</v>
      </c>
      <c r="F970" s="1">
        <v>35</v>
      </c>
    </row>
    <row r="971" spans="1:6" x14ac:dyDescent="0.35">
      <c r="A971" s="1">
        <v>45431</v>
      </c>
      <c r="B971" s="2">
        <v>46261</v>
      </c>
      <c r="C971" s="1" t="s">
        <v>9</v>
      </c>
      <c r="D971" s="1">
        <v>2026</v>
      </c>
      <c r="E971" s="1">
        <v>8</v>
      </c>
      <c r="F971" s="1">
        <v>35</v>
      </c>
    </row>
    <row r="972" spans="1:6" x14ac:dyDescent="0.35">
      <c r="A972" s="1">
        <v>45430</v>
      </c>
      <c r="B972" s="2">
        <v>46261</v>
      </c>
      <c r="C972" s="1" t="s">
        <v>9</v>
      </c>
      <c r="D972" s="1">
        <v>2026</v>
      </c>
      <c r="E972" s="1">
        <v>8</v>
      </c>
      <c r="F972" s="1">
        <v>35</v>
      </c>
    </row>
    <row r="973" spans="1:6" x14ac:dyDescent="0.35">
      <c r="A973" s="1">
        <v>45429</v>
      </c>
      <c r="B973" s="2">
        <v>46261</v>
      </c>
      <c r="C973" s="1" t="s">
        <v>9</v>
      </c>
      <c r="D973" s="1">
        <v>2026</v>
      </c>
      <c r="E973" s="1">
        <v>8</v>
      </c>
      <c r="F973" s="1">
        <v>35</v>
      </c>
    </row>
    <row r="974" spans="1:6" x14ac:dyDescent="0.35">
      <c r="A974" s="1">
        <v>45428</v>
      </c>
      <c r="B974" s="2">
        <v>46261</v>
      </c>
      <c r="C974" s="1" t="s">
        <v>9</v>
      </c>
      <c r="D974" s="1">
        <v>2026</v>
      </c>
      <c r="E974" s="1">
        <v>8</v>
      </c>
      <c r="F974" s="1">
        <v>35</v>
      </c>
    </row>
    <row r="975" spans="1:6" x14ac:dyDescent="0.35">
      <c r="A975" s="1">
        <v>45427</v>
      </c>
      <c r="B975" s="2">
        <v>46261</v>
      </c>
      <c r="C975" s="1" t="s">
        <v>6</v>
      </c>
      <c r="D975" s="1">
        <v>2026</v>
      </c>
      <c r="E975" s="1">
        <v>8</v>
      </c>
      <c r="F975" s="1">
        <v>35</v>
      </c>
    </row>
    <row r="976" spans="1:6" x14ac:dyDescent="0.35">
      <c r="A976" s="1">
        <v>45426</v>
      </c>
      <c r="B976" s="2">
        <v>46261</v>
      </c>
      <c r="C976" s="1" t="s">
        <v>6</v>
      </c>
      <c r="D976" s="1">
        <v>2026</v>
      </c>
      <c r="E976" s="1">
        <v>8</v>
      </c>
      <c r="F976" s="1">
        <v>35</v>
      </c>
    </row>
    <row r="977" spans="1:6" x14ac:dyDescent="0.35">
      <c r="A977" s="1">
        <v>45398</v>
      </c>
      <c r="B977" s="2">
        <v>46261</v>
      </c>
      <c r="C977" s="1" t="s">
        <v>3</v>
      </c>
      <c r="D977" s="1">
        <v>2026</v>
      </c>
      <c r="E977" s="1">
        <v>8</v>
      </c>
      <c r="F977" s="1">
        <v>35</v>
      </c>
    </row>
    <row r="978" spans="1:6" x14ac:dyDescent="0.35">
      <c r="A978" s="1">
        <v>45397</v>
      </c>
      <c r="B978" s="2">
        <v>46261</v>
      </c>
      <c r="C978" s="1" t="s">
        <v>3</v>
      </c>
      <c r="D978" s="1">
        <v>2026</v>
      </c>
      <c r="E978" s="1">
        <v>8</v>
      </c>
      <c r="F978" s="1">
        <v>35</v>
      </c>
    </row>
    <row r="979" spans="1:6" x14ac:dyDescent="0.35">
      <c r="A979" s="1">
        <v>45396</v>
      </c>
      <c r="B979" s="2">
        <v>46261</v>
      </c>
      <c r="C979" s="1" t="s">
        <v>3</v>
      </c>
      <c r="D979" s="1">
        <v>2026</v>
      </c>
      <c r="E979" s="1">
        <v>8</v>
      </c>
      <c r="F979" s="1">
        <v>35</v>
      </c>
    </row>
    <row r="980" spans="1:6" x14ac:dyDescent="0.35">
      <c r="A980" s="1">
        <v>45394</v>
      </c>
      <c r="B980" s="2">
        <v>46261</v>
      </c>
      <c r="C980" s="1" t="s">
        <v>23</v>
      </c>
      <c r="D980" s="1">
        <v>2026</v>
      </c>
      <c r="E980" s="1">
        <v>8</v>
      </c>
      <c r="F980" s="1">
        <v>35</v>
      </c>
    </row>
    <row r="981" spans="1:6" x14ac:dyDescent="0.35">
      <c r="A981" s="1">
        <v>45393</v>
      </c>
      <c r="B981" s="2">
        <v>46261</v>
      </c>
      <c r="C981" s="1" t="s">
        <v>23</v>
      </c>
      <c r="D981" s="1">
        <v>2026</v>
      </c>
      <c r="E981" s="1">
        <v>8</v>
      </c>
      <c r="F981" s="1">
        <v>35</v>
      </c>
    </row>
    <row r="982" spans="1:6" x14ac:dyDescent="0.35">
      <c r="A982" s="1">
        <v>45484</v>
      </c>
      <c r="B982" s="2">
        <v>46262</v>
      </c>
      <c r="C982" s="1" t="s">
        <v>4</v>
      </c>
      <c r="D982" s="1">
        <v>2026</v>
      </c>
      <c r="E982" s="1">
        <v>8</v>
      </c>
      <c r="F982" s="1">
        <v>35</v>
      </c>
    </row>
    <row r="983" spans="1:6" x14ac:dyDescent="0.35">
      <c r="A983" s="1">
        <v>45483</v>
      </c>
      <c r="B983" s="2">
        <v>46262</v>
      </c>
      <c r="C983" s="1" t="s">
        <v>4</v>
      </c>
      <c r="D983" s="1">
        <v>2026</v>
      </c>
      <c r="E983" s="1">
        <v>8</v>
      </c>
      <c r="F983" s="1">
        <v>35</v>
      </c>
    </row>
    <row r="984" spans="1:6" x14ac:dyDescent="0.35">
      <c r="A984" s="1">
        <v>45482</v>
      </c>
      <c r="B984" s="2">
        <v>46262</v>
      </c>
      <c r="C984" s="1" t="s">
        <v>4</v>
      </c>
      <c r="D984" s="1">
        <v>2026</v>
      </c>
      <c r="E984" s="1">
        <v>8</v>
      </c>
      <c r="F984" s="1">
        <v>35</v>
      </c>
    </row>
    <row r="985" spans="1:6" x14ac:dyDescent="0.35">
      <c r="A985" s="1">
        <v>45479</v>
      </c>
      <c r="B985" s="2">
        <v>46262</v>
      </c>
      <c r="C985" s="1" t="s">
        <v>23</v>
      </c>
      <c r="D985" s="1">
        <v>2026</v>
      </c>
      <c r="E985" s="1">
        <v>8</v>
      </c>
      <c r="F985" s="1">
        <v>35</v>
      </c>
    </row>
    <row r="986" spans="1:6" x14ac:dyDescent="0.35">
      <c r="A986" s="1">
        <v>45478</v>
      </c>
      <c r="B986" s="2">
        <v>46262</v>
      </c>
      <c r="C986" s="1" t="s">
        <v>23</v>
      </c>
      <c r="D986" s="1">
        <v>2026</v>
      </c>
      <c r="E986" s="1">
        <v>8</v>
      </c>
      <c r="F986" s="1">
        <v>35</v>
      </c>
    </row>
    <row r="987" spans="1:6" x14ac:dyDescent="0.35">
      <c r="A987" s="1">
        <v>45477</v>
      </c>
      <c r="B987" s="2">
        <v>46262</v>
      </c>
      <c r="C987" s="1" t="s">
        <v>7</v>
      </c>
      <c r="D987" s="1">
        <v>2026</v>
      </c>
      <c r="E987" s="1">
        <v>8</v>
      </c>
      <c r="F987" s="1">
        <v>35</v>
      </c>
    </row>
    <row r="988" spans="1:6" x14ac:dyDescent="0.35">
      <c r="A988" s="1">
        <v>45475</v>
      </c>
      <c r="B988" s="2">
        <v>46262</v>
      </c>
      <c r="C988" s="1" t="s">
        <v>7</v>
      </c>
      <c r="D988" s="1">
        <v>2026</v>
      </c>
      <c r="E988" s="1">
        <v>8</v>
      </c>
      <c r="F988" s="1">
        <v>35</v>
      </c>
    </row>
    <row r="989" spans="1:6" x14ac:dyDescent="0.35">
      <c r="A989" s="1">
        <v>45473</v>
      </c>
      <c r="B989" s="2">
        <v>46262</v>
      </c>
      <c r="C989" s="1" t="s">
        <v>5</v>
      </c>
      <c r="D989" s="1">
        <v>2026</v>
      </c>
      <c r="E989" s="1">
        <v>8</v>
      </c>
      <c r="F989" s="1">
        <v>35</v>
      </c>
    </row>
    <row r="990" spans="1:6" x14ac:dyDescent="0.35">
      <c r="A990" s="1">
        <v>45471</v>
      </c>
      <c r="B990" s="2">
        <v>46262</v>
      </c>
      <c r="C990" s="1" t="s">
        <v>5</v>
      </c>
      <c r="D990" s="1">
        <v>2026</v>
      </c>
      <c r="E990" s="1">
        <v>8</v>
      </c>
      <c r="F990" s="1">
        <v>35</v>
      </c>
    </row>
    <row r="991" spans="1:6" x14ac:dyDescent="0.35">
      <c r="A991" s="1">
        <v>45469</v>
      </c>
      <c r="B991" s="2">
        <v>46262</v>
      </c>
      <c r="C991" s="1" t="s">
        <v>5</v>
      </c>
      <c r="D991" s="1">
        <v>2026</v>
      </c>
      <c r="E991" s="1">
        <v>8</v>
      </c>
      <c r="F991" s="1">
        <v>35</v>
      </c>
    </row>
    <row r="992" spans="1:6" x14ac:dyDescent="0.35">
      <c r="A992" s="1">
        <v>45468</v>
      </c>
      <c r="B992" s="2">
        <v>46262</v>
      </c>
      <c r="C992" s="1" t="s">
        <v>5</v>
      </c>
      <c r="D992" s="1">
        <v>2026</v>
      </c>
      <c r="E992" s="1">
        <v>8</v>
      </c>
      <c r="F992" s="1">
        <v>35</v>
      </c>
    </row>
    <row r="993" spans="1:6" x14ac:dyDescent="0.35">
      <c r="A993" s="1">
        <v>45466</v>
      </c>
      <c r="B993" s="2">
        <v>46262</v>
      </c>
      <c r="C993" s="1" t="s">
        <v>5</v>
      </c>
      <c r="D993" s="1">
        <v>2026</v>
      </c>
      <c r="E993" s="1">
        <v>8</v>
      </c>
      <c r="F993" s="1">
        <v>35</v>
      </c>
    </row>
    <row r="994" spans="1:6" x14ac:dyDescent="0.35">
      <c r="A994" s="1">
        <v>45464</v>
      </c>
      <c r="B994" s="2">
        <v>46262</v>
      </c>
      <c r="C994" s="1" t="s">
        <v>5</v>
      </c>
      <c r="D994" s="1">
        <v>2026</v>
      </c>
      <c r="E994" s="1">
        <v>8</v>
      </c>
      <c r="F994" s="1">
        <v>35</v>
      </c>
    </row>
    <row r="995" spans="1:6" x14ac:dyDescent="0.35">
      <c r="A995" s="1">
        <v>45461</v>
      </c>
      <c r="B995" s="2">
        <v>46262</v>
      </c>
      <c r="C995" s="1" t="s">
        <v>5</v>
      </c>
      <c r="D995" s="1">
        <v>2026</v>
      </c>
      <c r="E995" s="1">
        <v>8</v>
      </c>
      <c r="F995" s="1">
        <v>35</v>
      </c>
    </row>
    <row r="996" spans="1:6" x14ac:dyDescent="0.35">
      <c r="A996" s="1">
        <v>45459</v>
      </c>
      <c r="B996" s="2">
        <v>46262</v>
      </c>
      <c r="C996" s="1" t="s">
        <v>5</v>
      </c>
      <c r="D996" s="1">
        <v>2026</v>
      </c>
      <c r="E996" s="1">
        <v>8</v>
      </c>
      <c r="F996" s="1">
        <v>35</v>
      </c>
    </row>
    <row r="997" spans="1:6" x14ac:dyDescent="0.35">
      <c r="A997" s="1">
        <v>45458</v>
      </c>
      <c r="B997" s="2">
        <v>46262</v>
      </c>
      <c r="C997" s="1" t="s">
        <v>5</v>
      </c>
      <c r="D997" s="1">
        <v>2026</v>
      </c>
      <c r="E997" s="1">
        <v>8</v>
      </c>
      <c r="F997" s="1">
        <v>35</v>
      </c>
    </row>
    <row r="998" spans="1:6" x14ac:dyDescent="0.35">
      <c r="A998" s="1">
        <v>45456</v>
      </c>
      <c r="B998" s="2">
        <v>46262</v>
      </c>
      <c r="C998" s="1" t="s">
        <v>8</v>
      </c>
      <c r="D998" s="1">
        <v>2026</v>
      </c>
      <c r="E998" s="1">
        <v>8</v>
      </c>
      <c r="F998" s="1">
        <v>35</v>
      </c>
    </row>
    <row r="999" spans="1:6" x14ac:dyDescent="0.35">
      <c r="A999" s="1">
        <v>45455</v>
      </c>
      <c r="B999" s="2">
        <v>46262</v>
      </c>
      <c r="C999" s="1" t="s">
        <v>8</v>
      </c>
      <c r="D999" s="1">
        <v>2026</v>
      </c>
      <c r="E999" s="1">
        <v>8</v>
      </c>
      <c r="F999" s="1">
        <v>35</v>
      </c>
    </row>
    <row r="1000" spans="1:6" x14ac:dyDescent="0.35">
      <c r="A1000" s="1">
        <v>45453</v>
      </c>
      <c r="B1000" s="2">
        <v>46262</v>
      </c>
      <c r="C1000" s="1" t="s">
        <v>24</v>
      </c>
      <c r="D1000" s="1">
        <v>2026</v>
      </c>
      <c r="E1000" s="1">
        <v>8</v>
      </c>
      <c r="F1000" s="1">
        <v>35</v>
      </c>
    </row>
    <row r="1001" spans="1:6" x14ac:dyDescent="0.35">
      <c r="A1001" s="1">
        <v>45452</v>
      </c>
      <c r="B1001" s="2">
        <v>46262</v>
      </c>
      <c r="C1001" s="1" t="s">
        <v>24</v>
      </c>
      <c r="D1001" s="1">
        <v>2026</v>
      </c>
      <c r="E1001" s="1">
        <v>8</v>
      </c>
      <c r="F1001" s="1">
        <v>35</v>
      </c>
    </row>
    <row r="1002" spans="1:6" x14ac:dyDescent="0.35">
      <c r="A1002" s="1">
        <v>45451</v>
      </c>
      <c r="B1002" s="2">
        <v>46262</v>
      </c>
      <c r="C1002" s="1" t="s">
        <v>24</v>
      </c>
      <c r="D1002" s="1">
        <v>2026</v>
      </c>
      <c r="E1002" s="1">
        <v>8</v>
      </c>
      <c r="F1002" s="1">
        <v>35</v>
      </c>
    </row>
    <row r="1003" spans="1:6" x14ac:dyDescent="0.35">
      <c r="A1003" s="1">
        <v>45450</v>
      </c>
      <c r="B1003" s="2">
        <v>46262</v>
      </c>
      <c r="C1003" s="1" t="s">
        <v>24</v>
      </c>
      <c r="D1003" s="1">
        <v>2026</v>
      </c>
      <c r="E1003" s="1">
        <v>8</v>
      </c>
      <c r="F1003" s="1">
        <v>35</v>
      </c>
    </row>
    <row r="1004" spans="1:6" x14ac:dyDescent="0.35">
      <c r="A1004" s="1">
        <v>45449</v>
      </c>
      <c r="B1004" s="2">
        <v>46262</v>
      </c>
      <c r="C1004" s="1" t="s">
        <v>24</v>
      </c>
      <c r="D1004" s="1">
        <v>2026</v>
      </c>
      <c r="E1004" s="1">
        <v>8</v>
      </c>
      <c r="F1004" s="1">
        <v>35</v>
      </c>
    </row>
    <row r="1005" spans="1:6" x14ac:dyDescent="0.35">
      <c r="A1005" s="1">
        <v>45446</v>
      </c>
      <c r="B1005" s="2">
        <v>46262</v>
      </c>
      <c r="C1005" s="1" t="s">
        <v>17</v>
      </c>
      <c r="D1005" s="1">
        <v>2026</v>
      </c>
      <c r="E1005" s="1">
        <v>8</v>
      </c>
      <c r="F1005" s="1">
        <v>35</v>
      </c>
    </row>
    <row r="1006" spans="1:6" x14ac:dyDescent="0.35">
      <c r="A1006" s="1">
        <v>45443</v>
      </c>
      <c r="B1006" s="2">
        <v>46262</v>
      </c>
      <c r="C1006" s="1" t="s">
        <v>17</v>
      </c>
      <c r="D1006" s="1">
        <v>2026</v>
      </c>
      <c r="E1006" s="1">
        <v>8</v>
      </c>
      <c r="F1006" s="1">
        <v>35</v>
      </c>
    </row>
    <row r="1007" spans="1:6" x14ac:dyDescent="0.35">
      <c r="A1007" s="1">
        <v>45442</v>
      </c>
      <c r="B1007" s="2">
        <v>46262</v>
      </c>
      <c r="C1007" s="1" t="s">
        <v>4</v>
      </c>
      <c r="D1007" s="1">
        <v>2026</v>
      </c>
      <c r="E1007" s="1">
        <v>8</v>
      </c>
      <c r="F1007" s="1">
        <v>35</v>
      </c>
    </row>
    <row r="1008" spans="1:6" x14ac:dyDescent="0.35">
      <c r="A1008" s="1">
        <v>45441</v>
      </c>
      <c r="B1008" s="2">
        <v>46262</v>
      </c>
      <c r="C1008" s="1" t="s">
        <v>4</v>
      </c>
      <c r="D1008" s="1">
        <v>2026</v>
      </c>
      <c r="E1008" s="1">
        <v>8</v>
      </c>
      <c r="F1008" s="1">
        <v>35</v>
      </c>
    </row>
    <row r="1009" spans="1:6" x14ac:dyDescent="0.35">
      <c r="A1009" s="1">
        <v>45440</v>
      </c>
      <c r="B1009" s="2">
        <v>46262</v>
      </c>
      <c r="C1009" s="1" t="s">
        <v>19</v>
      </c>
      <c r="D1009" s="1">
        <v>2026</v>
      </c>
      <c r="E1009" s="1">
        <v>8</v>
      </c>
      <c r="F1009" s="1">
        <v>35</v>
      </c>
    </row>
    <row r="1010" spans="1:6" x14ac:dyDescent="0.35">
      <c r="A1010" s="1">
        <v>45439</v>
      </c>
      <c r="B1010" s="2">
        <v>46262</v>
      </c>
      <c r="C1010" s="1" t="s">
        <v>19</v>
      </c>
      <c r="D1010" s="1">
        <v>2026</v>
      </c>
      <c r="E1010" s="1">
        <v>8</v>
      </c>
      <c r="F1010" s="1">
        <v>35</v>
      </c>
    </row>
    <row r="1011" spans="1:6" x14ac:dyDescent="0.35">
      <c r="A1011" s="1">
        <v>45438</v>
      </c>
      <c r="B1011" s="2">
        <v>46262</v>
      </c>
      <c r="C1011" s="1" t="s">
        <v>19</v>
      </c>
      <c r="D1011" s="1">
        <v>2026</v>
      </c>
      <c r="E1011" s="1">
        <v>8</v>
      </c>
      <c r="F1011" s="1">
        <v>35</v>
      </c>
    </row>
    <row r="1012" spans="1:6" x14ac:dyDescent="0.35">
      <c r="A1012" s="1">
        <v>45501</v>
      </c>
      <c r="B1012" s="2">
        <v>46262</v>
      </c>
      <c r="C1012" s="1" t="s">
        <v>10</v>
      </c>
      <c r="D1012" s="1">
        <v>2026</v>
      </c>
      <c r="E1012" s="1">
        <v>8</v>
      </c>
      <c r="F1012" s="1">
        <v>35</v>
      </c>
    </row>
    <row r="1013" spans="1:6" x14ac:dyDescent="0.35">
      <c r="A1013" s="1">
        <v>45500</v>
      </c>
      <c r="B1013" s="2">
        <v>46262</v>
      </c>
      <c r="C1013" s="1" t="s">
        <v>10</v>
      </c>
      <c r="D1013" s="1">
        <v>2026</v>
      </c>
      <c r="E1013" s="1">
        <v>8</v>
      </c>
      <c r="F1013" s="1">
        <v>35</v>
      </c>
    </row>
    <row r="1014" spans="1:6" x14ac:dyDescent="0.35">
      <c r="A1014" s="1">
        <v>45499</v>
      </c>
      <c r="B1014" s="2">
        <v>46262</v>
      </c>
      <c r="C1014" s="1" t="s">
        <v>3</v>
      </c>
      <c r="D1014" s="1">
        <v>2026</v>
      </c>
      <c r="E1014" s="1">
        <v>8</v>
      </c>
      <c r="F1014" s="1">
        <v>35</v>
      </c>
    </row>
    <row r="1015" spans="1:6" x14ac:dyDescent="0.35">
      <c r="A1015" s="1">
        <v>45498</v>
      </c>
      <c r="B1015" s="2">
        <v>46262</v>
      </c>
      <c r="C1015" s="1" t="s">
        <v>3</v>
      </c>
      <c r="D1015" s="1">
        <v>2026</v>
      </c>
      <c r="E1015" s="1">
        <v>8</v>
      </c>
      <c r="F1015" s="1">
        <v>35</v>
      </c>
    </row>
    <row r="1016" spans="1:6" x14ac:dyDescent="0.35">
      <c r="A1016" s="1">
        <v>45497</v>
      </c>
      <c r="B1016" s="2">
        <v>46262</v>
      </c>
      <c r="C1016" s="1" t="s">
        <v>3</v>
      </c>
      <c r="D1016" s="1">
        <v>2026</v>
      </c>
      <c r="E1016" s="1">
        <v>8</v>
      </c>
      <c r="F1016" s="1">
        <v>35</v>
      </c>
    </row>
    <row r="1017" spans="1:6" x14ac:dyDescent="0.35">
      <c r="A1017" s="1">
        <v>45496</v>
      </c>
      <c r="B1017" s="2">
        <v>46262</v>
      </c>
      <c r="C1017" s="1" t="s">
        <v>3</v>
      </c>
      <c r="D1017" s="1">
        <v>2026</v>
      </c>
      <c r="E1017" s="1">
        <v>8</v>
      </c>
      <c r="F1017" s="1">
        <v>35</v>
      </c>
    </row>
    <row r="1018" spans="1:6" x14ac:dyDescent="0.35">
      <c r="A1018" s="1">
        <v>45495</v>
      </c>
      <c r="B1018" s="2">
        <v>46262</v>
      </c>
      <c r="C1018" s="1" t="s">
        <v>9</v>
      </c>
      <c r="D1018" s="1">
        <v>2026</v>
      </c>
      <c r="E1018" s="1">
        <v>8</v>
      </c>
      <c r="F1018" s="1">
        <v>35</v>
      </c>
    </row>
    <row r="1019" spans="1:6" x14ac:dyDescent="0.35">
      <c r="A1019" s="1">
        <v>45494</v>
      </c>
      <c r="B1019" s="2">
        <v>46262</v>
      </c>
      <c r="C1019" s="1" t="s">
        <v>9</v>
      </c>
      <c r="D1019" s="1">
        <v>2026</v>
      </c>
      <c r="E1019" s="1">
        <v>8</v>
      </c>
      <c r="F1019" s="1">
        <v>35</v>
      </c>
    </row>
    <row r="1020" spans="1:6" x14ac:dyDescent="0.35">
      <c r="A1020" s="1">
        <v>45493</v>
      </c>
      <c r="B1020" s="2">
        <v>46262</v>
      </c>
      <c r="C1020" s="1" t="s">
        <v>9</v>
      </c>
      <c r="D1020" s="1">
        <v>2026</v>
      </c>
      <c r="E1020" s="1">
        <v>8</v>
      </c>
      <c r="F1020" s="1">
        <v>35</v>
      </c>
    </row>
    <row r="1021" spans="1:6" x14ac:dyDescent="0.35">
      <c r="A1021" s="1">
        <v>45492</v>
      </c>
      <c r="B1021" s="2">
        <v>46262</v>
      </c>
      <c r="C1021" s="1" t="s">
        <v>6</v>
      </c>
      <c r="D1021" s="1">
        <v>2026</v>
      </c>
      <c r="E1021" s="1">
        <v>8</v>
      </c>
      <c r="F1021" s="1">
        <v>35</v>
      </c>
    </row>
    <row r="1022" spans="1:6" x14ac:dyDescent="0.35">
      <c r="A1022" s="1">
        <v>45491</v>
      </c>
      <c r="B1022" s="2">
        <v>46262</v>
      </c>
      <c r="C1022" s="1" t="s">
        <v>6</v>
      </c>
      <c r="D1022" s="1">
        <v>2026</v>
      </c>
      <c r="E1022" s="1">
        <v>8</v>
      </c>
      <c r="F1022" s="1">
        <v>35</v>
      </c>
    </row>
    <row r="1023" spans="1:6" x14ac:dyDescent="0.35">
      <c r="A1023" s="1">
        <v>45510</v>
      </c>
      <c r="B1023" s="2">
        <v>46263</v>
      </c>
      <c r="C1023" s="1" t="s">
        <v>23</v>
      </c>
      <c r="D1023" s="1">
        <v>2026</v>
      </c>
      <c r="E1023" s="1">
        <v>8</v>
      </c>
      <c r="F1023" s="1">
        <v>35</v>
      </c>
    </row>
    <row r="1024" spans="1:6" x14ac:dyDescent="0.35">
      <c r="A1024" s="1">
        <v>45509</v>
      </c>
      <c r="B1024" s="2">
        <v>46263</v>
      </c>
      <c r="C1024" s="1" t="s">
        <v>23</v>
      </c>
      <c r="D1024" s="1">
        <v>2026</v>
      </c>
      <c r="E1024" s="1">
        <v>8</v>
      </c>
      <c r="F1024" s="1">
        <v>35</v>
      </c>
    </row>
    <row r="1025" spans="1:6" x14ac:dyDescent="0.35">
      <c r="A1025" s="1">
        <v>45508</v>
      </c>
      <c r="B1025" s="2">
        <v>46263</v>
      </c>
      <c r="C1025" s="1" t="s">
        <v>6</v>
      </c>
      <c r="D1025" s="1">
        <v>2026</v>
      </c>
      <c r="E1025" s="1">
        <v>8</v>
      </c>
      <c r="F1025" s="1">
        <v>35</v>
      </c>
    </row>
    <row r="1026" spans="1:6" x14ac:dyDescent="0.35">
      <c r="A1026" s="1">
        <v>45507</v>
      </c>
      <c r="B1026" s="2">
        <v>46263</v>
      </c>
      <c r="C1026" s="1" t="s">
        <v>6</v>
      </c>
      <c r="D1026" s="1">
        <v>2026</v>
      </c>
      <c r="E1026" s="1">
        <v>8</v>
      </c>
      <c r="F1026" s="1">
        <v>35</v>
      </c>
    </row>
    <row r="1027" spans="1:6" x14ac:dyDescent="0.35">
      <c r="A1027" s="1">
        <v>45506</v>
      </c>
      <c r="B1027" s="2">
        <v>46263</v>
      </c>
      <c r="C1027" s="1" t="s">
        <v>10</v>
      </c>
      <c r="D1027" s="1">
        <v>2026</v>
      </c>
      <c r="E1027" s="1">
        <v>8</v>
      </c>
      <c r="F1027" s="1">
        <v>35</v>
      </c>
    </row>
    <row r="1028" spans="1:6" x14ac:dyDescent="0.35">
      <c r="A1028" s="1">
        <v>45505</v>
      </c>
      <c r="B1028" s="2">
        <v>46263</v>
      </c>
      <c r="C1028" s="1" t="s">
        <v>10</v>
      </c>
      <c r="D1028" s="1">
        <v>2026</v>
      </c>
      <c r="E1028" s="1">
        <v>8</v>
      </c>
      <c r="F1028" s="1">
        <v>35</v>
      </c>
    </row>
    <row r="1029" spans="1:6" x14ac:dyDescent="0.35">
      <c r="A1029" s="1">
        <v>45504</v>
      </c>
      <c r="B1029" s="2">
        <v>46263</v>
      </c>
      <c r="C1029" s="1" t="s">
        <v>15</v>
      </c>
      <c r="D1029" s="1">
        <v>2026</v>
      </c>
      <c r="E1029" s="1">
        <v>8</v>
      </c>
      <c r="F1029" s="1">
        <v>35</v>
      </c>
    </row>
    <row r="1030" spans="1:6" x14ac:dyDescent="0.35">
      <c r="A1030" s="1">
        <v>45503</v>
      </c>
      <c r="B1030" s="2">
        <v>46263</v>
      </c>
      <c r="C1030" s="1" t="s">
        <v>8</v>
      </c>
      <c r="D1030" s="1">
        <v>2026</v>
      </c>
      <c r="E1030" s="1">
        <v>8</v>
      </c>
      <c r="F1030" s="1">
        <v>35</v>
      </c>
    </row>
    <row r="1031" spans="1:6" x14ac:dyDescent="0.35">
      <c r="A1031" s="1">
        <v>45502</v>
      </c>
      <c r="B1031" s="2">
        <v>46263</v>
      </c>
      <c r="C1031" s="1" t="s">
        <v>8</v>
      </c>
      <c r="D1031" s="1">
        <v>2026</v>
      </c>
      <c r="E1031" s="1">
        <v>8</v>
      </c>
      <c r="F1031" s="1">
        <v>35</v>
      </c>
    </row>
    <row r="1032" spans="1:6" x14ac:dyDescent="0.35">
      <c r="A1032" s="1">
        <v>45531</v>
      </c>
      <c r="B1032" s="2">
        <v>46264</v>
      </c>
      <c r="C1032" s="1" t="s">
        <v>17</v>
      </c>
      <c r="D1032" s="1">
        <v>2026</v>
      </c>
      <c r="E1032" s="1">
        <v>8</v>
      </c>
      <c r="F1032" s="1">
        <v>36</v>
      </c>
    </row>
    <row r="1033" spans="1:6" x14ac:dyDescent="0.35">
      <c r="A1033" s="1">
        <v>45530</v>
      </c>
      <c r="B1033" s="2">
        <v>46264</v>
      </c>
      <c r="C1033" s="1" t="s">
        <v>17</v>
      </c>
      <c r="D1033" s="1">
        <v>2026</v>
      </c>
      <c r="E1033" s="1">
        <v>8</v>
      </c>
      <c r="F1033" s="1">
        <v>36</v>
      </c>
    </row>
    <row r="1034" spans="1:6" x14ac:dyDescent="0.35">
      <c r="A1034" s="1">
        <v>45533</v>
      </c>
      <c r="B1034" s="2">
        <v>46265</v>
      </c>
      <c r="C1034" s="1" t="s">
        <v>8</v>
      </c>
      <c r="D1034" s="1">
        <v>2026</v>
      </c>
      <c r="E1034" s="1">
        <v>8</v>
      </c>
      <c r="F1034" s="1">
        <v>36</v>
      </c>
    </row>
    <row r="1035" spans="1:6" x14ac:dyDescent="0.35">
      <c r="A1035" s="1">
        <v>45532</v>
      </c>
      <c r="B1035" s="2">
        <v>46265</v>
      </c>
      <c r="C1035" s="1" t="s">
        <v>8</v>
      </c>
      <c r="D1035" s="1">
        <v>2026</v>
      </c>
      <c r="E1035" s="1">
        <v>8</v>
      </c>
      <c r="F1035" s="1">
        <v>36</v>
      </c>
    </row>
    <row r="1036" spans="1:6" x14ac:dyDescent="0.35">
      <c r="A1036" s="1">
        <v>45607</v>
      </c>
      <c r="B1036" s="2">
        <v>46265</v>
      </c>
      <c r="C1036" s="1" t="s">
        <v>9</v>
      </c>
      <c r="D1036" s="1">
        <v>2026</v>
      </c>
      <c r="E1036" s="1">
        <v>8</v>
      </c>
      <c r="F1036" s="1">
        <v>36</v>
      </c>
    </row>
    <row r="1037" spans="1:6" x14ac:dyDescent="0.35">
      <c r="A1037" s="1">
        <v>45606</v>
      </c>
      <c r="B1037" s="2">
        <v>46265</v>
      </c>
      <c r="C1037" s="1" t="s">
        <v>9</v>
      </c>
      <c r="D1037" s="1">
        <v>2026</v>
      </c>
      <c r="E1037" s="1">
        <v>8</v>
      </c>
      <c r="F1037" s="1">
        <v>36</v>
      </c>
    </row>
    <row r="1038" spans="1:6" x14ac:dyDescent="0.35">
      <c r="A1038" s="1">
        <v>45605</v>
      </c>
      <c r="B1038" s="2">
        <v>46265</v>
      </c>
      <c r="C1038" s="1" t="s">
        <v>9</v>
      </c>
      <c r="D1038" s="1">
        <v>2026</v>
      </c>
      <c r="E1038" s="1">
        <v>8</v>
      </c>
      <c r="F1038" s="1">
        <v>36</v>
      </c>
    </row>
    <row r="1039" spans="1:6" x14ac:dyDescent="0.35">
      <c r="A1039" s="1">
        <v>45604</v>
      </c>
      <c r="B1039" s="2">
        <v>46265</v>
      </c>
      <c r="C1039" s="1" t="s">
        <v>9</v>
      </c>
      <c r="D1039" s="1">
        <v>2026</v>
      </c>
      <c r="E1039" s="1">
        <v>8</v>
      </c>
      <c r="F1039" s="1">
        <v>36</v>
      </c>
    </row>
    <row r="1040" spans="1:6" x14ac:dyDescent="0.35">
      <c r="A1040" s="1">
        <v>45603</v>
      </c>
      <c r="B1040" s="2">
        <v>46265</v>
      </c>
      <c r="C1040" s="1" t="s">
        <v>9</v>
      </c>
      <c r="D1040" s="1">
        <v>2026</v>
      </c>
      <c r="E1040" s="1">
        <v>8</v>
      </c>
      <c r="F1040" s="1">
        <v>36</v>
      </c>
    </row>
    <row r="1041" spans="1:6" x14ac:dyDescent="0.35">
      <c r="A1041" s="1">
        <v>45602</v>
      </c>
      <c r="B1041" s="2">
        <v>46265</v>
      </c>
      <c r="C1041" s="1" t="s">
        <v>16</v>
      </c>
      <c r="D1041" s="1">
        <v>2026</v>
      </c>
      <c r="E1041" s="1">
        <v>8</v>
      </c>
      <c r="F1041" s="1">
        <v>36</v>
      </c>
    </row>
    <row r="1042" spans="1:6" x14ac:dyDescent="0.35">
      <c r="A1042" s="1">
        <v>45601</v>
      </c>
      <c r="B1042" s="2">
        <v>46265</v>
      </c>
      <c r="C1042" s="1" t="s">
        <v>16</v>
      </c>
      <c r="D1042" s="1">
        <v>2026</v>
      </c>
      <c r="E1042" s="1">
        <v>8</v>
      </c>
      <c r="F1042" s="1">
        <v>36</v>
      </c>
    </row>
    <row r="1043" spans="1:6" x14ac:dyDescent="0.35">
      <c r="A1043" s="1">
        <v>45599</v>
      </c>
      <c r="B1043" s="2">
        <v>46265</v>
      </c>
      <c r="C1043" s="1" t="s">
        <v>24</v>
      </c>
      <c r="D1043" s="1">
        <v>2026</v>
      </c>
      <c r="E1043" s="1">
        <v>8</v>
      </c>
      <c r="F1043" s="1">
        <v>36</v>
      </c>
    </row>
    <row r="1044" spans="1:6" x14ac:dyDescent="0.35">
      <c r="A1044" s="1">
        <v>45598</v>
      </c>
      <c r="B1044" s="2">
        <v>46265</v>
      </c>
      <c r="C1044" s="1" t="s">
        <v>24</v>
      </c>
      <c r="D1044" s="1">
        <v>2026</v>
      </c>
      <c r="E1044" s="1">
        <v>8</v>
      </c>
      <c r="F1044" s="1">
        <v>36</v>
      </c>
    </row>
    <row r="1045" spans="1:6" x14ac:dyDescent="0.35">
      <c r="A1045" s="1">
        <v>45597</v>
      </c>
      <c r="B1045" s="2">
        <v>46265</v>
      </c>
      <c r="C1045" s="1" t="s">
        <v>24</v>
      </c>
      <c r="D1045" s="1">
        <v>2026</v>
      </c>
      <c r="E1045" s="1">
        <v>8</v>
      </c>
      <c r="F1045" s="1">
        <v>36</v>
      </c>
    </row>
    <row r="1046" spans="1:6" x14ac:dyDescent="0.35">
      <c r="A1046" s="1">
        <v>45596</v>
      </c>
      <c r="B1046" s="2">
        <v>46265</v>
      </c>
      <c r="C1046" s="1" t="s">
        <v>24</v>
      </c>
      <c r="D1046" s="1">
        <v>2026</v>
      </c>
      <c r="E1046" s="1">
        <v>8</v>
      </c>
      <c r="F1046" s="1">
        <v>36</v>
      </c>
    </row>
    <row r="1047" spans="1:6" x14ac:dyDescent="0.35">
      <c r="A1047" s="1">
        <v>45595</v>
      </c>
      <c r="B1047" s="2">
        <v>46265</v>
      </c>
      <c r="C1047" s="1" t="s">
        <v>21</v>
      </c>
      <c r="D1047" s="1">
        <v>2026</v>
      </c>
      <c r="E1047" s="1">
        <v>8</v>
      </c>
      <c r="F1047" s="1">
        <v>36</v>
      </c>
    </row>
    <row r="1048" spans="1:6" x14ac:dyDescent="0.35">
      <c r="A1048" s="1">
        <v>45594</v>
      </c>
      <c r="B1048" s="2">
        <v>46265</v>
      </c>
      <c r="C1048" s="1" t="s">
        <v>24</v>
      </c>
      <c r="D1048" s="1">
        <v>2026</v>
      </c>
      <c r="E1048" s="1">
        <v>8</v>
      </c>
      <c r="F1048" s="1">
        <v>36</v>
      </c>
    </row>
    <row r="1049" spans="1:6" x14ac:dyDescent="0.35">
      <c r="A1049" s="1">
        <v>45593</v>
      </c>
      <c r="B1049" s="2">
        <v>46265</v>
      </c>
      <c r="C1049" s="1" t="s">
        <v>21</v>
      </c>
      <c r="D1049" s="1">
        <v>2026</v>
      </c>
      <c r="E1049" s="1">
        <v>8</v>
      </c>
      <c r="F1049" s="1">
        <v>36</v>
      </c>
    </row>
    <row r="1050" spans="1:6" x14ac:dyDescent="0.35">
      <c r="A1050" s="1">
        <v>45592</v>
      </c>
      <c r="B1050" s="2">
        <v>46265</v>
      </c>
      <c r="C1050" s="1" t="s">
        <v>22</v>
      </c>
      <c r="D1050" s="1">
        <v>2026</v>
      </c>
      <c r="E1050" s="1">
        <v>8</v>
      </c>
      <c r="F1050" s="1">
        <v>36</v>
      </c>
    </row>
    <row r="1051" spans="1:6" x14ac:dyDescent="0.35">
      <c r="A1051" s="1">
        <v>45591</v>
      </c>
      <c r="B1051" s="2">
        <v>46265</v>
      </c>
      <c r="C1051" s="1" t="s">
        <v>22</v>
      </c>
      <c r="D1051" s="1">
        <v>2026</v>
      </c>
      <c r="E1051" s="1">
        <v>8</v>
      </c>
      <c r="F1051" s="1">
        <v>36</v>
      </c>
    </row>
    <row r="1052" spans="1:6" x14ac:dyDescent="0.35">
      <c r="A1052" s="1">
        <v>45590</v>
      </c>
      <c r="B1052" s="2">
        <v>46265</v>
      </c>
      <c r="C1052" s="1" t="s">
        <v>22</v>
      </c>
      <c r="D1052" s="1">
        <v>2026</v>
      </c>
      <c r="E1052" s="1">
        <v>8</v>
      </c>
      <c r="F1052" s="1">
        <v>36</v>
      </c>
    </row>
    <row r="1053" spans="1:6" x14ac:dyDescent="0.35">
      <c r="A1053" s="1">
        <v>45589</v>
      </c>
      <c r="B1053" s="2">
        <v>46265</v>
      </c>
      <c r="C1053" s="1" t="s">
        <v>22</v>
      </c>
      <c r="D1053" s="1">
        <v>2026</v>
      </c>
      <c r="E1053" s="1">
        <v>8</v>
      </c>
      <c r="F1053" s="1">
        <v>36</v>
      </c>
    </row>
    <row r="1054" spans="1:6" x14ac:dyDescent="0.35">
      <c r="A1054" s="1">
        <v>45588</v>
      </c>
      <c r="B1054" s="2">
        <v>46265</v>
      </c>
      <c r="C1054" s="1" t="s">
        <v>22</v>
      </c>
      <c r="D1054" s="1">
        <v>2026</v>
      </c>
      <c r="E1054" s="1">
        <v>8</v>
      </c>
      <c r="F1054" s="1">
        <v>36</v>
      </c>
    </row>
    <row r="1055" spans="1:6" x14ac:dyDescent="0.35">
      <c r="A1055" s="1">
        <v>45587</v>
      </c>
      <c r="B1055" s="2">
        <v>46265</v>
      </c>
      <c r="C1055" s="1" t="s">
        <v>22</v>
      </c>
      <c r="D1055" s="1">
        <v>2026</v>
      </c>
      <c r="E1055" s="1">
        <v>8</v>
      </c>
      <c r="F1055" s="1">
        <v>36</v>
      </c>
    </row>
    <row r="1056" spans="1:6" x14ac:dyDescent="0.35">
      <c r="A1056" s="1">
        <v>45586</v>
      </c>
      <c r="B1056" s="2">
        <v>46265</v>
      </c>
      <c r="C1056" s="1" t="s">
        <v>19</v>
      </c>
      <c r="D1056" s="1">
        <v>2026</v>
      </c>
      <c r="E1056" s="1">
        <v>8</v>
      </c>
      <c r="F1056" s="1">
        <v>36</v>
      </c>
    </row>
    <row r="1057" spans="1:6" x14ac:dyDescent="0.35">
      <c r="A1057" s="1">
        <v>45585</v>
      </c>
      <c r="B1057" s="2">
        <v>46265</v>
      </c>
      <c r="C1057" s="1" t="s">
        <v>22</v>
      </c>
      <c r="D1057" s="1">
        <v>2026</v>
      </c>
      <c r="E1057" s="1">
        <v>8</v>
      </c>
      <c r="F1057" s="1">
        <v>36</v>
      </c>
    </row>
    <row r="1058" spans="1:6" x14ac:dyDescent="0.35">
      <c r="A1058" s="1">
        <v>45584</v>
      </c>
      <c r="B1058" s="2">
        <v>46265</v>
      </c>
      <c r="C1058" s="1" t="s">
        <v>22</v>
      </c>
      <c r="D1058" s="1">
        <v>2026</v>
      </c>
      <c r="E1058" s="1">
        <v>8</v>
      </c>
      <c r="F1058" s="1">
        <v>36</v>
      </c>
    </row>
    <row r="1059" spans="1:6" x14ac:dyDescent="0.35">
      <c r="A1059" s="1">
        <v>45583</v>
      </c>
      <c r="B1059" s="2">
        <v>46265</v>
      </c>
      <c r="C1059" s="1" t="s">
        <v>19</v>
      </c>
      <c r="D1059" s="1">
        <v>2026</v>
      </c>
      <c r="E1059" s="1">
        <v>8</v>
      </c>
      <c r="F1059" s="1">
        <v>36</v>
      </c>
    </row>
    <row r="1060" spans="1:6" x14ac:dyDescent="0.35">
      <c r="A1060" s="1">
        <v>45582</v>
      </c>
      <c r="B1060" s="2">
        <v>46265</v>
      </c>
      <c r="C1060" s="1" t="s">
        <v>22</v>
      </c>
      <c r="D1060" s="1">
        <v>2026</v>
      </c>
      <c r="E1060" s="1">
        <v>8</v>
      </c>
      <c r="F1060" s="1">
        <v>36</v>
      </c>
    </row>
    <row r="1061" spans="1:6" x14ac:dyDescent="0.35">
      <c r="A1061" s="1">
        <v>45581</v>
      </c>
      <c r="B1061" s="2">
        <v>46265</v>
      </c>
      <c r="C1061" s="1" t="s">
        <v>19</v>
      </c>
      <c r="D1061" s="1">
        <v>2026</v>
      </c>
      <c r="E1061" s="1">
        <v>8</v>
      </c>
      <c r="F1061" s="1">
        <v>36</v>
      </c>
    </row>
    <row r="1062" spans="1:6" x14ac:dyDescent="0.35">
      <c r="A1062" s="1">
        <v>45580</v>
      </c>
      <c r="B1062" s="2">
        <v>46265</v>
      </c>
      <c r="C1062" s="1" t="s">
        <v>22</v>
      </c>
      <c r="D1062" s="1">
        <v>2026</v>
      </c>
      <c r="E1062" s="1">
        <v>8</v>
      </c>
      <c r="F1062" s="1">
        <v>36</v>
      </c>
    </row>
    <row r="1063" spans="1:6" x14ac:dyDescent="0.35">
      <c r="A1063" s="1">
        <v>45579</v>
      </c>
      <c r="B1063" s="2">
        <v>46265</v>
      </c>
      <c r="C1063" s="1" t="s">
        <v>19</v>
      </c>
      <c r="D1063" s="1">
        <v>2026</v>
      </c>
      <c r="E1063" s="1">
        <v>8</v>
      </c>
      <c r="F1063" s="1">
        <v>36</v>
      </c>
    </row>
    <row r="1064" spans="1:6" x14ac:dyDescent="0.35">
      <c r="A1064" s="1">
        <v>45578</v>
      </c>
      <c r="B1064" s="2">
        <v>46265</v>
      </c>
      <c r="C1064" s="1" t="s">
        <v>22</v>
      </c>
      <c r="D1064" s="1">
        <v>2026</v>
      </c>
      <c r="E1064" s="1">
        <v>8</v>
      </c>
      <c r="F1064" s="1">
        <v>36</v>
      </c>
    </row>
    <row r="1065" spans="1:6" x14ac:dyDescent="0.35">
      <c r="A1065" s="1">
        <v>45577</v>
      </c>
      <c r="B1065" s="2">
        <v>46265</v>
      </c>
      <c r="C1065" s="1" t="s">
        <v>22</v>
      </c>
      <c r="D1065" s="1">
        <v>2026</v>
      </c>
      <c r="E1065" s="1">
        <v>8</v>
      </c>
      <c r="F1065" s="1">
        <v>36</v>
      </c>
    </row>
    <row r="1066" spans="1:6" x14ac:dyDescent="0.35">
      <c r="A1066" s="1">
        <v>45576</v>
      </c>
      <c r="B1066" s="2">
        <v>46265</v>
      </c>
      <c r="C1066" s="1" t="s">
        <v>7</v>
      </c>
      <c r="D1066" s="1">
        <v>2026</v>
      </c>
      <c r="E1066" s="1">
        <v>8</v>
      </c>
      <c r="F1066" s="1">
        <v>36</v>
      </c>
    </row>
    <row r="1067" spans="1:6" x14ac:dyDescent="0.35">
      <c r="A1067" s="1">
        <v>45575</v>
      </c>
      <c r="B1067" s="2">
        <v>46265</v>
      </c>
      <c r="C1067" s="1" t="s">
        <v>22</v>
      </c>
      <c r="D1067" s="1">
        <v>2026</v>
      </c>
      <c r="E1067" s="1">
        <v>8</v>
      </c>
      <c r="F1067" s="1">
        <v>36</v>
      </c>
    </row>
    <row r="1068" spans="1:6" x14ac:dyDescent="0.35">
      <c r="A1068" s="1">
        <v>45574</v>
      </c>
      <c r="B1068" s="2">
        <v>46265</v>
      </c>
      <c r="C1068" s="1" t="s">
        <v>22</v>
      </c>
      <c r="D1068" s="1">
        <v>2026</v>
      </c>
      <c r="E1068" s="1">
        <v>8</v>
      </c>
      <c r="F1068" s="1">
        <v>36</v>
      </c>
    </row>
    <row r="1069" spans="1:6" x14ac:dyDescent="0.35">
      <c r="A1069" s="1">
        <v>45573</v>
      </c>
      <c r="B1069" s="2">
        <v>46265</v>
      </c>
      <c r="C1069" s="1" t="s">
        <v>22</v>
      </c>
      <c r="D1069" s="1">
        <v>2026</v>
      </c>
      <c r="E1069" s="1">
        <v>8</v>
      </c>
      <c r="F1069" s="1">
        <v>36</v>
      </c>
    </row>
    <row r="1070" spans="1:6" x14ac:dyDescent="0.35">
      <c r="A1070" s="1">
        <v>45572</v>
      </c>
      <c r="B1070" s="2">
        <v>46265</v>
      </c>
      <c r="C1070" s="1" t="s">
        <v>22</v>
      </c>
      <c r="D1070" s="1">
        <v>2026</v>
      </c>
      <c r="E1070" s="1">
        <v>8</v>
      </c>
      <c r="F1070" s="1">
        <v>36</v>
      </c>
    </row>
    <row r="1071" spans="1:6" x14ac:dyDescent="0.35">
      <c r="A1071" s="1">
        <v>45571</v>
      </c>
      <c r="B1071" s="2">
        <v>46265</v>
      </c>
      <c r="C1071" s="1" t="s">
        <v>22</v>
      </c>
      <c r="D1071" s="1">
        <v>2026</v>
      </c>
      <c r="E1071" s="1">
        <v>8</v>
      </c>
      <c r="F1071" s="1">
        <v>36</v>
      </c>
    </row>
    <row r="1072" spans="1:6" x14ac:dyDescent="0.35">
      <c r="A1072" s="1">
        <v>45570</v>
      </c>
      <c r="B1072" s="2">
        <v>46265</v>
      </c>
      <c r="C1072" s="1" t="s">
        <v>7</v>
      </c>
      <c r="D1072" s="1">
        <v>2026</v>
      </c>
      <c r="E1072" s="1">
        <v>8</v>
      </c>
      <c r="F1072" s="1">
        <v>36</v>
      </c>
    </row>
    <row r="1073" spans="1:6" x14ac:dyDescent="0.35">
      <c r="A1073" s="1">
        <v>45569</v>
      </c>
      <c r="B1073" s="2">
        <v>46265</v>
      </c>
      <c r="C1073" s="1" t="s">
        <v>22</v>
      </c>
      <c r="D1073" s="1">
        <v>2026</v>
      </c>
      <c r="E1073" s="1">
        <v>8</v>
      </c>
      <c r="F1073" s="1">
        <v>36</v>
      </c>
    </row>
    <row r="1074" spans="1:6" x14ac:dyDescent="0.35">
      <c r="A1074" s="1">
        <v>45568</v>
      </c>
      <c r="B1074" s="2">
        <v>46265</v>
      </c>
      <c r="C1074" s="1" t="s">
        <v>22</v>
      </c>
      <c r="D1074" s="1">
        <v>2026</v>
      </c>
      <c r="E1074" s="1">
        <v>8</v>
      </c>
      <c r="F1074" s="1">
        <v>36</v>
      </c>
    </row>
    <row r="1075" spans="1:6" x14ac:dyDescent="0.35">
      <c r="A1075" s="1">
        <v>45567</v>
      </c>
      <c r="B1075" s="2">
        <v>46265</v>
      </c>
      <c r="C1075" s="1" t="s">
        <v>22</v>
      </c>
      <c r="D1075" s="1">
        <v>2026</v>
      </c>
      <c r="E1075" s="1">
        <v>8</v>
      </c>
      <c r="F1075" s="1">
        <v>36</v>
      </c>
    </row>
    <row r="1076" spans="1:6" x14ac:dyDescent="0.35">
      <c r="A1076" s="1">
        <v>45566</v>
      </c>
      <c r="B1076" s="2">
        <v>46265</v>
      </c>
      <c r="C1076" s="1" t="s">
        <v>22</v>
      </c>
      <c r="D1076" s="1">
        <v>2026</v>
      </c>
      <c r="E1076" s="1">
        <v>8</v>
      </c>
      <c r="F1076" s="1">
        <v>36</v>
      </c>
    </row>
    <row r="1077" spans="1:6" x14ac:dyDescent="0.35">
      <c r="A1077" s="1">
        <v>45565</v>
      </c>
      <c r="B1077" s="2">
        <v>46265</v>
      </c>
      <c r="C1077" s="1" t="s">
        <v>22</v>
      </c>
      <c r="D1077" s="1">
        <v>2026</v>
      </c>
      <c r="E1077" s="1">
        <v>8</v>
      </c>
      <c r="F1077" s="1">
        <v>36</v>
      </c>
    </row>
    <row r="1078" spans="1:6" x14ac:dyDescent="0.35">
      <c r="A1078" s="1">
        <v>45564</v>
      </c>
      <c r="B1078" s="2">
        <v>46265</v>
      </c>
      <c r="C1078" s="1" t="s">
        <v>22</v>
      </c>
      <c r="D1078" s="1">
        <v>2026</v>
      </c>
      <c r="E1078" s="1">
        <v>8</v>
      </c>
      <c r="F1078" s="1">
        <v>36</v>
      </c>
    </row>
    <row r="1079" spans="1:6" x14ac:dyDescent="0.35">
      <c r="A1079" s="1">
        <v>45563</v>
      </c>
      <c r="B1079" s="2">
        <v>46265</v>
      </c>
      <c r="C1079" s="1" t="s">
        <v>22</v>
      </c>
      <c r="D1079" s="1">
        <v>2026</v>
      </c>
      <c r="E1079" s="1">
        <v>8</v>
      </c>
      <c r="F1079" s="1">
        <v>36</v>
      </c>
    </row>
    <row r="1080" spans="1:6" x14ac:dyDescent="0.35">
      <c r="A1080" s="1">
        <v>45562</v>
      </c>
      <c r="B1080" s="2">
        <v>46265</v>
      </c>
      <c r="C1080" s="1" t="s">
        <v>22</v>
      </c>
      <c r="D1080" s="1">
        <v>2026</v>
      </c>
      <c r="E1080" s="1">
        <v>8</v>
      </c>
      <c r="F1080" s="1">
        <v>36</v>
      </c>
    </row>
    <row r="1081" spans="1:6" x14ac:dyDescent="0.35">
      <c r="A1081" s="1">
        <v>45560</v>
      </c>
      <c r="B1081" s="2">
        <v>46265</v>
      </c>
      <c r="C1081" s="1" t="s">
        <v>22</v>
      </c>
      <c r="D1081" s="1">
        <v>2026</v>
      </c>
      <c r="E1081" s="1">
        <v>8</v>
      </c>
      <c r="F1081" s="1">
        <v>36</v>
      </c>
    </row>
    <row r="1082" spans="1:6" x14ac:dyDescent="0.35">
      <c r="A1082" s="1">
        <v>45559</v>
      </c>
      <c r="B1082" s="2">
        <v>46265</v>
      </c>
      <c r="C1082" s="1" t="s">
        <v>22</v>
      </c>
      <c r="D1082" s="1">
        <v>2026</v>
      </c>
      <c r="E1082" s="1">
        <v>8</v>
      </c>
      <c r="F1082" s="1">
        <v>36</v>
      </c>
    </row>
    <row r="1083" spans="1:6" x14ac:dyDescent="0.35">
      <c r="A1083" s="1">
        <v>45557</v>
      </c>
      <c r="B1083" s="2">
        <v>46265</v>
      </c>
      <c r="C1083" s="1" t="s">
        <v>22</v>
      </c>
      <c r="D1083" s="1">
        <v>2026</v>
      </c>
      <c r="E1083" s="1">
        <v>8</v>
      </c>
      <c r="F1083" s="1">
        <v>36</v>
      </c>
    </row>
    <row r="1084" spans="1:6" x14ac:dyDescent="0.35">
      <c r="A1084" s="1">
        <v>45556</v>
      </c>
      <c r="B1084" s="2">
        <v>46265</v>
      </c>
      <c r="C1084" s="1" t="s">
        <v>22</v>
      </c>
      <c r="D1084" s="1">
        <v>2026</v>
      </c>
      <c r="E1084" s="1">
        <v>8</v>
      </c>
      <c r="F1084" s="1">
        <v>36</v>
      </c>
    </row>
    <row r="1085" spans="1:6" x14ac:dyDescent="0.35">
      <c r="A1085" s="1">
        <v>45555</v>
      </c>
      <c r="B1085" s="2">
        <v>46265</v>
      </c>
      <c r="C1085" s="1" t="s">
        <v>22</v>
      </c>
      <c r="D1085" s="1">
        <v>2026</v>
      </c>
      <c r="E1085" s="1">
        <v>8</v>
      </c>
      <c r="F1085" s="1">
        <v>36</v>
      </c>
    </row>
    <row r="1086" spans="1:6" x14ac:dyDescent="0.35">
      <c r="A1086" s="1">
        <v>45554</v>
      </c>
      <c r="B1086" s="2">
        <v>46265</v>
      </c>
      <c r="C1086" s="1" t="s">
        <v>22</v>
      </c>
      <c r="D1086" s="1">
        <v>2026</v>
      </c>
      <c r="E1086" s="1">
        <v>8</v>
      </c>
      <c r="F1086" s="1">
        <v>36</v>
      </c>
    </row>
    <row r="1087" spans="1:6" x14ac:dyDescent="0.35">
      <c r="A1087" s="1">
        <v>45552</v>
      </c>
      <c r="B1087" s="2">
        <v>46265</v>
      </c>
      <c r="C1087" s="1" t="s">
        <v>22</v>
      </c>
      <c r="D1087" s="1">
        <v>2026</v>
      </c>
      <c r="E1087" s="1">
        <v>8</v>
      </c>
      <c r="F1087" s="1">
        <v>36</v>
      </c>
    </row>
    <row r="1088" spans="1:6" x14ac:dyDescent="0.35">
      <c r="A1088" s="1">
        <v>45549</v>
      </c>
      <c r="B1088" s="2">
        <v>46265</v>
      </c>
      <c r="C1088" s="1" t="s">
        <v>22</v>
      </c>
      <c r="D1088" s="1">
        <v>2026</v>
      </c>
      <c r="E1088" s="1">
        <v>8</v>
      </c>
      <c r="F1088" s="1">
        <v>36</v>
      </c>
    </row>
    <row r="1089" spans="1:6" x14ac:dyDescent="0.35">
      <c r="A1089" s="1">
        <v>45547</v>
      </c>
      <c r="B1089" s="2">
        <v>46265</v>
      </c>
      <c r="C1089" s="1" t="s">
        <v>22</v>
      </c>
      <c r="D1089" s="1">
        <v>2026</v>
      </c>
      <c r="E1089" s="1">
        <v>8</v>
      </c>
      <c r="F1089" s="1">
        <v>36</v>
      </c>
    </row>
    <row r="1090" spans="1:6" x14ac:dyDescent="0.35">
      <c r="A1090" s="1">
        <v>45545</v>
      </c>
      <c r="B1090" s="2">
        <v>46265</v>
      </c>
      <c r="C1090" s="1" t="s">
        <v>21</v>
      </c>
      <c r="D1090" s="1">
        <v>2026</v>
      </c>
      <c r="E1090" s="1">
        <v>8</v>
      </c>
      <c r="F1090" s="1">
        <v>36</v>
      </c>
    </row>
    <row r="1091" spans="1:6" x14ac:dyDescent="0.35">
      <c r="A1091" s="1">
        <v>45544</v>
      </c>
      <c r="B1091" s="2">
        <v>46265</v>
      </c>
      <c r="C1091" s="1" t="s">
        <v>22</v>
      </c>
      <c r="D1091" s="1">
        <v>2026</v>
      </c>
      <c r="E1091" s="1">
        <v>8</v>
      </c>
      <c r="F1091" s="1">
        <v>36</v>
      </c>
    </row>
    <row r="1092" spans="1:6" x14ac:dyDescent="0.35">
      <c r="A1092" s="1">
        <v>45543</v>
      </c>
      <c r="B1092" s="2">
        <v>46265</v>
      </c>
      <c r="C1092" s="1" t="s">
        <v>21</v>
      </c>
      <c r="D1092" s="1">
        <v>2026</v>
      </c>
      <c r="E1092" s="1">
        <v>8</v>
      </c>
      <c r="F1092" s="1">
        <v>36</v>
      </c>
    </row>
    <row r="1093" spans="1:6" x14ac:dyDescent="0.35">
      <c r="A1093" s="1">
        <v>45542</v>
      </c>
      <c r="B1093" s="2">
        <v>46265</v>
      </c>
      <c r="C1093" s="1" t="s">
        <v>17</v>
      </c>
      <c r="D1093" s="1">
        <v>2026</v>
      </c>
      <c r="E1093" s="1">
        <v>8</v>
      </c>
      <c r="F1093" s="1">
        <v>36</v>
      </c>
    </row>
    <row r="1094" spans="1:6" x14ac:dyDescent="0.35">
      <c r="A1094" s="1">
        <v>45541</v>
      </c>
      <c r="B1094" s="2">
        <v>46265</v>
      </c>
      <c r="C1094" s="1" t="s">
        <v>17</v>
      </c>
      <c r="D1094" s="1">
        <v>2026</v>
      </c>
      <c r="E1094" s="1">
        <v>8</v>
      </c>
      <c r="F1094" s="1">
        <v>36</v>
      </c>
    </row>
    <row r="1095" spans="1:6" x14ac:dyDescent="0.35">
      <c r="A1095" s="1">
        <v>45539</v>
      </c>
      <c r="B1095" s="2">
        <v>46265</v>
      </c>
      <c r="C1095" s="1" t="s">
        <v>21</v>
      </c>
      <c r="D1095" s="1">
        <v>2026</v>
      </c>
      <c r="E1095" s="1">
        <v>8</v>
      </c>
      <c r="F1095" s="1">
        <v>36</v>
      </c>
    </row>
    <row r="1096" spans="1:6" x14ac:dyDescent="0.35">
      <c r="A1096" s="1">
        <v>45538</v>
      </c>
      <c r="B1096" s="2">
        <v>46265</v>
      </c>
      <c r="C1096" s="1" t="s">
        <v>21</v>
      </c>
      <c r="D1096" s="1">
        <v>2026</v>
      </c>
      <c r="E1096" s="1">
        <v>8</v>
      </c>
      <c r="F1096" s="1">
        <v>36</v>
      </c>
    </row>
    <row r="1097" spans="1:6" x14ac:dyDescent="0.35">
      <c r="A1097" s="1">
        <v>45536</v>
      </c>
      <c r="B1097" s="2">
        <v>46265</v>
      </c>
      <c r="C1097" s="1" t="s">
        <v>6</v>
      </c>
      <c r="D1097" s="1">
        <v>2026</v>
      </c>
      <c r="E1097" s="1">
        <v>8</v>
      </c>
      <c r="F1097" s="1">
        <v>36</v>
      </c>
    </row>
    <row r="1098" spans="1:6" x14ac:dyDescent="0.35">
      <c r="A1098" s="1">
        <v>45535</v>
      </c>
      <c r="B1098" s="2">
        <v>46265</v>
      </c>
      <c r="C1098" s="1" t="s">
        <v>6</v>
      </c>
      <c r="D1098" s="1">
        <v>2026</v>
      </c>
      <c r="E1098" s="1">
        <v>8</v>
      </c>
      <c r="F1098" s="1">
        <v>36</v>
      </c>
    </row>
    <row r="1099" spans="1:6" x14ac:dyDescent="0.35">
      <c r="A1099" s="1">
        <v>45657</v>
      </c>
      <c r="B1099" s="2">
        <v>46266</v>
      </c>
      <c r="C1099" s="1" t="s">
        <v>20</v>
      </c>
      <c r="D1099" s="1">
        <v>2026</v>
      </c>
      <c r="E1099" s="1">
        <v>9</v>
      </c>
      <c r="F1099" s="1">
        <v>36</v>
      </c>
    </row>
    <row r="1100" spans="1:6" x14ac:dyDescent="0.35">
      <c r="A1100" s="1">
        <v>45656</v>
      </c>
      <c r="B1100" s="2">
        <v>46266</v>
      </c>
      <c r="C1100" s="1" t="s">
        <v>20</v>
      </c>
      <c r="D1100" s="1">
        <v>2026</v>
      </c>
      <c r="E1100" s="1">
        <v>9</v>
      </c>
      <c r="F1100" s="1">
        <v>36</v>
      </c>
    </row>
    <row r="1101" spans="1:6" x14ac:dyDescent="0.35">
      <c r="A1101" s="1">
        <v>45655</v>
      </c>
      <c r="B1101" s="2">
        <v>46266</v>
      </c>
      <c r="C1101" s="1" t="s">
        <v>10</v>
      </c>
      <c r="D1101" s="1">
        <v>2026</v>
      </c>
      <c r="E1101" s="1">
        <v>9</v>
      </c>
      <c r="F1101" s="1">
        <v>36</v>
      </c>
    </row>
    <row r="1102" spans="1:6" x14ac:dyDescent="0.35">
      <c r="A1102" s="1">
        <v>45654</v>
      </c>
      <c r="B1102" s="2">
        <v>46266</v>
      </c>
      <c r="C1102" s="1" t="s">
        <v>10</v>
      </c>
      <c r="D1102" s="1">
        <v>2026</v>
      </c>
      <c r="E1102" s="1">
        <v>9</v>
      </c>
      <c r="F1102" s="1">
        <v>36</v>
      </c>
    </row>
    <row r="1103" spans="1:6" x14ac:dyDescent="0.35">
      <c r="A1103" s="1">
        <v>45650</v>
      </c>
      <c r="B1103" s="2">
        <v>46266</v>
      </c>
      <c r="C1103" s="1" t="s">
        <v>16</v>
      </c>
      <c r="D1103" s="1">
        <v>2026</v>
      </c>
      <c r="E1103" s="1">
        <v>9</v>
      </c>
      <c r="F1103" s="1">
        <v>36</v>
      </c>
    </row>
    <row r="1104" spans="1:6" x14ac:dyDescent="0.35">
      <c r="A1104" s="1">
        <v>45649</v>
      </c>
      <c r="B1104" s="2">
        <v>46266</v>
      </c>
      <c r="C1104" s="1" t="s">
        <v>16</v>
      </c>
      <c r="D1104" s="1">
        <v>2026</v>
      </c>
      <c r="E1104" s="1">
        <v>9</v>
      </c>
      <c r="F1104" s="1">
        <v>36</v>
      </c>
    </row>
    <row r="1105" spans="1:6" x14ac:dyDescent="0.35">
      <c r="A1105" s="1">
        <v>45646</v>
      </c>
      <c r="B1105" s="2">
        <v>46266</v>
      </c>
      <c r="C1105" s="1" t="s">
        <v>11</v>
      </c>
      <c r="D1105" s="1">
        <v>2026</v>
      </c>
      <c r="E1105" s="1">
        <v>9</v>
      </c>
      <c r="F1105" s="1">
        <v>36</v>
      </c>
    </row>
    <row r="1106" spans="1:6" x14ac:dyDescent="0.35">
      <c r="A1106" s="1">
        <v>45645</v>
      </c>
      <c r="B1106" s="2">
        <v>46266</v>
      </c>
      <c r="C1106" s="1" t="s">
        <v>11</v>
      </c>
      <c r="D1106" s="1">
        <v>2026</v>
      </c>
      <c r="E1106" s="1">
        <v>9</v>
      </c>
      <c r="F1106" s="1">
        <v>36</v>
      </c>
    </row>
    <row r="1107" spans="1:6" x14ac:dyDescent="0.35">
      <c r="A1107" s="1">
        <v>45644</v>
      </c>
      <c r="B1107" s="2">
        <v>46266</v>
      </c>
      <c r="C1107" s="1" t="s">
        <v>9</v>
      </c>
      <c r="D1107" s="1">
        <v>2026</v>
      </c>
      <c r="E1107" s="1">
        <v>9</v>
      </c>
      <c r="F1107" s="1">
        <v>36</v>
      </c>
    </row>
    <row r="1108" spans="1:6" x14ac:dyDescent="0.35">
      <c r="A1108" s="1">
        <v>45643</v>
      </c>
      <c r="B1108" s="2">
        <v>46266</v>
      </c>
      <c r="C1108" s="1" t="s">
        <v>9</v>
      </c>
      <c r="D1108" s="1">
        <v>2026</v>
      </c>
      <c r="E1108" s="1">
        <v>9</v>
      </c>
      <c r="F1108" s="1">
        <v>36</v>
      </c>
    </row>
    <row r="1109" spans="1:6" x14ac:dyDescent="0.35">
      <c r="A1109" s="1">
        <v>45642</v>
      </c>
      <c r="B1109" s="2">
        <v>46266</v>
      </c>
      <c r="C1109" s="1" t="s">
        <v>9</v>
      </c>
      <c r="D1109" s="1">
        <v>2026</v>
      </c>
      <c r="E1109" s="1">
        <v>9</v>
      </c>
      <c r="F1109" s="1">
        <v>36</v>
      </c>
    </row>
    <row r="1110" spans="1:6" x14ac:dyDescent="0.35">
      <c r="A1110" s="1">
        <v>45641</v>
      </c>
      <c r="B1110" s="2">
        <v>46266</v>
      </c>
      <c r="C1110" s="1" t="s">
        <v>9</v>
      </c>
      <c r="D1110" s="1">
        <v>2026</v>
      </c>
      <c r="E1110" s="1">
        <v>9</v>
      </c>
      <c r="F1110" s="1">
        <v>36</v>
      </c>
    </row>
    <row r="1111" spans="1:6" x14ac:dyDescent="0.35">
      <c r="A1111" s="1">
        <v>45631</v>
      </c>
      <c r="B1111" s="2">
        <v>46266</v>
      </c>
      <c r="C1111" s="1" t="s">
        <v>24</v>
      </c>
      <c r="D1111" s="1">
        <v>2026</v>
      </c>
      <c r="E1111" s="1">
        <v>9</v>
      </c>
      <c r="F1111" s="1">
        <v>36</v>
      </c>
    </row>
    <row r="1112" spans="1:6" x14ac:dyDescent="0.35">
      <c r="A1112" s="1">
        <v>45630</v>
      </c>
      <c r="B1112" s="2">
        <v>46266</v>
      </c>
      <c r="C1112" s="1" t="s">
        <v>24</v>
      </c>
      <c r="D1112" s="1">
        <v>2026</v>
      </c>
      <c r="E1112" s="1">
        <v>9</v>
      </c>
      <c r="F1112" s="1">
        <v>36</v>
      </c>
    </row>
    <row r="1113" spans="1:6" x14ac:dyDescent="0.35">
      <c r="A1113" s="1">
        <v>45628</v>
      </c>
      <c r="B1113" s="2">
        <v>46266</v>
      </c>
      <c r="C1113" s="1" t="s">
        <v>24</v>
      </c>
      <c r="D1113" s="1">
        <v>2026</v>
      </c>
      <c r="E1113" s="1">
        <v>9</v>
      </c>
      <c r="F1113" s="1">
        <v>36</v>
      </c>
    </row>
    <row r="1114" spans="1:6" x14ac:dyDescent="0.35">
      <c r="A1114" s="1">
        <v>45627</v>
      </c>
      <c r="B1114" s="2">
        <v>46266</v>
      </c>
      <c r="C1114" s="1" t="s">
        <v>24</v>
      </c>
      <c r="D1114" s="1">
        <v>2026</v>
      </c>
      <c r="E1114" s="1">
        <v>9</v>
      </c>
      <c r="F1114" s="1">
        <v>36</v>
      </c>
    </row>
    <row r="1115" spans="1:6" x14ac:dyDescent="0.35">
      <c r="A1115" s="1">
        <v>45626</v>
      </c>
      <c r="B1115" s="2">
        <v>46266</v>
      </c>
      <c r="C1115" s="1" t="s">
        <v>24</v>
      </c>
      <c r="D1115" s="1">
        <v>2026</v>
      </c>
      <c r="E1115" s="1">
        <v>9</v>
      </c>
      <c r="F1115" s="1">
        <v>36</v>
      </c>
    </row>
    <row r="1116" spans="1:6" x14ac:dyDescent="0.35">
      <c r="A1116" s="1">
        <v>45625</v>
      </c>
      <c r="B1116" s="2">
        <v>46266</v>
      </c>
      <c r="C1116" s="1" t="s">
        <v>17</v>
      </c>
      <c r="D1116" s="1">
        <v>2026</v>
      </c>
      <c r="E1116" s="1">
        <v>9</v>
      </c>
      <c r="F1116" s="1">
        <v>36</v>
      </c>
    </row>
    <row r="1117" spans="1:6" x14ac:dyDescent="0.35">
      <c r="A1117" s="1">
        <v>45624</v>
      </c>
      <c r="B1117" s="2">
        <v>46266</v>
      </c>
      <c r="C1117" s="1" t="s">
        <v>17</v>
      </c>
      <c r="D1117" s="1">
        <v>2026</v>
      </c>
      <c r="E1117" s="1">
        <v>9</v>
      </c>
      <c r="F1117" s="1">
        <v>36</v>
      </c>
    </row>
    <row r="1118" spans="1:6" x14ac:dyDescent="0.35">
      <c r="A1118" s="1">
        <v>45623</v>
      </c>
      <c r="B1118" s="2">
        <v>46266</v>
      </c>
      <c r="C1118" s="1" t="s">
        <v>4</v>
      </c>
      <c r="D1118" s="1">
        <v>2026</v>
      </c>
      <c r="E1118" s="1">
        <v>9</v>
      </c>
      <c r="F1118" s="1">
        <v>36</v>
      </c>
    </row>
    <row r="1119" spans="1:6" x14ac:dyDescent="0.35">
      <c r="A1119" s="1">
        <v>45622</v>
      </c>
      <c r="B1119" s="2">
        <v>46266</v>
      </c>
      <c r="C1119" s="1" t="s">
        <v>4</v>
      </c>
      <c r="D1119" s="1">
        <v>2026</v>
      </c>
      <c r="E1119" s="1">
        <v>9</v>
      </c>
      <c r="F1119" s="1">
        <v>36</v>
      </c>
    </row>
    <row r="1120" spans="1:6" x14ac:dyDescent="0.35">
      <c r="A1120" s="1">
        <v>45621</v>
      </c>
      <c r="B1120" s="2">
        <v>46266</v>
      </c>
      <c r="C1120" s="1" t="s">
        <v>7</v>
      </c>
      <c r="D1120" s="1">
        <v>2026</v>
      </c>
      <c r="E1120" s="1">
        <v>9</v>
      </c>
      <c r="F1120" s="1">
        <v>36</v>
      </c>
    </row>
    <row r="1121" spans="1:6" x14ac:dyDescent="0.35">
      <c r="A1121" s="1">
        <v>45620</v>
      </c>
      <c r="B1121" s="2">
        <v>46266</v>
      </c>
      <c r="C1121" s="1" t="s">
        <v>7</v>
      </c>
      <c r="D1121" s="1">
        <v>2026</v>
      </c>
      <c r="E1121" s="1">
        <v>9</v>
      </c>
      <c r="F1121" s="1">
        <v>36</v>
      </c>
    </row>
    <row r="1122" spans="1:6" x14ac:dyDescent="0.35">
      <c r="A1122" s="1">
        <v>45619</v>
      </c>
      <c r="B1122" s="2">
        <v>46266</v>
      </c>
      <c r="C1122" s="1" t="s">
        <v>8</v>
      </c>
      <c r="D1122" s="1">
        <v>2026</v>
      </c>
      <c r="E1122" s="1">
        <v>9</v>
      </c>
      <c r="F1122" s="1">
        <v>36</v>
      </c>
    </row>
    <row r="1123" spans="1:6" x14ac:dyDescent="0.35">
      <c r="A1123" s="1">
        <v>45618</v>
      </c>
      <c r="B1123" s="2">
        <v>46266</v>
      </c>
      <c r="C1123" s="1" t="s">
        <v>8</v>
      </c>
      <c r="D1123" s="1">
        <v>2026</v>
      </c>
      <c r="E1123" s="1">
        <v>9</v>
      </c>
      <c r="F1123" s="1">
        <v>36</v>
      </c>
    </row>
    <row r="1124" spans="1:6" x14ac:dyDescent="0.35">
      <c r="A1124" s="1">
        <v>45610</v>
      </c>
      <c r="B1124" s="2">
        <v>46266</v>
      </c>
      <c r="C1124" s="1" t="s">
        <v>5</v>
      </c>
      <c r="D1124" s="1">
        <v>2026</v>
      </c>
      <c r="E1124" s="1">
        <v>9</v>
      </c>
      <c r="F1124" s="1">
        <v>36</v>
      </c>
    </row>
    <row r="1125" spans="1:6" x14ac:dyDescent="0.35">
      <c r="A1125" s="1">
        <v>45609</v>
      </c>
      <c r="B1125" s="2">
        <v>46266</v>
      </c>
      <c r="C1125" s="1" t="s">
        <v>5</v>
      </c>
      <c r="D1125" s="1">
        <v>2026</v>
      </c>
      <c r="E1125" s="1">
        <v>9</v>
      </c>
      <c r="F1125" s="1">
        <v>36</v>
      </c>
    </row>
    <row r="1126" spans="1:6" x14ac:dyDescent="0.35">
      <c r="A1126" s="1">
        <v>45608</v>
      </c>
      <c r="B1126" s="2">
        <v>46266</v>
      </c>
      <c r="C1126" s="1" t="s">
        <v>5</v>
      </c>
      <c r="D1126" s="1">
        <v>2026</v>
      </c>
      <c r="E1126" s="1">
        <v>9</v>
      </c>
      <c r="F1126" s="1">
        <v>36</v>
      </c>
    </row>
    <row r="1127" spans="1:6" x14ac:dyDescent="0.35">
      <c r="A1127" s="1">
        <v>45719</v>
      </c>
      <c r="B1127" s="2">
        <v>46267</v>
      </c>
      <c r="C1127" s="1" t="s">
        <v>17</v>
      </c>
      <c r="D1127" s="1">
        <v>2026</v>
      </c>
      <c r="E1127" s="1">
        <v>9</v>
      </c>
      <c r="F1127" s="1">
        <v>36</v>
      </c>
    </row>
    <row r="1128" spans="1:6" x14ac:dyDescent="0.35">
      <c r="A1128" s="1">
        <v>45718</v>
      </c>
      <c r="B1128" s="2">
        <v>46267</v>
      </c>
      <c r="C1128" s="1" t="s">
        <v>17</v>
      </c>
      <c r="D1128" s="1">
        <v>2026</v>
      </c>
      <c r="E1128" s="1">
        <v>9</v>
      </c>
      <c r="F1128" s="1">
        <v>36</v>
      </c>
    </row>
    <row r="1129" spans="1:6" x14ac:dyDescent="0.35">
      <c r="A1129" s="1">
        <v>45708</v>
      </c>
      <c r="B1129" s="2">
        <v>46267</v>
      </c>
      <c r="C1129" s="1" t="s">
        <v>23</v>
      </c>
      <c r="D1129" s="1">
        <v>2026</v>
      </c>
      <c r="E1129" s="1">
        <v>9</v>
      </c>
      <c r="F1129" s="1">
        <v>36</v>
      </c>
    </row>
    <row r="1130" spans="1:6" x14ac:dyDescent="0.35">
      <c r="A1130" s="1">
        <v>45707</v>
      </c>
      <c r="B1130" s="2">
        <v>46267</v>
      </c>
      <c r="C1130" s="1" t="s">
        <v>23</v>
      </c>
      <c r="D1130" s="1">
        <v>2026</v>
      </c>
      <c r="E1130" s="1">
        <v>9</v>
      </c>
      <c r="F1130" s="1">
        <v>36</v>
      </c>
    </row>
    <row r="1131" spans="1:6" x14ac:dyDescent="0.35">
      <c r="A1131" s="1">
        <v>45706</v>
      </c>
      <c r="B1131" s="2">
        <v>46267</v>
      </c>
      <c r="C1131" s="1" t="s">
        <v>9</v>
      </c>
      <c r="D1131" s="1">
        <v>2026</v>
      </c>
      <c r="E1131" s="1">
        <v>9</v>
      </c>
      <c r="F1131" s="1">
        <v>36</v>
      </c>
    </row>
    <row r="1132" spans="1:6" x14ac:dyDescent="0.35">
      <c r="A1132" s="1">
        <v>45705</v>
      </c>
      <c r="B1132" s="2">
        <v>46267</v>
      </c>
      <c r="C1132" s="1" t="s">
        <v>9</v>
      </c>
      <c r="D1132" s="1">
        <v>2026</v>
      </c>
      <c r="E1132" s="1">
        <v>9</v>
      </c>
      <c r="F1132" s="1">
        <v>36</v>
      </c>
    </row>
    <row r="1133" spans="1:6" x14ac:dyDescent="0.35">
      <c r="A1133" s="1">
        <v>45704</v>
      </c>
      <c r="B1133" s="2">
        <v>46267</v>
      </c>
      <c r="C1133" s="1" t="s">
        <v>9</v>
      </c>
      <c r="D1133" s="1">
        <v>2026</v>
      </c>
      <c r="E1133" s="1">
        <v>9</v>
      </c>
      <c r="F1133" s="1">
        <v>36</v>
      </c>
    </row>
    <row r="1134" spans="1:6" x14ac:dyDescent="0.35">
      <c r="A1134" s="1">
        <v>45703</v>
      </c>
      <c r="B1134" s="2">
        <v>46267</v>
      </c>
      <c r="C1134" s="1" t="s">
        <v>9</v>
      </c>
      <c r="D1134" s="1">
        <v>2026</v>
      </c>
      <c r="E1134" s="1">
        <v>9</v>
      </c>
      <c r="F1134" s="1">
        <v>36</v>
      </c>
    </row>
    <row r="1135" spans="1:6" x14ac:dyDescent="0.35">
      <c r="A1135" s="1">
        <v>45702</v>
      </c>
      <c r="B1135" s="2">
        <v>46267</v>
      </c>
      <c r="C1135" s="1" t="s">
        <v>6</v>
      </c>
      <c r="D1135" s="1">
        <v>2026</v>
      </c>
      <c r="E1135" s="1">
        <v>9</v>
      </c>
      <c r="F1135" s="1">
        <v>36</v>
      </c>
    </row>
    <row r="1136" spans="1:6" x14ac:dyDescent="0.35">
      <c r="A1136" s="1">
        <v>45701</v>
      </c>
      <c r="B1136" s="2">
        <v>46267</v>
      </c>
      <c r="C1136" s="1" t="s">
        <v>6</v>
      </c>
      <c r="D1136" s="1">
        <v>2026</v>
      </c>
      <c r="E1136" s="1">
        <v>9</v>
      </c>
      <c r="F1136" s="1">
        <v>36</v>
      </c>
    </row>
    <row r="1137" spans="1:6" x14ac:dyDescent="0.35">
      <c r="A1137" s="1">
        <v>45700</v>
      </c>
      <c r="B1137" s="2">
        <v>46267</v>
      </c>
      <c r="C1137" s="1" t="s">
        <v>16</v>
      </c>
      <c r="D1137" s="1">
        <v>2026</v>
      </c>
      <c r="E1137" s="1">
        <v>9</v>
      </c>
      <c r="F1137" s="1">
        <v>36</v>
      </c>
    </row>
    <row r="1138" spans="1:6" x14ac:dyDescent="0.35">
      <c r="A1138" s="1">
        <v>45699</v>
      </c>
      <c r="B1138" s="2">
        <v>46267</v>
      </c>
      <c r="C1138" s="1" t="s">
        <v>16</v>
      </c>
      <c r="D1138" s="1">
        <v>2026</v>
      </c>
      <c r="E1138" s="1">
        <v>9</v>
      </c>
      <c r="F1138" s="1">
        <v>36</v>
      </c>
    </row>
    <row r="1139" spans="1:6" x14ac:dyDescent="0.35">
      <c r="A1139" s="1">
        <v>45697</v>
      </c>
      <c r="B1139" s="2">
        <v>46267</v>
      </c>
      <c r="C1139" s="1" t="s">
        <v>24</v>
      </c>
      <c r="D1139" s="1">
        <v>2026</v>
      </c>
      <c r="E1139" s="1">
        <v>9</v>
      </c>
      <c r="F1139" s="1">
        <v>36</v>
      </c>
    </row>
    <row r="1140" spans="1:6" x14ac:dyDescent="0.35">
      <c r="A1140" s="1">
        <v>45696</v>
      </c>
      <c r="B1140" s="2">
        <v>46267</v>
      </c>
      <c r="C1140" s="1" t="s">
        <v>24</v>
      </c>
      <c r="D1140" s="1">
        <v>2026</v>
      </c>
      <c r="E1140" s="1">
        <v>9</v>
      </c>
      <c r="F1140" s="1">
        <v>36</v>
      </c>
    </row>
    <row r="1141" spans="1:6" x14ac:dyDescent="0.35">
      <c r="A1141" s="1">
        <v>45695</v>
      </c>
      <c r="B1141" s="2">
        <v>46267</v>
      </c>
      <c r="C1141" s="1" t="s">
        <v>24</v>
      </c>
      <c r="D1141" s="1">
        <v>2026</v>
      </c>
      <c r="E1141" s="1">
        <v>9</v>
      </c>
      <c r="F1141" s="1">
        <v>36</v>
      </c>
    </row>
    <row r="1142" spans="1:6" x14ac:dyDescent="0.35">
      <c r="A1142" s="1">
        <v>45694</v>
      </c>
      <c r="B1142" s="2">
        <v>46267</v>
      </c>
      <c r="C1142" s="1" t="s">
        <v>24</v>
      </c>
      <c r="D1142" s="1">
        <v>2026</v>
      </c>
      <c r="E1142" s="1">
        <v>9</v>
      </c>
      <c r="F1142" s="1">
        <v>36</v>
      </c>
    </row>
    <row r="1143" spans="1:6" x14ac:dyDescent="0.35">
      <c r="A1143" s="1">
        <v>45693</v>
      </c>
      <c r="B1143" s="2">
        <v>46267</v>
      </c>
      <c r="C1143" s="1" t="s">
        <v>24</v>
      </c>
      <c r="D1143" s="1">
        <v>2026</v>
      </c>
      <c r="E1143" s="1">
        <v>9</v>
      </c>
      <c r="F1143" s="1">
        <v>36</v>
      </c>
    </row>
    <row r="1144" spans="1:6" x14ac:dyDescent="0.35">
      <c r="A1144" s="1">
        <v>45685</v>
      </c>
      <c r="B1144" s="2">
        <v>46267</v>
      </c>
      <c r="C1144" s="1" t="s">
        <v>21</v>
      </c>
      <c r="D1144" s="1">
        <v>2026</v>
      </c>
      <c r="E1144" s="1">
        <v>9</v>
      </c>
      <c r="F1144" s="1">
        <v>36</v>
      </c>
    </row>
    <row r="1145" spans="1:6" x14ac:dyDescent="0.35">
      <c r="A1145" s="1">
        <v>45683</v>
      </c>
      <c r="B1145" s="2">
        <v>46267</v>
      </c>
      <c r="C1145" s="1" t="s">
        <v>21</v>
      </c>
      <c r="D1145" s="1">
        <v>2026</v>
      </c>
      <c r="E1145" s="1">
        <v>9</v>
      </c>
      <c r="F1145" s="1">
        <v>36</v>
      </c>
    </row>
    <row r="1146" spans="1:6" x14ac:dyDescent="0.35">
      <c r="A1146" s="1">
        <v>45676</v>
      </c>
      <c r="B1146" s="2">
        <v>46267</v>
      </c>
      <c r="C1146" s="1" t="s">
        <v>7</v>
      </c>
      <c r="D1146" s="1">
        <v>2026</v>
      </c>
      <c r="E1146" s="1">
        <v>9</v>
      </c>
      <c r="F1146" s="1">
        <v>36</v>
      </c>
    </row>
    <row r="1147" spans="1:6" x14ac:dyDescent="0.35">
      <c r="A1147" s="1">
        <v>45675</v>
      </c>
      <c r="B1147" s="2">
        <v>46267</v>
      </c>
      <c r="C1147" s="1" t="s">
        <v>7</v>
      </c>
      <c r="D1147" s="1">
        <v>2026</v>
      </c>
      <c r="E1147" s="1">
        <v>9</v>
      </c>
      <c r="F1147" s="1">
        <v>36</v>
      </c>
    </row>
    <row r="1148" spans="1:6" x14ac:dyDescent="0.35">
      <c r="A1148" s="1">
        <v>45674</v>
      </c>
      <c r="B1148" s="2">
        <v>46267</v>
      </c>
      <c r="C1148" s="1" t="s">
        <v>7</v>
      </c>
      <c r="D1148" s="1">
        <v>2026</v>
      </c>
      <c r="E1148" s="1">
        <v>9</v>
      </c>
      <c r="F1148" s="1">
        <v>36</v>
      </c>
    </row>
    <row r="1149" spans="1:6" x14ac:dyDescent="0.35">
      <c r="A1149" s="1">
        <v>45672</v>
      </c>
      <c r="B1149" s="2">
        <v>46267</v>
      </c>
      <c r="C1149" s="1" t="s">
        <v>4</v>
      </c>
      <c r="D1149" s="1">
        <v>2026</v>
      </c>
      <c r="E1149" s="1">
        <v>9</v>
      </c>
      <c r="F1149" s="1">
        <v>36</v>
      </c>
    </row>
    <row r="1150" spans="1:6" x14ac:dyDescent="0.35">
      <c r="A1150" s="1">
        <v>45671</v>
      </c>
      <c r="B1150" s="2">
        <v>46267</v>
      </c>
      <c r="C1150" s="1" t="s">
        <v>21</v>
      </c>
      <c r="D1150" s="1">
        <v>2026</v>
      </c>
      <c r="E1150" s="1">
        <v>9</v>
      </c>
      <c r="F1150" s="1">
        <v>36</v>
      </c>
    </row>
    <row r="1151" spans="1:6" x14ac:dyDescent="0.35">
      <c r="A1151" s="1">
        <v>45670</v>
      </c>
      <c r="B1151" s="2">
        <v>46267</v>
      </c>
      <c r="C1151" s="1" t="s">
        <v>4</v>
      </c>
      <c r="D1151" s="1">
        <v>2026</v>
      </c>
      <c r="E1151" s="1">
        <v>9</v>
      </c>
      <c r="F1151" s="1">
        <v>36</v>
      </c>
    </row>
    <row r="1152" spans="1:6" x14ac:dyDescent="0.35">
      <c r="A1152" s="1">
        <v>45668</v>
      </c>
      <c r="B1152" s="2">
        <v>46267</v>
      </c>
      <c r="C1152" s="1" t="s">
        <v>21</v>
      </c>
      <c r="D1152" s="1">
        <v>2026</v>
      </c>
      <c r="E1152" s="1">
        <v>9</v>
      </c>
      <c r="F1152" s="1">
        <v>36</v>
      </c>
    </row>
    <row r="1153" spans="1:6" x14ac:dyDescent="0.35">
      <c r="A1153" s="1">
        <v>45662</v>
      </c>
      <c r="B1153" s="2">
        <v>46267</v>
      </c>
      <c r="C1153" s="1" t="s">
        <v>21</v>
      </c>
      <c r="D1153" s="1">
        <v>2026</v>
      </c>
      <c r="E1153" s="1">
        <v>9</v>
      </c>
      <c r="F1153" s="1">
        <v>36</v>
      </c>
    </row>
    <row r="1154" spans="1:6" x14ac:dyDescent="0.35">
      <c r="A1154" s="1">
        <v>45658</v>
      </c>
      <c r="B1154" s="2">
        <v>46267</v>
      </c>
      <c r="C1154" s="1" t="s">
        <v>21</v>
      </c>
      <c r="D1154" s="1">
        <v>2026</v>
      </c>
      <c r="E1154" s="1">
        <v>9</v>
      </c>
      <c r="F1154" s="1">
        <v>36</v>
      </c>
    </row>
    <row r="1155" spans="1:6" x14ac:dyDescent="0.35">
      <c r="A1155" s="1">
        <v>45781</v>
      </c>
      <c r="B1155" s="2">
        <v>46268</v>
      </c>
      <c r="C1155" s="1" t="s">
        <v>17</v>
      </c>
      <c r="D1155" s="1">
        <v>2026</v>
      </c>
      <c r="E1155" s="1">
        <v>9</v>
      </c>
      <c r="F1155" s="1">
        <v>36</v>
      </c>
    </row>
    <row r="1156" spans="1:6" x14ac:dyDescent="0.35">
      <c r="A1156" s="1">
        <v>45780</v>
      </c>
      <c r="B1156" s="2">
        <v>46268</v>
      </c>
      <c r="C1156" s="1" t="s">
        <v>17</v>
      </c>
      <c r="D1156" s="1">
        <v>2026</v>
      </c>
      <c r="E1156" s="1">
        <v>9</v>
      </c>
      <c r="F1156" s="1">
        <v>36</v>
      </c>
    </row>
    <row r="1157" spans="1:6" x14ac:dyDescent="0.35">
      <c r="A1157" s="1">
        <v>45779</v>
      </c>
      <c r="B1157" s="2">
        <v>46268</v>
      </c>
      <c r="C1157" s="1" t="s">
        <v>16</v>
      </c>
      <c r="D1157" s="1">
        <v>2026</v>
      </c>
      <c r="E1157" s="1">
        <v>9</v>
      </c>
      <c r="F1157" s="1">
        <v>36</v>
      </c>
    </row>
    <row r="1158" spans="1:6" x14ac:dyDescent="0.35">
      <c r="A1158" s="1">
        <v>45778</v>
      </c>
      <c r="B1158" s="2">
        <v>46268</v>
      </c>
      <c r="C1158" s="1" t="s">
        <v>16</v>
      </c>
      <c r="D1158" s="1">
        <v>2026</v>
      </c>
      <c r="E1158" s="1">
        <v>9</v>
      </c>
      <c r="F1158" s="1">
        <v>36</v>
      </c>
    </row>
    <row r="1159" spans="1:6" x14ac:dyDescent="0.35">
      <c r="A1159" s="1">
        <v>45777</v>
      </c>
      <c r="B1159" s="2">
        <v>46268</v>
      </c>
      <c r="C1159" s="1" t="s">
        <v>9</v>
      </c>
      <c r="D1159" s="1">
        <v>2026</v>
      </c>
      <c r="E1159" s="1">
        <v>9</v>
      </c>
      <c r="F1159" s="1">
        <v>36</v>
      </c>
    </row>
    <row r="1160" spans="1:6" x14ac:dyDescent="0.35">
      <c r="A1160" s="1">
        <v>45776</v>
      </c>
      <c r="B1160" s="2">
        <v>46268</v>
      </c>
      <c r="C1160" s="1" t="s">
        <v>9</v>
      </c>
      <c r="D1160" s="1">
        <v>2026</v>
      </c>
      <c r="E1160" s="1">
        <v>9</v>
      </c>
      <c r="F1160" s="1">
        <v>36</v>
      </c>
    </row>
    <row r="1161" spans="1:6" x14ac:dyDescent="0.35">
      <c r="A1161" s="1">
        <v>45775</v>
      </c>
      <c r="B1161" s="2">
        <v>46268</v>
      </c>
      <c r="C1161" s="1" t="s">
        <v>9</v>
      </c>
      <c r="D1161" s="1">
        <v>2026</v>
      </c>
      <c r="E1161" s="1">
        <v>9</v>
      </c>
      <c r="F1161" s="1">
        <v>36</v>
      </c>
    </row>
    <row r="1162" spans="1:6" x14ac:dyDescent="0.35">
      <c r="A1162" s="1">
        <v>45774</v>
      </c>
      <c r="B1162" s="2">
        <v>46268</v>
      </c>
      <c r="C1162" s="1" t="s">
        <v>9</v>
      </c>
      <c r="D1162" s="1">
        <v>2026</v>
      </c>
      <c r="E1162" s="1">
        <v>9</v>
      </c>
      <c r="F1162" s="1">
        <v>36</v>
      </c>
    </row>
    <row r="1163" spans="1:6" x14ac:dyDescent="0.35">
      <c r="A1163" s="1">
        <v>45773</v>
      </c>
      <c r="B1163" s="2">
        <v>46268</v>
      </c>
      <c r="C1163" s="1" t="s">
        <v>6</v>
      </c>
      <c r="D1163" s="1">
        <v>2026</v>
      </c>
      <c r="E1163" s="1">
        <v>9</v>
      </c>
      <c r="F1163" s="1">
        <v>36</v>
      </c>
    </row>
    <row r="1164" spans="1:6" x14ac:dyDescent="0.35">
      <c r="A1164" s="1">
        <v>45772</v>
      </c>
      <c r="B1164" s="2">
        <v>46268</v>
      </c>
      <c r="C1164" s="1" t="s">
        <v>23</v>
      </c>
      <c r="D1164" s="1">
        <v>2026</v>
      </c>
      <c r="E1164" s="1">
        <v>9</v>
      </c>
      <c r="F1164" s="1">
        <v>36</v>
      </c>
    </row>
    <row r="1165" spans="1:6" x14ac:dyDescent="0.35">
      <c r="A1165" s="1">
        <v>45771</v>
      </c>
      <c r="B1165" s="2">
        <v>46268</v>
      </c>
      <c r="C1165" s="1" t="s">
        <v>23</v>
      </c>
      <c r="D1165" s="1">
        <v>2026</v>
      </c>
      <c r="E1165" s="1">
        <v>9</v>
      </c>
      <c r="F1165" s="1">
        <v>36</v>
      </c>
    </row>
    <row r="1166" spans="1:6" x14ac:dyDescent="0.35">
      <c r="A1166" s="1">
        <v>45770</v>
      </c>
      <c r="B1166" s="2">
        <v>46268</v>
      </c>
      <c r="C1166" s="1" t="s">
        <v>24</v>
      </c>
      <c r="D1166" s="1">
        <v>2026</v>
      </c>
      <c r="E1166" s="1">
        <v>9</v>
      </c>
      <c r="F1166" s="1">
        <v>36</v>
      </c>
    </row>
    <row r="1167" spans="1:6" x14ac:dyDescent="0.35">
      <c r="A1167" s="1">
        <v>45769</v>
      </c>
      <c r="B1167" s="2">
        <v>46268</v>
      </c>
      <c r="C1167" s="1" t="s">
        <v>24</v>
      </c>
      <c r="D1167" s="1">
        <v>2026</v>
      </c>
      <c r="E1167" s="1">
        <v>9</v>
      </c>
      <c r="F1167" s="1">
        <v>36</v>
      </c>
    </row>
    <row r="1168" spans="1:6" x14ac:dyDescent="0.35">
      <c r="A1168" s="1">
        <v>45768</v>
      </c>
      <c r="B1168" s="2">
        <v>46268</v>
      </c>
      <c r="C1168" s="1" t="s">
        <v>24</v>
      </c>
      <c r="D1168" s="1">
        <v>2026</v>
      </c>
      <c r="E1168" s="1">
        <v>9</v>
      </c>
      <c r="F1168" s="1">
        <v>36</v>
      </c>
    </row>
    <row r="1169" spans="1:6" x14ac:dyDescent="0.35">
      <c r="A1169" s="1">
        <v>45767</v>
      </c>
      <c r="B1169" s="2">
        <v>46268</v>
      </c>
      <c r="C1169" s="1" t="s">
        <v>24</v>
      </c>
      <c r="D1169" s="1">
        <v>2026</v>
      </c>
      <c r="E1169" s="1">
        <v>9</v>
      </c>
      <c r="F1169" s="1">
        <v>36</v>
      </c>
    </row>
    <row r="1170" spans="1:6" x14ac:dyDescent="0.35">
      <c r="A1170" s="1">
        <v>45766</v>
      </c>
      <c r="B1170" s="2">
        <v>46268</v>
      </c>
      <c r="C1170" s="1" t="s">
        <v>24</v>
      </c>
      <c r="D1170" s="1">
        <v>2026</v>
      </c>
      <c r="E1170" s="1">
        <v>9</v>
      </c>
      <c r="F1170" s="1">
        <v>36</v>
      </c>
    </row>
    <row r="1171" spans="1:6" x14ac:dyDescent="0.35">
      <c r="A1171" s="1">
        <v>45765</v>
      </c>
      <c r="B1171" s="2">
        <v>46268</v>
      </c>
      <c r="C1171" s="1" t="s">
        <v>24</v>
      </c>
      <c r="D1171" s="1">
        <v>2026</v>
      </c>
      <c r="E1171" s="1">
        <v>9</v>
      </c>
      <c r="F1171" s="1">
        <v>36</v>
      </c>
    </row>
    <row r="1172" spans="1:6" x14ac:dyDescent="0.35">
      <c r="A1172" s="1">
        <v>45764</v>
      </c>
      <c r="B1172" s="2">
        <v>46268</v>
      </c>
      <c r="C1172" s="1" t="s">
        <v>21</v>
      </c>
      <c r="D1172" s="1">
        <v>2026</v>
      </c>
      <c r="E1172" s="1">
        <v>9</v>
      </c>
      <c r="F1172" s="1">
        <v>36</v>
      </c>
    </row>
    <row r="1173" spans="1:6" x14ac:dyDescent="0.35">
      <c r="A1173" s="1">
        <v>45763</v>
      </c>
      <c r="B1173" s="2">
        <v>46268</v>
      </c>
      <c r="C1173" s="1" t="s">
        <v>21</v>
      </c>
      <c r="D1173" s="1">
        <v>2026</v>
      </c>
      <c r="E1173" s="1">
        <v>9</v>
      </c>
      <c r="F1173" s="1">
        <v>36</v>
      </c>
    </row>
    <row r="1174" spans="1:6" x14ac:dyDescent="0.35">
      <c r="A1174" s="1">
        <v>45759</v>
      </c>
      <c r="B1174" s="2">
        <v>46268</v>
      </c>
      <c r="C1174" s="1" t="s">
        <v>4</v>
      </c>
      <c r="D1174" s="1">
        <v>2026</v>
      </c>
      <c r="E1174" s="1">
        <v>9</v>
      </c>
      <c r="F1174" s="1">
        <v>36</v>
      </c>
    </row>
    <row r="1175" spans="1:6" x14ac:dyDescent="0.35">
      <c r="A1175" s="1">
        <v>45758</v>
      </c>
      <c r="B1175" s="2">
        <v>46268</v>
      </c>
      <c r="C1175" s="1" t="s">
        <v>4</v>
      </c>
      <c r="D1175" s="1">
        <v>2026</v>
      </c>
      <c r="E1175" s="1">
        <v>9</v>
      </c>
      <c r="F1175" s="1">
        <v>36</v>
      </c>
    </row>
    <row r="1176" spans="1:6" x14ac:dyDescent="0.35">
      <c r="A1176" s="1">
        <v>45757</v>
      </c>
      <c r="B1176" s="2">
        <v>46268</v>
      </c>
      <c r="C1176" s="1" t="s">
        <v>10</v>
      </c>
      <c r="D1176" s="1">
        <v>2026</v>
      </c>
      <c r="E1176" s="1">
        <v>9</v>
      </c>
      <c r="F1176" s="1">
        <v>36</v>
      </c>
    </row>
    <row r="1177" spans="1:6" x14ac:dyDescent="0.35">
      <c r="A1177" s="1">
        <v>45756</v>
      </c>
      <c r="B1177" s="2">
        <v>46268</v>
      </c>
      <c r="C1177" s="1" t="s">
        <v>10</v>
      </c>
      <c r="D1177" s="1">
        <v>2026</v>
      </c>
      <c r="E1177" s="1">
        <v>9</v>
      </c>
      <c r="F1177" s="1">
        <v>36</v>
      </c>
    </row>
    <row r="1178" spans="1:6" x14ac:dyDescent="0.35">
      <c r="A1178" s="1">
        <v>45750</v>
      </c>
      <c r="B1178" s="2">
        <v>46268</v>
      </c>
      <c r="C1178" s="1" t="s">
        <v>6</v>
      </c>
      <c r="D1178" s="1">
        <v>2026</v>
      </c>
      <c r="E1178" s="1">
        <v>9</v>
      </c>
      <c r="F1178" s="1">
        <v>36</v>
      </c>
    </row>
    <row r="1179" spans="1:6" x14ac:dyDescent="0.35">
      <c r="A1179" s="1">
        <v>45747</v>
      </c>
      <c r="B1179" s="2">
        <v>46268</v>
      </c>
      <c r="C1179" s="1" t="s">
        <v>3</v>
      </c>
      <c r="D1179" s="1">
        <v>2026</v>
      </c>
      <c r="E1179" s="1">
        <v>9</v>
      </c>
      <c r="F1179" s="1">
        <v>36</v>
      </c>
    </row>
    <row r="1180" spans="1:6" x14ac:dyDescent="0.35">
      <c r="A1180" s="1">
        <v>45746</v>
      </c>
      <c r="B1180" s="2">
        <v>46268</v>
      </c>
      <c r="C1180" s="1" t="s">
        <v>3</v>
      </c>
      <c r="D1180" s="1">
        <v>2026</v>
      </c>
      <c r="E1180" s="1">
        <v>9</v>
      </c>
      <c r="F1180" s="1">
        <v>36</v>
      </c>
    </row>
    <row r="1181" spans="1:6" x14ac:dyDescent="0.35">
      <c r="A1181" s="1">
        <v>45745</v>
      </c>
      <c r="B1181" s="2">
        <v>46268</v>
      </c>
      <c r="C1181" s="1" t="s">
        <v>3</v>
      </c>
      <c r="D1181" s="1">
        <v>2026</v>
      </c>
      <c r="E1181" s="1">
        <v>9</v>
      </c>
      <c r="F1181" s="1">
        <v>36</v>
      </c>
    </row>
    <row r="1182" spans="1:6" x14ac:dyDescent="0.35">
      <c r="A1182" s="1">
        <v>45744</v>
      </c>
      <c r="B1182" s="2">
        <v>46268</v>
      </c>
      <c r="C1182" s="1" t="s">
        <v>7</v>
      </c>
      <c r="D1182" s="1">
        <v>2026</v>
      </c>
      <c r="E1182" s="1">
        <v>9</v>
      </c>
      <c r="F1182" s="1">
        <v>36</v>
      </c>
    </row>
    <row r="1183" spans="1:6" x14ac:dyDescent="0.35">
      <c r="A1183" s="1">
        <v>45743</v>
      </c>
      <c r="B1183" s="2">
        <v>46268</v>
      </c>
      <c r="C1183" s="1" t="s">
        <v>7</v>
      </c>
      <c r="D1183" s="1">
        <v>2026</v>
      </c>
      <c r="E1183" s="1">
        <v>9</v>
      </c>
      <c r="F1183" s="1">
        <v>36</v>
      </c>
    </row>
    <row r="1184" spans="1:6" x14ac:dyDescent="0.35">
      <c r="A1184" s="1">
        <v>45741</v>
      </c>
      <c r="B1184" s="2">
        <v>46268</v>
      </c>
      <c r="C1184" s="1" t="s">
        <v>21</v>
      </c>
      <c r="D1184" s="1">
        <v>2026</v>
      </c>
      <c r="E1184" s="1">
        <v>9</v>
      </c>
      <c r="F1184" s="1">
        <v>36</v>
      </c>
    </row>
    <row r="1185" spans="1:6" x14ac:dyDescent="0.35">
      <c r="A1185" s="1">
        <v>45737</v>
      </c>
      <c r="B1185" s="2">
        <v>46268</v>
      </c>
      <c r="C1185" s="1" t="s">
        <v>21</v>
      </c>
      <c r="D1185" s="1">
        <v>2026</v>
      </c>
      <c r="E1185" s="1">
        <v>9</v>
      </c>
      <c r="F1185" s="1">
        <v>36</v>
      </c>
    </row>
    <row r="1186" spans="1:6" x14ac:dyDescent="0.35">
      <c r="A1186" s="1">
        <v>45736</v>
      </c>
      <c r="B1186" s="2">
        <v>46268</v>
      </c>
      <c r="C1186" s="1" t="s">
        <v>5</v>
      </c>
      <c r="D1186" s="1">
        <v>2026</v>
      </c>
      <c r="E1186" s="1">
        <v>9</v>
      </c>
      <c r="F1186" s="1">
        <v>36</v>
      </c>
    </row>
    <row r="1187" spans="1:6" x14ac:dyDescent="0.35">
      <c r="A1187" s="1">
        <v>45735</v>
      </c>
      <c r="B1187" s="2">
        <v>46268</v>
      </c>
      <c r="C1187" s="1" t="s">
        <v>5</v>
      </c>
      <c r="D1187" s="1">
        <v>2026</v>
      </c>
      <c r="E1187" s="1">
        <v>9</v>
      </c>
      <c r="F1187" s="1">
        <v>36</v>
      </c>
    </row>
    <row r="1188" spans="1:6" x14ac:dyDescent="0.35">
      <c r="A1188" s="1">
        <v>45733</v>
      </c>
      <c r="B1188" s="2">
        <v>46268</v>
      </c>
      <c r="C1188" s="1" t="s">
        <v>5</v>
      </c>
      <c r="D1188" s="1">
        <v>2026</v>
      </c>
      <c r="E1188" s="1">
        <v>9</v>
      </c>
      <c r="F1188" s="1">
        <v>36</v>
      </c>
    </row>
    <row r="1189" spans="1:6" x14ac:dyDescent="0.35">
      <c r="A1189" s="1">
        <v>45731</v>
      </c>
      <c r="B1189" s="2">
        <v>46268</v>
      </c>
      <c r="C1189" s="1" t="s">
        <v>5</v>
      </c>
      <c r="D1189" s="1">
        <v>2026</v>
      </c>
      <c r="E1189" s="1">
        <v>9</v>
      </c>
      <c r="F1189" s="1">
        <v>36</v>
      </c>
    </row>
    <row r="1190" spans="1:6" x14ac:dyDescent="0.35">
      <c r="A1190" s="1">
        <v>45730</v>
      </c>
      <c r="B1190" s="2">
        <v>46268</v>
      </c>
      <c r="C1190" s="1" t="s">
        <v>5</v>
      </c>
      <c r="D1190" s="1">
        <v>2026</v>
      </c>
      <c r="E1190" s="1">
        <v>9</v>
      </c>
      <c r="F1190" s="1">
        <v>36</v>
      </c>
    </row>
    <row r="1191" spans="1:6" x14ac:dyDescent="0.35">
      <c r="A1191" s="1">
        <v>45729</v>
      </c>
      <c r="B1191" s="2">
        <v>46268</v>
      </c>
      <c r="C1191" s="1" t="s">
        <v>5</v>
      </c>
      <c r="D1191" s="1">
        <v>2026</v>
      </c>
      <c r="E1191" s="1">
        <v>9</v>
      </c>
      <c r="F1191" s="1">
        <v>36</v>
      </c>
    </row>
    <row r="1192" spans="1:6" x14ac:dyDescent="0.35">
      <c r="A1192" s="1">
        <v>45728</v>
      </c>
      <c r="B1192" s="2">
        <v>46268</v>
      </c>
      <c r="C1192" s="1" t="s">
        <v>5</v>
      </c>
      <c r="D1192" s="1">
        <v>2026</v>
      </c>
      <c r="E1192" s="1">
        <v>9</v>
      </c>
      <c r="F1192" s="1">
        <v>36</v>
      </c>
    </row>
    <row r="1193" spans="1:6" x14ac:dyDescent="0.35">
      <c r="A1193" s="1">
        <v>45726</v>
      </c>
      <c r="B1193" s="2">
        <v>46268</v>
      </c>
      <c r="C1193" s="1" t="s">
        <v>3</v>
      </c>
      <c r="D1193" s="1">
        <v>2026</v>
      </c>
      <c r="E1193" s="1">
        <v>9</v>
      </c>
      <c r="F1193" s="1">
        <v>36</v>
      </c>
    </row>
    <row r="1194" spans="1:6" x14ac:dyDescent="0.35">
      <c r="A1194" s="1">
        <v>45724</v>
      </c>
      <c r="B1194" s="2">
        <v>46268</v>
      </c>
      <c r="C1194" s="1" t="s">
        <v>3</v>
      </c>
      <c r="D1194" s="1">
        <v>2026</v>
      </c>
      <c r="E1194" s="1">
        <v>9</v>
      </c>
      <c r="F1194" s="1">
        <v>36</v>
      </c>
    </row>
    <row r="1195" spans="1:6" x14ac:dyDescent="0.35">
      <c r="A1195" s="1">
        <v>45723</v>
      </c>
      <c r="B1195" s="2">
        <v>46268</v>
      </c>
      <c r="C1195" s="1" t="s">
        <v>3</v>
      </c>
      <c r="D1195" s="1">
        <v>2026</v>
      </c>
      <c r="E1195" s="1">
        <v>9</v>
      </c>
      <c r="F1195" s="1">
        <v>36</v>
      </c>
    </row>
    <row r="1196" spans="1:6" x14ac:dyDescent="0.35">
      <c r="A1196" s="1">
        <v>45811</v>
      </c>
      <c r="B1196" s="2">
        <v>46269</v>
      </c>
      <c r="C1196" s="1" t="s">
        <v>10</v>
      </c>
      <c r="D1196" s="1">
        <v>2026</v>
      </c>
      <c r="E1196" s="1">
        <v>9</v>
      </c>
      <c r="F1196" s="1">
        <v>36</v>
      </c>
    </row>
    <row r="1197" spans="1:6" x14ac:dyDescent="0.35">
      <c r="A1197" s="1">
        <v>45810</v>
      </c>
      <c r="B1197" s="2">
        <v>46269</v>
      </c>
      <c r="C1197" s="1" t="s">
        <v>9</v>
      </c>
      <c r="D1197" s="1">
        <v>2026</v>
      </c>
      <c r="E1197" s="1">
        <v>9</v>
      </c>
      <c r="F1197" s="1">
        <v>36</v>
      </c>
    </row>
    <row r="1198" spans="1:6" x14ac:dyDescent="0.35">
      <c r="A1198" s="1">
        <v>45809</v>
      </c>
      <c r="B1198" s="2">
        <v>46269</v>
      </c>
      <c r="C1198" s="1" t="s">
        <v>9</v>
      </c>
      <c r="D1198" s="1">
        <v>2026</v>
      </c>
      <c r="E1198" s="1">
        <v>9</v>
      </c>
      <c r="F1198" s="1">
        <v>36</v>
      </c>
    </row>
    <row r="1199" spans="1:6" x14ac:dyDescent="0.35">
      <c r="A1199" s="1">
        <v>45808</v>
      </c>
      <c r="B1199" s="2">
        <v>46269</v>
      </c>
      <c r="C1199" s="1" t="s">
        <v>9</v>
      </c>
      <c r="D1199" s="1">
        <v>2026</v>
      </c>
      <c r="E1199" s="1">
        <v>9</v>
      </c>
      <c r="F1199" s="1">
        <v>36</v>
      </c>
    </row>
    <row r="1200" spans="1:6" x14ac:dyDescent="0.35">
      <c r="A1200" s="1">
        <v>45806</v>
      </c>
      <c r="B1200" s="2">
        <v>46269</v>
      </c>
      <c r="C1200" s="1" t="s">
        <v>17</v>
      </c>
      <c r="D1200" s="1">
        <v>2026</v>
      </c>
      <c r="E1200" s="1">
        <v>9</v>
      </c>
      <c r="F1200" s="1">
        <v>36</v>
      </c>
    </row>
    <row r="1201" spans="1:6" x14ac:dyDescent="0.35">
      <c r="A1201" s="1">
        <v>45805</v>
      </c>
      <c r="B1201" s="2">
        <v>46269</v>
      </c>
      <c r="C1201" s="1" t="s">
        <v>23</v>
      </c>
      <c r="D1201" s="1">
        <v>2026</v>
      </c>
      <c r="E1201" s="1">
        <v>9</v>
      </c>
      <c r="F1201" s="1">
        <v>36</v>
      </c>
    </row>
    <row r="1202" spans="1:6" x14ac:dyDescent="0.35">
      <c r="A1202" s="1">
        <v>45804</v>
      </c>
      <c r="B1202" s="2">
        <v>46269</v>
      </c>
      <c r="C1202" s="1" t="s">
        <v>23</v>
      </c>
      <c r="D1202" s="1">
        <v>2026</v>
      </c>
      <c r="E1202" s="1">
        <v>9</v>
      </c>
      <c r="F1202" s="1">
        <v>36</v>
      </c>
    </row>
    <row r="1203" spans="1:6" x14ac:dyDescent="0.35">
      <c r="A1203" s="1">
        <v>45803</v>
      </c>
      <c r="B1203" s="2">
        <v>46269</v>
      </c>
      <c r="C1203" s="1" t="s">
        <v>24</v>
      </c>
      <c r="D1203" s="1">
        <v>2026</v>
      </c>
      <c r="E1203" s="1">
        <v>9</v>
      </c>
      <c r="F1203" s="1">
        <v>36</v>
      </c>
    </row>
    <row r="1204" spans="1:6" x14ac:dyDescent="0.35">
      <c r="A1204" s="1">
        <v>45802</v>
      </c>
      <c r="B1204" s="2">
        <v>46269</v>
      </c>
      <c r="C1204" s="1" t="s">
        <v>24</v>
      </c>
      <c r="D1204" s="1">
        <v>2026</v>
      </c>
      <c r="E1204" s="1">
        <v>9</v>
      </c>
      <c r="F1204" s="1">
        <v>36</v>
      </c>
    </row>
    <row r="1205" spans="1:6" x14ac:dyDescent="0.35">
      <c r="A1205" s="1">
        <v>45801</v>
      </c>
      <c r="B1205" s="2">
        <v>46269</v>
      </c>
      <c r="C1205" s="1" t="s">
        <v>24</v>
      </c>
      <c r="D1205" s="1">
        <v>2026</v>
      </c>
      <c r="E1205" s="1">
        <v>9</v>
      </c>
      <c r="F1205" s="1">
        <v>36</v>
      </c>
    </row>
    <row r="1206" spans="1:6" x14ac:dyDescent="0.35">
      <c r="A1206" s="1">
        <v>45800</v>
      </c>
      <c r="B1206" s="2">
        <v>46269</v>
      </c>
      <c r="C1206" s="1" t="s">
        <v>24</v>
      </c>
      <c r="D1206" s="1">
        <v>2026</v>
      </c>
      <c r="E1206" s="1">
        <v>9</v>
      </c>
      <c r="F1206" s="1">
        <v>36</v>
      </c>
    </row>
    <row r="1207" spans="1:6" x14ac:dyDescent="0.35">
      <c r="A1207" s="1">
        <v>45799</v>
      </c>
      <c r="B1207" s="2">
        <v>46269</v>
      </c>
      <c r="C1207" s="1" t="s">
        <v>24</v>
      </c>
      <c r="D1207" s="1">
        <v>2026</v>
      </c>
      <c r="E1207" s="1">
        <v>9</v>
      </c>
      <c r="F1207" s="1">
        <v>36</v>
      </c>
    </row>
    <row r="1208" spans="1:6" x14ac:dyDescent="0.35">
      <c r="A1208" s="1">
        <v>45798</v>
      </c>
      <c r="B1208" s="2">
        <v>46269</v>
      </c>
      <c r="C1208" s="1" t="s">
        <v>6</v>
      </c>
      <c r="D1208" s="1">
        <v>2026</v>
      </c>
      <c r="E1208" s="1">
        <v>9</v>
      </c>
      <c r="F1208" s="1">
        <v>36</v>
      </c>
    </row>
    <row r="1209" spans="1:6" x14ac:dyDescent="0.35">
      <c r="A1209" s="1">
        <v>45797</v>
      </c>
      <c r="B1209" s="2">
        <v>46269</v>
      </c>
      <c r="C1209" s="1" t="s">
        <v>6</v>
      </c>
      <c r="D1209" s="1">
        <v>2026</v>
      </c>
      <c r="E1209" s="1">
        <v>9</v>
      </c>
      <c r="F1209" s="1">
        <v>36</v>
      </c>
    </row>
    <row r="1210" spans="1:6" x14ac:dyDescent="0.35">
      <c r="A1210" s="1">
        <v>45796</v>
      </c>
      <c r="B1210" s="2">
        <v>46269</v>
      </c>
      <c r="C1210" s="1" t="s">
        <v>3</v>
      </c>
      <c r="D1210" s="1">
        <v>2026</v>
      </c>
      <c r="E1210" s="1">
        <v>9</v>
      </c>
      <c r="F1210" s="1">
        <v>36</v>
      </c>
    </row>
    <row r="1211" spans="1:6" x14ac:dyDescent="0.35">
      <c r="A1211" s="1">
        <v>45795</v>
      </c>
      <c r="B1211" s="2">
        <v>46269</v>
      </c>
      <c r="C1211" s="1" t="s">
        <v>7</v>
      </c>
      <c r="D1211" s="1">
        <v>2026</v>
      </c>
      <c r="E1211" s="1">
        <v>9</v>
      </c>
      <c r="F1211" s="1">
        <v>36</v>
      </c>
    </row>
    <row r="1212" spans="1:6" x14ac:dyDescent="0.35">
      <c r="A1212" s="1">
        <v>45794</v>
      </c>
      <c r="B1212" s="2">
        <v>46269</v>
      </c>
      <c r="C1212" s="1" t="s">
        <v>8</v>
      </c>
      <c r="D1212" s="1">
        <v>2026</v>
      </c>
      <c r="E1212" s="1">
        <v>9</v>
      </c>
      <c r="F1212" s="1">
        <v>36</v>
      </c>
    </row>
    <row r="1213" spans="1:6" x14ac:dyDescent="0.35">
      <c r="A1213" s="1">
        <v>45793</v>
      </c>
      <c r="B1213" s="2">
        <v>46269</v>
      </c>
      <c r="C1213" s="1" t="s">
        <v>8</v>
      </c>
      <c r="D1213" s="1">
        <v>2026</v>
      </c>
      <c r="E1213" s="1">
        <v>9</v>
      </c>
      <c r="F1213" s="1">
        <v>36</v>
      </c>
    </row>
    <row r="1214" spans="1:6" x14ac:dyDescent="0.35">
      <c r="A1214" s="1">
        <v>45792</v>
      </c>
      <c r="B1214" s="2">
        <v>46269</v>
      </c>
      <c r="C1214" s="1" t="s">
        <v>4</v>
      </c>
      <c r="D1214" s="1">
        <v>2026</v>
      </c>
      <c r="E1214" s="1">
        <v>9</v>
      </c>
      <c r="F1214" s="1">
        <v>36</v>
      </c>
    </row>
    <row r="1215" spans="1:6" x14ac:dyDescent="0.35">
      <c r="A1215" s="1">
        <v>45790</v>
      </c>
      <c r="B1215" s="2">
        <v>46269</v>
      </c>
      <c r="C1215" s="1" t="s">
        <v>4</v>
      </c>
      <c r="D1215" s="1">
        <v>2026</v>
      </c>
      <c r="E1215" s="1">
        <v>9</v>
      </c>
      <c r="F1215" s="1">
        <v>36</v>
      </c>
    </row>
    <row r="1216" spans="1:6" x14ac:dyDescent="0.35">
      <c r="A1216" s="1">
        <v>45789</v>
      </c>
      <c r="B1216" s="2">
        <v>46269</v>
      </c>
      <c r="C1216" s="1" t="s">
        <v>4</v>
      </c>
      <c r="D1216" s="1">
        <v>2026</v>
      </c>
      <c r="E1216" s="1">
        <v>9</v>
      </c>
      <c r="F1216" s="1">
        <v>36</v>
      </c>
    </row>
    <row r="1217" spans="1:6" x14ac:dyDescent="0.35">
      <c r="A1217" s="1">
        <v>45788</v>
      </c>
      <c r="B1217" s="2">
        <v>46269</v>
      </c>
      <c r="C1217" s="1" t="s">
        <v>3</v>
      </c>
      <c r="D1217" s="1">
        <v>2026</v>
      </c>
      <c r="E1217" s="1">
        <v>9</v>
      </c>
      <c r="F1217" s="1">
        <v>36</v>
      </c>
    </row>
    <row r="1218" spans="1:6" x14ac:dyDescent="0.35">
      <c r="A1218" s="1">
        <v>45786</v>
      </c>
      <c r="B1218" s="2">
        <v>46269</v>
      </c>
      <c r="C1218" s="1" t="s">
        <v>24</v>
      </c>
      <c r="D1218" s="1">
        <v>2026</v>
      </c>
      <c r="E1218" s="1">
        <v>9</v>
      </c>
      <c r="F1218" s="1">
        <v>36</v>
      </c>
    </row>
    <row r="1219" spans="1:6" x14ac:dyDescent="0.35">
      <c r="A1219" s="1">
        <v>45785</v>
      </c>
      <c r="B1219" s="2">
        <v>46269</v>
      </c>
      <c r="C1219" s="1" t="s">
        <v>10</v>
      </c>
      <c r="D1219" s="1">
        <v>2026</v>
      </c>
      <c r="E1219" s="1">
        <v>9</v>
      </c>
      <c r="F1219" s="1">
        <v>36</v>
      </c>
    </row>
    <row r="1220" spans="1:6" x14ac:dyDescent="0.35">
      <c r="A1220" s="1">
        <v>45828</v>
      </c>
      <c r="B1220" s="2">
        <v>46270</v>
      </c>
      <c r="C1220" s="1" t="s">
        <v>23</v>
      </c>
      <c r="D1220" s="1">
        <v>2026</v>
      </c>
      <c r="E1220" s="1">
        <v>9</v>
      </c>
      <c r="F1220" s="1">
        <v>36</v>
      </c>
    </row>
    <row r="1221" spans="1:6" x14ac:dyDescent="0.35">
      <c r="A1221" s="1">
        <v>45827</v>
      </c>
      <c r="B1221" s="2">
        <v>46270</v>
      </c>
      <c r="C1221" s="1" t="s">
        <v>23</v>
      </c>
      <c r="D1221" s="1">
        <v>2026</v>
      </c>
      <c r="E1221" s="1">
        <v>9</v>
      </c>
      <c r="F1221" s="1">
        <v>36</v>
      </c>
    </row>
    <row r="1222" spans="1:6" x14ac:dyDescent="0.35">
      <c r="A1222" s="1">
        <v>45826</v>
      </c>
      <c r="B1222" s="2">
        <v>46270</v>
      </c>
      <c r="C1222" s="1" t="s">
        <v>17</v>
      </c>
      <c r="D1222" s="1">
        <v>2026</v>
      </c>
      <c r="E1222" s="1">
        <v>9</v>
      </c>
      <c r="F1222" s="1">
        <v>36</v>
      </c>
    </row>
    <row r="1223" spans="1:6" x14ac:dyDescent="0.35">
      <c r="A1223" s="1">
        <v>45825</v>
      </c>
      <c r="B1223" s="2">
        <v>46270</v>
      </c>
      <c r="C1223" s="1" t="s">
        <v>17</v>
      </c>
      <c r="D1223" s="1">
        <v>2026</v>
      </c>
      <c r="E1223" s="1">
        <v>9</v>
      </c>
      <c r="F1223" s="1">
        <v>36</v>
      </c>
    </row>
    <row r="1224" spans="1:6" x14ac:dyDescent="0.35">
      <c r="A1224" s="1">
        <v>45824</v>
      </c>
      <c r="B1224" s="2">
        <v>46270</v>
      </c>
      <c r="C1224" s="1" t="s">
        <v>4</v>
      </c>
      <c r="D1224" s="1">
        <v>2026</v>
      </c>
      <c r="E1224" s="1">
        <v>9</v>
      </c>
      <c r="F1224" s="1">
        <v>36</v>
      </c>
    </row>
    <row r="1225" spans="1:6" x14ac:dyDescent="0.35">
      <c r="A1225" s="1">
        <v>45823</v>
      </c>
      <c r="B1225" s="2">
        <v>46270</v>
      </c>
      <c r="C1225" s="1" t="s">
        <v>4</v>
      </c>
      <c r="D1225" s="1">
        <v>2026</v>
      </c>
      <c r="E1225" s="1">
        <v>9</v>
      </c>
      <c r="F1225" s="1">
        <v>36</v>
      </c>
    </row>
    <row r="1226" spans="1:6" x14ac:dyDescent="0.35">
      <c r="A1226" s="1">
        <v>45822</v>
      </c>
      <c r="B1226" s="2">
        <v>46270</v>
      </c>
      <c r="C1226" s="1" t="s">
        <v>10</v>
      </c>
      <c r="D1226" s="1">
        <v>2026</v>
      </c>
      <c r="E1226" s="1">
        <v>9</v>
      </c>
      <c r="F1226" s="1">
        <v>36</v>
      </c>
    </row>
    <row r="1227" spans="1:6" x14ac:dyDescent="0.35">
      <c r="A1227" s="1">
        <v>45821</v>
      </c>
      <c r="B1227" s="2">
        <v>46270</v>
      </c>
      <c r="C1227" s="1" t="s">
        <v>10</v>
      </c>
      <c r="D1227" s="1">
        <v>2026</v>
      </c>
      <c r="E1227" s="1">
        <v>9</v>
      </c>
      <c r="F1227" s="1">
        <v>36</v>
      </c>
    </row>
    <row r="1228" spans="1:6" x14ac:dyDescent="0.35">
      <c r="A1228" s="1">
        <v>45820</v>
      </c>
      <c r="B1228" s="2">
        <v>46270</v>
      </c>
      <c r="C1228" s="1" t="s">
        <v>10</v>
      </c>
      <c r="D1228" s="1">
        <v>2026</v>
      </c>
      <c r="E1228" s="1">
        <v>9</v>
      </c>
      <c r="F1228" s="1">
        <v>36</v>
      </c>
    </row>
    <row r="1229" spans="1:6" x14ac:dyDescent="0.35">
      <c r="A1229" s="1">
        <v>45819</v>
      </c>
      <c r="B1229" s="2">
        <v>46270</v>
      </c>
      <c r="C1229" s="1" t="s">
        <v>10</v>
      </c>
      <c r="D1229" s="1">
        <v>2026</v>
      </c>
      <c r="E1229" s="1">
        <v>9</v>
      </c>
      <c r="F1229" s="1">
        <v>36</v>
      </c>
    </row>
    <row r="1230" spans="1:6" x14ac:dyDescent="0.35">
      <c r="A1230" s="1">
        <v>45815</v>
      </c>
      <c r="B1230" s="2">
        <v>46270</v>
      </c>
      <c r="C1230" s="1" t="s">
        <v>6</v>
      </c>
      <c r="D1230" s="1">
        <v>2026</v>
      </c>
      <c r="E1230" s="1">
        <v>9</v>
      </c>
      <c r="F1230" s="1">
        <v>36</v>
      </c>
    </row>
    <row r="1231" spans="1:6" x14ac:dyDescent="0.35">
      <c r="A1231" s="1">
        <v>45814</v>
      </c>
      <c r="B1231" s="2">
        <v>46270</v>
      </c>
      <c r="C1231" s="1" t="s">
        <v>6</v>
      </c>
      <c r="D1231" s="1">
        <v>2026</v>
      </c>
      <c r="E1231" s="1">
        <v>9</v>
      </c>
      <c r="F1231" s="1">
        <v>36</v>
      </c>
    </row>
    <row r="1232" spans="1:6" x14ac:dyDescent="0.35">
      <c r="A1232" s="1">
        <v>45813</v>
      </c>
      <c r="B1232" s="2">
        <v>46270</v>
      </c>
      <c r="C1232" s="1" t="s">
        <v>8</v>
      </c>
      <c r="D1232" s="1">
        <v>2026</v>
      </c>
      <c r="E1232" s="1">
        <v>9</v>
      </c>
      <c r="F1232" s="1">
        <v>36</v>
      </c>
    </row>
    <row r="1233" spans="1:6" x14ac:dyDescent="0.35">
      <c r="A1233" s="1">
        <v>45812</v>
      </c>
      <c r="B1233" s="2">
        <v>46270</v>
      </c>
      <c r="C1233" s="1" t="s">
        <v>8</v>
      </c>
      <c r="D1233" s="1">
        <v>2026</v>
      </c>
      <c r="E1233" s="1">
        <v>9</v>
      </c>
      <c r="F1233" s="1">
        <v>36</v>
      </c>
    </row>
    <row r="1234" spans="1:6" x14ac:dyDescent="0.35">
      <c r="A1234" s="1">
        <v>45839</v>
      </c>
      <c r="B1234" s="2">
        <v>46271</v>
      </c>
      <c r="C1234" s="1" t="s">
        <v>17</v>
      </c>
      <c r="D1234" s="1">
        <v>2026</v>
      </c>
      <c r="E1234" s="1">
        <v>9</v>
      </c>
      <c r="F1234" s="1">
        <v>37</v>
      </c>
    </row>
    <row r="1235" spans="1:6" x14ac:dyDescent="0.35">
      <c r="A1235" s="1">
        <v>45838</v>
      </c>
      <c r="B1235" s="2">
        <v>46271</v>
      </c>
      <c r="C1235" s="1" t="s">
        <v>17</v>
      </c>
      <c r="D1235" s="1">
        <v>2026</v>
      </c>
      <c r="E1235" s="1">
        <v>9</v>
      </c>
      <c r="F1235" s="1">
        <v>37</v>
      </c>
    </row>
    <row r="1236" spans="1:6" x14ac:dyDescent="0.35">
      <c r="A1236" s="1">
        <v>45841</v>
      </c>
      <c r="B1236" s="2">
        <v>46272</v>
      </c>
      <c r="C1236" s="1" t="s">
        <v>8</v>
      </c>
      <c r="D1236" s="1">
        <v>2026</v>
      </c>
      <c r="E1236" s="1">
        <v>9</v>
      </c>
      <c r="F1236" s="1">
        <v>37</v>
      </c>
    </row>
    <row r="1237" spans="1:6" x14ac:dyDescent="0.35">
      <c r="A1237" s="1">
        <v>45840</v>
      </c>
      <c r="B1237" s="2">
        <v>46272</v>
      </c>
      <c r="C1237" s="1" t="s">
        <v>8</v>
      </c>
      <c r="D1237" s="1">
        <v>2026</v>
      </c>
      <c r="E1237" s="1">
        <v>9</v>
      </c>
      <c r="F1237" s="1">
        <v>37</v>
      </c>
    </row>
    <row r="1238" spans="1:6" x14ac:dyDescent="0.35">
      <c r="A1238" s="1">
        <v>45997</v>
      </c>
      <c r="B1238" s="2">
        <v>46273</v>
      </c>
      <c r="C1238" s="1" t="s">
        <v>9</v>
      </c>
      <c r="D1238" s="1">
        <v>2026</v>
      </c>
      <c r="E1238" s="1">
        <v>9</v>
      </c>
      <c r="F1238" s="1">
        <v>37</v>
      </c>
    </row>
    <row r="1239" spans="1:6" x14ac:dyDescent="0.35">
      <c r="A1239" s="1">
        <v>45996</v>
      </c>
      <c r="B1239" s="2">
        <v>46273</v>
      </c>
      <c r="C1239" s="1" t="s">
        <v>9</v>
      </c>
      <c r="D1239" s="1">
        <v>2026</v>
      </c>
      <c r="E1239" s="1">
        <v>9</v>
      </c>
      <c r="F1239" s="1">
        <v>37</v>
      </c>
    </row>
    <row r="1240" spans="1:6" x14ac:dyDescent="0.35">
      <c r="A1240" s="1">
        <v>45994</v>
      </c>
      <c r="B1240" s="2">
        <v>46273</v>
      </c>
      <c r="C1240" s="1" t="s">
        <v>9</v>
      </c>
      <c r="D1240" s="1">
        <v>2026</v>
      </c>
      <c r="E1240" s="1">
        <v>9</v>
      </c>
      <c r="F1240" s="1">
        <v>37</v>
      </c>
    </row>
    <row r="1241" spans="1:6" x14ac:dyDescent="0.35">
      <c r="A1241" s="1">
        <v>45989</v>
      </c>
      <c r="B1241" s="2">
        <v>46273</v>
      </c>
      <c r="C1241" s="1" t="s">
        <v>10</v>
      </c>
      <c r="D1241" s="1">
        <v>2026</v>
      </c>
      <c r="E1241" s="1">
        <v>9</v>
      </c>
      <c r="F1241" s="1">
        <v>37</v>
      </c>
    </row>
    <row r="1242" spans="1:6" x14ac:dyDescent="0.35">
      <c r="A1242" s="1">
        <v>45988</v>
      </c>
      <c r="B1242" s="2">
        <v>46273</v>
      </c>
      <c r="C1242" s="1" t="s">
        <v>10</v>
      </c>
      <c r="D1242" s="1">
        <v>2026</v>
      </c>
      <c r="E1242" s="1">
        <v>9</v>
      </c>
      <c r="F1242" s="1">
        <v>37</v>
      </c>
    </row>
    <row r="1243" spans="1:6" x14ac:dyDescent="0.35">
      <c r="A1243" s="1">
        <v>45982</v>
      </c>
      <c r="B1243" s="2">
        <v>46273</v>
      </c>
      <c r="C1243" s="1" t="s">
        <v>11</v>
      </c>
      <c r="D1243" s="1">
        <v>2026</v>
      </c>
      <c r="E1243" s="1">
        <v>9</v>
      </c>
      <c r="F1243" s="1">
        <v>37</v>
      </c>
    </row>
    <row r="1244" spans="1:6" x14ac:dyDescent="0.35">
      <c r="A1244" s="1">
        <v>45981</v>
      </c>
      <c r="B1244" s="2">
        <v>46273</v>
      </c>
      <c r="C1244" s="1" t="s">
        <v>11</v>
      </c>
      <c r="D1244" s="1">
        <v>2026</v>
      </c>
      <c r="E1244" s="1">
        <v>9</v>
      </c>
      <c r="F1244" s="1">
        <v>37</v>
      </c>
    </row>
    <row r="1245" spans="1:6" x14ac:dyDescent="0.35">
      <c r="A1245" s="1">
        <v>45980</v>
      </c>
      <c r="B1245" s="2">
        <v>46273</v>
      </c>
      <c r="C1245" s="1" t="s">
        <v>16</v>
      </c>
      <c r="D1245" s="1">
        <v>2026</v>
      </c>
      <c r="E1245" s="1">
        <v>9</v>
      </c>
      <c r="F1245" s="1">
        <v>37</v>
      </c>
    </row>
    <row r="1246" spans="1:6" x14ac:dyDescent="0.35">
      <c r="A1246" s="1">
        <v>45978</v>
      </c>
      <c r="B1246" s="2">
        <v>46273</v>
      </c>
      <c r="C1246" s="1" t="s">
        <v>16</v>
      </c>
      <c r="D1246" s="1">
        <v>2026</v>
      </c>
      <c r="E1246" s="1">
        <v>9</v>
      </c>
      <c r="F1246" s="1">
        <v>37</v>
      </c>
    </row>
    <row r="1247" spans="1:6" x14ac:dyDescent="0.35">
      <c r="A1247" s="1">
        <v>45975</v>
      </c>
      <c r="B1247" s="2">
        <v>46273</v>
      </c>
      <c r="C1247" s="1" t="s">
        <v>6</v>
      </c>
      <c r="D1247" s="1">
        <v>2026</v>
      </c>
      <c r="E1247" s="1">
        <v>9</v>
      </c>
      <c r="F1247" s="1">
        <v>37</v>
      </c>
    </row>
    <row r="1248" spans="1:6" x14ac:dyDescent="0.35">
      <c r="A1248" s="1">
        <v>45974</v>
      </c>
      <c r="B1248" s="2">
        <v>46273</v>
      </c>
      <c r="C1248" s="1" t="s">
        <v>6</v>
      </c>
      <c r="D1248" s="1">
        <v>2026</v>
      </c>
      <c r="E1248" s="1">
        <v>9</v>
      </c>
      <c r="F1248" s="1">
        <v>37</v>
      </c>
    </row>
    <row r="1249" spans="1:6" x14ac:dyDescent="0.35">
      <c r="A1249" s="1">
        <v>45970</v>
      </c>
      <c r="B1249" s="2">
        <v>46273</v>
      </c>
      <c r="C1249" s="1" t="s">
        <v>3</v>
      </c>
      <c r="D1249" s="1">
        <v>2026</v>
      </c>
      <c r="E1249" s="1">
        <v>9</v>
      </c>
      <c r="F1249" s="1">
        <v>37</v>
      </c>
    </row>
    <row r="1250" spans="1:6" x14ac:dyDescent="0.35">
      <c r="A1250" s="1">
        <v>45969</v>
      </c>
      <c r="B1250" s="2">
        <v>46273</v>
      </c>
      <c r="C1250" s="1" t="s">
        <v>24</v>
      </c>
      <c r="D1250" s="1">
        <v>2026</v>
      </c>
      <c r="E1250" s="1">
        <v>9</v>
      </c>
      <c r="F1250" s="1">
        <v>37</v>
      </c>
    </row>
    <row r="1251" spans="1:6" x14ac:dyDescent="0.35">
      <c r="A1251" s="1">
        <v>45968</v>
      </c>
      <c r="B1251" s="2">
        <v>46273</v>
      </c>
      <c r="C1251" s="1" t="s">
        <v>3</v>
      </c>
      <c r="D1251" s="1">
        <v>2026</v>
      </c>
      <c r="E1251" s="1">
        <v>9</v>
      </c>
      <c r="F1251" s="1">
        <v>37</v>
      </c>
    </row>
    <row r="1252" spans="1:6" x14ac:dyDescent="0.35">
      <c r="A1252" s="1">
        <v>45967</v>
      </c>
      <c r="B1252" s="2">
        <v>46273</v>
      </c>
      <c r="C1252" s="1" t="s">
        <v>24</v>
      </c>
      <c r="D1252" s="1">
        <v>2026</v>
      </c>
      <c r="E1252" s="1">
        <v>9</v>
      </c>
      <c r="F1252" s="1">
        <v>37</v>
      </c>
    </row>
    <row r="1253" spans="1:6" x14ac:dyDescent="0.35">
      <c r="A1253" s="1">
        <v>45966</v>
      </c>
      <c r="B1253" s="2">
        <v>46273</v>
      </c>
      <c r="C1253" s="1" t="s">
        <v>8</v>
      </c>
      <c r="D1253" s="1">
        <v>2026</v>
      </c>
      <c r="E1253" s="1">
        <v>9</v>
      </c>
      <c r="F1253" s="1">
        <v>37</v>
      </c>
    </row>
    <row r="1254" spans="1:6" x14ac:dyDescent="0.35">
      <c r="A1254" s="1">
        <v>45965</v>
      </c>
      <c r="B1254" s="2">
        <v>46273</v>
      </c>
      <c r="C1254" s="1" t="s">
        <v>24</v>
      </c>
      <c r="D1254" s="1">
        <v>2026</v>
      </c>
      <c r="E1254" s="1">
        <v>9</v>
      </c>
      <c r="F1254" s="1">
        <v>37</v>
      </c>
    </row>
    <row r="1255" spans="1:6" x14ac:dyDescent="0.35">
      <c r="A1255" s="1">
        <v>45964</v>
      </c>
      <c r="B1255" s="2">
        <v>46273</v>
      </c>
      <c r="C1255" s="1" t="s">
        <v>24</v>
      </c>
      <c r="D1255" s="1">
        <v>2026</v>
      </c>
      <c r="E1255" s="1">
        <v>9</v>
      </c>
      <c r="F1255" s="1">
        <v>37</v>
      </c>
    </row>
    <row r="1256" spans="1:6" x14ac:dyDescent="0.35">
      <c r="A1256" s="1">
        <v>45963</v>
      </c>
      <c r="B1256" s="2">
        <v>46273</v>
      </c>
      <c r="C1256" s="1" t="s">
        <v>8</v>
      </c>
      <c r="D1256" s="1">
        <v>2026</v>
      </c>
      <c r="E1256" s="1">
        <v>9</v>
      </c>
      <c r="F1256" s="1">
        <v>37</v>
      </c>
    </row>
    <row r="1257" spans="1:6" x14ac:dyDescent="0.35">
      <c r="A1257" s="1">
        <v>45946</v>
      </c>
      <c r="B1257" s="2">
        <v>46273</v>
      </c>
      <c r="C1257" s="1" t="s">
        <v>7</v>
      </c>
      <c r="D1257" s="1">
        <v>2026</v>
      </c>
      <c r="E1257" s="1">
        <v>9</v>
      </c>
      <c r="F1257" s="1">
        <v>37</v>
      </c>
    </row>
    <row r="1258" spans="1:6" x14ac:dyDescent="0.35">
      <c r="A1258" s="1">
        <v>45945</v>
      </c>
      <c r="B1258" s="2">
        <v>46273</v>
      </c>
      <c r="C1258" s="1" t="s">
        <v>7</v>
      </c>
      <c r="D1258" s="1">
        <v>2026</v>
      </c>
      <c r="E1258" s="1">
        <v>9</v>
      </c>
      <c r="F1258" s="1">
        <v>37</v>
      </c>
    </row>
    <row r="1259" spans="1:6" x14ac:dyDescent="0.35">
      <c r="A1259" s="1">
        <v>45929</v>
      </c>
      <c r="B1259" s="2">
        <v>46273</v>
      </c>
      <c r="C1259" s="1" t="s">
        <v>3</v>
      </c>
      <c r="D1259" s="1">
        <v>2026</v>
      </c>
      <c r="E1259" s="1">
        <v>9</v>
      </c>
      <c r="F1259" s="1">
        <v>37</v>
      </c>
    </row>
    <row r="1260" spans="1:6" x14ac:dyDescent="0.35">
      <c r="A1260" s="1">
        <v>45922</v>
      </c>
      <c r="B1260" s="2">
        <v>46273</v>
      </c>
      <c r="C1260" s="1" t="s">
        <v>19</v>
      </c>
      <c r="D1260" s="1">
        <v>2026</v>
      </c>
      <c r="E1260" s="1">
        <v>9</v>
      </c>
      <c r="F1260" s="1">
        <v>37</v>
      </c>
    </row>
    <row r="1261" spans="1:6" x14ac:dyDescent="0.35">
      <c r="A1261" s="1">
        <v>45921</v>
      </c>
      <c r="B1261" s="2">
        <v>46273</v>
      </c>
      <c r="C1261" s="1" t="s">
        <v>19</v>
      </c>
      <c r="D1261" s="1">
        <v>2026</v>
      </c>
      <c r="E1261" s="1">
        <v>9</v>
      </c>
      <c r="F1261" s="1">
        <v>37</v>
      </c>
    </row>
    <row r="1262" spans="1:6" x14ac:dyDescent="0.35">
      <c r="A1262" s="1">
        <v>46048</v>
      </c>
      <c r="B1262" s="2">
        <v>46274</v>
      </c>
      <c r="C1262" s="1" t="s">
        <v>10</v>
      </c>
      <c r="D1262" s="1">
        <v>2026</v>
      </c>
      <c r="E1262" s="1">
        <v>9</v>
      </c>
      <c r="F1262" s="1">
        <v>37</v>
      </c>
    </row>
    <row r="1263" spans="1:6" x14ac:dyDescent="0.35">
      <c r="A1263" s="1">
        <v>46047</v>
      </c>
      <c r="B1263" s="2">
        <v>46274</v>
      </c>
      <c r="C1263" s="1" t="s">
        <v>10</v>
      </c>
      <c r="D1263" s="1">
        <v>2026</v>
      </c>
      <c r="E1263" s="1">
        <v>9</v>
      </c>
      <c r="F1263" s="1">
        <v>37</v>
      </c>
    </row>
    <row r="1264" spans="1:6" x14ac:dyDescent="0.35">
      <c r="A1264" s="1">
        <v>46036</v>
      </c>
      <c r="B1264" s="2">
        <v>46274</v>
      </c>
      <c r="C1264" s="1" t="s">
        <v>3</v>
      </c>
      <c r="D1264" s="1">
        <v>2026</v>
      </c>
      <c r="E1264" s="1">
        <v>9</v>
      </c>
      <c r="F1264" s="1">
        <v>37</v>
      </c>
    </row>
    <row r="1265" spans="1:6" x14ac:dyDescent="0.35">
      <c r="A1265" s="1">
        <v>46026</v>
      </c>
      <c r="B1265" s="2">
        <v>46274</v>
      </c>
      <c r="C1265" s="1" t="s">
        <v>17</v>
      </c>
      <c r="D1265" s="1">
        <v>2026</v>
      </c>
      <c r="E1265" s="1">
        <v>9</v>
      </c>
      <c r="F1265" s="1">
        <v>37</v>
      </c>
    </row>
    <row r="1266" spans="1:6" x14ac:dyDescent="0.35">
      <c r="A1266" s="1">
        <v>46025</v>
      </c>
      <c r="B1266" s="2">
        <v>46274</v>
      </c>
      <c r="C1266" s="1" t="s">
        <v>17</v>
      </c>
      <c r="D1266" s="1">
        <v>2026</v>
      </c>
      <c r="E1266" s="1">
        <v>9</v>
      </c>
      <c r="F1266" s="1">
        <v>37</v>
      </c>
    </row>
    <row r="1267" spans="1:6" x14ac:dyDescent="0.35">
      <c r="A1267" s="1">
        <v>46024</v>
      </c>
      <c r="B1267" s="2">
        <v>46274</v>
      </c>
      <c r="C1267" s="1" t="s">
        <v>17</v>
      </c>
      <c r="D1267" s="1">
        <v>2026</v>
      </c>
      <c r="E1267" s="1">
        <v>9</v>
      </c>
      <c r="F1267" s="1">
        <v>37</v>
      </c>
    </row>
    <row r="1268" spans="1:6" x14ac:dyDescent="0.35">
      <c r="A1268" s="1">
        <v>46023</v>
      </c>
      <c r="B1268" s="2">
        <v>46274</v>
      </c>
      <c r="C1268" s="1" t="s">
        <v>17</v>
      </c>
      <c r="D1268" s="1">
        <v>2026</v>
      </c>
      <c r="E1268" s="1">
        <v>9</v>
      </c>
      <c r="F1268" s="1">
        <v>37</v>
      </c>
    </row>
    <row r="1269" spans="1:6" x14ac:dyDescent="0.35">
      <c r="A1269" s="1">
        <v>46020</v>
      </c>
      <c r="B1269" s="2">
        <v>46274</v>
      </c>
      <c r="C1269" s="1" t="s">
        <v>9</v>
      </c>
      <c r="D1269" s="1">
        <v>2026</v>
      </c>
      <c r="E1269" s="1">
        <v>9</v>
      </c>
      <c r="F1269" s="1">
        <v>37</v>
      </c>
    </row>
    <row r="1270" spans="1:6" x14ac:dyDescent="0.35">
      <c r="A1270" s="1">
        <v>46019</v>
      </c>
      <c r="B1270" s="2">
        <v>46274</v>
      </c>
      <c r="C1270" s="1" t="s">
        <v>9</v>
      </c>
      <c r="D1270" s="1">
        <v>2026</v>
      </c>
      <c r="E1270" s="1">
        <v>9</v>
      </c>
      <c r="F1270" s="1">
        <v>37</v>
      </c>
    </row>
    <row r="1271" spans="1:6" x14ac:dyDescent="0.35">
      <c r="A1271" s="1">
        <v>46016</v>
      </c>
      <c r="B1271" s="2">
        <v>46274</v>
      </c>
      <c r="C1271" s="1" t="s">
        <v>3</v>
      </c>
      <c r="D1271" s="1">
        <v>2026</v>
      </c>
      <c r="E1271" s="1">
        <v>9</v>
      </c>
      <c r="F1271" s="1">
        <v>37</v>
      </c>
    </row>
    <row r="1272" spans="1:6" x14ac:dyDescent="0.35">
      <c r="A1272" s="1">
        <v>46014</v>
      </c>
      <c r="B1272" s="2">
        <v>46274</v>
      </c>
      <c r="C1272" s="1" t="s">
        <v>7</v>
      </c>
      <c r="D1272" s="1">
        <v>2026</v>
      </c>
      <c r="E1272" s="1">
        <v>9</v>
      </c>
      <c r="F1272" s="1">
        <v>37</v>
      </c>
    </row>
    <row r="1273" spans="1:6" x14ac:dyDescent="0.35">
      <c r="A1273" s="1">
        <v>46012</v>
      </c>
      <c r="B1273" s="2">
        <v>46274</v>
      </c>
      <c r="C1273" s="1" t="s">
        <v>3</v>
      </c>
      <c r="D1273" s="1">
        <v>2026</v>
      </c>
      <c r="E1273" s="1">
        <v>9</v>
      </c>
      <c r="F1273" s="1">
        <v>37</v>
      </c>
    </row>
    <row r="1274" spans="1:6" x14ac:dyDescent="0.35">
      <c r="A1274" s="1">
        <v>46011</v>
      </c>
      <c r="B1274" s="2">
        <v>46274</v>
      </c>
      <c r="C1274" s="1" t="s">
        <v>3</v>
      </c>
      <c r="D1274" s="1">
        <v>2026</v>
      </c>
      <c r="E1274" s="1">
        <v>9</v>
      </c>
      <c r="F1274" s="1">
        <v>37</v>
      </c>
    </row>
    <row r="1275" spans="1:6" x14ac:dyDescent="0.35">
      <c r="A1275" s="1">
        <v>46010</v>
      </c>
      <c r="B1275" s="2">
        <v>46274</v>
      </c>
      <c r="C1275" s="1" t="s">
        <v>3</v>
      </c>
      <c r="D1275" s="1">
        <v>2026</v>
      </c>
      <c r="E1275" s="1">
        <v>9</v>
      </c>
      <c r="F1275" s="1">
        <v>37</v>
      </c>
    </row>
    <row r="1276" spans="1:6" x14ac:dyDescent="0.35">
      <c r="A1276" s="1">
        <v>46003</v>
      </c>
      <c r="B1276" s="2">
        <v>46274</v>
      </c>
      <c r="C1276" s="1" t="s">
        <v>5</v>
      </c>
      <c r="D1276" s="1">
        <v>2026</v>
      </c>
      <c r="E1276" s="1">
        <v>9</v>
      </c>
      <c r="F1276" s="1">
        <v>37</v>
      </c>
    </row>
    <row r="1277" spans="1:6" x14ac:dyDescent="0.35">
      <c r="A1277" s="1">
        <v>46002</v>
      </c>
      <c r="B1277" s="2">
        <v>46274</v>
      </c>
      <c r="C1277" s="1" t="s">
        <v>5</v>
      </c>
      <c r="D1277" s="1">
        <v>2026</v>
      </c>
      <c r="E1277" s="1">
        <v>9</v>
      </c>
      <c r="F1277" s="1">
        <v>37</v>
      </c>
    </row>
    <row r="1278" spans="1:6" x14ac:dyDescent="0.35">
      <c r="A1278" s="1">
        <v>46001</v>
      </c>
      <c r="B1278" s="2">
        <v>46274</v>
      </c>
      <c r="C1278" s="1" t="s">
        <v>5</v>
      </c>
      <c r="D1278" s="1">
        <v>2026</v>
      </c>
      <c r="E1278" s="1">
        <v>9</v>
      </c>
      <c r="F1278" s="1">
        <v>37</v>
      </c>
    </row>
    <row r="1279" spans="1:6" x14ac:dyDescent="0.35">
      <c r="A1279" s="1">
        <v>46000</v>
      </c>
      <c r="B1279" s="2">
        <v>46274</v>
      </c>
      <c r="C1279" s="1" t="s">
        <v>5</v>
      </c>
      <c r="D1279" s="1">
        <v>2026</v>
      </c>
      <c r="E1279" s="1">
        <v>9</v>
      </c>
      <c r="F1279" s="1">
        <v>37</v>
      </c>
    </row>
    <row r="1280" spans="1:6" x14ac:dyDescent="0.35">
      <c r="A1280" s="1">
        <v>45999</v>
      </c>
      <c r="B1280" s="2">
        <v>46274</v>
      </c>
      <c r="C1280" s="1" t="s">
        <v>5</v>
      </c>
      <c r="D1280" s="1">
        <v>2026</v>
      </c>
      <c r="E1280" s="1">
        <v>9</v>
      </c>
      <c r="F1280" s="1">
        <v>37</v>
      </c>
    </row>
    <row r="1281" spans="1:6" x14ac:dyDescent="0.35">
      <c r="A1281" s="1">
        <v>45998</v>
      </c>
      <c r="B1281" s="2">
        <v>46274</v>
      </c>
      <c r="C1281" s="1" t="s">
        <v>5</v>
      </c>
      <c r="D1281" s="1">
        <v>2026</v>
      </c>
      <c r="E1281" s="1">
        <v>9</v>
      </c>
      <c r="F1281" s="1">
        <v>37</v>
      </c>
    </row>
    <row r="1282" spans="1:6" x14ac:dyDescent="0.35">
      <c r="A1282" s="1">
        <v>46086</v>
      </c>
      <c r="B1282" s="2">
        <v>46275</v>
      </c>
      <c r="C1282" s="1" t="s">
        <v>16</v>
      </c>
      <c r="D1282" s="1">
        <v>2026</v>
      </c>
      <c r="E1282" s="1">
        <v>9</v>
      </c>
      <c r="F1282" s="1">
        <v>37</v>
      </c>
    </row>
    <row r="1283" spans="1:6" x14ac:dyDescent="0.35">
      <c r="A1283" s="1">
        <v>46085</v>
      </c>
      <c r="B1283" s="2">
        <v>46275</v>
      </c>
      <c r="C1283" s="1" t="s">
        <v>16</v>
      </c>
      <c r="D1283" s="1">
        <v>2026</v>
      </c>
      <c r="E1283" s="1">
        <v>9</v>
      </c>
      <c r="F1283" s="1">
        <v>37</v>
      </c>
    </row>
    <row r="1284" spans="1:6" x14ac:dyDescent="0.35">
      <c r="A1284" s="1">
        <v>46084</v>
      </c>
      <c r="B1284" s="2">
        <v>46275</v>
      </c>
      <c r="C1284" s="1" t="s">
        <v>9</v>
      </c>
      <c r="D1284" s="1">
        <v>2026</v>
      </c>
      <c r="E1284" s="1">
        <v>9</v>
      </c>
      <c r="F1284" s="1">
        <v>37</v>
      </c>
    </row>
    <row r="1285" spans="1:6" x14ac:dyDescent="0.35">
      <c r="A1285" s="1">
        <v>46083</v>
      </c>
      <c r="B1285" s="2">
        <v>46275</v>
      </c>
      <c r="C1285" s="1" t="s">
        <v>9</v>
      </c>
      <c r="D1285" s="1">
        <v>2026</v>
      </c>
      <c r="E1285" s="1">
        <v>9</v>
      </c>
      <c r="F1285" s="1">
        <v>37</v>
      </c>
    </row>
    <row r="1286" spans="1:6" x14ac:dyDescent="0.35">
      <c r="A1286" s="1">
        <v>46082</v>
      </c>
      <c r="B1286" s="2">
        <v>46275</v>
      </c>
      <c r="C1286" s="1" t="s">
        <v>9</v>
      </c>
      <c r="D1286" s="1">
        <v>2026</v>
      </c>
      <c r="E1286" s="1">
        <v>9</v>
      </c>
      <c r="F1286" s="1">
        <v>37</v>
      </c>
    </row>
    <row r="1287" spans="1:6" x14ac:dyDescent="0.35">
      <c r="A1287" s="1">
        <v>46081</v>
      </c>
      <c r="B1287" s="2">
        <v>46275</v>
      </c>
      <c r="C1287" s="1" t="s">
        <v>9</v>
      </c>
      <c r="D1287" s="1">
        <v>2026</v>
      </c>
      <c r="E1287" s="1">
        <v>9</v>
      </c>
      <c r="F1287" s="1">
        <v>37</v>
      </c>
    </row>
    <row r="1288" spans="1:6" x14ac:dyDescent="0.35">
      <c r="A1288" s="1">
        <v>46075</v>
      </c>
      <c r="B1288" s="2">
        <v>46275</v>
      </c>
      <c r="C1288" s="1" t="s">
        <v>3</v>
      </c>
      <c r="D1288" s="1">
        <v>2026</v>
      </c>
      <c r="E1288" s="1">
        <v>9</v>
      </c>
      <c r="F1288" s="1">
        <v>37</v>
      </c>
    </row>
    <row r="1289" spans="1:6" x14ac:dyDescent="0.35">
      <c r="A1289" s="1">
        <v>46074</v>
      </c>
      <c r="B1289" s="2">
        <v>46275</v>
      </c>
      <c r="C1289" s="1" t="s">
        <v>3</v>
      </c>
      <c r="D1289" s="1">
        <v>2026</v>
      </c>
      <c r="E1289" s="1">
        <v>9</v>
      </c>
      <c r="F1289" s="1">
        <v>37</v>
      </c>
    </row>
    <row r="1290" spans="1:6" x14ac:dyDescent="0.35">
      <c r="A1290" s="1">
        <v>46073</v>
      </c>
      <c r="B1290" s="2">
        <v>46275</v>
      </c>
      <c r="C1290" s="1" t="s">
        <v>24</v>
      </c>
      <c r="D1290" s="1">
        <v>2026</v>
      </c>
      <c r="E1290" s="1">
        <v>9</v>
      </c>
      <c r="F1290" s="1">
        <v>37</v>
      </c>
    </row>
    <row r="1291" spans="1:6" x14ac:dyDescent="0.35">
      <c r="A1291" s="1">
        <v>46072</v>
      </c>
      <c r="B1291" s="2">
        <v>46275</v>
      </c>
      <c r="C1291" s="1" t="s">
        <v>24</v>
      </c>
      <c r="D1291" s="1">
        <v>2026</v>
      </c>
      <c r="E1291" s="1">
        <v>9</v>
      </c>
      <c r="F1291" s="1">
        <v>37</v>
      </c>
    </row>
    <row r="1292" spans="1:6" x14ac:dyDescent="0.35">
      <c r="A1292" s="1">
        <v>46071</v>
      </c>
      <c r="B1292" s="2">
        <v>46275</v>
      </c>
      <c r="C1292" s="1" t="s">
        <v>24</v>
      </c>
      <c r="D1292" s="1">
        <v>2026</v>
      </c>
      <c r="E1292" s="1">
        <v>9</v>
      </c>
      <c r="F1292" s="1">
        <v>37</v>
      </c>
    </row>
    <row r="1293" spans="1:6" x14ac:dyDescent="0.35">
      <c r="A1293" s="1">
        <v>46070</v>
      </c>
      <c r="B1293" s="2">
        <v>46275</v>
      </c>
      <c r="C1293" s="1" t="s">
        <v>24</v>
      </c>
      <c r="D1293" s="1">
        <v>2026</v>
      </c>
      <c r="E1293" s="1">
        <v>9</v>
      </c>
      <c r="F1293" s="1">
        <v>37</v>
      </c>
    </row>
    <row r="1294" spans="1:6" x14ac:dyDescent="0.35">
      <c r="A1294" s="1">
        <v>46069</v>
      </c>
      <c r="B1294" s="2">
        <v>46275</v>
      </c>
      <c r="C1294" s="1" t="s">
        <v>24</v>
      </c>
      <c r="D1294" s="1">
        <v>2026</v>
      </c>
      <c r="E1294" s="1">
        <v>9</v>
      </c>
      <c r="F1294" s="1">
        <v>37</v>
      </c>
    </row>
    <row r="1295" spans="1:6" x14ac:dyDescent="0.35">
      <c r="A1295" s="1">
        <v>46068</v>
      </c>
      <c r="B1295" s="2">
        <v>46275</v>
      </c>
      <c r="C1295" s="1" t="s">
        <v>24</v>
      </c>
      <c r="D1295" s="1">
        <v>2026</v>
      </c>
      <c r="E1295" s="1">
        <v>9</v>
      </c>
      <c r="F1295" s="1">
        <v>37</v>
      </c>
    </row>
    <row r="1296" spans="1:6" x14ac:dyDescent="0.35">
      <c r="A1296" s="1">
        <v>46067</v>
      </c>
      <c r="B1296" s="2">
        <v>46275</v>
      </c>
      <c r="C1296" s="1" t="s">
        <v>24</v>
      </c>
      <c r="D1296" s="1">
        <v>2026</v>
      </c>
      <c r="E1296" s="1">
        <v>9</v>
      </c>
      <c r="F1296" s="1">
        <v>37</v>
      </c>
    </row>
    <row r="1297" spans="1:6" x14ac:dyDescent="0.35">
      <c r="A1297" s="1">
        <v>46066</v>
      </c>
      <c r="B1297" s="2">
        <v>46275</v>
      </c>
      <c r="C1297" s="1" t="s">
        <v>24</v>
      </c>
      <c r="D1297" s="1">
        <v>2026</v>
      </c>
      <c r="E1297" s="1">
        <v>9</v>
      </c>
      <c r="F1297" s="1">
        <v>37</v>
      </c>
    </row>
    <row r="1298" spans="1:6" x14ac:dyDescent="0.35">
      <c r="A1298" s="1">
        <v>46065</v>
      </c>
      <c r="B1298" s="2">
        <v>46275</v>
      </c>
      <c r="C1298" s="1" t="s">
        <v>24</v>
      </c>
      <c r="D1298" s="1">
        <v>2026</v>
      </c>
      <c r="E1298" s="1">
        <v>9</v>
      </c>
      <c r="F1298" s="1">
        <v>37</v>
      </c>
    </row>
    <row r="1299" spans="1:6" x14ac:dyDescent="0.35">
      <c r="A1299" s="1">
        <v>46063</v>
      </c>
      <c r="B1299" s="2">
        <v>46275</v>
      </c>
      <c r="C1299" s="1" t="s">
        <v>10</v>
      </c>
      <c r="D1299" s="1">
        <v>2026</v>
      </c>
      <c r="E1299" s="1">
        <v>9</v>
      </c>
      <c r="F1299" s="1">
        <v>37</v>
      </c>
    </row>
    <row r="1300" spans="1:6" x14ac:dyDescent="0.35">
      <c r="A1300" s="1">
        <v>46058</v>
      </c>
      <c r="B1300" s="2">
        <v>46275</v>
      </c>
      <c r="C1300" s="1" t="s">
        <v>7</v>
      </c>
      <c r="D1300" s="1">
        <v>2026</v>
      </c>
      <c r="E1300" s="1">
        <v>9</v>
      </c>
      <c r="F1300" s="1">
        <v>37</v>
      </c>
    </row>
    <row r="1301" spans="1:6" x14ac:dyDescent="0.35">
      <c r="A1301" s="1">
        <v>46057</v>
      </c>
      <c r="B1301" s="2">
        <v>46275</v>
      </c>
      <c r="C1301" s="1" t="s">
        <v>7</v>
      </c>
      <c r="D1301" s="1">
        <v>2026</v>
      </c>
      <c r="E1301" s="1">
        <v>9</v>
      </c>
      <c r="F1301" s="1">
        <v>37</v>
      </c>
    </row>
    <row r="1302" spans="1:6" x14ac:dyDescent="0.35">
      <c r="A1302" s="1">
        <v>46056</v>
      </c>
      <c r="B1302" s="2">
        <v>46275</v>
      </c>
      <c r="C1302" s="1" t="s">
        <v>8</v>
      </c>
      <c r="D1302" s="1">
        <v>2026</v>
      </c>
      <c r="E1302" s="1">
        <v>9</v>
      </c>
      <c r="F1302" s="1">
        <v>37</v>
      </c>
    </row>
    <row r="1303" spans="1:6" x14ac:dyDescent="0.35">
      <c r="A1303" s="1">
        <v>46055</v>
      </c>
      <c r="B1303" s="2">
        <v>46275</v>
      </c>
      <c r="C1303" s="1" t="s">
        <v>8</v>
      </c>
      <c r="D1303" s="1">
        <v>2026</v>
      </c>
      <c r="E1303" s="1">
        <v>9</v>
      </c>
      <c r="F1303" s="1">
        <v>37</v>
      </c>
    </row>
    <row r="1304" spans="1:6" x14ac:dyDescent="0.35">
      <c r="A1304" s="1">
        <v>46054</v>
      </c>
      <c r="B1304" s="2">
        <v>46275</v>
      </c>
      <c r="C1304" s="1" t="s">
        <v>15</v>
      </c>
      <c r="D1304" s="1">
        <v>2026</v>
      </c>
      <c r="E1304" s="1">
        <v>9</v>
      </c>
      <c r="F1304" s="1">
        <v>37</v>
      </c>
    </row>
    <row r="1305" spans="1:6" x14ac:dyDescent="0.35">
      <c r="A1305" s="1">
        <v>46053</v>
      </c>
      <c r="B1305" s="2">
        <v>46275</v>
      </c>
      <c r="C1305" s="1" t="s">
        <v>15</v>
      </c>
      <c r="D1305" s="1">
        <v>2026</v>
      </c>
      <c r="E1305" s="1">
        <v>9</v>
      </c>
      <c r="F1305" s="1">
        <v>37</v>
      </c>
    </row>
    <row r="1306" spans="1:6" x14ac:dyDescent="0.35">
      <c r="A1306" s="1">
        <v>46129</v>
      </c>
      <c r="B1306" s="2">
        <v>46276</v>
      </c>
      <c r="C1306" s="1" t="s">
        <v>10</v>
      </c>
      <c r="D1306" s="1">
        <v>2026</v>
      </c>
      <c r="E1306" s="1">
        <v>9</v>
      </c>
      <c r="F1306" s="1">
        <v>37</v>
      </c>
    </row>
    <row r="1307" spans="1:6" x14ac:dyDescent="0.35">
      <c r="A1307" s="1">
        <v>46128</v>
      </c>
      <c r="B1307" s="2">
        <v>46276</v>
      </c>
      <c r="C1307" s="1" t="s">
        <v>10</v>
      </c>
      <c r="D1307" s="1">
        <v>2026</v>
      </c>
      <c r="E1307" s="1">
        <v>9</v>
      </c>
      <c r="F1307" s="1">
        <v>37</v>
      </c>
    </row>
    <row r="1308" spans="1:6" x14ac:dyDescent="0.35">
      <c r="A1308" s="1">
        <v>46127</v>
      </c>
      <c r="B1308" s="2">
        <v>46276</v>
      </c>
      <c r="C1308" s="1" t="s">
        <v>15</v>
      </c>
      <c r="D1308" s="1">
        <v>2026</v>
      </c>
      <c r="E1308" s="1">
        <v>9</v>
      </c>
      <c r="F1308" s="1">
        <v>37</v>
      </c>
    </row>
    <row r="1309" spans="1:6" x14ac:dyDescent="0.35">
      <c r="A1309" s="1">
        <v>46126</v>
      </c>
      <c r="B1309" s="2">
        <v>46276</v>
      </c>
      <c r="C1309" s="1" t="s">
        <v>23</v>
      </c>
      <c r="D1309" s="1">
        <v>2026</v>
      </c>
      <c r="E1309" s="1">
        <v>9</v>
      </c>
      <c r="F1309" s="1">
        <v>37</v>
      </c>
    </row>
    <row r="1310" spans="1:6" x14ac:dyDescent="0.35">
      <c r="A1310" s="1">
        <v>46125</v>
      </c>
      <c r="B1310" s="2">
        <v>46276</v>
      </c>
      <c r="C1310" s="1" t="s">
        <v>23</v>
      </c>
      <c r="D1310" s="1">
        <v>2026</v>
      </c>
      <c r="E1310" s="1">
        <v>9</v>
      </c>
      <c r="F1310" s="1">
        <v>37</v>
      </c>
    </row>
    <row r="1311" spans="1:6" x14ac:dyDescent="0.35">
      <c r="A1311" s="1">
        <v>46124</v>
      </c>
      <c r="B1311" s="2">
        <v>46276</v>
      </c>
      <c r="C1311" s="1" t="s">
        <v>24</v>
      </c>
      <c r="D1311" s="1">
        <v>2026</v>
      </c>
      <c r="E1311" s="1">
        <v>9</v>
      </c>
      <c r="F1311" s="1">
        <v>37</v>
      </c>
    </row>
    <row r="1312" spans="1:6" x14ac:dyDescent="0.35">
      <c r="A1312" s="1">
        <v>46123</v>
      </c>
      <c r="B1312" s="2">
        <v>46276</v>
      </c>
      <c r="C1312" s="1" t="s">
        <v>3</v>
      </c>
      <c r="D1312" s="1">
        <v>2026</v>
      </c>
      <c r="E1312" s="1">
        <v>9</v>
      </c>
      <c r="F1312" s="1">
        <v>37</v>
      </c>
    </row>
    <row r="1313" spans="1:6" x14ac:dyDescent="0.35">
      <c r="A1313" s="1">
        <v>46122</v>
      </c>
      <c r="B1313" s="2">
        <v>46276</v>
      </c>
      <c r="C1313" s="1" t="s">
        <v>9</v>
      </c>
      <c r="D1313" s="1">
        <v>2026</v>
      </c>
      <c r="E1313" s="1">
        <v>9</v>
      </c>
      <c r="F1313" s="1">
        <v>37</v>
      </c>
    </row>
    <row r="1314" spans="1:6" x14ac:dyDescent="0.35">
      <c r="A1314" s="1">
        <v>46121</v>
      </c>
      <c r="B1314" s="2">
        <v>46276</v>
      </c>
      <c r="C1314" s="1" t="s">
        <v>9</v>
      </c>
      <c r="D1314" s="1">
        <v>2026</v>
      </c>
      <c r="E1314" s="1">
        <v>9</v>
      </c>
      <c r="F1314" s="1">
        <v>37</v>
      </c>
    </row>
    <row r="1315" spans="1:6" x14ac:dyDescent="0.35">
      <c r="A1315" s="1">
        <v>46120</v>
      </c>
      <c r="B1315" s="2">
        <v>46276</v>
      </c>
      <c r="C1315" s="1" t="s">
        <v>9</v>
      </c>
      <c r="D1315" s="1">
        <v>2026</v>
      </c>
      <c r="E1315" s="1">
        <v>9</v>
      </c>
      <c r="F1315" s="1">
        <v>37</v>
      </c>
    </row>
    <row r="1316" spans="1:6" x14ac:dyDescent="0.35">
      <c r="A1316" s="1">
        <v>46118</v>
      </c>
      <c r="B1316" s="2">
        <v>46276</v>
      </c>
      <c r="C1316" s="1" t="s">
        <v>9</v>
      </c>
      <c r="D1316" s="1">
        <v>2026</v>
      </c>
      <c r="E1316" s="1">
        <v>9</v>
      </c>
      <c r="F1316" s="1">
        <v>37</v>
      </c>
    </row>
    <row r="1317" spans="1:6" x14ac:dyDescent="0.35">
      <c r="A1317" s="1">
        <v>46117</v>
      </c>
      <c r="B1317" s="2">
        <v>46276</v>
      </c>
      <c r="C1317" s="1" t="s">
        <v>9</v>
      </c>
      <c r="D1317" s="1">
        <v>2026</v>
      </c>
      <c r="E1317" s="1">
        <v>9</v>
      </c>
      <c r="F1317" s="1">
        <v>37</v>
      </c>
    </row>
    <row r="1318" spans="1:6" x14ac:dyDescent="0.35">
      <c r="A1318" s="1">
        <v>46116</v>
      </c>
      <c r="B1318" s="2">
        <v>46276</v>
      </c>
      <c r="C1318" s="1" t="s">
        <v>28</v>
      </c>
      <c r="D1318" s="1">
        <v>2026</v>
      </c>
      <c r="E1318" s="1">
        <v>9</v>
      </c>
      <c r="F1318" s="1">
        <v>37</v>
      </c>
    </row>
    <row r="1319" spans="1:6" x14ac:dyDescent="0.35">
      <c r="A1319" s="1">
        <v>46115</v>
      </c>
      <c r="B1319" s="2">
        <v>46276</v>
      </c>
      <c r="C1319" s="1" t="s">
        <v>28</v>
      </c>
      <c r="D1319" s="1">
        <v>2026</v>
      </c>
      <c r="E1319" s="1">
        <v>9</v>
      </c>
      <c r="F1319" s="1">
        <v>37</v>
      </c>
    </row>
    <row r="1320" spans="1:6" x14ac:dyDescent="0.35">
      <c r="A1320" s="1">
        <v>46114</v>
      </c>
      <c r="B1320" s="2">
        <v>46276</v>
      </c>
      <c r="C1320" s="1" t="s">
        <v>28</v>
      </c>
      <c r="D1320" s="1">
        <v>2026</v>
      </c>
      <c r="E1320" s="1">
        <v>9</v>
      </c>
      <c r="F1320" s="1">
        <v>37</v>
      </c>
    </row>
    <row r="1321" spans="1:6" x14ac:dyDescent="0.35">
      <c r="A1321" s="1">
        <v>46113</v>
      </c>
      <c r="B1321" s="2">
        <v>46276</v>
      </c>
      <c r="C1321" s="1" t="s">
        <v>28</v>
      </c>
      <c r="D1321" s="1">
        <v>2026</v>
      </c>
      <c r="E1321" s="1">
        <v>9</v>
      </c>
      <c r="F1321" s="1">
        <v>37</v>
      </c>
    </row>
    <row r="1322" spans="1:6" x14ac:dyDescent="0.35">
      <c r="A1322" s="1">
        <v>46112</v>
      </c>
      <c r="B1322" s="2">
        <v>46276</v>
      </c>
      <c r="C1322" s="1" t="s">
        <v>28</v>
      </c>
      <c r="D1322" s="1">
        <v>2026</v>
      </c>
      <c r="E1322" s="1">
        <v>9</v>
      </c>
      <c r="F1322" s="1">
        <v>37</v>
      </c>
    </row>
    <row r="1323" spans="1:6" x14ac:dyDescent="0.35">
      <c r="A1323" s="1">
        <v>46111</v>
      </c>
      <c r="B1323" s="2">
        <v>46276</v>
      </c>
      <c r="C1323" s="1" t="s">
        <v>24</v>
      </c>
      <c r="D1323" s="1">
        <v>2026</v>
      </c>
      <c r="E1323" s="1">
        <v>9</v>
      </c>
      <c r="F1323" s="1">
        <v>37</v>
      </c>
    </row>
    <row r="1324" spans="1:6" x14ac:dyDescent="0.35">
      <c r="A1324" s="1">
        <v>46110</v>
      </c>
      <c r="B1324" s="2">
        <v>46276</v>
      </c>
      <c r="C1324" s="1" t="s">
        <v>24</v>
      </c>
      <c r="D1324" s="1">
        <v>2026</v>
      </c>
      <c r="E1324" s="1">
        <v>9</v>
      </c>
      <c r="F1324" s="1">
        <v>37</v>
      </c>
    </row>
    <row r="1325" spans="1:6" x14ac:dyDescent="0.35">
      <c r="A1325" s="1">
        <v>46109</v>
      </c>
      <c r="B1325" s="2">
        <v>46276</v>
      </c>
      <c r="C1325" s="1" t="s">
        <v>24</v>
      </c>
      <c r="D1325" s="1">
        <v>2026</v>
      </c>
      <c r="E1325" s="1">
        <v>9</v>
      </c>
      <c r="F1325" s="1">
        <v>37</v>
      </c>
    </row>
    <row r="1326" spans="1:6" x14ac:dyDescent="0.35">
      <c r="A1326" s="1">
        <v>46108</v>
      </c>
      <c r="B1326" s="2">
        <v>46276</v>
      </c>
      <c r="C1326" s="1" t="s">
        <v>24</v>
      </c>
      <c r="D1326" s="1">
        <v>2026</v>
      </c>
      <c r="E1326" s="1">
        <v>9</v>
      </c>
      <c r="F1326" s="1">
        <v>37</v>
      </c>
    </row>
    <row r="1327" spans="1:6" x14ac:dyDescent="0.35">
      <c r="A1327" s="1">
        <v>46107</v>
      </c>
      <c r="B1327" s="2">
        <v>46276</v>
      </c>
      <c r="C1327" s="1" t="s">
        <v>6</v>
      </c>
      <c r="D1327" s="1">
        <v>2026</v>
      </c>
      <c r="E1327" s="1">
        <v>9</v>
      </c>
      <c r="F1327" s="1">
        <v>37</v>
      </c>
    </row>
    <row r="1328" spans="1:6" x14ac:dyDescent="0.35">
      <c r="A1328" s="1">
        <v>46106</v>
      </c>
      <c r="B1328" s="2">
        <v>46276</v>
      </c>
      <c r="C1328" s="1" t="s">
        <v>6</v>
      </c>
      <c r="D1328" s="1">
        <v>2026</v>
      </c>
      <c r="E1328" s="1">
        <v>9</v>
      </c>
      <c r="F1328" s="1">
        <v>37</v>
      </c>
    </row>
    <row r="1329" spans="1:6" x14ac:dyDescent="0.35">
      <c r="A1329" s="1">
        <v>46105</v>
      </c>
      <c r="B1329" s="2">
        <v>46276</v>
      </c>
      <c r="C1329" s="1" t="s">
        <v>6</v>
      </c>
      <c r="D1329" s="1">
        <v>2026</v>
      </c>
      <c r="E1329" s="1">
        <v>9</v>
      </c>
      <c r="F1329" s="1">
        <v>37</v>
      </c>
    </row>
    <row r="1330" spans="1:6" x14ac:dyDescent="0.35">
      <c r="A1330" s="1">
        <v>46103</v>
      </c>
      <c r="B1330" s="2">
        <v>46276</v>
      </c>
      <c r="C1330" s="1" t="s">
        <v>3</v>
      </c>
      <c r="D1330" s="1">
        <v>2026</v>
      </c>
      <c r="E1330" s="1">
        <v>9</v>
      </c>
      <c r="F1330" s="1">
        <v>37</v>
      </c>
    </row>
    <row r="1331" spans="1:6" x14ac:dyDescent="0.35">
      <c r="A1331" s="1">
        <v>46102</v>
      </c>
      <c r="B1331" s="2">
        <v>46276</v>
      </c>
      <c r="C1331" s="1" t="s">
        <v>3</v>
      </c>
      <c r="D1331" s="1">
        <v>2026</v>
      </c>
      <c r="E1331" s="1">
        <v>9</v>
      </c>
      <c r="F1331" s="1">
        <v>37</v>
      </c>
    </row>
    <row r="1332" spans="1:6" x14ac:dyDescent="0.35">
      <c r="A1332" s="1">
        <v>46101</v>
      </c>
      <c r="B1332" s="2">
        <v>46276</v>
      </c>
      <c r="C1332" s="1" t="s">
        <v>3</v>
      </c>
      <c r="D1332" s="1">
        <v>2026</v>
      </c>
      <c r="E1332" s="1">
        <v>9</v>
      </c>
      <c r="F1332" s="1">
        <v>37</v>
      </c>
    </row>
    <row r="1333" spans="1:6" x14ac:dyDescent="0.35">
      <c r="A1333" s="1">
        <v>46100</v>
      </c>
      <c r="B1333" s="2">
        <v>46276</v>
      </c>
      <c r="C1333" s="1" t="s">
        <v>7</v>
      </c>
      <c r="D1333" s="1">
        <v>2026</v>
      </c>
      <c r="E1333" s="1">
        <v>9</v>
      </c>
      <c r="F1333" s="1">
        <v>37</v>
      </c>
    </row>
    <row r="1334" spans="1:6" x14ac:dyDescent="0.35">
      <c r="A1334" s="1">
        <v>46098</v>
      </c>
      <c r="B1334" s="2">
        <v>46276</v>
      </c>
      <c r="C1334" s="1" t="s">
        <v>4</v>
      </c>
      <c r="D1334" s="1">
        <v>2026</v>
      </c>
      <c r="E1334" s="1">
        <v>9</v>
      </c>
      <c r="F1334" s="1">
        <v>37</v>
      </c>
    </row>
    <row r="1335" spans="1:6" x14ac:dyDescent="0.35">
      <c r="A1335" s="1">
        <v>46097</v>
      </c>
      <c r="B1335" s="2">
        <v>46276</v>
      </c>
      <c r="C1335" s="1" t="s">
        <v>17</v>
      </c>
      <c r="D1335" s="1">
        <v>2026</v>
      </c>
      <c r="E1335" s="1">
        <v>9</v>
      </c>
      <c r="F1335" s="1">
        <v>37</v>
      </c>
    </row>
    <row r="1336" spans="1:6" x14ac:dyDescent="0.35">
      <c r="A1336" s="1">
        <v>46096</v>
      </c>
      <c r="B1336" s="2">
        <v>46276</v>
      </c>
      <c r="C1336" s="1" t="s">
        <v>4</v>
      </c>
      <c r="D1336" s="1">
        <v>2026</v>
      </c>
      <c r="E1336" s="1">
        <v>9</v>
      </c>
      <c r="F1336" s="1">
        <v>37</v>
      </c>
    </row>
    <row r="1337" spans="1:6" x14ac:dyDescent="0.35">
      <c r="A1337" s="1">
        <v>46095</v>
      </c>
      <c r="B1337" s="2">
        <v>46276</v>
      </c>
      <c r="C1337" s="1" t="s">
        <v>17</v>
      </c>
      <c r="D1337" s="1">
        <v>2026</v>
      </c>
      <c r="E1337" s="1">
        <v>9</v>
      </c>
      <c r="F1337" s="1">
        <v>37</v>
      </c>
    </row>
    <row r="1338" spans="1:6" x14ac:dyDescent="0.35">
      <c r="A1338" s="1">
        <v>46091</v>
      </c>
      <c r="B1338" s="2">
        <v>46276</v>
      </c>
      <c r="C1338" s="1" t="s">
        <v>15</v>
      </c>
      <c r="D1338" s="1">
        <v>2026</v>
      </c>
      <c r="E1338" s="1">
        <v>9</v>
      </c>
      <c r="F1338" s="1">
        <v>37</v>
      </c>
    </row>
    <row r="1339" spans="1:6" x14ac:dyDescent="0.35">
      <c r="A1339" s="1">
        <v>46089</v>
      </c>
      <c r="B1339" s="2">
        <v>46276</v>
      </c>
      <c r="C1339" s="1" t="s">
        <v>8</v>
      </c>
      <c r="D1339" s="1">
        <v>2026</v>
      </c>
      <c r="E1339" s="1">
        <v>9</v>
      </c>
      <c r="F1339" s="1">
        <v>37</v>
      </c>
    </row>
    <row r="1340" spans="1:6" x14ac:dyDescent="0.35">
      <c r="A1340" s="1">
        <v>46088</v>
      </c>
      <c r="B1340" s="2">
        <v>46276</v>
      </c>
      <c r="C1340" s="1" t="s">
        <v>8</v>
      </c>
      <c r="D1340" s="1">
        <v>2026</v>
      </c>
      <c r="E1340" s="1">
        <v>9</v>
      </c>
      <c r="F1340" s="1">
        <v>37</v>
      </c>
    </row>
    <row r="1341" spans="1:6" x14ac:dyDescent="0.35">
      <c r="A1341" s="1">
        <v>46087</v>
      </c>
      <c r="B1341" s="2">
        <v>46276</v>
      </c>
      <c r="C1341" s="1" t="s">
        <v>4</v>
      </c>
      <c r="D1341" s="1">
        <v>2026</v>
      </c>
      <c r="E1341" s="1">
        <v>9</v>
      </c>
      <c r="F1341" s="1">
        <v>37</v>
      </c>
    </row>
    <row r="1342" spans="1:6" x14ac:dyDescent="0.35">
      <c r="A1342" s="1">
        <v>46133</v>
      </c>
      <c r="B1342" s="2">
        <v>46277</v>
      </c>
      <c r="C1342" s="1" t="s">
        <v>23</v>
      </c>
      <c r="D1342" s="1">
        <v>2026</v>
      </c>
      <c r="E1342" s="1">
        <v>9</v>
      </c>
      <c r="F1342" s="1">
        <v>37</v>
      </c>
    </row>
    <row r="1343" spans="1:6" x14ac:dyDescent="0.35">
      <c r="A1343" s="1">
        <v>46132</v>
      </c>
      <c r="B1343" s="2">
        <v>46277</v>
      </c>
      <c r="C1343" s="1" t="s">
        <v>23</v>
      </c>
      <c r="D1343" s="1">
        <v>2026</v>
      </c>
      <c r="E1343" s="1">
        <v>9</v>
      </c>
      <c r="F1343" s="1">
        <v>37</v>
      </c>
    </row>
    <row r="1344" spans="1:6" x14ac:dyDescent="0.35">
      <c r="A1344" s="1">
        <v>46131</v>
      </c>
      <c r="B1344" s="2">
        <v>46277</v>
      </c>
      <c r="C1344" s="1" t="s">
        <v>6</v>
      </c>
      <c r="D1344" s="1">
        <v>2026</v>
      </c>
      <c r="E1344" s="1">
        <v>9</v>
      </c>
      <c r="F1344" s="1">
        <v>37</v>
      </c>
    </row>
    <row r="1345" spans="1:6" x14ac:dyDescent="0.35">
      <c r="A1345" s="1">
        <v>46130</v>
      </c>
      <c r="B1345" s="2">
        <v>46277</v>
      </c>
      <c r="C1345" s="1" t="s">
        <v>6</v>
      </c>
      <c r="D1345" s="1">
        <v>2026</v>
      </c>
      <c r="E1345" s="1">
        <v>9</v>
      </c>
      <c r="F1345" s="1">
        <v>37</v>
      </c>
    </row>
    <row r="1346" spans="1:6" x14ac:dyDescent="0.35">
      <c r="A1346" s="1">
        <v>46136</v>
      </c>
      <c r="B1346" s="2">
        <v>46278</v>
      </c>
      <c r="C1346" s="1" t="s">
        <v>17</v>
      </c>
      <c r="D1346" s="1">
        <v>2026</v>
      </c>
      <c r="E1346" s="1">
        <v>9</v>
      </c>
      <c r="F1346" s="1">
        <v>38</v>
      </c>
    </row>
    <row r="1347" spans="1:6" x14ac:dyDescent="0.35">
      <c r="A1347" s="1">
        <v>46135</v>
      </c>
      <c r="B1347" s="2">
        <v>46278</v>
      </c>
      <c r="C1347" s="1" t="s">
        <v>17</v>
      </c>
      <c r="D1347" s="1">
        <v>2026</v>
      </c>
      <c r="E1347" s="1">
        <v>9</v>
      </c>
      <c r="F1347" s="1">
        <v>38</v>
      </c>
    </row>
    <row r="1348" spans="1:6" x14ac:dyDescent="0.35">
      <c r="A1348" s="1">
        <v>46134</v>
      </c>
      <c r="B1348" s="2">
        <v>46278</v>
      </c>
      <c r="C1348" s="1" t="s">
        <v>17</v>
      </c>
      <c r="D1348" s="1">
        <v>2026</v>
      </c>
      <c r="E1348" s="1">
        <v>9</v>
      </c>
      <c r="F1348" s="1">
        <v>38</v>
      </c>
    </row>
    <row r="1349" spans="1:6" x14ac:dyDescent="0.35">
      <c r="A1349" s="1">
        <v>46184</v>
      </c>
      <c r="B1349" s="2">
        <v>46279</v>
      </c>
      <c r="C1349" s="1" t="s">
        <v>3</v>
      </c>
      <c r="D1349" s="1">
        <v>2026</v>
      </c>
      <c r="E1349" s="1">
        <v>9</v>
      </c>
      <c r="F1349" s="1">
        <v>38</v>
      </c>
    </row>
    <row r="1350" spans="1:6" x14ac:dyDescent="0.35">
      <c r="A1350" s="1">
        <v>46183</v>
      </c>
      <c r="B1350" s="2">
        <v>46279</v>
      </c>
      <c r="C1350" s="1" t="s">
        <v>28</v>
      </c>
      <c r="D1350" s="1">
        <v>2026</v>
      </c>
      <c r="E1350" s="1">
        <v>9</v>
      </c>
      <c r="F1350" s="1">
        <v>38</v>
      </c>
    </row>
    <row r="1351" spans="1:6" x14ac:dyDescent="0.35">
      <c r="A1351" s="1">
        <v>46182</v>
      </c>
      <c r="B1351" s="2">
        <v>46279</v>
      </c>
      <c r="C1351" s="1" t="s">
        <v>10</v>
      </c>
      <c r="D1351" s="1">
        <v>2026</v>
      </c>
      <c r="E1351" s="1">
        <v>9</v>
      </c>
      <c r="F1351" s="1">
        <v>38</v>
      </c>
    </row>
    <row r="1352" spans="1:6" x14ac:dyDescent="0.35">
      <c r="A1352" s="1">
        <v>46181</v>
      </c>
      <c r="B1352" s="2">
        <v>46279</v>
      </c>
      <c r="C1352" s="1" t="s">
        <v>10</v>
      </c>
      <c r="D1352" s="1">
        <v>2026</v>
      </c>
      <c r="E1352" s="1">
        <v>9</v>
      </c>
      <c r="F1352" s="1">
        <v>38</v>
      </c>
    </row>
    <row r="1353" spans="1:6" x14ac:dyDescent="0.35">
      <c r="A1353" s="1">
        <v>46180</v>
      </c>
      <c r="B1353" s="2">
        <v>46279</v>
      </c>
      <c r="C1353" s="1" t="s">
        <v>24</v>
      </c>
      <c r="D1353" s="1">
        <v>2026</v>
      </c>
      <c r="E1353" s="1">
        <v>9</v>
      </c>
      <c r="F1353" s="1">
        <v>38</v>
      </c>
    </row>
    <row r="1354" spans="1:6" x14ac:dyDescent="0.35">
      <c r="A1354" s="1">
        <v>46179</v>
      </c>
      <c r="B1354" s="2">
        <v>46279</v>
      </c>
      <c r="C1354" s="1" t="s">
        <v>24</v>
      </c>
      <c r="D1354" s="1">
        <v>2026</v>
      </c>
      <c r="E1354" s="1">
        <v>9</v>
      </c>
      <c r="F1354" s="1">
        <v>38</v>
      </c>
    </row>
    <row r="1355" spans="1:6" x14ac:dyDescent="0.35">
      <c r="A1355" s="1">
        <v>46178</v>
      </c>
      <c r="B1355" s="2">
        <v>46279</v>
      </c>
      <c r="C1355" s="1" t="s">
        <v>24</v>
      </c>
      <c r="D1355" s="1">
        <v>2026</v>
      </c>
      <c r="E1355" s="1">
        <v>9</v>
      </c>
      <c r="F1355" s="1">
        <v>38</v>
      </c>
    </row>
    <row r="1356" spans="1:6" x14ac:dyDescent="0.35">
      <c r="A1356" s="1">
        <v>46177</v>
      </c>
      <c r="B1356" s="2">
        <v>46279</v>
      </c>
      <c r="C1356" s="1" t="s">
        <v>24</v>
      </c>
      <c r="D1356" s="1">
        <v>2026</v>
      </c>
      <c r="E1356" s="1">
        <v>9</v>
      </c>
      <c r="F1356" s="1">
        <v>38</v>
      </c>
    </row>
    <row r="1357" spans="1:6" x14ac:dyDescent="0.35">
      <c r="A1357" s="1">
        <v>46176</v>
      </c>
      <c r="B1357" s="2">
        <v>46279</v>
      </c>
      <c r="C1357" s="1" t="s">
        <v>24</v>
      </c>
      <c r="D1357" s="1">
        <v>2026</v>
      </c>
      <c r="E1357" s="1">
        <v>9</v>
      </c>
      <c r="F1357" s="1">
        <v>38</v>
      </c>
    </row>
    <row r="1358" spans="1:6" x14ac:dyDescent="0.35">
      <c r="A1358" s="1">
        <v>46175</v>
      </c>
      <c r="B1358" s="2">
        <v>46279</v>
      </c>
      <c r="C1358" s="1" t="s">
        <v>24</v>
      </c>
      <c r="D1358" s="1">
        <v>2026</v>
      </c>
      <c r="E1358" s="1">
        <v>9</v>
      </c>
      <c r="F1358" s="1">
        <v>38</v>
      </c>
    </row>
    <row r="1359" spans="1:6" x14ac:dyDescent="0.35">
      <c r="A1359" s="1">
        <v>46174</v>
      </c>
      <c r="B1359" s="2">
        <v>46279</v>
      </c>
      <c r="C1359" s="1" t="s">
        <v>3</v>
      </c>
      <c r="D1359" s="1">
        <v>2026</v>
      </c>
      <c r="E1359" s="1">
        <v>9</v>
      </c>
      <c r="F1359" s="1">
        <v>38</v>
      </c>
    </row>
    <row r="1360" spans="1:6" x14ac:dyDescent="0.35">
      <c r="A1360" s="1">
        <v>46173</v>
      </c>
      <c r="B1360" s="2">
        <v>46279</v>
      </c>
      <c r="C1360" s="1" t="s">
        <v>28</v>
      </c>
      <c r="D1360" s="1">
        <v>2026</v>
      </c>
      <c r="E1360" s="1">
        <v>9</v>
      </c>
      <c r="F1360" s="1">
        <v>38</v>
      </c>
    </row>
    <row r="1361" spans="1:6" x14ac:dyDescent="0.35">
      <c r="A1361" s="1">
        <v>46172</v>
      </c>
      <c r="B1361" s="2">
        <v>46279</v>
      </c>
      <c r="C1361" s="1" t="s">
        <v>6</v>
      </c>
      <c r="D1361" s="1">
        <v>2026</v>
      </c>
      <c r="E1361" s="1">
        <v>9</v>
      </c>
      <c r="F1361" s="1">
        <v>38</v>
      </c>
    </row>
    <row r="1362" spans="1:6" x14ac:dyDescent="0.35">
      <c r="A1362" s="1">
        <v>46171</v>
      </c>
      <c r="B1362" s="2">
        <v>46279</v>
      </c>
      <c r="C1362" s="1" t="s">
        <v>3</v>
      </c>
      <c r="D1362" s="1">
        <v>2026</v>
      </c>
      <c r="E1362" s="1">
        <v>9</v>
      </c>
      <c r="F1362" s="1">
        <v>38</v>
      </c>
    </row>
    <row r="1363" spans="1:6" x14ac:dyDescent="0.35">
      <c r="A1363" s="1">
        <v>46170</v>
      </c>
      <c r="B1363" s="2">
        <v>46279</v>
      </c>
      <c r="C1363" s="1" t="s">
        <v>3</v>
      </c>
      <c r="D1363" s="1">
        <v>2026</v>
      </c>
      <c r="E1363" s="1">
        <v>9</v>
      </c>
      <c r="F1363" s="1">
        <v>38</v>
      </c>
    </row>
    <row r="1364" spans="1:6" x14ac:dyDescent="0.35">
      <c r="A1364" s="1">
        <v>46168</v>
      </c>
      <c r="B1364" s="2">
        <v>46279</v>
      </c>
      <c r="C1364" s="1" t="s">
        <v>7</v>
      </c>
      <c r="D1364" s="1">
        <v>2026</v>
      </c>
      <c r="E1364" s="1">
        <v>9</v>
      </c>
      <c r="F1364" s="1">
        <v>38</v>
      </c>
    </row>
    <row r="1365" spans="1:6" x14ac:dyDescent="0.35">
      <c r="A1365" s="1">
        <v>46167</v>
      </c>
      <c r="B1365" s="2">
        <v>46279</v>
      </c>
      <c r="C1365" s="1" t="s">
        <v>7</v>
      </c>
      <c r="D1365" s="1">
        <v>2026</v>
      </c>
      <c r="E1365" s="1">
        <v>9</v>
      </c>
      <c r="F1365" s="1">
        <v>38</v>
      </c>
    </row>
    <row r="1366" spans="1:6" x14ac:dyDescent="0.35">
      <c r="A1366" s="1">
        <v>46151</v>
      </c>
      <c r="B1366" s="2">
        <v>46279</v>
      </c>
      <c r="C1366" s="1" t="s">
        <v>19</v>
      </c>
      <c r="D1366" s="1">
        <v>2026</v>
      </c>
      <c r="E1366" s="1">
        <v>9</v>
      </c>
      <c r="F1366" s="1">
        <v>38</v>
      </c>
    </row>
    <row r="1367" spans="1:6" x14ac:dyDescent="0.35">
      <c r="A1367" s="1">
        <v>46144</v>
      </c>
      <c r="B1367" s="2">
        <v>46279</v>
      </c>
      <c r="C1367" s="1" t="s">
        <v>19</v>
      </c>
      <c r="D1367" s="1">
        <v>2026</v>
      </c>
      <c r="E1367" s="1">
        <v>9</v>
      </c>
      <c r="F1367" s="1">
        <v>38</v>
      </c>
    </row>
    <row r="1368" spans="1:6" x14ac:dyDescent="0.35">
      <c r="A1368" s="1">
        <v>46143</v>
      </c>
      <c r="B1368" s="2">
        <v>46279</v>
      </c>
      <c r="C1368" s="1" t="s">
        <v>19</v>
      </c>
      <c r="D1368" s="1">
        <v>2026</v>
      </c>
      <c r="E1368" s="1">
        <v>9</v>
      </c>
      <c r="F1368" s="1">
        <v>38</v>
      </c>
    </row>
    <row r="1369" spans="1:6" x14ac:dyDescent="0.35">
      <c r="A1369" s="1">
        <v>46142</v>
      </c>
      <c r="B1369" s="2">
        <v>46279</v>
      </c>
      <c r="C1369" s="1" t="s">
        <v>19</v>
      </c>
      <c r="D1369" s="1">
        <v>2026</v>
      </c>
      <c r="E1369" s="1">
        <v>9</v>
      </c>
      <c r="F1369" s="1">
        <v>38</v>
      </c>
    </row>
    <row r="1370" spans="1:6" x14ac:dyDescent="0.35">
      <c r="A1370" s="1">
        <v>46141</v>
      </c>
      <c r="B1370" s="2">
        <v>46279</v>
      </c>
      <c r="C1370" s="1" t="s">
        <v>19</v>
      </c>
      <c r="D1370" s="1">
        <v>2026</v>
      </c>
      <c r="E1370" s="1">
        <v>9</v>
      </c>
      <c r="F1370" s="1">
        <v>38</v>
      </c>
    </row>
    <row r="1371" spans="1:6" x14ac:dyDescent="0.35">
      <c r="A1371" s="1">
        <v>46140</v>
      </c>
      <c r="B1371" s="2">
        <v>46279</v>
      </c>
      <c r="C1371" s="1" t="s">
        <v>19</v>
      </c>
      <c r="D1371" s="1">
        <v>2026</v>
      </c>
      <c r="E1371" s="1">
        <v>9</v>
      </c>
      <c r="F1371" s="1">
        <v>38</v>
      </c>
    </row>
    <row r="1372" spans="1:6" x14ac:dyDescent="0.35">
      <c r="A1372" s="1">
        <v>46139</v>
      </c>
      <c r="B1372" s="2">
        <v>46279</v>
      </c>
      <c r="C1372" s="1" t="s">
        <v>19</v>
      </c>
      <c r="D1372" s="1">
        <v>2026</v>
      </c>
      <c r="E1372" s="1">
        <v>9</v>
      </c>
      <c r="F1372" s="1">
        <v>38</v>
      </c>
    </row>
    <row r="1373" spans="1:6" x14ac:dyDescent="0.35">
      <c r="A1373" s="1">
        <v>46138</v>
      </c>
      <c r="B1373" s="2">
        <v>46279</v>
      </c>
      <c r="C1373" s="1" t="s">
        <v>8</v>
      </c>
      <c r="D1373" s="1">
        <v>2026</v>
      </c>
      <c r="E1373" s="1">
        <v>9</v>
      </c>
      <c r="F1373" s="1">
        <v>38</v>
      </c>
    </row>
    <row r="1374" spans="1:6" x14ac:dyDescent="0.35">
      <c r="A1374" s="1">
        <v>46137</v>
      </c>
      <c r="B1374" s="2">
        <v>46279</v>
      </c>
      <c r="C1374" s="1" t="s">
        <v>8</v>
      </c>
      <c r="D1374" s="1">
        <v>2026</v>
      </c>
      <c r="E1374" s="1">
        <v>9</v>
      </c>
      <c r="F1374" s="1">
        <v>38</v>
      </c>
    </row>
    <row r="1375" spans="1:6" x14ac:dyDescent="0.35">
      <c r="A1375" s="1">
        <v>46193</v>
      </c>
      <c r="B1375" s="2">
        <v>46279</v>
      </c>
      <c r="C1375" s="1" t="s">
        <v>23</v>
      </c>
      <c r="D1375" s="1">
        <v>2026</v>
      </c>
      <c r="E1375" s="1">
        <v>9</v>
      </c>
      <c r="F1375" s="1">
        <v>38</v>
      </c>
    </row>
    <row r="1376" spans="1:6" x14ac:dyDescent="0.35">
      <c r="A1376" s="1">
        <v>46192</v>
      </c>
      <c r="B1376" s="2">
        <v>46279</v>
      </c>
      <c r="C1376" s="1" t="s">
        <v>17</v>
      </c>
      <c r="D1376" s="1">
        <v>2026</v>
      </c>
      <c r="E1376" s="1">
        <v>9</v>
      </c>
      <c r="F1376" s="1">
        <v>38</v>
      </c>
    </row>
    <row r="1377" spans="1:6" x14ac:dyDescent="0.35">
      <c r="A1377" s="1">
        <v>46191</v>
      </c>
      <c r="B1377" s="2">
        <v>46279</v>
      </c>
      <c r="C1377" s="1" t="s">
        <v>23</v>
      </c>
      <c r="D1377" s="1">
        <v>2026</v>
      </c>
      <c r="E1377" s="1">
        <v>9</v>
      </c>
      <c r="F1377" s="1">
        <v>38</v>
      </c>
    </row>
    <row r="1378" spans="1:6" x14ac:dyDescent="0.35">
      <c r="A1378" s="1">
        <v>46187</v>
      </c>
      <c r="B1378" s="2">
        <v>46279</v>
      </c>
      <c r="C1378" s="1" t="s">
        <v>17</v>
      </c>
      <c r="D1378" s="1">
        <v>2026</v>
      </c>
      <c r="E1378" s="1">
        <v>9</v>
      </c>
      <c r="F1378" s="1">
        <v>38</v>
      </c>
    </row>
    <row r="1379" spans="1:6" x14ac:dyDescent="0.35">
      <c r="A1379" s="1">
        <v>46186</v>
      </c>
      <c r="B1379" s="2">
        <v>46279</v>
      </c>
      <c r="C1379" s="1" t="s">
        <v>24</v>
      </c>
      <c r="D1379" s="1">
        <v>2026</v>
      </c>
      <c r="E1379" s="1">
        <v>9</v>
      </c>
      <c r="F1379" s="1">
        <v>38</v>
      </c>
    </row>
    <row r="1380" spans="1:6" x14ac:dyDescent="0.35">
      <c r="A1380" s="1">
        <v>46242</v>
      </c>
      <c r="B1380" s="2">
        <v>46280</v>
      </c>
      <c r="C1380" s="1" t="s">
        <v>4</v>
      </c>
      <c r="D1380" s="1">
        <v>2026</v>
      </c>
      <c r="E1380" s="1">
        <v>9</v>
      </c>
      <c r="F1380" s="1">
        <v>38</v>
      </c>
    </row>
    <row r="1381" spans="1:6" x14ac:dyDescent="0.35">
      <c r="A1381" s="1">
        <v>46241</v>
      </c>
      <c r="B1381" s="2">
        <v>46280</v>
      </c>
      <c r="C1381" s="1" t="s">
        <v>4</v>
      </c>
      <c r="D1381" s="1">
        <v>2026</v>
      </c>
      <c r="E1381" s="1">
        <v>9</v>
      </c>
      <c r="F1381" s="1">
        <v>38</v>
      </c>
    </row>
    <row r="1382" spans="1:6" x14ac:dyDescent="0.35">
      <c r="A1382" s="1">
        <v>46240</v>
      </c>
      <c r="B1382" s="2">
        <v>46280</v>
      </c>
      <c r="C1382" s="1" t="s">
        <v>4</v>
      </c>
      <c r="D1382" s="1">
        <v>2026</v>
      </c>
      <c r="E1382" s="1">
        <v>9</v>
      </c>
      <c r="F1382" s="1">
        <v>38</v>
      </c>
    </row>
    <row r="1383" spans="1:6" x14ac:dyDescent="0.35">
      <c r="A1383" s="1">
        <v>46239</v>
      </c>
      <c r="B1383" s="2">
        <v>46280</v>
      </c>
      <c r="C1383" s="1" t="s">
        <v>6</v>
      </c>
      <c r="D1383" s="1">
        <v>2026</v>
      </c>
      <c r="E1383" s="1">
        <v>9</v>
      </c>
      <c r="F1383" s="1">
        <v>38</v>
      </c>
    </row>
    <row r="1384" spans="1:6" x14ac:dyDescent="0.35">
      <c r="A1384" s="1">
        <v>46238</v>
      </c>
      <c r="B1384" s="2">
        <v>46280</v>
      </c>
      <c r="C1384" s="1" t="s">
        <v>6</v>
      </c>
      <c r="D1384" s="1">
        <v>2026</v>
      </c>
      <c r="E1384" s="1">
        <v>9</v>
      </c>
      <c r="F1384" s="1">
        <v>38</v>
      </c>
    </row>
    <row r="1385" spans="1:6" x14ac:dyDescent="0.35">
      <c r="A1385" s="1">
        <v>46234</v>
      </c>
      <c r="B1385" s="2">
        <v>46280</v>
      </c>
      <c r="C1385" s="1" t="s">
        <v>17</v>
      </c>
      <c r="D1385" s="1">
        <v>2026</v>
      </c>
      <c r="E1385" s="1">
        <v>9</v>
      </c>
      <c r="F1385" s="1">
        <v>38</v>
      </c>
    </row>
    <row r="1386" spans="1:6" x14ac:dyDescent="0.35">
      <c r="A1386" s="1">
        <v>46233</v>
      </c>
      <c r="B1386" s="2">
        <v>46280</v>
      </c>
      <c r="C1386" s="1" t="s">
        <v>17</v>
      </c>
      <c r="D1386" s="1">
        <v>2026</v>
      </c>
      <c r="E1386" s="1">
        <v>9</v>
      </c>
      <c r="F1386" s="1">
        <v>38</v>
      </c>
    </row>
    <row r="1387" spans="1:6" x14ac:dyDescent="0.35">
      <c r="A1387" s="1">
        <v>46232</v>
      </c>
      <c r="B1387" s="2">
        <v>46280</v>
      </c>
      <c r="C1387" s="1" t="s">
        <v>24</v>
      </c>
      <c r="D1387" s="1">
        <v>2026</v>
      </c>
      <c r="E1387" s="1">
        <v>9</v>
      </c>
      <c r="F1387" s="1">
        <v>38</v>
      </c>
    </row>
    <row r="1388" spans="1:6" x14ac:dyDescent="0.35">
      <c r="A1388" s="1">
        <v>46231</v>
      </c>
      <c r="B1388" s="2">
        <v>46280</v>
      </c>
      <c r="C1388" s="1" t="s">
        <v>3</v>
      </c>
      <c r="D1388" s="1">
        <v>2026</v>
      </c>
      <c r="E1388" s="1">
        <v>9</v>
      </c>
      <c r="F1388" s="1">
        <v>38</v>
      </c>
    </row>
    <row r="1389" spans="1:6" x14ac:dyDescent="0.35">
      <c r="A1389" s="1">
        <v>46230</v>
      </c>
      <c r="B1389" s="2">
        <v>46280</v>
      </c>
      <c r="C1389" s="1" t="s">
        <v>23</v>
      </c>
      <c r="D1389" s="1">
        <v>2026</v>
      </c>
      <c r="E1389" s="1">
        <v>9</v>
      </c>
      <c r="F1389" s="1">
        <v>38</v>
      </c>
    </row>
    <row r="1390" spans="1:6" x14ac:dyDescent="0.35">
      <c r="A1390" s="1">
        <v>46229</v>
      </c>
      <c r="B1390" s="2">
        <v>46280</v>
      </c>
      <c r="C1390" s="1" t="s">
        <v>23</v>
      </c>
      <c r="D1390" s="1">
        <v>2026</v>
      </c>
      <c r="E1390" s="1">
        <v>9</v>
      </c>
      <c r="F1390" s="1">
        <v>38</v>
      </c>
    </row>
    <row r="1391" spans="1:6" x14ac:dyDescent="0.35">
      <c r="A1391" s="1">
        <v>46228</v>
      </c>
      <c r="B1391" s="2">
        <v>46280</v>
      </c>
      <c r="C1391" s="1" t="s">
        <v>3</v>
      </c>
      <c r="D1391" s="1">
        <v>2026</v>
      </c>
      <c r="E1391" s="1">
        <v>9</v>
      </c>
      <c r="F1391" s="1">
        <v>38</v>
      </c>
    </row>
    <row r="1392" spans="1:6" x14ac:dyDescent="0.35">
      <c r="A1392" s="1">
        <v>46227</v>
      </c>
      <c r="B1392" s="2">
        <v>46280</v>
      </c>
      <c r="C1392" s="1" t="s">
        <v>28</v>
      </c>
      <c r="D1392" s="1">
        <v>2026</v>
      </c>
      <c r="E1392" s="1">
        <v>9</v>
      </c>
      <c r="F1392" s="1">
        <v>38</v>
      </c>
    </row>
    <row r="1393" spans="1:6" x14ac:dyDescent="0.35">
      <c r="A1393" s="1">
        <v>46225</v>
      </c>
      <c r="B1393" s="2">
        <v>46280</v>
      </c>
      <c r="C1393" s="1" t="s">
        <v>7</v>
      </c>
      <c r="D1393" s="1">
        <v>2026</v>
      </c>
      <c r="E1393" s="1">
        <v>9</v>
      </c>
      <c r="F1393" s="1">
        <v>38</v>
      </c>
    </row>
    <row r="1394" spans="1:6" x14ac:dyDescent="0.35">
      <c r="A1394" s="1">
        <v>46221</v>
      </c>
      <c r="B1394" s="2">
        <v>46280</v>
      </c>
      <c r="C1394" s="1" t="s">
        <v>3</v>
      </c>
      <c r="D1394" s="1">
        <v>2026</v>
      </c>
      <c r="E1394" s="1">
        <v>9</v>
      </c>
      <c r="F1394" s="1">
        <v>38</v>
      </c>
    </row>
    <row r="1395" spans="1:6" x14ac:dyDescent="0.35">
      <c r="A1395" s="1">
        <v>46219</v>
      </c>
      <c r="B1395" s="2">
        <v>46280</v>
      </c>
      <c r="C1395" s="1" t="s">
        <v>3</v>
      </c>
      <c r="D1395" s="1">
        <v>2026</v>
      </c>
      <c r="E1395" s="1">
        <v>9</v>
      </c>
      <c r="F1395" s="1">
        <v>38</v>
      </c>
    </row>
    <row r="1396" spans="1:6" x14ac:dyDescent="0.35">
      <c r="A1396" s="1">
        <v>46218</v>
      </c>
      <c r="B1396" s="2">
        <v>46280</v>
      </c>
      <c r="C1396" s="1" t="s">
        <v>3</v>
      </c>
      <c r="D1396" s="1">
        <v>2026</v>
      </c>
      <c r="E1396" s="1">
        <v>9</v>
      </c>
      <c r="F1396" s="1">
        <v>38</v>
      </c>
    </row>
    <row r="1397" spans="1:6" x14ac:dyDescent="0.35">
      <c r="A1397" s="1">
        <v>46215</v>
      </c>
      <c r="B1397" s="2">
        <v>46280</v>
      </c>
      <c r="C1397" s="1" t="s">
        <v>7</v>
      </c>
      <c r="D1397" s="1">
        <v>2026</v>
      </c>
      <c r="E1397" s="1">
        <v>9</v>
      </c>
      <c r="F1397" s="1">
        <v>38</v>
      </c>
    </row>
    <row r="1398" spans="1:6" x14ac:dyDescent="0.35">
      <c r="A1398" s="1">
        <v>46214</v>
      </c>
      <c r="B1398" s="2">
        <v>46280</v>
      </c>
      <c r="C1398" s="1" t="s">
        <v>9</v>
      </c>
      <c r="D1398" s="1">
        <v>2026</v>
      </c>
      <c r="E1398" s="1">
        <v>9</v>
      </c>
      <c r="F1398" s="1">
        <v>38</v>
      </c>
    </row>
    <row r="1399" spans="1:6" x14ac:dyDescent="0.35">
      <c r="A1399" s="1">
        <v>46211</v>
      </c>
      <c r="B1399" s="2">
        <v>46280</v>
      </c>
      <c r="C1399" s="1" t="s">
        <v>24</v>
      </c>
      <c r="D1399" s="1">
        <v>2026</v>
      </c>
      <c r="E1399" s="1">
        <v>9</v>
      </c>
      <c r="F1399" s="1">
        <v>38</v>
      </c>
    </row>
    <row r="1400" spans="1:6" x14ac:dyDescent="0.35">
      <c r="A1400" s="1">
        <v>46210</v>
      </c>
      <c r="B1400" s="2">
        <v>46280</v>
      </c>
      <c r="C1400" s="1" t="s">
        <v>24</v>
      </c>
      <c r="D1400" s="1">
        <v>2026</v>
      </c>
      <c r="E1400" s="1">
        <v>9</v>
      </c>
      <c r="F1400" s="1">
        <v>38</v>
      </c>
    </row>
    <row r="1401" spans="1:6" x14ac:dyDescent="0.35">
      <c r="A1401" s="1">
        <v>46209</v>
      </c>
      <c r="B1401" s="2">
        <v>46280</v>
      </c>
      <c r="C1401" s="1" t="s">
        <v>24</v>
      </c>
      <c r="D1401" s="1">
        <v>2026</v>
      </c>
      <c r="E1401" s="1">
        <v>9</v>
      </c>
      <c r="F1401" s="1">
        <v>38</v>
      </c>
    </row>
    <row r="1402" spans="1:6" x14ac:dyDescent="0.35">
      <c r="A1402" s="1">
        <v>46208</v>
      </c>
      <c r="B1402" s="2">
        <v>46280</v>
      </c>
      <c r="C1402" s="1" t="s">
        <v>24</v>
      </c>
      <c r="D1402" s="1">
        <v>2026</v>
      </c>
      <c r="E1402" s="1">
        <v>9</v>
      </c>
      <c r="F1402" s="1">
        <v>38</v>
      </c>
    </row>
    <row r="1403" spans="1:6" x14ac:dyDescent="0.35">
      <c r="A1403" s="1">
        <v>46207</v>
      </c>
      <c r="B1403" s="2">
        <v>46280</v>
      </c>
      <c r="C1403" s="1" t="s">
        <v>24</v>
      </c>
      <c r="D1403" s="1">
        <v>2026</v>
      </c>
      <c r="E1403" s="1">
        <v>9</v>
      </c>
      <c r="F1403" s="1">
        <v>38</v>
      </c>
    </row>
    <row r="1404" spans="1:6" x14ac:dyDescent="0.35">
      <c r="A1404" s="1">
        <v>46206</v>
      </c>
      <c r="B1404" s="2">
        <v>46280</v>
      </c>
      <c r="C1404" s="1" t="s">
        <v>9</v>
      </c>
      <c r="D1404" s="1">
        <v>2026</v>
      </c>
      <c r="E1404" s="1">
        <v>9</v>
      </c>
      <c r="F1404" s="1">
        <v>38</v>
      </c>
    </row>
    <row r="1405" spans="1:6" x14ac:dyDescent="0.35">
      <c r="A1405" s="1">
        <v>46205</v>
      </c>
      <c r="B1405" s="2">
        <v>46280</v>
      </c>
      <c r="C1405" s="1" t="s">
        <v>8</v>
      </c>
      <c r="D1405" s="1">
        <v>2026</v>
      </c>
      <c r="E1405" s="1">
        <v>9</v>
      </c>
      <c r="F1405" s="1">
        <v>38</v>
      </c>
    </row>
    <row r="1406" spans="1:6" x14ac:dyDescent="0.35">
      <c r="A1406" s="1">
        <v>46204</v>
      </c>
      <c r="B1406" s="2">
        <v>46280</v>
      </c>
      <c r="C1406" s="1" t="s">
        <v>8</v>
      </c>
      <c r="D1406" s="1">
        <v>2026</v>
      </c>
      <c r="E1406" s="1">
        <v>9</v>
      </c>
      <c r="F1406" s="1">
        <v>38</v>
      </c>
    </row>
    <row r="1407" spans="1:6" x14ac:dyDescent="0.35">
      <c r="A1407" s="1">
        <v>46195</v>
      </c>
      <c r="B1407" s="2">
        <v>46280</v>
      </c>
      <c r="C1407" s="1" t="s">
        <v>19</v>
      </c>
      <c r="D1407" s="1">
        <v>2026</v>
      </c>
      <c r="E1407" s="1">
        <v>9</v>
      </c>
      <c r="F1407" s="1">
        <v>38</v>
      </c>
    </row>
    <row r="1408" spans="1:6" x14ac:dyDescent="0.35">
      <c r="A1408" s="1">
        <v>46194</v>
      </c>
      <c r="B1408" s="2">
        <v>46280</v>
      </c>
      <c r="C1408" s="1" t="s">
        <v>19</v>
      </c>
      <c r="D1408" s="1">
        <v>2026</v>
      </c>
      <c r="E1408" s="1">
        <v>9</v>
      </c>
      <c r="F1408" s="1">
        <v>38</v>
      </c>
    </row>
    <row r="1409" spans="1:6" x14ac:dyDescent="0.35">
      <c r="A1409" s="1">
        <v>46247</v>
      </c>
      <c r="B1409" s="2">
        <v>46281</v>
      </c>
      <c r="C1409" s="1" t="s">
        <v>9</v>
      </c>
      <c r="D1409" s="1">
        <v>2026</v>
      </c>
      <c r="E1409" s="1">
        <v>9</v>
      </c>
      <c r="F1409" s="1">
        <v>38</v>
      </c>
    </row>
    <row r="1410" spans="1:6" x14ac:dyDescent="0.35">
      <c r="A1410" s="1">
        <v>46246</v>
      </c>
      <c r="B1410" s="2">
        <v>46281</v>
      </c>
      <c r="C1410" s="1" t="s">
        <v>19</v>
      </c>
      <c r="D1410" s="1">
        <v>2026</v>
      </c>
      <c r="E1410" s="1">
        <v>9</v>
      </c>
      <c r="F1410" s="1">
        <v>38</v>
      </c>
    </row>
    <row r="1411" spans="1:6" x14ac:dyDescent="0.35">
      <c r="A1411" s="1">
        <v>46245</v>
      </c>
      <c r="B1411" s="2">
        <v>46281</v>
      </c>
      <c r="C1411" s="1" t="s">
        <v>19</v>
      </c>
      <c r="D1411" s="1">
        <v>2026</v>
      </c>
      <c r="E1411" s="1">
        <v>9</v>
      </c>
      <c r="F1411" s="1">
        <v>38</v>
      </c>
    </row>
    <row r="1412" spans="1:6" x14ac:dyDescent="0.35">
      <c r="A1412" s="1">
        <v>46244</v>
      </c>
      <c r="B1412" s="2">
        <v>46281</v>
      </c>
      <c r="C1412" s="1" t="s">
        <v>8</v>
      </c>
      <c r="D1412" s="1">
        <v>2026</v>
      </c>
      <c r="E1412" s="1">
        <v>9</v>
      </c>
      <c r="F1412" s="1">
        <v>38</v>
      </c>
    </row>
    <row r="1413" spans="1:6" x14ac:dyDescent="0.35">
      <c r="A1413" s="1">
        <v>46243</v>
      </c>
      <c r="B1413" s="2">
        <v>46281</v>
      </c>
      <c r="C1413" s="1" t="s">
        <v>8</v>
      </c>
      <c r="D1413" s="1">
        <v>2026</v>
      </c>
      <c r="E1413" s="1">
        <v>9</v>
      </c>
      <c r="F1413" s="1">
        <v>38</v>
      </c>
    </row>
    <row r="1414" spans="1:6" x14ac:dyDescent="0.35">
      <c r="A1414" s="1">
        <v>46295</v>
      </c>
      <c r="B1414" s="2">
        <v>46281</v>
      </c>
      <c r="C1414" s="1" t="s">
        <v>11</v>
      </c>
      <c r="D1414" s="1">
        <v>2026</v>
      </c>
      <c r="E1414" s="1">
        <v>9</v>
      </c>
      <c r="F1414" s="1">
        <v>38</v>
      </c>
    </row>
    <row r="1415" spans="1:6" x14ac:dyDescent="0.35">
      <c r="A1415" s="1">
        <v>46294</v>
      </c>
      <c r="B1415" s="2">
        <v>46281</v>
      </c>
      <c r="C1415" s="1" t="s">
        <v>10</v>
      </c>
      <c r="D1415" s="1">
        <v>2026</v>
      </c>
      <c r="E1415" s="1">
        <v>9</v>
      </c>
      <c r="F1415" s="1">
        <v>38</v>
      </c>
    </row>
    <row r="1416" spans="1:6" x14ac:dyDescent="0.35">
      <c r="A1416" s="1">
        <v>46293</v>
      </c>
      <c r="B1416" s="2">
        <v>46281</v>
      </c>
      <c r="C1416" s="1" t="s">
        <v>10</v>
      </c>
      <c r="D1416" s="1">
        <v>2026</v>
      </c>
      <c r="E1416" s="1">
        <v>9</v>
      </c>
      <c r="F1416" s="1">
        <v>38</v>
      </c>
    </row>
    <row r="1417" spans="1:6" x14ac:dyDescent="0.35">
      <c r="A1417" s="1">
        <v>46292</v>
      </c>
      <c r="B1417" s="2">
        <v>46281</v>
      </c>
      <c r="C1417" s="1" t="s">
        <v>4</v>
      </c>
      <c r="D1417" s="1">
        <v>2026</v>
      </c>
      <c r="E1417" s="1">
        <v>9</v>
      </c>
      <c r="F1417" s="1">
        <v>38</v>
      </c>
    </row>
    <row r="1418" spans="1:6" x14ac:dyDescent="0.35">
      <c r="A1418" s="1">
        <v>46291</v>
      </c>
      <c r="B1418" s="2">
        <v>46281</v>
      </c>
      <c r="C1418" s="1" t="s">
        <v>4</v>
      </c>
      <c r="D1418" s="1">
        <v>2026</v>
      </c>
      <c r="E1418" s="1">
        <v>9</v>
      </c>
      <c r="F1418" s="1">
        <v>38</v>
      </c>
    </row>
    <row r="1419" spans="1:6" x14ac:dyDescent="0.35">
      <c r="A1419" s="1">
        <v>46290</v>
      </c>
      <c r="B1419" s="2">
        <v>46281</v>
      </c>
      <c r="C1419" s="1" t="s">
        <v>4</v>
      </c>
      <c r="D1419" s="1">
        <v>2026</v>
      </c>
      <c r="E1419" s="1">
        <v>9</v>
      </c>
      <c r="F1419" s="1">
        <v>38</v>
      </c>
    </row>
    <row r="1420" spans="1:6" x14ac:dyDescent="0.35">
      <c r="A1420" s="1">
        <v>46289</v>
      </c>
      <c r="B1420" s="2">
        <v>46281</v>
      </c>
      <c r="C1420" s="1" t="s">
        <v>6</v>
      </c>
      <c r="D1420" s="1">
        <v>2026</v>
      </c>
      <c r="E1420" s="1">
        <v>9</v>
      </c>
      <c r="F1420" s="1">
        <v>38</v>
      </c>
    </row>
    <row r="1421" spans="1:6" x14ac:dyDescent="0.35">
      <c r="A1421" s="1">
        <v>46288</v>
      </c>
      <c r="B1421" s="2">
        <v>46281</v>
      </c>
      <c r="C1421" s="1" t="s">
        <v>6</v>
      </c>
      <c r="D1421" s="1">
        <v>2026</v>
      </c>
      <c r="E1421" s="1">
        <v>9</v>
      </c>
      <c r="F1421" s="1">
        <v>38</v>
      </c>
    </row>
    <row r="1422" spans="1:6" x14ac:dyDescent="0.35">
      <c r="A1422" s="1">
        <v>46287</v>
      </c>
      <c r="B1422" s="2">
        <v>46281</v>
      </c>
      <c r="C1422" s="1" t="s">
        <v>17</v>
      </c>
      <c r="D1422" s="1">
        <v>2026</v>
      </c>
      <c r="E1422" s="1">
        <v>9</v>
      </c>
      <c r="F1422" s="1">
        <v>38</v>
      </c>
    </row>
    <row r="1423" spans="1:6" x14ac:dyDescent="0.35">
      <c r="A1423" s="1">
        <v>46286</v>
      </c>
      <c r="B1423" s="2">
        <v>46281</v>
      </c>
      <c r="C1423" s="1" t="s">
        <v>24</v>
      </c>
      <c r="D1423" s="1">
        <v>2026</v>
      </c>
      <c r="E1423" s="1">
        <v>9</v>
      </c>
      <c r="F1423" s="1">
        <v>38</v>
      </c>
    </row>
    <row r="1424" spans="1:6" x14ac:dyDescent="0.35">
      <c r="A1424" s="1">
        <v>46285</v>
      </c>
      <c r="B1424" s="2">
        <v>46281</v>
      </c>
      <c r="C1424" s="1" t="s">
        <v>24</v>
      </c>
      <c r="D1424" s="1">
        <v>2026</v>
      </c>
      <c r="E1424" s="1">
        <v>9</v>
      </c>
      <c r="F1424" s="1">
        <v>38</v>
      </c>
    </row>
    <row r="1425" spans="1:6" x14ac:dyDescent="0.35">
      <c r="A1425" s="1">
        <v>46283</v>
      </c>
      <c r="B1425" s="2">
        <v>46281</v>
      </c>
      <c r="C1425" s="1" t="s">
        <v>24</v>
      </c>
      <c r="D1425" s="1">
        <v>2026</v>
      </c>
      <c r="E1425" s="1">
        <v>9</v>
      </c>
      <c r="F1425" s="1">
        <v>38</v>
      </c>
    </row>
    <row r="1426" spans="1:6" x14ac:dyDescent="0.35">
      <c r="A1426" s="1">
        <v>46282</v>
      </c>
      <c r="B1426" s="2">
        <v>46281</v>
      </c>
      <c r="C1426" s="1" t="s">
        <v>24</v>
      </c>
      <c r="D1426" s="1">
        <v>2026</v>
      </c>
      <c r="E1426" s="1">
        <v>9</v>
      </c>
      <c r="F1426" s="1">
        <v>38</v>
      </c>
    </row>
    <row r="1427" spans="1:6" x14ac:dyDescent="0.35">
      <c r="A1427" s="1">
        <v>46277</v>
      </c>
      <c r="B1427" s="2">
        <v>46281</v>
      </c>
      <c r="C1427" s="1" t="s">
        <v>7</v>
      </c>
      <c r="D1427" s="1">
        <v>2026</v>
      </c>
      <c r="E1427" s="1">
        <v>9</v>
      </c>
      <c r="F1427" s="1">
        <v>38</v>
      </c>
    </row>
    <row r="1428" spans="1:6" x14ac:dyDescent="0.35">
      <c r="A1428" s="1">
        <v>46256</v>
      </c>
      <c r="B1428" s="2">
        <v>46281</v>
      </c>
      <c r="C1428" s="1" t="s">
        <v>3</v>
      </c>
      <c r="D1428" s="1">
        <v>2026</v>
      </c>
      <c r="E1428" s="1">
        <v>9</v>
      </c>
      <c r="F1428" s="1">
        <v>38</v>
      </c>
    </row>
    <row r="1429" spans="1:6" x14ac:dyDescent="0.35">
      <c r="A1429" s="1">
        <v>46255</v>
      </c>
      <c r="B1429" s="2">
        <v>46281</v>
      </c>
      <c r="C1429" s="1" t="s">
        <v>28</v>
      </c>
      <c r="D1429" s="1">
        <v>2026</v>
      </c>
      <c r="E1429" s="1">
        <v>9</v>
      </c>
      <c r="F1429" s="1">
        <v>38</v>
      </c>
    </row>
    <row r="1430" spans="1:6" x14ac:dyDescent="0.35">
      <c r="A1430" s="1">
        <v>46253</v>
      </c>
      <c r="B1430" s="2">
        <v>46281</v>
      </c>
      <c r="C1430" s="1" t="s">
        <v>3</v>
      </c>
      <c r="D1430" s="1">
        <v>2026</v>
      </c>
      <c r="E1430" s="1">
        <v>9</v>
      </c>
      <c r="F1430" s="1">
        <v>38</v>
      </c>
    </row>
    <row r="1431" spans="1:6" x14ac:dyDescent="0.35">
      <c r="A1431" s="1">
        <v>46252</v>
      </c>
      <c r="B1431" s="2">
        <v>46281</v>
      </c>
      <c r="C1431" s="1" t="s">
        <v>3</v>
      </c>
      <c r="D1431" s="1">
        <v>2026</v>
      </c>
      <c r="E1431" s="1">
        <v>9</v>
      </c>
      <c r="F1431" s="1">
        <v>38</v>
      </c>
    </row>
    <row r="1432" spans="1:6" x14ac:dyDescent="0.35">
      <c r="A1432" s="1">
        <v>46249</v>
      </c>
      <c r="B1432" s="2">
        <v>46281</v>
      </c>
      <c r="C1432" s="1" t="s">
        <v>3</v>
      </c>
      <c r="D1432" s="1">
        <v>2026</v>
      </c>
      <c r="E1432" s="1">
        <v>9</v>
      </c>
      <c r="F1432" s="1">
        <v>38</v>
      </c>
    </row>
    <row r="1433" spans="1:6" x14ac:dyDescent="0.35">
      <c r="A1433" s="1">
        <v>46248</v>
      </c>
      <c r="B1433" s="2">
        <v>46281</v>
      </c>
      <c r="C1433" s="1" t="s">
        <v>9</v>
      </c>
      <c r="D1433" s="1">
        <v>2026</v>
      </c>
      <c r="E1433" s="1">
        <v>9</v>
      </c>
      <c r="F1433" s="1">
        <v>38</v>
      </c>
    </row>
    <row r="1434" spans="1:6" x14ac:dyDescent="0.35">
      <c r="A1434" s="1">
        <v>46338</v>
      </c>
      <c r="B1434" s="2">
        <v>46282</v>
      </c>
      <c r="C1434" s="1" t="s">
        <v>11</v>
      </c>
      <c r="D1434" s="1">
        <v>2026</v>
      </c>
      <c r="E1434" s="1">
        <v>9</v>
      </c>
      <c r="F1434" s="1">
        <v>38</v>
      </c>
    </row>
    <row r="1435" spans="1:6" x14ac:dyDescent="0.35">
      <c r="A1435" s="1">
        <v>46337</v>
      </c>
      <c r="B1435" s="2">
        <v>46282</v>
      </c>
      <c r="C1435" s="1" t="s">
        <v>11</v>
      </c>
      <c r="D1435" s="1">
        <v>2026</v>
      </c>
      <c r="E1435" s="1">
        <v>9</v>
      </c>
      <c r="F1435" s="1">
        <v>38</v>
      </c>
    </row>
    <row r="1436" spans="1:6" x14ac:dyDescent="0.35">
      <c r="A1436" s="1">
        <v>46299</v>
      </c>
      <c r="B1436" s="2">
        <v>46282</v>
      </c>
      <c r="C1436" s="1" t="s">
        <v>3</v>
      </c>
      <c r="D1436" s="1">
        <v>2026</v>
      </c>
      <c r="E1436" s="1">
        <v>9</v>
      </c>
      <c r="F1436" s="1">
        <v>38</v>
      </c>
    </row>
    <row r="1437" spans="1:6" x14ac:dyDescent="0.35">
      <c r="A1437" s="1">
        <v>46303</v>
      </c>
      <c r="B1437" s="2">
        <v>46282</v>
      </c>
      <c r="C1437" s="1" t="s">
        <v>3</v>
      </c>
      <c r="D1437" s="1">
        <v>2026</v>
      </c>
      <c r="E1437" s="1">
        <v>9</v>
      </c>
      <c r="F1437" s="1">
        <v>38</v>
      </c>
    </row>
    <row r="1438" spans="1:6" x14ac:dyDescent="0.35">
      <c r="A1438" s="1">
        <v>46302</v>
      </c>
      <c r="B1438" s="2">
        <v>46282</v>
      </c>
      <c r="C1438" s="1" t="s">
        <v>3</v>
      </c>
      <c r="D1438" s="1">
        <v>2026</v>
      </c>
      <c r="E1438" s="1">
        <v>9</v>
      </c>
      <c r="F1438" s="1">
        <v>38</v>
      </c>
    </row>
    <row r="1439" spans="1:6" x14ac:dyDescent="0.35">
      <c r="A1439" s="1">
        <v>46329</v>
      </c>
      <c r="B1439" s="2">
        <v>46282</v>
      </c>
      <c r="C1439" s="1" t="s">
        <v>24</v>
      </c>
      <c r="D1439" s="1">
        <v>2026</v>
      </c>
      <c r="E1439" s="1">
        <v>9</v>
      </c>
      <c r="F1439" s="1">
        <v>38</v>
      </c>
    </row>
    <row r="1440" spans="1:6" x14ac:dyDescent="0.35">
      <c r="A1440" s="1">
        <v>46336</v>
      </c>
      <c r="B1440" s="2">
        <v>46282</v>
      </c>
      <c r="C1440" s="1" t="s">
        <v>20</v>
      </c>
      <c r="D1440" s="1">
        <v>2026</v>
      </c>
      <c r="E1440" s="1">
        <v>9</v>
      </c>
      <c r="F1440" s="1">
        <v>38</v>
      </c>
    </row>
    <row r="1441" spans="1:6" x14ac:dyDescent="0.35">
      <c r="A1441" s="1">
        <v>46335</v>
      </c>
      <c r="B1441" s="2">
        <v>46282</v>
      </c>
      <c r="C1441" s="1" t="s">
        <v>20</v>
      </c>
      <c r="D1441" s="1">
        <v>2026</v>
      </c>
      <c r="E1441" s="1">
        <v>9</v>
      </c>
      <c r="F1441" s="1">
        <v>38</v>
      </c>
    </row>
    <row r="1442" spans="1:6" x14ac:dyDescent="0.35">
      <c r="A1442" s="1">
        <v>46334</v>
      </c>
      <c r="B1442" s="2">
        <v>46282</v>
      </c>
      <c r="C1442" s="1" t="s">
        <v>23</v>
      </c>
      <c r="D1442" s="1">
        <v>2026</v>
      </c>
      <c r="E1442" s="1">
        <v>9</v>
      </c>
      <c r="F1442" s="1">
        <v>38</v>
      </c>
    </row>
    <row r="1443" spans="1:6" x14ac:dyDescent="0.35">
      <c r="A1443" s="1">
        <v>46333</v>
      </c>
      <c r="B1443" s="2">
        <v>46282</v>
      </c>
      <c r="C1443" s="1" t="s">
        <v>23</v>
      </c>
      <c r="D1443" s="1">
        <v>2026</v>
      </c>
      <c r="E1443" s="1">
        <v>9</v>
      </c>
      <c r="F1443" s="1">
        <v>38</v>
      </c>
    </row>
    <row r="1444" spans="1:6" x14ac:dyDescent="0.35">
      <c r="A1444" s="1">
        <v>46328</v>
      </c>
      <c r="B1444" s="2">
        <v>46282</v>
      </c>
      <c r="C1444" s="1" t="s">
        <v>24</v>
      </c>
      <c r="D1444" s="1">
        <v>2026</v>
      </c>
      <c r="E1444" s="1">
        <v>9</v>
      </c>
      <c r="F1444" s="1">
        <v>38</v>
      </c>
    </row>
    <row r="1445" spans="1:6" x14ac:dyDescent="0.35">
      <c r="A1445" s="1">
        <v>46327</v>
      </c>
      <c r="B1445" s="2">
        <v>46282</v>
      </c>
      <c r="C1445" s="1" t="s">
        <v>24</v>
      </c>
      <c r="D1445" s="1">
        <v>2026</v>
      </c>
      <c r="E1445" s="1">
        <v>9</v>
      </c>
      <c r="F1445" s="1">
        <v>38</v>
      </c>
    </row>
    <row r="1446" spans="1:6" x14ac:dyDescent="0.35">
      <c r="A1446" s="1">
        <v>46326</v>
      </c>
      <c r="B1446" s="2">
        <v>46282</v>
      </c>
      <c r="C1446" s="1" t="s">
        <v>9</v>
      </c>
      <c r="D1446" s="1">
        <v>2026</v>
      </c>
      <c r="E1446" s="1">
        <v>9</v>
      </c>
      <c r="F1446" s="1">
        <v>38</v>
      </c>
    </row>
    <row r="1447" spans="1:6" x14ac:dyDescent="0.35">
      <c r="A1447" s="1">
        <v>46325</v>
      </c>
      <c r="B1447" s="2">
        <v>46282</v>
      </c>
      <c r="C1447" s="1" t="s">
        <v>9</v>
      </c>
      <c r="D1447" s="1">
        <v>2026</v>
      </c>
      <c r="E1447" s="1">
        <v>9</v>
      </c>
      <c r="F1447" s="1">
        <v>38</v>
      </c>
    </row>
    <row r="1448" spans="1:6" x14ac:dyDescent="0.35">
      <c r="A1448" s="1">
        <v>46298</v>
      </c>
      <c r="B1448" s="2">
        <v>46282</v>
      </c>
      <c r="C1448" s="1" t="s">
        <v>19</v>
      </c>
      <c r="D1448" s="1">
        <v>2026</v>
      </c>
      <c r="E1448" s="1">
        <v>9</v>
      </c>
      <c r="F1448" s="1">
        <v>38</v>
      </c>
    </row>
    <row r="1449" spans="1:6" x14ac:dyDescent="0.35">
      <c r="A1449" s="1">
        <v>46324</v>
      </c>
      <c r="B1449" s="2">
        <v>46282</v>
      </c>
      <c r="C1449" s="1" t="s">
        <v>8</v>
      </c>
      <c r="D1449" s="1">
        <v>2026</v>
      </c>
      <c r="E1449" s="1">
        <v>9</v>
      </c>
      <c r="F1449" s="1">
        <v>38</v>
      </c>
    </row>
    <row r="1450" spans="1:6" x14ac:dyDescent="0.35">
      <c r="A1450" s="1">
        <v>46323</v>
      </c>
      <c r="B1450" s="2">
        <v>46282</v>
      </c>
      <c r="C1450" s="1" t="s">
        <v>8</v>
      </c>
      <c r="D1450" s="1">
        <v>2026</v>
      </c>
      <c r="E1450" s="1">
        <v>9</v>
      </c>
      <c r="F1450" s="1">
        <v>38</v>
      </c>
    </row>
    <row r="1451" spans="1:6" x14ac:dyDescent="0.35">
      <c r="A1451" s="1">
        <v>46305</v>
      </c>
      <c r="B1451" s="2">
        <v>46282</v>
      </c>
      <c r="C1451" s="1" t="s">
        <v>17</v>
      </c>
      <c r="D1451" s="1">
        <v>2026</v>
      </c>
      <c r="E1451" s="1">
        <v>9</v>
      </c>
      <c r="F1451" s="1">
        <v>38</v>
      </c>
    </row>
    <row r="1452" spans="1:6" x14ac:dyDescent="0.35">
      <c r="A1452" s="1">
        <v>46304</v>
      </c>
      <c r="B1452" s="2">
        <v>46282</v>
      </c>
      <c r="C1452" s="1" t="s">
        <v>17</v>
      </c>
      <c r="D1452" s="1">
        <v>2026</v>
      </c>
      <c r="E1452" s="1">
        <v>9</v>
      </c>
      <c r="F1452" s="1">
        <v>38</v>
      </c>
    </row>
    <row r="1453" spans="1:6" x14ac:dyDescent="0.35">
      <c r="A1453" s="1">
        <v>46297</v>
      </c>
      <c r="B1453" s="2">
        <v>46282</v>
      </c>
      <c r="C1453" s="1" t="s">
        <v>19</v>
      </c>
      <c r="D1453" s="1">
        <v>2026</v>
      </c>
      <c r="E1453" s="1">
        <v>9</v>
      </c>
      <c r="F1453" s="1">
        <v>38</v>
      </c>
    </row>
    <row r="1454" spans="1:6" x14ac:dyDescent="0.35">
      <c r="A1454" s="1">
        <v>46296</v>
      </c>
      <c r="B1454" s="2">
        <v>46282</v>
      </c>
      <c r="C1454" s="1" t="s">
        <v>19</v>
      </c>
      <c r="D1454" s="1">
        <v>2026</v>
      </c>
      <c r="E1454" s="1">
        <v>9</v>
      </c>
      <c r="F1454" s="1">
        <v>38</v>
      </c>
    </row>
    <row r="1455" spans="1:6" x14ac:dyDescent="0.35">
      <c r="A1455" s="1">
        <v>46342</v>
      </c>
      <c r="B1455" s="2">
        <v>46283</v>
      </c>
      <c r="C1455" s="1" t="s">
        <v>8</v>
      </c>
      <c r="D1455" s="1">
        <v>2026</v>
      </c>
      <c r="E1455" s="1">
        <v>9</v>
      </c>
      <c r="F1455" s="1">
        <v>38</v>
      </c>
    </row>
    <row r="1456" spans="1:6" x14ac:dyDescent="0.35">
      <c r="A1456" s="1">
        <v>46341</v>
      </c>
      <c r="B1456" s="2">
        <v>46283</v>
      </c>
      <c r="C1456" s="1" t="s">
        <v>8</v>
      </c>
      <c r="D1456" s="1">
        <v>2026</v>
      </c>
      <c r="E1456" s="1">
        <v>9</v>
      </c>
      <c r="F1456" s="1">
        <v>38</v>
      </c>
    </row>
    <row r="1457" spans="1:6" x14ac:dyDescent="0.35">
      <c r="A1457" s="1">
        <v>46340</v>
      </c>
      <c r="B1457" s="2">
        <v>46283</v>
      </c>
      <c r="C1457" s="1" t="s">
        <v>3</v>
      </c>
      <c r="D1457" s="1">
        <v>2026</v>
      </c>
      <c r="E1457" s="1">
        <v>9</v>
      </c>
      <c r="F1457" s="1">
        <v>38</v>
      </c>
    </row>
    <row r="1458" spans="1:6" x14ac:dyDescent="0.35">
      <c r="A1458" s="1">
        <v>46339</v>
      </c>
      <c r="B1458" s="2">
        <v>46283</v>
      </c>
      <c r="C1458" s="1" t="s">
        <v>3</v>
      </c>
      <c r="D1458" s="1">
        <v>2026</v>
      </c>
      <c r="E1458" s="1">
        <v>9</v>
      </c>
      <c r="F1458" s="1">
        <v>38</v>
      </c>
    </row>
    <row r="1459" spans="1:6" x14ac:dyDescent="0.35">
      <c r="A1459" s="1">
        <v>46369</v>
      </c>
      <c r="B1459" s="2">
        <v>46283</v>
      </c>
      <c r="C1459" s="1" t="s">
        <v>10</v>
      </c>
      <c r="D1459" s="1">
        <v>2026</v>
      </c>
      <c r="E1459" s="1">
        <v>9</v>
      </c>
      <c r="F1459" s="1">
        <v>38</v>
      </c>
    </row>
    <row r="1460" spans="1:6" x14ac:dyDescent="0.35">
      <c r="A1460" s="1">
        <v>46368</v>
      </c>
      <c r="B1460" s="2">
        <v>46283</v>
      </c>
      <c r="C1460" s="1" t="s">
        <v>10</v>
      </c>
      <c r="D1460" s="1">
        <v>2026</v>
      </c>
      <c r="E1460" s="1">
        <v>9</v>
      </c>
      <c r="F1460" s="1">
        <v>38</v>
      </c>
    </row>
    <row r="1461" spans="1:6" x14ac:dyDescent="0.35">
      <c r="A1461" s="1">
        <v>46367</v>
      </c>
      <c r="B1461" s="2">
        <v>46283</v>
      </c>
      <c r="C1461" s="1" t="s">
        <v>17</v>
      </c>
      <c r="D1461" s="1">
        <v>2026</v>
      </c>
      <c r="E1461" s="1">
        <v>9</v>
      </c>
      <c r="F1461" s="1">
        <v>38</v>
      </c>
    </row>
    <row r="1462" spans="1:6" x14ac:dyDescent="0.35">
      <c r="A1462" s="1">
        <v>46366</v>
      </c>
      <c r="B1462" s="2">
        <v>46283</v>
      </c>
      <c r="C1462" s="1" t="s">
        <v>17</v>
      </c>
      <c r="D1462" s="1">
        <v>2026</v>
      </c>
      <c r="E1462" s="1">
        <v>9</v>
      </c>
      <c r="F1462" s="1">
        <v>38</v>
      </c>
    </row>
    <row r="1463" spans="1:6" x14ac:dyDescent="0.35">
      <c r="A1463" s="1">
        <v>46365</v>
      </c>
      <c r="B1463" s="2">
        <v>46283</v>
      </c>
      <c r="C1463" s="1" t="s">
        <v>4</v>
      </c>
      <c r="D1463" s="1">
        <v>2026</v>
      </c>
      <c r="E1463" s="1">
        <v>9</v>
      </c>
      <c r="F1463" s="1">
        <v>38</v>
      </c>
    </row>
    <row r="1464" spans="1:6" x14ac:dyDescent="0.35">
      <c r="A1464" s="1">
        <v>46364</v>
      </c>
      <c r="B1464" s="2">
        <v>46283</v>
      </c>
      <c r="C1464" s="1" t="s">
        <v>4</v>
      </c>
      <c r="D1464" s="1">
        <v>2026</v>
      </c>
      <c r="E1464" s="1">
        <v>9</v>
      </c>
      <c r="F1464" s="1">
        <v>38</v>
      </c>
    </row>
    <row r="1465" spans="1:6" x14ac:dyDescent="0.35">
      <c r="A1465" s="1">
        <v>46360</v>
      </c>
      <c r="B1465" s="2">
        <v>46283</v>
      </c>
      <c r="C1465" s="1" t="s">
        <v>3</v>
      </c>
      <c r="D1465" s="1">
        <v>2026</v>
      </c>
      <c r="E1465" s="1">
        <v>9</v>
      </c>
      <c r="F1465" s="1">
        <v>38</v>
      </c>
    </row>
    <row r="1466" spans="1:6" x14ac:dyDescent="0.35">
      <c r="A1466" s="1">
        <v>46355</v>
      </c>
      <c r="B1466" s="2">
        <v>46283</v>
      </c>
      <c r="C1466" s="1" t="s">
        <v>3</v>
      </c>
      <c r="D1466" s="1">
        <v>2026</v>
      </c>
      <c r="E1466" s="1">
        <v>9</v>
      </c>
      <c r="F1466" s="1">
        <v>38</v>
      </c>
    </row>
    <row r="1467" spans="1:6" x14ac:dyDescent="0.35">
      <c r="A1467" s="1">
        <v>46354</v>
      </c>
      <c r="B1467" s="2">
        <v>46283</v>
      </c>
      <c r="C1467" s="1" t="s">
        <v>23</v>
      </c>
      <c r="D1467" s="1">
        <v>2026</v>
      </c>
      <c r="E1467" s="1">
        <v>9</v>
      </c>
      <c r="F1467" s="1">
        <v>38</v>
      </c>
    </row>
    <row r="1468" spans="1:6" x14ac:dyDescent="0.35">
      <c r="A1468" s="1">
        <v>46353</v>
      </c>
      <c r="B1468" s="2">
        <v>46283</v>
      </c>
      <c r="C1468" s="1" t="s">
        <v>23</v>
      </c>
      <c r="D1468" s="1">
        <v>2026</v>
      </c>
      <c r="E1468" s="1">
        <v>9</v>
      </c>
      <c r="F1468" s="1">
        <v>38</v>
      </c>
    </row>
    <row r="1469" spans="1:6" x14ac:dyDescent="0.35">
      <c r="A1469" s="1">
        <v>46352</v>
      </c>
      <c r="B1469" s="2">
        <v>46283</v>
      </c>
      <c r="C1469" s="1" t="s">
        <v>3</v>
      </c>
      <c r="D1469" s="1">
        <v>2026</v>
      </c>
      <c r="E1469" s="1">
        <v>9</v>
      </c>
      <c r="F1469" s="1">
        <v>38</v>
      </c>
    </row>
    <row r="1470" spans="1:6" x14ac:dyDescent="0.35">
      <c r="A1470" s="1">
        <v>46350</v>
      </c>
      <c r="B1470" s="2">
        <v>46283</v>
      </c>
      <c r="C1470" s="1" t="s">
        <v>7</v>
      </c>
      <c r="D1470" s="1">
        <v>2026</v>
      </c>
      <c r="E1470" s="1">
        <v>9</v>
      </c>
      <c r="F1470" s="1">
        <v>38</v>
      </c>
    </row>
    <row r="1471" spans="1:6" x14ac:dyDescent="0.35">
      <c r="A1471" s="1">
        <v>46349</v>
      </c>
      <c r="B1471" s="2">
        <v>46283</v>
      </c>
      <c r="C1471" s="1" t="s">
        <v>7</v>
      </c>
      <c r="D1471" s="1">
        <v>2026</v>
      </c>
      <c r="E1471" s="1">
        <v>9</v>
      </c>
      <c r="F1471" s="1">
        <v>38</v>
      </c>
    </row>
    <row r="1472" spans="1:6" x14ac:dyDescent="0.35">
      <c r="A1472" s="1">
        <v>46347</v>
      </c>
      <c r="B1472" s="2">
        <v>46283</v>
      </c>
      <c r="C1472" s="1" t="s">
        <v>19</v>
      </c>
      <c r="D1472" s="1">
        <v>2026</v>
      </c>
      <c r="E1472" s="1">
        <v>9</v>
      </c>
      <c r="F1472" s="1">
        <v>38</v>
      </c>
    </row>
    <row r="1473" spans="1:6" x14ac:dyDescent="0.35">
      <c r="A1473" s="1">
        <v>46346</v>
      </c>
      <c r="B1473" s="2">
        <v>46283</v>
      </c>
      <c r="C1473" s="1" t="s">
        <v>9</v>
      </c>
      <c r="D1473" s="1">
        <v>2026</v>
      </c>
      <c r="E1473" s="1">
        <v>9</v>
      </c>
      <c r="F1473" s="1">
        <v>38</v>
      </c>
    </row>
    <row r="1474" spans="1:6" x14ac:dyDescent="0.35">
      <c r="A1474" s="1">
        <v>46344</v>
      </c>
      <c r="B1474" s="2">
        <v>46283</v>
      </c>
      <c r="C1474" s="1" t="s">
        <v>3</v>
      </c>
      <c r="D1474" s="1">
        <v>2026</v>
      </c>
      <c r="E1474" s="1">
        <v>9</v>
      </c>
      <c r="F1474" s="1">
        <v>38</v>
      </c>
    </row>
    <row r="1475" spans="1:6" x14ac:dyDescent="0.35">
      <c r="A1475" s="1">
        <v>46384</v>
      </c>
      <c r="B1475" s="2">
        <v>46284</v>
      </c>
      <c r="C1475" s="1" t="s">
        <v>23</v>
      </c>
      <c r="D1475" s="1">
        <v>2026</v>
      </c>
      <c r="E1475" s="1">
        <v>9</v>
      </c>
      <c r="F1475" s="1">
        <v>38</v>
      </c>
    </row>
    <row r="1476" spans="1:6" x14ac:dyDescent="0.35">
      <c r="A1476" s="1">
        <v>46382</v>
      </c>
      <c r="B1476" s="2">
        <v>46284</v>
      </c>
      <c r="C1476" s="1" t="s">
        <v>10</v>
      </c>
      <c r="D1476" s="1">
        <v>2026</v>
      </c>
      <c r="E1476" s="1">
        <v>9</v>
      </c>
      <c r="F1476" s="1">
        <v>38</v>
      </c>
    </row>
    <row r="1477" spans="1:6" x14ac:dyDescent="0.35">
      <c r="A1477" s="1">
        <v>46381</v>
      </c>
      <c r="B1477" s="2">
        <v>46284</v>
      </c>
      <c r="C1477" s="1" t="s">
        <v>10</v>
      </c>
      <c r="D1477" s="1">
        <v>2026</v>
      </c>
      <c r="E1477" s="1">
        <v>9</v>
      </c>
      <c r="F1477" s="1">
        <v>38</v>
      </c>
    </row>
    <row r="1478" spans="1:6" x14ac:dyDescent="0.35">
      <c r="A1478" s="1">
        <v>46371</v>
      </c>
      <c r="B1478" s="2">
        <v>46284</v>
      </c>
      <c r="C1478" s="1" t="s">
        <v>8</v>
      </c>
      <c r="D1478" s="1">
        <v>2026</v>
      </c>
      <c r="E1478" s="1">
        <v>9</v>
      </c>
      <c r="F1478" s="1">
        <v>38</v>
      </c>
    </row>
    <row r="1479" spans="1:6" x14ac:dyDescent="0.35">
      <c r="A1479" s="1">
        <v>46370</v>
      </c>
      <c r="B1479" s="2">
        <v>46284</v>
      </c>
      <c r="C1479" s="1" t="s">
        <v>8</v>
      </c>
      <c r="D1479" s="1">
        <v>2026</v>
      </c>
      <c r="E1479" s="1">
        <v>9</v>
      </c>
      <c r="F1479" s="1">
        <v>38</v>
      </c>
    </row>
    <row r="1480" spans="1:6" x14ac:dyDescent="0.35">
      <c r="A1480" s="1">
        <v>46386</v>
      </c>
      <c r="B1480" s="2">
        <v>46285</v>
      </c>
      <c r="C1480" s="1" t="s">
        <v>17</v>
      </c>
      <c r="D1480" s="1">
        <v>2026</v>
      </c>
      <c r="E1480" s="1">
        <v>9</v>
      </c>
      <c r="F1480" s="1">
        <v>39</v>
      </c>
    </row>
    <row r="1481" spans="1:6" x14ac:dyDescent="0.35">
      <c r="A1481" s="1">
        <v>46385</v>
      </c>
      <c r="B1481" s="2">
        <v>46285</v>
      </c>
      <c r="C1481" s="1" t="s">
        <v>17</v>
      </c>
      <c r="D1481" s="1">
        <v>2026</v>
      </c>
      <c r="E1481" s="1">
        <v>9</v>
      </c>
      <c r="F1481" s="1">
        <v>39</v>
      </c>
    </row>
    <row r="1482" spans="1:6" x14ac:dyDescent="0.35">
      <c r="A1482" s="1">
        <v>46391</v>
      </c>
      <c r="B1482" s="2">
        <v>46286</v>
      </c>
      <c r="C1482" s="1" t="s">
        <v>21</v>
      </c>
      <c r="D1482" s="1">
        <v>2026</v>
      </c>
      <c r="E1482" s="1">
        <v>9</v>
      </c>
      <c r="F1482" s="1">
        <v>39</v>
      </c>
    </row>
    <row r="1483" spans="1:6" x14ac:dyDescent="0.35">
      <c r="A1483" s="1">
        <v>46390</v>
      </c>
      <c r="B1483" s="2">
        <v>46286</v>
      </c>
      <c r="C1483" s="1" t="s">
        <v>20</v>
      </c>
      <c r="D1483" s="1">
        <v>2026</v>
      </c>
      <c r="E1483" s="1">
        <v>9</v>
      </c>
      <c r="F1483" s="1">
        <v>39</v>
      </c>
    </row>
    <row r="1484" spans="1:6" x14ac:dyDescent="0.35">
      <c r="A1484" s="1">
        <v>46389</v>
      </c>
      <c r="B1484" s="2">
        <v>46286</v>
      </c>
      <c r="C1484" s="1" t="s">
        <v>20</v>
      </c>
      <c r="D1484" s="1">
        <v>2026</v>
      </c>
      <c r="E1484" s="1">
        <v>9</v>
      </c>
      <c r="F1484" s="1">
        <v>39</v>
      </c>
    </row>
    <row r="1485" spans="1:6" x14ac:dyDescent="0.35">
      <c r="A1485" s="1">
        <v>46388</v>
      </c>
      <c r="B1485" s="2">
        <v>46286</v>
      </c>
      <c r="C1485" s="1" t="s">
        <v>8</v>
      </c>
      <c r="D1485" s="1">
        <v>2026</v>
      </c>
      <c r="E1485" s="1">
        <v>9</v>
      </c>
      <c r="F1485" s="1">
        <v>39</v>
      </c>
    </row>
    <row r="1486" spans="1:6" x14ac:dyDescent="0.35">
      <c r="A1486" s="1">
        <v>46387</v>
      </c>
      <c r="B1486" s="2">
        <v>46286</v>
      </c>
      <c r="C1486" s="1" t="s">
        <v>8</v>
      </c>
      <c r="D1486" s="1">
        <v>2026</v>
      </c>
      <c r="E1486" s="1">
        <v>9</v>
      </c>
      <c r="F1486" s="1">
        <v>39</v>
      </c>
    </row>
    <row r="1487" spans="1:6" x14ac:dyDescent="0.35">
      <c r="A1487" s="1">
        <v>46419</v>
      </c>
      <c r="B1487" s="2">
        <v>46286</v>
      </c>
      <c r="C1487" s="1" t="s">
        <v>10</v>
      </c>
      <c r="D1487" s="1">
        <v>2026</v>
      </c>
      <c r="E1487" s="1">
        <v>9</v>
      </c>
      <c r="F1487" s="1">
        <v>39</v>
      </c>
    </row>
    <row r="1488" spans="1:6" x14ac:dyDescent="0.35">
      <c r="A1488" s="1">
        <v>46418</v>
      </c>
      <c r="B1488" s="2">
        <v>46286</v>
      </c>
      <c r="C1488" s="1" t="s">
        <v>10</v>
      </c>
      <c r="D1488" s="1">
        <v>2026</v>
      </c>
      <c r="E1488" s="1">
        <v>9</v>
      </c>
      <c r="F1488" s="1">
        <v>39</v>
      </c>
    </row>
    <row r="1489" spans="1:6" x14ac:dyDescent="0.35">
      <c r="A1489" s="1">
        <v>46417</v>
      </c>
      <c r="B1489" s="2">
        <v>46286</v>
      </c>
      <c r="C1489" s="1" t="s">
        <v>11</v>
      </c>
      <c r="D1489" s="1">
        <v>2026</v>
      </c>
      <c r="E1489" s="1">
        <v>9</v>
      </c>
      <c r="F1489" s="1">
        <v>39</v>
      </c>
    </row>
    <row r="1490" spans="1:6" x14ac:dyDescent="0.35">
      <c r="A1490" s="1">
        <v>46416</v>
      </c>
      <c r="B1490" s="2">
        <v>46286</v>
      </c>
      <c r="C1490" s="1" t="s">
        <v>11</v>
      </c>
      <c r="D1490" s="1">
        <v>2026</v>
      </c>
      <c r="E1490" s="1">
        <v>9</v>
      </c>
      <c r="F1490" s="1">
        <v>39</v>
      </c>
    </row>
    <row r="1491" spans="1:6" x14ac:dyDescent="0.35">
      <c r="A1491" s="1">
        <v>46408</v>
      </c>
      <c r="B1491" s="2">
        <v>46286</v>
      </c>
      <c r="C1491" s="1" t="s">
        <v>23</v>
      </c>
      <c r="D1491" s="1">
        <v>2026</v>
      </c>
      <c r="E1491" s="1">
        <v>9</v>
      </c>
      <c r="F1491" s="1">
        <v>39</v>
      </c>
    </row>
    <row r="1492" spans="1:6" x14ac:dyDescent="0.35">
      <c r="A1492" s="1">
        <v>46407</v>
      </c>
      <c r="B1492" s="2">
        <v>46286</v>
      </c>
      <c r="C1492" s="1" t="s">
        <v>23</v>
      </c>
      <c r="D1492" s="1">
        <v>2026</v>
      </c>
      <c r="E1492" s="1">
        <v>9</v>
      </c>
      <c r="F1492" s="1">
        <v>39</v>
      </c>
    </row>
    <row r="1493" spans="1:6" x14ac:dyDescent="0.35">
      <c r="A1493" s="1">
        <v>46406</v>
      </c>
      <c r="B1493" s="2">
        <v>46286</v>
      </c>
      <c r="C1493" s="1" t="s">
        <v>6</v>
      </c>
      <c r="D1493" s="1">
        <v>2026</v>
      </c>
      <c r="E1493" s="1">
        <v>9</v>
      </c>
      <c r="F1493" s="1">
        <v>39</v>
      </c>
    </row>
    <row r="1494" spans="1:6" x14ac:dyDescent="0.35">
      <c r="A1494" s="1">
        <v>46405</v>
      </c>
      <c r="B1494" s="2">
        <v>46286</v>
      </c>
      <c r="C1494" s="1" t="s">
        <v>6</v>
      </c>
      <c r="D1494" s="1">
        <v>2026</v>
      </c>
      <c r="E1494" s="1">
        <v>9</v>
      </c>
      <c r="F1494" s="1">
        <v>39</v>
      </c>
    </row>
    <row r="1495" spans="1:6" x14ac:dyDescent="0.35">
      <c r="A1495" s="1">
        <v>46404</v>
      </c>
      <c r="B1495" s="2">
        <v>46286</v>
      </c>
      <c r="C1495" s="1" t="s">
        <v>9</v>
      </c>
      <c r="D1495" s="1">
        <v>2026</v>
      </c>
      <c r="E1495" s="1">
        <v>9</v>
      </c>
      <c r="F1495" s="1">
        <v>39</v>
      </c>
    </row>
    <row r="1496" spans="1:6" x14ac:dyDescent="0.35">
      <c r="A1496" s="1">
        <v>46403</v>
      </c>
      <c r="B1496" s="2">
        <v>46286</v>
      </c>
      <c r="C1496" s="1" t="s">
        <v>9</v>
      </c>
      <c r="D1496" s="1">
        <v>2026</v>
      </c>
      <c r="E1496" s="1">
        <v>9</v>
      </c>
      <c r="F1496" s="1">
        <v>39</v>
      </c>
    </row>
    <row r="1497" spans="1:6" x14ac:dyDescent="0.35">
      <c r="A1497" s="1">
        <v>46402</v>
      </c>
      <c r="B1497" s="2">
        <v>46286</v>
      </c>
      <c r="C1497" s="1" t="s">
        <v>9</v>
      </c>
      <c r="D1497" s="1">
        <v>2026</v>
      </c>
      <c r="E1497" s="1">
        <v>9</v>
      </c>
      <c r="F1497" s="1">
        <v>39</v>
      </c>
    </row>
    <row r="1498" spans="1:6" x14ac:dyDescent="0.35">
      <c r="A1498" s="1">
        <v>46401</v>
      </c>
      <c r="B1498" s="2">
        <v>46286</v>
      </c>
      <c r="C1498" s="1" t="s">
        <v>3</v>
      </c>
      <c r="D1498" s="1">
        <v>2026</v>
      </c>
      <c r="E1498" s="1">
        <v>9</v>
      </c>
      <c r="F1498" s="1">
        <v>39</v>
      </c>
    </row>
    <row r="1499" spans="1:6" x14ac:dyDescent="0.35">
      <c r="A1499" s="1">
        <v>46399</v>
      </c>
      <c r="B1499" s="2">
        <v>46286</v>
      </c>
      <c r="C1499" s="1" t="s">
        <v>3</v>
      </c>
      <c r="D1499" s="1">
        <v>2026</v>
      </c>
      <c r="E1499" s="1">
        <v>9</v>
      </c>
      <c r="F1499" s="1">
        <v>39</v>
      </c>
    </row>
    <row r="1500" spans="1:6" x14ac:dyDescent="0.35">
      <c r="A1500" s="1">
        <v>46398</v>
      </c>
      <c r="B1500" s="2">
        <v>46286</v>
      </c>
      <c r="C1500" s="1" t="s">
        <v>3</v>
      </c>
      <c r="D1500" s="1">
        <v>2026</v>
      </c>
      <c r="E1500" s="1">
        <v>9</v>
      </c>
      <c r="F1500" s="1">
        <v>39</v>
      </c>
    </row>
    <row r="1501" spans="1:6" x14ac:dyDescent="0.35">
      <c r="A1501" s="1">
        <v>46395</v>
      </c>
      <c r="B1501" s="2">
        <v>46286</v>
      </c>
      <c r="C1501" s="1" t="s">
        <v>7</v>
      </c>
      <c r="D1501" s="1">
        <v>2026</v>
      </c>
      <c r="E1501" s="1">
        <v>9</v>
      </c>
      <c r="F1501" s="1">
        <v>39</v>
      </c>
    </row>
    <row r="1502" spans="1:6" x14ac:dyDescent="0.35">
      <c r="A1502" s="1">
        <v>46393</v>
      </c>
      <c r="B1502" s="2">
        <v>46286</v>
      </c>
      <c r="C1502" s="1" t="s">
        <v>21</v>
      </c>
      <c r="D1502" s="1">
        <v>2026</v>
      </c>
      <c r="E1502" s="1">
        <v>9</v>
      </c>
      <c r="F1502" s="1">
        <v>39</v>
      </c>
    </row>
    <row r="1503" spans="1:6" x14ac:dyDescent="0.35">
      <c r="A1503" s="1">
        <v>46424</v>
      </c>
      <c r="B1503" s="2">
        <v>46287</v>
      </c>
      <c r="C1503" s="1" t="s">
        <v>9</v>
      </c>
      <c r="D1503" s="1">
        <v>2026</v>
      </c>
      <c r="E1503" s="1">
        <v>9</v>
      </c>
      <c r="F1503" s="1">
        <v>39</v>
      </c>
    </row>
    <row r="1504" spans="1:6" x14ac:dyDescent="0.35">
      <c r="A1504" s="1">
        <v>46423</v>
      </c>
      <c r="B1504" s="2">
        <v>46287</v>
      </c>
      <c r="C1504" s="1" t="s">
        <v>4</v>
      </c>
      <c r="D1504" s="1">
        <v>2026</v>
      </c>
      <c r="E1504" s="1">
        <v>9</v>
      </c>
      <c r="F1504" s="1">
        <v>39</v>
      </c>
    </row>
    <row r="1505" spans="1:6" x14ac:dyDescent="0.35">
      <c r="A1505" s="1">
        <v>46421</v>
      </c>
      <c r="B1505" s="2">
        <v>46287</v>
      </c>
      <c r="C1505" s="1" t="s">
        <v>19</v>
      </c>
      <c r="D1505" s="1">
        <v>2026</v>
      </c>
      <c r="E1505" s="1">
        <v>9</v>
      </c>
      <c r="F1505" s="1">
        <v>39</v>
      </c>
    </row>
    <row r="1506" spans="1:6" x14ac:dyDescent="0.35">
      <c r="A1506" s="1">
        <v>46420</v>
      </c>
      <c r="B1506" s="2">
        <v>46287</v>
      </c>
      <c r="C1506" s="1" t="s">
        <v>3</v>
      </c>
      <c r="D1506" s="1">
        <v>2026</v>
      </c>
      <c r="E1506" s="1">
        <v>9</v>
      </c>
      <c r="F1506" s="1">
        <v>39</v>
      </c>
    </row>
    <row r="1507" spans="1:6" x14ac:dyDescent="0.35">
      <c r="A1507" s="1">
        <v>46503</v>
      </c>
      <c r="B1507" s="2">
        <v>46287</v>
      </c>
      <c r="C1507" s="1" t="s">
        <v>28</v>
      </c>
      <c r="D1507" s="1">
        <v>2026</v>
      </c>
      <c r="E1507" s="1">
        <v>9</v>
      </c>
      <c r="F1507" s="1">
        <v>39</v>
      </c>
    </row>
    <row r="1508" spans="1:6" x14ac:dyDescent="0.35">
      <c r="A1508" s="1">
        <v>46502</v>
      </c>
      <c r="B1508" s="2">
        <v>46287</v>
      </c>
      <c r="C1508" s="1" t="s">
        <v>28</v>
      </c>
      <c r="D1508" s="1">
        <v>2026</v>
      </c>
      <c r="E1508" s="1">
        <v>9</v>
      </c>
      <c r="F1508" s="1">
        <v>39</v>
      </c>
    </row>
    <row r="1509" spans="1:6" x14ac:dyDescent="0.35">
      <c r="A1509" s="1">
        <v>46501</v>
      </c>
      <c r="B1509" s="2">
        <v>46287</v>
      </c>
      <c r="C1509" s="1" t="s">
        <v>28</v>
      </c>
      <c r="D1509" s="1">
        <v>2026</v>
      </c>
      <c r="E1509" s="1">
        <v>9</v>
      </c>
      <c r="F1509" s="1">
        <v>39</v>
      </c>
    </row>
    <row r="1510" spans="1:6" x14ac:dyDescent="0.35">
      <c r="A1510" s="1">
        <v>46500</v>
      </c>
      <c r="B1510" s="2">
        <v>46287</v>
      </c>
      <c r="C1510" s="1" t="s">
        <v>28</v>
      </c>
      <c r="D1510" s="1">
        <v>2026</v>
      </c>
      <c r="E1510" s="1">
        <v>9</v>
      </c>
      <c r="F1510" s="1">
        <v>39</v>
      </c>
    </row>
    <row r="1511" spans="1:6" x14ac:dyDescent="0.35">
      <c r="A1511" s="1">
        <v>46499</v>
      </c>
      <c r="B1511" s="2">
        <v>46287</v>
      </c>
      <c r="C1511" s="1" t="s">
        <v>28</v>
      </c>
      <c r="D1511" s="1">
        <v>2026</v>
      </c>
      <c r="E1511" s="1">
        <v>9</v>
      </c>
      <c r="F1511" s="1">
        <v>39</v>
      </c>
    </row>
    <row r="1512" spans="1:6" x14ac:dyDescent="0.35">
      <c r="A1512" s="1">
        <v>46498</v>
      </c>
      <c r="B1512" s="2">
        <v>46287</v>
      </c>
      <c r="C1512" s="1" t="s">
        <v>28</v>
      </c>
      <c r="D1512" s="1">
        <v>2026</v>
      </c>
      <c r="E1512" s="1">
        <v>9</v>
      </c>
      <c r="F1512" s="1">
        <v>39</v>
      </c>
    </row>
    <row r="1513" spans="1:6" x14ac:dyDescent="0.35">
      <c r="A1513" s="1">
        <v>46497</v>
      </c>
      <c r="B1513" s="2">
        <v>46287</v>
      </c>
      <c r="C1513" s="1" t="s">
        <v>28</v>
      </c>
      <c r="D1513" s="1">
        <v>2026</v>
      </c>
      <c r="E1513" s="1">
        <v>9</v>
      </c>
      <c r="F1513" s="1">
        <v>39</v>
      </c>
    </row>
    <row r="1514" spans="1:6" x14ac:dyDescent="0.35">
      <c r="A1514" s="1">
        <v>46496</v>
      </c>
      <c r="B1514" s="2">
        <v>46287</v>
      </c>
      <c r="C1514" s="1" t="s">
        <v>28</v>
      </c>
      <c r="D1514" s="1">
        <v>2026</v>
      </c>
      <c r="E1514" s="1">
        <v>9</v>
      </c>
      <c r="F1514" s="1">
        <v>39</v>
      </c>
    </row>
    <row r="1515" spans="1:6" x14ac:dyDescent="0.35">
      <c r="A1515" s="1">
        <v>46495</v>
      </c>
      <c r="B1515" s="2">
        <v>46287</v>
      </c>
      <c r="C1515" s="1" t="s">
        <v>28</v>
      </c>
      <c r="D1515" s="1">
        <v>2026</v>
      </c>
      <c r="E1515" s="1">
        <v>9</v>
      </c>
      <c r="F1515" s="1">
        <v>39</v>
      </c>
    </row>
    <row r="1516" spans="1:6" x14ac:dyDescent="0.35">
      <c r="A1516" s="1">
        <v>46494</v>
      </c>
      <c r="B1516" s="2">
        <v>46287</v>
      </c>
      <c r="C1516" s="1" t="s">
        <v>28</v>
      </c>
      <c r="D1516" s="1">
        <v>2026</v>
      </c>
      <c r="E1516" s="1">
        <v>9</v>
      </c>
      <c r="F1516" s="1">
        <v>39</v>
      </c>
    </row>
    <row r="1517" spans="1:6" x14ac:dyDescent="0.35">
      <c r="A1517" s="1">
        <v>46493</v>
      </c>
      <c r="B1517" s="2">
        <v>46287</v>
      </c>
      <c r="C1517" s="1" t="s">
        <v>28</v>
      </c>
      <c r="D1517" s="1">
        <v>2026</v>
      </c>
      <c r="E1517" s="1">
        <v>9</v>
      </c>
      <c r="F1517" s="1">
        <v>39</v>
      </c>
    </row>
    <row r="1518" spans="1:6" x14ac:dyDescent="0.35">
      <c r="A1518" s="1">
        <v>46492</v>
      </c>
      <c r="B1518" s="2">
        <v>46287</v>
      </c>
      <c r="C1518" s="1" t="s">
        <v>28</v>
      </c>
      <c r="D1518" s="1">
        <v>2026</v>
      </c>
      <c r="E1518" s="1">
        <v>9</v>
      </c>
      <c r="F1518" s="1">
        <v>39</v>
      </c>
    </row>
    <row r="1519" spans="1:6" x14ac:dyDescent="0.35">
      <c r="A1519" s="1">
        <v>46491</v>
      </c>
      <c r="B1519" s="2">
        <v>46287</v>
      </c>
      <c r="C1519" s="1" t="s">
        <v>28</v>
      </c>
      <c r="D1519" s="1">
        <v>2026</v>
      </c>
      <c r="E1519" s="1">
        <v>9</v>
      </c>
      <c r="F1519" s="1">
        <v>39</v>
      </c>
    </row>
    <row r="1520" spans="1:6" x14ac:dyDescent="0.35">
      <c r="A1520" s="1">
        <v>46487</v>
      </c>
      <c r="B1520" s="2">
        <v>46287</v>
      </c>
      <c r="C1520" s="1" t="s">
        <v>23</v>
      </c>
      <c r="D1520" s="1">
        <v>2026</v>
      </c>
      <c r="E1520" s="1">
        <v>9</v>
      </c>
      <c r="F1520" s="1">
        <v>39</v>
      </c>
    </row>
    <row r="1521" spans="1:6" x14ac:dyDescent="0.35">
      <c r="A1521" s="1">
        <v>46486</v>
      </c>
      <c r="B1521" s="2">
        <v>46287</v>
      </c>
      <c r="C1521" s="1" t="s">
        <v>23</v>
      </c>
      <c r="D1521" s="1">
        <v>2026</v>
      </c>
      <c r="E1521" s="1">
        <v>9</v>
      </c>
      <c r="F1521" s="1">
        <v>39</v>
      </c>
    </row>
    <row r="1522" spans="1:6" x14ac:dyDescent="0.35">
      <c r="A1522" s="1">
        <v>46484</v>
      </c>
      <c r="B1522" s="2">
        <v>46287</v>
      </c>
      <c r="C1522" s="1" t="s">
        <v>9</v>
      </c>
      <c r="D1522" s="1">
        <v>2026</v>
      </c>
      <c r="E1522" s="1">
        <v>9</v>
      </c>
      <c r="F1522" s="1">
        <v>39</v>
      </c>
    </row>
    <row r="1523" spans="1:6" x14ac:dyDescent="0.35">
      <c r="A1523" s="1">
        <v>46483</v>
      </c>
      <c r="B1523" s="2">
        <v>46287</v>
      </c>
      <c r="C1523" s="1" t="s">
        <v>22</v>
      </c>
      <c r="D1523" s="1">
        <v>2026</v>
      </c>
      <c r="E1523" s="1">
        <v>9</v>
      </c>
      <c r="F1523" s="1">
        <v>39</v>
      </c>
    </row>
    <row r="1524" spans="1:6" x14ac:dyDescent="0.35">
      <c r="A1524" s="1">
        <v>46482</v>
      </c>
      <c r="B1524" s="2">
        <v>46287</v>
      </c>
      <c r="C1524" s="1" t="s">
        <v>22</v>
      </c>
      <c r="D1524" s="1">
        <v>2026</v>
      </c>
      <c r="E1524" s="1">
        <v>9</v>
      </c>
      <c r="F1524" s="1">
        <v>39</v>
      </c>
    </row>
    <row r="1525" spans="1:6" x14ac:dyDescent="0.35">
      <c r="A1525" s="1">
        <v>46481</v>
      </c>
      <c r="B1525" s="2">
        <v>46287</v>
      </c>
      <c r="C1525" s="1" t="s">
        <v>9</v>
      </c>
      <c r="D1525" s="1">
        <v>2026</v>
      </c>
      <c r="E1525" s="1">
        <v>9</v>
      </c>
      <c r="F1525" s="1">
        <v>39</v>
      </c>
    </row>
    <row r="1526" spans="1:6" x14ac:dyDescent="0.35">
      <c r="A1526" s="1">
        <v>46480</v>
      </c>
      <c r="B1526" s="2">
        <v>46287</v>
      </c>
      <c r="C1526" s="1" t="s">
        <v>3</v>
      </c>
      <c r="D1526" s="1">
        <v>2026</v>
      </c>
      <c r="E1526" s="1">
        <v>9</v>
      </c>
      <c r="F1526" s="1">
        <v>39</v>
      </c>
    </row>
    <row r="1527" spans="1:6" x14ac:dyDescent="0.35">
      <c r="A1527" s="1">
        <v>46479</v>
      </c>
      <c r="B1527" s="2">
        <v>46287</v>
      </c>
      <c r="C1527" s="1" t="s">
        <v>22</v>
      </c>
      <c r="D1527" s="1">
        <v>2026</v>
      </c>
      <c r="E1527" s="1">
        <v>9</v>
      </c>
      <c r="F1527" s="1">
        <v>39</v>
      </c>
    </row>
    <row r="1528" spans="1:6" x14ac:dyDescent="0.35">
      <c r="A1528" s="1">
        <v>46478</v>
      </c>
      <c r="B1528" s="2">
        <v>46287</v>
      </c>
      <c r="C1528" s="1" t="s">
        <v>3</v>
      </c>
      <c r="D1528" s="1">
        <v>2026</v>
      </c>
      <c r="E1528" s="1">
        <v>9</v>
      </c>
      <c r="F1528" s="1">
        <v>39</v>
      </c>
    </row>
    <row r="1529" spans="1:6" x14ac:dyDescent="0.35">
      <c r="A1529" s="1">
        <v>46477</v>
      </c>
      <c r="B1529" s="2">
        <v>46287</v>
      </c>
      <c r="C1529" s="1" t="s">
        <v>9</v>
      </c>
      <c r="D1529" s="1">
        <v>2026</v>
      </c>
      <c r="E1529" s="1">
        <v>9</v>
      </c>
      <c r="F1529" s="1">
        <v>39</v>
      </c>
    </row>
    <row r="1530" spans="1:6" x14ac:dyDescent="0.35">
      <c r="A1530" s="1">
        <v>46476</v>
      </c>
      <c r="B1530" s="2">
        <v>46287</v>
      </c>
      <c r="C1530" s="1" t="s">
        <v>22</v>
      </c>
      <c r="D1530" s="1">
        <v>2026</v>
      </c>
      <c r="E1530" s="1">
        <v>9</v>
      </c>
      <c r="F1530" s="1">
        <v>39</v>
      </c>
    </row>
    <row r="1531" spans="1:6" x14ac:dyDescent="0.35">
      <c r="A1531" s="1">
        <v>46475</v>
      </c>
      <c r="B1531" s="2">
        <v>46287</v>
      </c>
      <c r="C1531" s="1" t="s">
        <v>22</v>
      </c>
      <c r="D1531" s="1">
        <v>2026</v>
      </c>
      <c r="E1531" s="1">
        <v>9</v>
      </c>
      <c r="F1531" s="1">
        <v>39</v>
      </c>
    </row>
    <row r="1532" spans="1:6" x14ac:dyDescent="0.35">
      <c r="A1532" s="1">
        <v>46474</v>
      </c>
      <c r="B1532" s="2">
        <v>46287</v>
      </c>
      <c r="C1532" s="1" t="s">
        <v>22</v>
      </c>
      <c r="D1532" s="1">
        <v>2026</v>
      </c>
      <c r="E1532" s="1">
        <v>9</v>
      </c>
      <c r="F1532" s="1">
        <v>39</v>
      </c>
    </row>
    <row r="1533" spans="1:6" x14ac:dyDescent="0.35">
      <c r="A1533" s="1">
        <v>46473</v>
      </c>
      <c r="B1533" s="2">
        <v>46287</v>
      </c>
      <c r="C1533" s="1" t="s">
        <v>22</v>
      </c>
      <c r="D1533" s="1">
        <v>2026</v>
      </c>
      <c r="E1533" s="1">
        <v>9</v>
      </c>
      <c r="F1533" s="1">
        <v>39</v>
      </c>
    </row>
    <row r="1534" spans="1:6" x14ac:dyDescent="0.35">
      <c r="A1534" s="1">
        <v>46472</v>
      </c>
      <c r="B1534" s="2">
        <v>46287</v>
      </c>
      <c r="C1534" s="1" t="s">
        <v>22</v>
      </c>
      <c r="D1534" s="1">
        <v>2026</v>
      </c>
      <c r="E1534" s="1">
        <v>9</v>
      </c>
      <c r="F1534" s="1">
        <v>39</v>
      </c>
    </row>
    <row r="1535" spans="1:6" x14ac:dyDescent="0.35">
      <c r="A1535" s="1">
        <v>46471</v>
      </c>
      <c r="B1535" s="2">
        <v>46287</v>
      </c>
      <c r="C1535" s="1" t="s">
        <v>22</v>
      </c>
      <c r="D1535" s="1">
        <v>2026</v>
      </c>
      <c r="E1535" s="1">
        <v>9</v>
      </c>
      <c r="F1535" s="1">
        <v>39</v>
      </c>
    </row>
    <row r="1536" spans="1:6" x14ac:dyDescent="0.35">
      <c r="A1536" s="1">
        <v>46470</v>
      </c>
      <c r="B1536" s="2">
        <v>46287</v>
      </c>
      <c r="C1536" s="1" t="s">
        <v>22</v>
      </c>
      <c r="D1536" s="1">
        <v>2026</v>
      </c>
      <c r="E1536" s="1">
        <v>9</v>
      </c>
      <c r="F1536" s="1">
        <v>39</v>
      </c>
    </row>
    <row r="1537" spans="1:6" x14ac:dyDescent="0.35">
      <c r="A1537" s="1">
        <v>46469</v>
      </c>
      <c r="B1537" s="2">
        <v>46287</v>
      </c>
      <c r="C1537" s="1" t="s">
        <v>22</v>
      </c>
      <c r="D1537" s="1">
        <v>2026</v>
      </c>
      <c r="E1537" s="1">
        <v>9</v>
      </c>
      <c r="F1537" s="1">
        <v>39</v>
      </c>
    </row>
    <row r="1538" spans="1:6" x14ac:dyDescent="0.35">
      <c r="A1538" s="1">
        <v>46468</v>
      </c>
      <c r="B1538" s="2">
        <v>46287</v>
      </c>
      <c r="C1538" s="1" t="s">
        <v>22</v>
      </c>
      <c r="D1538" s="1">
        <v>2026</v>
      </c>
      <c r="E1538" s="1">
        <v>9</v>
      </c>
      <c r="F1538" s="1">
        <v>39</v>
      </c>
    </row>
    <row r="1539" spans="1:6" x14ac:dyDescent="0.35">
      <c r="A1539" s="1">
        <v>46467</v>
      </c>
      <c r="B1539" s="2">
        <v>46287</v>
      </c>
      <c r="C1539" s="1" t="s">
        <v>22</v>
      </c>
      <c r="D1539" s="1">
        <v>2026</v>
      </c>
      <c r="E1539" s="1">
        <v>9</v>
      </c>
      <c r="F1539" s="1">
        <v>39</v>
      </c>
    </row>
    <row r="1540" spans="1:6" x14ac:dyDescent="0.35">
      <c r="A1540" s="1">
        <v>46466</v>
      </c>
      <c r="B1540" s="2">
        <v>46287</v>
      </c>
      <c r="C1540" s="1" t="s">
        <v>22</v>
      </c>
      <c r="D1540" s="1">
        <v>2026</v>
      </c>
      <c r="E1540" s="1">
        <v>9</v>
      </c>
      <c r="F1540" s="1">
        <v>39</v>
      </c>
    </row>
    <row r="1541" spans="1:6" x14ac:dyDescent="0.35">
      <c r="A1541" s="1">
        <v>46464</v>
      </c>
      <c r="B1541" s="2">
        <v>46287</v>
      </c>
      <c r="C1541" s="1" t="s">
        <v>22</v>
      </c>
      <c r="D1541" s="1">
        <v>2026</v>
      </c>
      <c r="E1541" s="1">
        <v>9</v>
      </c>
      <c r="F1541" s="1">
        <v>39</v>
      </c>
    </row>
    <row r="1542" spans="1:6" x14ac:dyDescent="0.35">
      <c r="A1542" s="1">
        <v>46463</v>
      </c>
      <c r="B1542" s="2">
        <v>46287</v>
      </c>
      <c r="C1542" s="1" t="s">
        <v>22</v>
      </c>
      <c r="D1542" s="1">
        <v>2026</v>
      </c>
      <c r="E1542" s="1">
        <v>9</v>
      </c>
      <c r="F1542" s="1">
        <v>39</v>
      </c>
    </row>
    <row r="1543" spans="1:6" x14ac:dyDescent="0.35">
      <c r="A1543" s="1">
        <v>46462</v>
      </c>
      <c r="B1543" s="2">
        <v>46287</v>
      </c>
      <c r="C1543" s="1" t="s">
        <v>22</v>
      </c>
      <c r="D1543" s="1">
        <v>2026</v>
      </c>
      <c r="E1543" s="1">
        <v>9</v>
      </c>
      <c r="F1543" s="1">
        <v>39</v>
      </c>
    </row>
    <row r="1544" spans="1:6" x14ac:dyDescent="0.35">
      <c r="A1544" s="1">
        <v>46461</v>
      </c>
      <c r="B1544" s="2">
        <v>46287</v>
      </c>
      <c r="C1544" s="1" t="s">
        <v>22</v>
      </c>
      <c r="D1544" s="1">
        <v>2026</v>
      </c>
      <c r="E1544" s="1">
        <v>9</v>
      </c>
      <c r="F1544" s="1">
        <v>39</v>
      </c>
    </row>
    <row r="1545" spans="1:6" x14ac:dyDescent="0.35">
      <c r="A1545" s="1">
        <v>46460</v>
      </c>
      <c r="B1545" s="2">
        <v>46287</v>
      </c>
      <c r="C1545" s="1" t="s">
        <v>22</v>
      </c>
      <c r="D1545" s="1">
        <v>2026</v>
      </c>
      <c r="E1545" s="1">
        <v>9</v>
      </c>
      <c r="F1545" s="1">
        <v>39</v>
      </c>
    </row>
    <row r="1546" spans="1:6" x14ac:dyDescent="0.35">
      <c r="A1546" s="1">
        <v>46459</v>
      </c>
      <c r="B1546" s="2">
        <v>46287</v>
      </c>
      <c r="C1546" s="1" t="s">
        <v>22</v>
      </c>
      <c r="D1546" s="1">
        <v>2026</v>
      </c>
      <c r="E1546" s="1">
        <v>9</v>
      </c>
      <c r="F1546" s="1">
        <v>39</v>
      </c>
    </row>
    <row r="1547" spans="1:6" x14ac:dyDescent="0.35">
      <c r="A1547" s="1">
        <v>46458</v>
      </c>
      <c r="B1547" s="2">
        <v>46287</v>
      </c>
      <c r="C1547" s="1" t="s">
        <v>22</v>
      </c>
      <c r="D1547" s="1">
        <v>2026</v>
      </c>
      <c r="E1547" s="1">
        <v>9</v>
      </c>
      <c r="F1547" s="1">
        <v>39</v>
      </c>
    </row>
    <row r="1548" spans="1:6" x14ac:dyDescent="0.35">
      <c r="A1548" s="1">
        <v>46457</v>
      </c>
      <c r="B1548" s="2">
        <v>46287</v>
      </c>
      <c r="C1548" s="1" t="s">
        <v>22</v>
      </c>
      <c r="D1548" s="1">
        <v>2026</v>
      </c>
      <c r="E1548" s="1">
        <v>9</v>
      </c>
      <c r="F1548" s="1">
        <v>39</v>
      </c>
    </row>
    <row r="1549" spans="1:6" x14ac:dyDescent="0.35">
      <c r="A1549" s="1">
        <v>46456</v>
      </c>
      <c r="B1549" s="2">
        <v>46287</v>
      </c>
      <c r="C1549" s="1" t="s">
        <v>22</v>
      </c>
      <c r="D1549" s="1">
        <v>2026</v>
      </c>
      <c r="E1549" s="1">
        <v>9</v>
      </c>
      <c r="F1549" s="1">
        <v>39</v>
      </c>
    </row>
    <row r="1550" spans="1:6" x14ac:dyDescent="0.35">
      <c r="A1550" s="1">
        <v>46452</v>
      </c>
      <c r="B1550" s="2">
        <v>46287</v>
      </c>
      <c r="C1550" s="1" t="s">
        <v>7</v>
      </c>
      <c r="D1550" s="1">
        <v>2026</v>
      </c>
      <c r="E1550" s="1">
        <v>9</v>
      </c>
      <c r="F1550" s="1">
        <v>39</v>
      </c>
    </row>
    <row r="1551" spans="1:6" x14ac:dyDescent="0.35">
      <c r="A1551" s="1">
        <v>46446</v>
      </c>
      <c r="B1551" s="2">
        <v>46287</v>
      </c>
      <c r="C1551" s="1" t="s">
        <v>10</v>
      </c>
      <c r="D1551" s="1">
        <v>2026</v>
      </c>
      <c r="E1551" s="1">
        <v>9</v>
      </c>
      <c r="F1551" s="1">
        <v>39</v>
      </c>
    </row>
    <row r="1552" spans="1:6" x14ac:dyDescent="0.35">
      <c r="A1552" s="1">
        <v>46445</v>
      </c>
      <c r="B1552" s="2">
        <v>46287</v>
      </c>
      <c r="C1552" s="1" t="s">
        <v>10</v>
      </c>
      <c r="D1552" s="1">
        <v>2026</v>
      </c>
      <c r="E1552" s="1">
        <v>9</v>
      </c>
      <c r="F1552" s="1">
        <v>39</v>
      </c>
    </row>
    <row r="1553" spans="1:6" x14ac:dyDescent="0.35">
      <c r="A1553" s="1">
        <v>46443</v>
      </c>
      <c r="B1553" s="2">
        <v>46287</v>
      </c>
      <c r="C1553" s="1" t="s">
        <v>3</v>
      </c>
      <c r="D1553" s="1">
        <v>2026</v>
      </c>
      <c r="E1553" s="1">
        <v>9</v>
      </c>
      <c r="F1553" s="1">
        <v>39</v>
      </c>
    </row>
    <row r="1554" spans="1:6" x14ac:dyDescent="0.35">
      <c r="A1554" s="1">
        <v>46438</v>
      </c>
      <c r="B1554" s="2">
        <v>46287</v>
      </c>
      <c r="C1554" s="1" t="s">
        <v>6</v>
      </c>
      <c r="D1554" s="1">
        <v>2026</v>
      </c>
      <c r="E1554" s="1">
        <v>9</v>
      </c>
      <c r="F1554" s="1">
        <v>39</v>
      </c>
    </row>
    <row r="1555" spans="1:6" x14ac:dyDescent="0.35">
      <c r="A1555" s="1">
        <v>46437</v>
      </c>
      <c r="B1555" s="2">
        <v>46287</v>
      </c>
      <c r="C1555" s="1" t="s">
        <v>6</v>
      </c>
      <c r="D1555" s="1">
        <v>2026</v>
      </c>
      <c r="E1555" s="1">
        <v>9</v>
      </c>
      <c r="F1555" s="1">
        <v>39</v>
      </c>
    </row>
    <row r="1556" spans="1:6" x14ac:dyDescent="0.35">
      <c r="A1556" s="1">
        <v>46435</v>
      </c>
      <c r="B1556" s="2">
        <v>46287</v>
      </c>
      <c r="C1556" s="1" t="s">
        <v>3</v>
      </c>
      <c r="D1556" s="1">
        <v>2026</v>
      </c>
      <c r="E1556" s="1">
        <v>9</v>
      </c>
      <c r="F1556" s="1">
        <v>39</v>
      </c>
    </row>
    <row r="1557" spans="1:6" x14ac:dyDescent="0.35">
      <c r="A1557" s="1">
        <v>46433</v>
      </c>
      <c r="B1557" s="2">
        <v>46287</v>
      </c>
      <c r="C1557" s="1" t="s">
        <v>8</v>
      </c>
      <c r="D1557" s="1">
        <v>2026</v>
      </c>
      <c r="E1557" s="1">
        <v>9</v>
      </c>
      <c r="F1557" s="1">
        <v>39</v>
      </c>
    </row>
    <row r="1558" spans="1:6" x14ac:dyDescent="0.35">
      <c r="A1558" s="1">
        <v>46432</v>
      </c>
      <c r="B1558" s="2">
        <v>46287</v>
      </c>
      <c r="C1558" s="1" t="s">
        <v>19</v>
      </c>
      <c r="D1558" s="1">
        <v>2026</v>
      </c>
      <c r="E1558" s="1">
        <v>9</v>
      </c>
      <c r="F1558" s="1">
        <v>39</v>
      </c>
    </row>
    <row r="1559" spans="1:6" x14ac:dyDescent="0.35">
      <c r="A1559" s="1">
        <v>46431</v>
      </c>
      <c r="B1559" s="2">
        <v>46287</v>
      </c>
      <c r="C1559" s="1" t="s">
        <v>8</v>
      </c>
      <c r="D1559" s="1">
        <v>2026</v>
      </c>
      <c r="E1559" s="1">
        <v>9</v>
      </c>
      <c r="F1559" s="1">
        <v>39</v>
      </c>
    </row>
    <row r="1560" spans="1:6" x14ac:dyDescent="0.35">
      <c r="A1560" s="1">
        <v>46429</v>
      </c>
      <c r="B1560" s="2">
        <v>46287</v>
      </c>
      <c r="C1560" s="1" t="s">
        <v>3</v>
      </c>
      <c r="D1560" s="1">
        <v>2026</v>
      </c>
      <c r="E1560" s="1">
        <v>9</v>
      </c>
      <c r="F1560" s="1">
        <v>39</v>
      </c>
    </row>
    <row r="1561" spans="1:6" x14ac:dyDescent="0.35">
      <c r="A1561" s="1">
        <v>46428</v>
      </c>
      <c r="B1561" s="2">
        <v>46287</v>
      </c>
      <c r="C1561" s="1" t="s">
        <v>9</v>
      </c>
      <c r="D1561" s="1">
        <v>2026</v>
      </c>
      <c r="E1561" s="1">
        <v>9</v>
      </c>
      <c r="F1561" s="1">
        <v>39</v>
      </c>
    </row>
    <row r="1562" spans="1:6" x14ac:dyDescent="0.35">
      <c r="A1562" s="1">
        <v>46427</v>
      </c>
      <c r="B1562" s="2">
        <v>46287</v>
      </c>
      <c r="C1562" s="1" t="s">
        <v>4</v>
      </c>
      <c r="D1562" s="1">
        <v>2026</v>
      </c>
      <c r="E1562" s="1">
        <v>9</v>
      </c>
      <c r="F1562" s="1">
        <v>39</v>
      </c>
    </row>
    <row r="1563" spans="1:6" x14ac:dyDescent="0.35">
      <c r="A1563" s="1">
        <v>46426</v>
      </c>
      <c r="B1563" s="2">
        <v>46287</v>
      </c>
      <c r="C1563" s="1" t="s">
        <v>19</v>
      </c>
      <c r="D1563" s="1">
        <v>2026</v>
      </c>
      <c r="E1563" s="1">
        <v>9</v>
      </c>
      <c r="F1563" s="1">
        <v>39</v>
      </c>
    </row>
    <row r="1564" spans="1:6" x14ac:dyDescent="0.35">
      <c r="A1564" s="1">
        <v>46425</v>
      </c>
      <c r="B1564" s="2">
        <v>46287</v>
      </c>
      <c r="C1564" s="1" t="s">
        <v>19</v>
      </c>
      <c r="D1564" s="1">
        <v>2026</v>
      </c>
      <c r="E1564" s="1">
        <v>9</v>
      </c>
      <c r="F1564" s="1">
        <v>39</v>
      </c>
    </row>
    <row r="1565" spans="1:6" x14ac:dyDescent="0.35">
      <c r="A1565" s="1">
        <v>46514</v>
      </c>
      <c r="B1565" s="2">
        <v>46288</v>
      </c>
      <c r="C1565" s="1" t="s">
        <v>21</v>
      </c>
      <c r="D1565" s="1">
        <v>2026</v>
      </c>
      <c r="E1565" s="1">
        <v>9</v>
      </c>
      <c r="F1565" s="1">
        <v>39</v>
      </c>
    </row>
    <row r="1566" spans="1:6" x14ac:dyDescent="0.35">
      <c r="A1566" s="1">
        <v>46513</v>
      </c>
      <c r="B1566" s="2">
        <v>46288</v>
      </c>
      <c r="C1566" s="1" t="s">
        <v>3</v>
      </c>
      <c r="D1566" s="1">
        <v>2026</v>
      </c>
      <c r="E1566" s="1">
        <v>9</v>
      </c>
      <c r="F1566" s="1">
        <v>39</v>
      </c>
    </row>
    <row r="1567" spans="1:6" x14ac:dyDescent="0.35">
      <c r="A1567" s="1">
        <v>46512</v>
      </c>
      <c r="B1567" s="2">
        <v>46288</v>
      </c>
      <c r="C1567" s="1" t="s">
        <v>21</v>
      </c>
      <c r="D1567" s="1">
        <v>2026</v>
      </c>
      <c r="E1567" s="1">
        <v>9</v>
      </c>
      <c r="F1567" s="1">
        <v>39</v>
      </c>
    </row>
    <row r="1568" spans="1:6" x14ac:dyDescent="0.35">
      <c r="A1568" s="1">
        <v>46510</v>
      </c>
      <c r="B1568" s="2">
        <v>46288</v>
      </c>
      <c r="C1568" s="1" t="s">
        <v>8</v>
      </c>
      <c r="D1568" s="1">
        <v>2026</v>
      </c>
      <c r="E1568" s="1">
        <v>9</v>
      </c>
      <c r="F1568" s="1">
        <v>39</v>
      </c>
    </row>
    <row r="1569" spans="1:6" x14ac:dyDescent="0.35">
      <c r="A1569" s="1">
        <v>46509</v>
      </c>
      <c r="B1569" s="2">
        <v>46288</v>
      </c>
      <c r="C1569" s="1" t="s">
        <v>8</v>
      </c>
      <c r="D1569" s="1">
        <v>2026</v>
      </c>
      <c r="E1569" s="1">
        <v>9</v>
      </c>
      <c r="F1569" s="1">
        <v>39</v>
      </c>
    </row>
    <row r="1570" spans="1:6" x14ac:dyDescent="0.35">
      <c r="A1570" s="1">
        <v>46508</v>
      </c>
      <c r="B1570" s="2">
        <v>46288</v>
      </c>
      <c r="C1570" s="1" t="s">
        <v>19</v>
      </c>
      <c r="D1570" s="1">
        <v>2026</v>
      </c>
      <c r="E1570" s="1">
        <v>9</v>
      </c>
      <c r="F1570" s="1">
        <v>39</v>
      </c>
    </row>
    <row r="1571" spans="1:6" x14ac:dyDescent="0.35">
      <c r="A1571" s="1">
        <v>46551</v>
      </c>
      <c r="B1571" s="2">
        <v>46288</v>
      </c>
      <c r="C1571" s="1" t="s">
        <v>10</v>
      </c>
      <c r="D1571" s="1">
        <v>2026</v>
      </c>
      <c r="E1571" s="1">
        <v>9</v>
      </c>
      <c r="F1571" s="1">
        <v>39</v>
      </c>
    </row>
    <row r="1572" spans="1:6" x14ac:dyDescent="0.35">
      <c r="A1572" s="1">
        <v>46550</v>
      </c>
      <c r="B1572" s="2">
        <v>46288</v>
      </c>
      <c r="C1572" s="1" t="s">
        <v>10</v>
      </c>
      <c r="D1572" s="1">
        <v>2026</v>
      </c>
      <c r="E1572" s="1">
        <v>9</v>
      </c>
      <c r="F1572" s="1">
        <v>39</v>
      </c>
    </row>
    <row r="1573" spans="1:6" x14ac:dyDescent="0.35">
      <c r="A1573" s="1">
        <v>46549</v>
      </c>
      <c r="B1573" s="2">
        <v>46288</v>
      </c>
      <c r="C1573" s="1" t="s">
        <v>11</v>
      </c>
      <c r="D1573" s="1">
        <v>2026</v>
      </c>
      <c r="E1573" s="1">
        <v>9</v>
      </c>
      <c r="F1573" s="1">
        <v>39</v>
      </c>
    </row>
    <row r="1574" spans="1:6" x14ac:dyDescent="0.35">
      <c r="A1574" s="1">
        <v>46548</v>
      </c>
      <c r="B1574" s="2">
        <v>46288</v>
      </c>
      <c r="C1574" s="1" t="s">
        <v>6</v>
      </c>
      <c r="D1574" s="1">
        <v>2026</v>
      </c>
      <c r="E1574" s="1">
        <v>9</v>
      </c>
      <c r="F1574" s="1">
        <v>39</v>
      </c>
    </row>
    <row r="1575" spans="1:6" x14ac:dyDescent="0.35">
      <c r="A1575" s="1">
        <v>46547</v>
      </c>
      <c r="B1575" s="2">
        <v>46288</v>
      </c>
      <c r="C1575" s="1" t="s">
        <v>6</v>
      </c>
      <c r="D1575" s="1">
        <v>2026</v>
      </c>
      <c r="E1575" s="1">
        <v>9</v>
      </c>
      <c r="F1575" s="1">
        <v>39</v>
      </c>
    </row>
    <row r="1576" spans="1:6" x14ac:dyDescent="0.35">
      <c r="A1576" s="1">
        <v>46546</v>
      </c>
      <c r="B1576" s="2">
        <v>46288</v>
      </c>
      <c r="C1576" s="1" t="s">
        <v>23</v>
      </c>
      <c r="D1576" s="1">
        <v>2026</v>
      </c>
      <c r="E1576" s="1">
        <v>9</v>
      </c>
      <c r="F1576" s="1">
        <v>39</v>
      </c>
    </row>
    <row r="1577" spans="1:6" x14ac:dyDescent="0.35">
      <c r="A1577" s="1">
        <v>46545</v>
      </c>
      <c r="B1577" s="2">
        <v>46288</v>
      </c>
      <c r="C1577" s="1" t="s">
        <v>23</v>
      </c>
      <c r="D1577" s="1">
        <v>2026</v>
      </c>
      <c r="E1577" s="1">
        <v>9</v>
      </c>
      <c r="F1577" s="1">
        <v>39</v>
      </c>
    </row>
    <row r="1578" spans="1:6" x14ac:dyDescent="0.35">
      <c r="A1578" s="1">
        <v>46544</v>
      </c>
      <c r="B1578" s="2">
        <v>46288</v>
      </c>
      <c r="C1578" s="1" t="s">
        <v>4</v>
      </c>
      <c r="D1578" s="1">
        <v>2026</v>
      </c>
      <c r="E1578" s="1">
        <v>9</v>
      </c>
      <c r="F1578" s="1">
        <v>39</v>
      </c>
    </row>
    <row r="1579" spans="1:6" x14ac:dyDescent="0.35">
      <c r="A1579" s="1">
        <v>46543</v>
      </c>
      <c r="B1579" s="2">
        <v>46288</v>
      </c>
      <c r="C1579" s="1" t="s">
        <v>4</v>
      </c>
      <c r="D1579" s="1">
        <v>2026</v>
      </c>
      <c r="E1579" s="1">
        <v>9</v>
      </c>
      <c r="F1579" s="1">
        <v>39</v>
      </c>
    </row>
    <row r="1580" spans="1:6" x14ac:dyDescent="0.35">
      <c r="A1580" s="1">
        <v>46542</v>
      </c>
      <c r="B1580" s="2">
        <v>46288</v>
      </c>
      <c r="C1580" s="1" t="s">
        <v>4</v>
      </c>
      <c r="D1580" s="1">
        <v>2026</v>
      </c>
      <c r="E1580" s="1">
        <v>9</v>
      </c>
      <c r="F1580" s="1">
        <v>39</v>
      </c>
    </row>
    <row r="1581" spans="1:6" x14ac:dyDescent="0.35">
      <c r="A1581" s="1">
        <v>46541</v>
      </c>
      <c r="B1581" s="2">
        <v>46288</v>
      </c>
      <c r="C1581" s="1" t="s">
        <v>17</v>
      </c>
      <c r="D1581" s="1">
        <v>2026</v>
      </c>
      <c r="E1581" s="1">
        <v>9</v>
      </c>
      <c r="F1581" s="1">
        <v>39</v>
      </c>
    </row>
    <row r="1582" spans="1:6" x14ac:dyDescent="0.35">
      <c r="A1582" s="1">
        <v>46540</v>
      </c>
      <c r="B1582" s="2">
        <v>46288</v>
      </c>
      <c r="C1582" s="1" t="s">
        <v>17</v>
      </c>
      <c r="D1582" s="1">
        <v>2026</v>
      </c>
      <c r="E1582" s="1">
        <v>9</v>
      </c>
      <c r="F1582" s="1">
        <v>39</v>
      </c>
    </row>
    <row r="1583" spans="1:6" x14ac:dyDescent="0.35">
      <c r="A1583" s="1">
        <v>46533</v>
      </c>
      <c r="B1583" s="2">
        <v>46288</v>
      </c>
      <c r="C1583" s="1" t="s">
        <v>3</v>
      </c>
      <c r="D1583" s="1">
        <v>2026</v>
      </c>
      <c r="E1583" s="1">
        <v>9</v>
      </c>
      <c r="F1583" s="1">
        <v>39</v>
      </c>
    </row>
    <row r="1584" spans="1:6" x14ac:dyDescent="0.35">
      <c r="A1584" s="1">
        <v>46531</v>
      </c>
      <c r="B1584" s="2">
        <v>46288</v>
      </c>
      <c r="C1584" s="1" t="s">
        <v>28</v>
      </c>
      <c r="D1584" s="1">
        <v>2026</v>
      </c>
      <c r="E1584" s="1">
        <v>9</v>
      </c>
      <c r="F1584" s="1">
        <v>39</v>
      </c>
    </row>
    <row r="1585" spans="1:6" x14ac:dyDescent="0.35">
      <c r="A1585" s="1">
        <v>46529</v>
      </c>
      <c r="B1585" s="2">
        <v>46288</v>
      </c>
      <c r="C1585" s="1" t="s">
        <v>3</v>
      </c>
      <c r="D1585" s="1">
        <v>2026</v>
      </c>
      <c r="E1585" s="1">
        <v>9</v>
      </c>
      <c r="F1585" s="1">
        <v>39</v>
      </c>
    </row>
    <row r="1586" spans="1:6" x14ac:dyDescent="0.35">
      <c r="A1586" s="1">
        <v>46528</v>
      </c>
      <c r="B1586" s="2">
        <v>46288</v>
      </c>
      <c r="C1586" s="1" t="s">
        <v>28</v>
      </c>
      <c r="D1586" s="1">
        <v>2026</v>
      </c>
      <c r="E1586" s="1">
        <v>9</v>
      </c>
      <c r="F1586" s="1">
        <v>39</v>
      </c>
    </row>
    <row r="1587" spans="1:6" x14ac:dyDescent="0.35">
      <c r="A1587" s="1">
        <v>46527</v>
      </c>
      <c r="B1587" s="2">
        <v>46288</v>
      </c>
      <c r="C1587" s="1" t="s">
        <v>28</v>
      </c>
      <c r="D1587" s="1">
        <v>2026</v>
      </c>
      <c r="E1587" s="1">
        <v>9</v>
      </c>
      <c r="F1587" s="1">
        <v>39</v>
      </c>
    </row>
    <row r="1588" spans="1:6" x14ac:dyDescent="0.35">
      <c r="A1588" s="1">
        <v>46526</v>
      </c>
      <c r="B1588" s="2">
        <v>46288</v>
      </c>
      <c r="C1588" s="1" t="s">
        <v>28</v>
      </c>
      <c r="D1588" s="1">
        <v>2026</v>
      </c>
      <c r="E1588" s="1">
        <v>9</v>
      </c>
      <c r="F1588" s="1">
        <v>39</v>
      </c>
    </row>
    <row r="1589" spans="1:6" x14ac:dyDescent="0.35">
      <c r="A1589" s="1">
        <v>46525</v>
      </c>
      <c r="B1589" s="2">
        <v>46288</v>
      </c>
      <c r="C1589" s="1" t="s">
        <v>28</v>
      </c>
      <c r="D1589" s="1">
        <v>2026</v>
      </c>
      <c r="E1589" s="1">
        <v>9</v>
      </c>
      <c r="F1589" s="1">
        <v>39</v>
      </c>
    </row>
    <row r="1590" spans="1:6" x14ac:dyDescent="0.35">
      <c r="A1590" s="1">
        <v>46524</v>
      </c>
      <c r="B1590" s="2">
        <v>46288</v>
      </c>
      <c r="C1590" s="1" t="s">
        <v>9</v>
      </c>
      <c r="D1590" s="1">
        <v>2026</v>
      </c>
      <c r="E1590" s="1">
        <v>9</v>
      </c>
      <c r="F1590" s="1">
        <v>39</v>
      </c>
    </row>
    <row r="1591" spans="1:6" x14ac:dyDescent="0.35">
      <c r="A1591" s="1">
        <v>46523</v>
      </c>
      <c r="B1591" s="2">
        <v>46288</v>
      </c>
      <c r="C1591" s="1" t="s">
        <v>9</v>
      </c>
      <c r="D1591" s="1">
        <v>2026</v>
      </c>
      <c r="E1591" s="1">
        <v>9</v>
      </c>
      <c r="F1591" s="1">
        <v>39</v>
      </c>
    </row>
    <row r="1592" spans="1:6" x14ac:dyDescent="0.35">
      <c r="A1592" s="1">
        <v>46522</v>
      </c>
      <c r="B1592" s="2">
        <v>46288</v>
      </c>
      <c r="C1592" s="1" t="s">
        <v>21</v>
      </c>
      <c r="D1592" s="1">
        <v>2026</v>
      </c>
      <c r="E1592" s="1">
        <v>9</v>
      </c>
      <c r="F1592" s="1">
        <v>39</v>
      </c>
    </row>
    <row r="1593" spans="1:6" x14ac:dyDescent="0.35">
      <c r="A1593" s="1">
        <v>46521</v>
      </c>
      <c r="B1593" s="2">
        <v>46288</v>
      </c>
      <c r="C1593" s="1" t="s">
        <v>21</v>
      </c>
      <c r="D1593" s="1">
        <v>2026</v>
      </c>
      <c r="E1593" s="1">
        <v>9</v>
      </c>
      <c r="F1593" s="1">
        <v>39</v>
      </c>
    </row>
    <row r="1594" spans="1:6" x14ac:dyDescent="0.35">
      <c r="A1594" s="1">
        <v>46519</v>
      </c>
      <c r="B1594" s="2">
        <v>46288</v>
      </c>
      <c r="C1594" s="1" t="s">
        <v>9</v>
      </c>
      <c r="D1594" s="1">
        <v>2026</v>
      </c>
      <c r="E1594" s="1">
        <v>9</v>
      </c>
      <c r="F1594" s="1">
        <v>39</v>
      </c>
    </row>
    <row r="1595" spans="1:6" x14ac:dyDescent="0.35">
      <c r="A1595" s="1">
        <v>46517</v>
      </c>
      <c r="B1595" s="2">
        <v>46288</v>
      </c>
      <c r="C1595" s="1" t="s">
        <v>19</v>
      </c>
      <c r="D1595" s="1">
        <v>2026</v>
      </c>
      <c r="E1595" s="1">
        <v>9</v>
      </c>
      <c r="F1595" s="1">
        <v>39</v>
      </c>
    </row>
    <row r="1596" spans="1:6" x14ac:dyDescent="0.35">
      <c r="A1596" s="1">
        <v>46516</v>
      </c>
      <c r="B1596" s="2">
        <v>46288</v>
      </c>
      <c r="C1596" s="1" t="s">
        <v>3</v>
      </c>
      <c r="D1596" s="1">
        <v>2026</v>
      </c>
      <c r="E1596" s="1">
        <v>9</v>
      </c>
      <c r="F1596" s="1">
        <v>39</v>
      </c>
    </row>
    <row r="1597" spans="1:6" x14ac:dyDescent="0.35">
      <c r="A1597" s="1">
        <v>46515</v>
      </c>
      <c r="B1597" s="2">
        <v>46288</v>
      </c>
      <c r="C1597" s="1" t="s">
        <v>21</v>
      </c>
      <c r="D1597" s="1">
        <v>2026</v>
      </c>
      <c r="E1597" s="1">
        <v>9</v>
      </c>
      <c r="F1597" s="1">
        <v>39</v>
      </c>
    </row>
    <row r="1598" spans="1:6" x14ac:dyDescent="0.35">
      <c r="A1598" s="1">
        <v>46580</v>
      </c>
      <c r="B1598" s="2">
        <v>46289</v>
      </c>
      <c r="C1598" s="1" t="s">
        <v>17</v>
      </c>
      <c r="D1598" s="1">
        <v>2026</v>
      </c>
      <c r="E1598" s="1">
        <v>9</v>
      </c>
      <c r="F1598" s="1">
        <v>39</v>
      </c>
    </row>
    <row r="1599" spans="1:6" x14ac:dyDescent="0.35">
      <c r="A1599" s="1">
        <v>46579</v>
      </c>
      <c r="B1599" s="2">
        <v>46289</v>
      </c>
      <c r="C1599" s="1" t="s">
        <v>17</v>
      </c>
      <c r="D1599" s="1">
        <v>2026</v>
      </c>
      <c r="E1599" s="1">
        <v>9</v>
      </c>
      <c r="F1599" s="1">
        <v>39</v>
      </c>
    </row>
    <row r="1600" spans="1:6" x14ac:dyDescent="0.35">
      <c r="A1600" s="1">
        <v>46578</v>
      </c>
      <c r="B1600" s="2">
        <v>46289</v>
      </c>
      <c r="C1600" s="1" t="s">
        <v>23</v>
      </c>
      <c r="D1600" s="1">
        <v>2026</v>
      </c>
      <c r="E1600" s="1">
        <v>9</v>
      </c>
      <c r="F1600" s="1">
        <v>39</v>
      </c>
    </row>
    <row r="1601" spans="1:6" x14ac:dyDescent="0.35">
      <c r="A1601" s="1">
        <v>46577</v>
      </c>
      <c r="B1601" s="2">
        <v>46289</v>
      </c>
      <c r="C1601" s="1" t="s">
        <v>23</v>
      </c>
      <c r="D1601" s="1">
        <v>2026</v>
      </c>
      <c r="E1601" s="1">
        <v>9</v>
      </c>
      <c r="F1601" s="1">
        <v>39</v>
      </c>
    </row>
    <row r="1602" spans="1:6" x14ac:dyDescent="0.35">
      <c r="A1602" s="1">
        <v>46576</v>
      </c>
      <c r="B1602" s="2">
        <v>46289</v>
      </c>
      <c r="C1602" s="1" t="s">
        <v>9</v>
      </c>
      <c r="D1602" s="1">
        <v>2026</v>
      </c>
      <c r="E1602" s="1">
        <v>9</v>
      </c>
      <c r="F1602" s="1">
        <v>39</v>
      </c>
    </row>
    <row r="1603" spans="1:6" x14ac:dyDescent="0.35">
      <c r="A1603" s="1">
        <v>46575</v>
      </c>
      <c r="B1603" s="2">
        <v>46289</v>
      </c>
      <c r="C1603" s="1" t="s">
        <v>17</v>
      </c>
      <c r="D1603" s="1">
        <v>2026</v>
      </c>
      <c r="E1603" s="1">
        <v>9</v>
      </c>
      <c r="F1603" s="1">
        <v>39</v>
      </c>
    </row>
    <row r="1604" spans="1:6" x14ac:dyDescent="0.35">
      <c r="A1604" s="1">
        <v>46574</v>
      </c>
      <c r="B1604" s="2">
        <v>46289</v>
      </c>
      <c r="C1604" s="1" t="s">
        <v>9</v>
      </c>
      <c r="D1604" s="1">
        <v>2026</v>
      </c>
      <c r="E1604" s="1">
        <v>9</v>
      </c>
      <c r="F1604" s="1">
        <v>39</v>
      </c>
    </row>
    <row r="1605" spans="1:6" x14ac:dyDescent="0.35">
      <c r="A1605" s="1">
        <v>46573</v>
      </c>
      <c r="B1605" s="2">
        <v>46289</v>
      </c>
      <c r="C1605" s="1" t="s">
        <v>9</v>
      </c>
      <c r="D1605" s="1">
        <v>2026</v>
      </c>
      <c r="E1605" s="1">
        <v>9</v>
      </c>
      <c r="F1605" s="1">
        <v>39</v>
      </c>
    </row>
    <row r="1606" spans="1:6" x14ac:dyDescent="0.35">
      <c r="A1606" s="1">
        <v>46571</v>
      </c>
      <c r="B1606" s="2">
        <v>46289</v>
      </c>
      <c r="C1606" s="1" t="s">
        <v>7</v>
      </c>
      <c r="D1606" s="1">
        <v>2026</v>
      </c>
      <c r="E1606" s="1">
        <v>9</v>
      </c>
      <c r="F1606" s="1">
        <v>39</v>
      </c>
    </row>
    <row r="1607" spans="1:6" x14ac:dyDescent="0.35">
      <c r="A1607" s="1">
        <v>46570</v>
      </c>
      <c r="B1607" s="2">
        <v>46289</v>
      </c>
      <c r="C1607" s="1" t="s">
        <v>4</v>
      </c>
      <c r="D1607" s="1">
        <v>2026</v>
      </c>
      <c r="E1607" s="1">
        <v>9</v>
      </c>
      <c r="F1607" s="1">
        <v>39</v>
      </c>
    </row>
    <row r="1608" spans="1:6" x14ac:dyDescent="0.35">
      <c r="A1608" s="1">
        <v>46569</v>
      </c>
      <c r="B1608" s="2">
        <v>46289</v>
      </c>
      <c r="C1608" s="1" t="s">
        <v>6</v>
      </c>
      <c r="D1608" s="1">
        <v>2026</v>
      </c>
      <c r="E1608" s="1">
        <v>9</v>
      </c>
      <c r="F1608" s="1">
        <v>39</v>
      </c>
    </row>
    <row r="1609" spans="1:6" x14ac:dyDescent="0.35">
      <c r="A1609" s="1">
        <v>46568</v>
      </c>
      <c r="B1609" s="2">
        <v>46289</v>
      </c>
      <c r="C1609" s="1" t="s">
        <v>6</v>
      </c>
      <c r="D1609" s="1">
        <v>2026</v>
      </c>
      <c r="E1609" s="1">
        <v>9</v>
      </c>
      <c r="F1609" s="1">
        <v>39</v>
      </c>
    </row>
    <row r="1610" spans="1:6" x14ac:dyDescent="0.35">
      <c r="A1610" s="1">
        <v>46567</v>
      </c>
      <c r="B1610" s="2">
        <v>46289</v>
      </c>
      <c r="C1610" s="1" t="s">
        <v>4</v>
      </c>
      <c r="D1610" s="1">
        <v>2026</v>
      </c>
      <c r="E1610" s="1">
        <v>9</v>
      </c>
      <c r="F1610" s="1">
        <v>39</v>
      </c>
    </row>
    <row r="1611" spans="1:6" x14ac:dyDescent="0.35">
      <c r="A1611" s="1">
        <v>46566</v>
      </c>
      <c r="B1611" s="2">
        <v>46289</v>
      </c>
      <c r="C1611" s="1" t="s">
        <v>10</v>
      </c>
      <c r="D1611" s="1">
        <v>2026</v>
      </c>
      <c r="E1611" s="1">
        <v>9</v>
      </c>
      <c r="F1611" s="1">
        <v>39</v>
      </c>
    </row>
    <row r="1612" spans="1:6" x14ac:dyDescent="0.35">
      <c r="A1612" s="1">
        <v>46565</v>
      </c>
      <c r="B1612" s="2">
        <v>46289</v>
      </c>
      <c r="C1612" s="1" t="s">
        <v>10</v>
      </c>
      <c r="D1612" s="1">
        <v>2026</v>
      </c>
      <c r="E1612" s="1">
        <v>9</v>
      </c>
      <c r="F1612" s="1">
        <v>39</v>
      </c>
    </row>
    <row r="1613" spans="1:6" x14ac:dyDescent="0.35">
      <c r="A1613" s="1">
        <v>46564</v>
      </c>
      <c r="B1613" s="2">
        <v>46289</v>
      </c>
      <c r="C1613" s="1" t="s">
        <v>3</v>
      </c>
      <c r="D1613" s="1">
        <v>2026</v>
      </c>
      <c r="E1613" s="1">
        <v>9</v>
      </c>
      <c r="F1613" s="1">
        <v>39</v>
      </c>
    </row>
    <row r="1614" spans="1:6" x14ac:dyDescent="0.35">
      <c r="A1614" s="1">
        <v>46563</v>
      </c>
      <c r="B1614" s="2">
        <v>46289</v>
      </c>
      <c r="C1614" s="1" t="s">
        <v>3</v>
      </c>
      <c r="D1614" s="1">
        <v>2026</v>
      </c>
      <c r="E1614" s="1">
        <v>9</v>
      </c>
      <c r="F1614" s="1">
        <v>39</v>
      </c>
    </row>
    <row r="1615" spans="1:6" x14ac:dyDescent="0.35">
      <c r="A1615" s="1">
        <v>46562</v>
      </c>
      <c r="B1615" s="2">
        <v>46289</v>
      </c>
      <c r="C1615" s="1" t="s">
        <v>3</v>
      </c>
      <c r="D1615" s="1">
        <v>2026</v>
      </c>
      <c r="E1615" s="1">
        <v>9</v>
      </c>
      <c r="F1615" s="1">
        <v>39</v>
      </c>
    </row>
    <row r="1616" spans="1:6" x14ac:dyDescent="0.35">
      <c r="A1616" s="1">
        <v>46561</v>
      </c>
      <c r="B1616" s="2">
        <v>46289</v>
      </c>
      <c r="C1616" s="1" t="s">
        <v>3</v>
      </c>
      <c r="D1616" s="1">
        <v>2026</v>
      </c>
      <c r="E1616" s="1">
        <v>9</v>
      </c>
      <c r="F1616" s="1">
        <v>39</v>
      </c>
    </row>
    <row r="1617" spans="1:6" x14ac:dyDescent="0.35">
      <c r="A1617" s="1">
        <v>46560</v>
      </c>
      <c r="B1617" s="2">
        <v>46289</v>
      </c>
      <c r="C1617" s="1" t="s">
        <v>3</v>
      </c>
      <c r="D1617" s="1">
        <v>2026</v>
      </c>
      <c r="E1617" s="1">
        <v>9</v>
      </c>
      <c r="F1617" s="1">
        <v>39</v>
      </c>
    </row>
    <row r="1618" spans="1:6" x14ac:dyDescent="0.35">
      <c r="A1618" s="1">
        <v>46559</v>
      </c>
      <c r="B1618" s="2">
        <v>46289</v>
      </c>
      <c r="C1618" s="1" t="s">
        <v>19</v>
      </c>
      <c r="D1618" s="1">
        <v>2026</v>
      </c>
      <c r="E1618" s="1">
        <v>9</v>
      </c>
      <c r="F1618" s="1">
        <v>39</v>
      </c>
    </row>
    <row r="1619" spans="1:6" x14ac:dyDescent="0.35">
      <c r="A1619" s="1">
        <v>46558</v>
      </c>
      <c r="B1619" s="2">
        <v>46289</v>
      </c>
      <c r="C1619" s="1" t="s">
        <v>19</v>
      </c>
      <c r="D1619" s="1">
        <v>2026</v>
      </c>
      <c r="E1619" s="1">
        <v>9</v>
      </c>
      <c r="F1619" s="1">
        <v>39</v>
      </c>
    </row>
    <row r="1620" spans="1:6" x14ac:dyDescent="0.35">
      <c r="A1620" s="1">
        <v>46557</v>
      </c>
      <c r="B1620" s="2">
        <v>46289</v>
      </c>
      <c r="C1620" s="1" t="s">
        <v>9</v>
      </c>
      <c r="D1620" s="1">
        <v>2026</v>
      </c>
      <c r="E1620" s="1">
        <v>9</v>
      </c>
      <c r="F1620" s="1">
        <v>39</v>
      </c>
    </row>
    <row r="1621" spans="1:6" x14ac:dyDescent="0.35">
      <c r="A1621" s="1">
        <v>46556</v>
      </c>
      <c r="B1621" s="2">
        <v>46289</v>
      </c>
      <c r="C1621" s="1" t="s">
        <v>9</v>
      </c>
      <c r="D1621" s="1">
        <v>2026</v>
      </c>
      <c r="E1621" s="1">
        <v>9</v>
      </c>
      <c r="F1621" s="1">
        <v>39</v>
      </c>
    </row>
    <row r="1622" spans="1:6" x14ac:dyDescent="0.35">
      <c r="A1622" s="1">
        <v>46555</v>
      </c>
      <c r="B1622" s="2">
        <v>46289</v>
      </c>
      <c r="C1622" s="1" t="s">
        <v>7</v>
      </c>
      <c r="D1622" s="1">
        <v>2026</v>
      </c>
      <c r="E1622" s="1">
        <v>9</v>
      </c>
      <c r="F1622" s="1">
        <v>39</v>
      </c>
    </row>
    <row r="1623" spans="1:6" x14ac:dyDescent="0.35">
      <c r="A1623" s="1">
        <v>46628</v>
      </c>
      <c r="B1623" s="2">
        <v>46290</v>
      </c>
      <c r="C1623" s="1" t="s">
        <v>17</v>
      </c>
      <c r="D1623" s="1">
        <v>2026</v>
      </c>
      <c r="E1623" s="1">
        <v>9</v>
      </c>
      <c r="F1623" s="1">
        <v>39</v>
      </c>
    </row>
    <row r="1624" spans="1:6" x14ac:dyDescent="0.35">
      <c r="A1624" s="1">
        <v>46627</v>
      </c>
      <c r="B1624" s="2">
        <v>46290</v>
      </c>
      <c r="C1624" s="1" t="s">
        <v>17</v>
      </c>
      <c r="D1624" s="1">
        <v>2026</v>
      </c>
      <c r="E1624" s="1">
        <v>9</v>
      </c>
      <c r="F1624" s="1">
        <v>39</v>
      </c>
    </row>
    <row r="1625" spans="1:6" x14ac:dyDescent="0.35">
      <c r="A1625" s="1">
        <v>46619</v>
      </c>
      <c r="B1625" s="2">
        <v>46290</v>
      </c>
      <c r="C1625" s="1" t="s">
        <v>10</v>
      </c>
      <c r="D1625" s="1">
        <v>2026</v>
      </c>
      <c r="E1625" s="1">
        <v>9</v>
      </c>
      <c r="F1625" s="1">
        <v>39</v>
      </c>
    </row>
    <row r="1626" spans="1:6" x14ac:dyDescent="0.35">
      <c r="A1626" s="1">
        <v>46618</v>
      </c>
      <c r="B1626" s="2">
        <v>46290</v>
      </c>
      <c r="C1626" s="1" t="s">
        <v>10</v>
      </c>
      <c r="D1626" s="1">
        <v>2026</v>
      </c>
      <c r="E1626" s="1">
        <v>9</v>
      </c>
      <c r="F1626" s="1">
        <v>39</v>
      </c>
    </row>
    <row r="1627" spans="1:6" x14ac:dyDescent="0.35">
      <c r="A1627" s="1">
        <v>46617</v>
      </c>
      <c r="B1627" s="2">
        <v>46290</v>
      </c>
      <c r="C1627" s="1" t="s">
        <v>6</v>
      </c>
      <c r="D1627" s="1">
        <v>2026</v>
      </c>
      <c r="E1627" s="1">
        <v>9</v>
      </c>
      <c r="F1627" s="1">
        <v>39</v>
      </c>
    </row>
    <row r="1628" spans="1:6" x14ac:dyDescent="0.35">
      <c r="A1628" s="1">
        <v>46616</v>
      </c>
      <c r="B1628" s="2">
        <v>46290</v>
      </c>
      <c r="C1628" s="1" t="s">
        <v>6</v>
      </c>
      <c r="D1628" s="1">
        <v>2026</v>
      </c>
      <c r="E1628" s="1">
        <v>9</v>
      </c>
      <c r="F1628" s="1">
        <v>39</v>
      </c>
    </row>
    <row r="1629" spans="1:6" x14ac:dyDescent="0.35">
      <c r="A1629" s="1">
        <v>46611</v>
      </c>
      <c r="B1629" s="2">
        <v>46290</v>
      </c>
      <c r="C1629" s="1" t="s">
        <v>5</v>
      </c>
      <c r="D1629" s="1">
        <v>2026</v>
      </c>
      <c r="E1629" s="1">
        <v>9</v>
      </c>
      <c r="F1629" s="1">
        <v>39</v>
      </c>
    </row>
    <row r="1630" spans="1:6" x14ac:dyDescent="0.35">
      <c r="A1630" s="1">
        <v>46610</v>
      </c>
      <c r="B1630" s="2">
        <v>46290</v>
      </c>
      <c r="C1630" s="1" t="s">
        <v>5</v>
      </c>
      <c r="D1630" s="1">
        <v>2026</v>
      </c>
      <c r="E1630" s="1">
        <v>9</v>
      </c>
      <c r="F1630" s="1">
        <v>39</v>
      </c>
    </row>
    <row r="1631" spans="1:6" x14ac:dyDescent="0.35">
      <c r="A1631" s="1">
        <v>46609</v>
      </c>
      <c r="B1631" s="2">
        <v>46290</v>
      </c>
      <c r="C1631" s="1" t="s">
        <v>5</v>
      </c>
      <c r="D1631" s="1">
        <v>2026</v>
      </c>
      <c r="E1631" s="1">
        <v>9</v>
      </c>
      <c r="F1631" s="1">
        <v>39</v>
      </c>
    </row>
    <row r="1632" spans="1:6" x14ac:dyDescent="0.35">
      <c r="A1632" s="1">
        <v>46607</v>
      </c>
      <c r="B1632" s="2">
        <v>46290</v>
      </c>
      <c r="C1632" s="1" t="s">
        <v>4</v>
      </c>
      <c r="D1632" s="1">
        <v>2026</v>
      </c>
      <c r="E1632" s="1">
        <v>9</v>
      </c>
      <c r="F1632" s="1">
        <v>39</v>
      </c>
    </row>
    <row r="1633" spans="1:6" x14ac:dyDescent="0.35">
      <c r="A1633" s="1">
        <v>46606</v>
      </c>
      <c r="B1633" s="2">
        <v>46290</v>
      </c>
      <c r="C1633" s="1" t="s">
        <v>4</v>
      </c>
      <c r="D1633" s="1">
        <v>2026</v>
      </c>
      <c r="E1633" s="1">
        <v>9</v>
      </c>
      <c r="F1633" s="1">
        <v>39</v>
      </c>
    </row>
    <row r="1634" spans="1:6" x14ac:dyDescent="0.35">
      <c r="A1634" s="1">
        <v>46604</v>
      </c>
      <c r="B1634" s="2">
        <v>46290</v>
      </c>
      <c r="C1634" s="1" t="s">
        <v>7</v>
      </c>
      <c r="D1634" s="1">
        <v>2026</v>
      </c>
      <c r="E1634" s="1">
        <v>9</v>
      </c>
      <c r="F1634" s="1">
        <v>39</v>
      </c>
    </row>
    <row r="1635" spans="1:6" x14ac:dyDescent="0.35">
      <c r="A1635" s="1">
        <v>46603</v>
      </c>
      <c r="B1635" s="2">
        <v>46290</v>
      </c>
      <c r="C1635" s="1" t="s">
        <v>7</v>
      </c>
      <c r="D1635" s="1">
        <v>2026</v>
      </c>
      <c r="E1635" s="1">
        <v>9</v>
      </c>
      <c r="F1635" s="1">
        <v>39</v>
      </c>
    </row>
    <row r="1636" spans="1:6" x14ac:dyDescent="0.35">
      <c r="A1636" s="1">
        <v>46602</v>
      </c>
      <c r="B1636" s="2">
        <v>46290</v>
      </c>
      <c r="C1636" s="1" t="s">
        <v>19</v>
      </c>
      <c r="D1636" s="1">
        <v>2026</v>
      </c>
      <c r="E1636" s="1">
        <v>9</v>
      </c>
      <c r="F1636" s="1">
        <v>39</v>
      </c>
    </row>
    <row r="1637" spans="1:6" x14ac:dyDescent="0.35">
      <c r="A1637" s="1">
        <v>46600</v>
      </c>
      <c r="B1637" s="2">
        <v>46290</v>
      </c>
      <c r="C1637" s="1" t="s">
        <v>9</v>
      </c>
      <c r="D1637" s="1">
        <v>2026</v>
      </c>
      <c r="E1637" s="1">
        <v>9</v>
      </c>
      <c r="F1637" s="1">
        <v>39</v>
      </c>
    </row>
    <row r="1638" spans="1:6" x14ac:dyDescent="0.35">
      <c r="A1638" s="1">
        <v>46599</v>
      </c>
      <c r="B1638" s="2">
        <v>46290</v>
      </c>
      <c r="C1638" s="1" t="s">
        <v>9</v>
      </c>
      <c r="D1638" s="1">
        <v>2026</v>
      </c>
      <c r="E1638" s="1">
        <v>9</v>
      </c>
      <c r="F1638" s="1">
        <v>39</v>
      </c>
    </row>
    <row r="1639" spans="1:6" x14ac:dyDescent="0.35">
      <c r="A1639" s="1">
        <v>46597</v>
      </c>
      <c r="B1639" s="2">
        <v>46290</v>
      </c>
      <c r="C1639" s="1" t="s">
        <v>24</v>
      </c>
      <c r="D1639" s="1">
        <v>2026</v>
      </c>
      <c r="E1639" s="1">
        <v>9</v>
      </c>
      <c r="F1639" s="1">
        <v>39</v>
      </c>
    </row>
    <row r="1640" spans="1:6" x14ac:dyDescent="0.35">
      <c r="A1640" s="1">
        <v>46596</v>
      </c>
      <c r="B1640" s="2">
        <v>46290</v>
      </c>
      <c r="C1640" s="1" t="s">
        <v>24</v>
      </c>
      <c r="D1640" s="1">
        <v>2026</v>
      </c>
      <c r="E1640" s="1">
        <v>9</v>
      </c>
      <c r="F1640" s="1">
        <v>39</v>
      </c>
    </row>
    <row r="1641" spans="1:6" x14ac:dyDescent="0.35">
      <c r="A1641" s="1">
        <v>46595</v>
      </c>
      <c r="B1641" s="2">
        <v>46290</v>
      </c>
      <c r="C1641" s="1" t="s">
        <v>24</v>
      </c>
      <c r="D1641" s="1">
        <v>2026</v>
      </c>
      <c r="E1641" s="1">
        <v>9</v>
      </c>
      <c r="F1641" s="1">
        <v>39</v>
      </c>
    </row>
    <row r="1642" spans="1:6" x14ac:dyDescent="0.35">
      <c r="A1642" s="1">
        <v>46594</v>
      </c>
      <c r="B1642" s="2">
        <v>46290</v>
      </c>
      <c r="C1642" s="1" t="s">
        <v>24</v>
      </c>
      <c r="D1642" s="1">
        <v>2026</v>
      </c>
      <c r="E1642" s="1">
        <v>9</v>
      </c>
      <c r="F1642" s="1">
        <v>39</v>
      </c>
    </row>
    <row r="1643" spans="1:6" x14ac:dyDescent="0.35">
      <c r="A1643" s="1">
        <v>46593</v>
      </c>
      <c r="B1643" s="2">
        <v>46290</v>
      </c>
      <c r="C1643" s="1" t="s">
        <v>24</v>
      </c>
      <c r="D1643" s="1">
        <v>2026</v>
      </c>
      <c r="E1643" s="1">
        <v>9</v>
      </c>
      <c r="F1643" s="1">
        <v>39</v>
      </c>
    </row>
    <row r="1644" spans="1:6" x14ac:dyDescent="0.35">
      <c r="A1644" s="1">
        <v>46592</v>
      </c>
      <c r="B1644" s="2">
        <v>46290</v>
      </c>
      <c r="C1644" s="1" t="s">
        <v>24</v>
      </c>
      <c r="D1644" s="1">
        <v>2026</v>
      </c>
      <c r="E1644" s="1">
        <v>9</v>
      </c>
      <c r="F1644" s="1">
        <v>39</v>
      </c>
    </row>
    <row r="1645" spans="1:6" x14ac:dyDescent="0.35">
      <c r="A1645" s="1">
        <v>46591</v>
      </c>
      <c r="B1645" s="2">
        <v>46290</v>
      </c>
      <c r="C1645" s="1" t="s">
        <v>24</v>
      </c>
      <c r="D1645" s="1">
        <v>2026</v>
      </c>
      <c r="E1645" s="1">
        <v>9</v>
      </c>
      <c r="F1645" s="1">
        <v>39</v>
      </c>
    </row>
    <row r="1646" spans="1:6" x14ac:dyDescent="0.35">
      <c r="A1646" s="1">
        <v>46590</v>
      </c>
      <c r="B1646" s="2">
        <v>46290</v>
      </c>
      <c r="C1646" s="1" t="s">
        <v>24</v>
      </c>
      <c r="D1646" s="1">
        <v>2026</v>
      </c>
      <c r="E1646" s="1">
        <v>9</v>
      </c>
      <c r="F1646" s="1">
        <v>39</v>
      </c>
    </row>
    <row r="1647" spans="1:6" x14ac:dyDescent="0.35">
      <c r="A1647" s="1">
        <v>46589</v>
      </c>
      <c r="B1647" s="2">
        <v>46290</v>
      </c>
      <c r="C1647" s="1" t="s">
        <v>24</v>
      </c>
      <c r="D1647" s="1">
        <v>2026</v>
      </c>
      <c r="E1647" s="1">
        <v>9</v>
      </c>
      <c r="F1647" s="1">
        <v>39</v>
      </c>
    </row>
    <row r="1648" spans="1:6" x14ac:dyDescent="0.35">
      <c r="A1648" s="1">
        <v>46588</v>
      </c>
      <c r="B1648" s="2">
        <v>46290</v>
      </c>
      <c r="C1648" s="1" t="s">
        <v>24</v>
      </c>
      <c r="D1648" s="1">
        <v>2026</v>
      </c>
      <c r="E1648" s="1">
        <v>9</v>
      </c>
      <c r="F1648" s="1">
        <v>39</v>
      </c>
    </row>
    <row r="1649" spans="1:6" x14ac:dyDescent="0.35">
      <c r="A1649" s="1">
        <v>46587</v>
      </c>
      <c r="B1649" s="2">
        <v>46290</v>
      </c>
      <c r="C1649" s="1" t="s">
        <v>24</v>
      </c>
      <c r="D1649" s="1">
        <v>2026</v>
      </c>
      <c r="E1649" s="1">
        <v>9</v>
      </c>
      <c r="F1649" s="1">
        <v>39</v>
      </c>
    </row>
    <row r="1650" spans="1:6" x14ac:dyDescent="0.35">
      <c r="A1650" s="1">
        <v>46586</v>
      </c>
      <c r="B1650" s="2">
        <v>46290</v>
      </c>
      <c r="C1650" s="1" t="s">
        <v>24</v>
      </c>
      <c r="D1650" s="1">
        <v>2026</v>
      </c>
      <c r="E1650" s="1">
        <v>9</v>
      </c>
      <c r="F1650" s="1">
        <v>39</v>
      </c>
    </row>
    <row r="1651" spans="1:6" x14ac:dyDescent="0.35">
      <c r="A1651" s="1">
        <v>46585</v>
      </c>
      <c r="B1651" s="2">
        <v>46290</v>
      </c>
      <c r="C1651" s="1" t="s">
        <v>24</v>
      </c>
      <c r="D1651" s="1">
        <v>2026</v>
      </c>
      <c r="E1651" s="1">
        <v>9</v>
      </c>
      <c r="F1651" s="1">
        <v>39</v>
      </c>
    </row>
    <row r="1652" spans="1:6" x14ac:dyDescent="0.35">
      <c r="A1652" s="1">
        <v>46584</v>
      </c>
      <c r="B1652" s="2">
        <v>46290</v>
      </c>
      <c r="C1652" s="1" t="s">
        <v>24</v>
      </c>
      <c r="D1652" s="1">
        <v>2026</v>
      </c>
      <c r="E1652" s="1">
        <v>9</v>
      </c>
      <c r="F1652" s="1">
        <v>39</v>
      </c>
    </row>
    <row r="1653" spans="1:6" x14ac:dyDescent="0.35">
      <c r="A1653" s="1">
        <v>46583</v>
      </c>
      <c r="B1653" s="2">
        <v>46290</v>
      </c>
      <c r="C1653" s="1" t="s">
        <v>24</v>
      </c>
      <c r="D1653" s="1">
        <v>2026</v>
      </c>
      <c r="E1653" s="1">
        <v>9</v>
      </c>
      <c r="F1653" s="1">
        <v>39</v>
      </c>
    </row>
    <row r="1654" spans="1:6" x14ac:dyDescent="0.35">
      <c r="A1654" s="1">
        <v>46582</v>
      </c>
      <c r="B1654" s="2">
        <v>46290</v>
      </c>
      <c r="C1654" s="1" t="s">
        <v>8</v>
      </c>
      <c r="D1654" s="1">
        <v>2026</v>
      </c>
      <c r="E1654" s="1">
        <v>9</v>
      </c>
      <c r="F1654" s="1">
        <v>39</v>
      </c>
    </row>
    <row r="1655" spans="1:6" x14ac:dyDescent="0.35">
      <c r="A1655" s="1">
        <v>46581</v>
      </c>
      <c r="B1655" s="2">
        <v>46290</v>
      </c>
      <c r="C1655" s="1" t="s">
        <v>8</v>
      </c>
      <c r="D1655" s="1">
        <v>2026</v>
      </c>
      <c r="E1655" s="1">
        <v>9</v>
      </c>
      <c r="F1655" s="1">
        <v>39</v>
      </c>
    </row>
    <row r="1656" spans="1:6" x14ac:dyDescent="0.35">
      <c r="A1656" s="1">
        <v>46635</v>
      </c>
      <c r="B1656" s="2">
        <v>46291</v>
      </c>
      <c r="C1656" s="1" t="s">
        <v>10</v>
      </c>
      <c r="D1656" s="1">
        <v>2026</v>
      </c>
      <c r="E1656" s="1">
        <v>9</v>
      </c>
      <c r="F1656" s="1">
        <v>39</v>
      </c>
    </row>
    <row r="1657" spans="1:6" x14ac:dyDescent="0.35">
      <c r="A1657" s="1">
        <v>46634</v>
      </c>
      <c r="B1657" s="2">
        <v>46291</v>
      </c>
      <c r="C1657" s="1" t="s">
        <v>10</v>
      </c>
      <c r="D1657" s="1">
        <v>2026</v>
      </c>
      <c r="E1657" s="1">
        <v>9</v>
      </c>
      <c r="F1657" s="1">
        <v>39</v>
      </c>
    </row>
    <row r="1658" spans="1:6" x14ac:dyDescent="0.35">
      <c r="A1658" s="1">
        <v>46633</v>
      </c>
      <c r="B1658" s="2">
        <v>46291</v>
      </c>
      <c r="C1658" s="1" t="s">
        <v>6</v>
      </c>
      <c r="D1658" s="1">
        <v>2026</v>
      </c>
      <c r="E1658" s="1">
        <v>9</v>
      </c>
      <c r="F1658" s="1">
        <v>39</v>
      </c>
    </row>
    <row r="1659" spans="1:6" x14ac:dyDescent="0.35">
      <c r="A1659" s="1">
        <v>46632</v>
      </c>
      <c r="B1659" s="2">
        <v>46291</v>
      </c>
      <c r="C1659" s="1" t="s">
        <v>6</v>
      </c>
      <c r="D1659" s="1">
        <v>2026</v>
      </c>
      <c r="E1659" s="1">
        <v>9</v>
      </c>
      <c r="F1659" s="1">
        <v>39</v>
      </c>
    </row>
    <row r="1660" spans="1:6" x14ac:dyDescent="0.35">
      <c r="A1660" s="1">
        <v>46630</v>
      </c>
      <c r="B1660" s="2">
        <v>46291</v>
      </c>
      <c r="C1660" s="1" t="s">
        <v>8</v>
      </c>
      <c r="D1660" s="1">
        <v>2026</v>
      </c>
      <c r="E1660" s="1">
        <v>9</v>
      </c>
      <c r="F1660" s="1">
        <v>39</v>
      </c>
    </row>
    <row r="1661" spans="1:6" x14ac:dyDescent="0.35">
      <c r="A1661" s="1">
        <v>46629</v>
      </c>
      <c r="B1661" s="2">
        <v>46291</v>
      </c>
      <c r="C1661" s="1" t="s">
        <v>8</v>
      </c>
      <c r="D1661" s="1">
        <v>2026</v>
      </c>
      <c r="E1661" s="1">
        <v>9</v>
      </c>
      <c r="F1661" s="1">
        <v>39</v>
      </c>
    </row>
    <row r="1662" spans="1:6" x14ac:dyDescent="0.35">
      <c r="A1662" s="1">
        <v>46637</v>
      </c>
      <c r="B1662" s="2">
        <v>46292</v>
      </c>
      <c r="C1662" s="1" t="s">
        <v>17</v>
      </c>
      <c r="D1662" s="1">
        <v>2026</v>
      </c>
      <c r="E1662" s="1">
        <v>9</v>
      </c>
      <c r="F1662" s="1">
        <v>40</v>
      </c>
    </row>
    <row r="1663" spans="1:6" x14ac:dyDescent="0.35">
      <c r="A1663" s="1">
        <v>46636</v>
      </c>
      <c r="B1663" s="2">
        <v>46292</v>
      </c>
      <c r="C1663" s="1" t="s">
        <v>17</v>
      </c>
      <c r="D1663" s="1">
        <v>2026</v>
      </c>
      <c r="E1663" s="1">
        <v>9</v>
      </c>
      <c r="F1663" s="1">
        <v>40</v>
      </c>
    </row>
    <row r="1664" spans="1:6" x14ac:dyDescent="0.35">
      <c r="A1664" s="1">
        <v>46688</v>
      </c>
      <c r="B1664" s="2">
        <v>46293</v>
      </c>
      <c r="C1664" s="1" t="s">
        <v>10</v>
      </c>
      <c r="D1664" s="1">
        <v>2026</v>
      </c>
      <c r="E1664" s="1">
        <v>9</v>
      </c>
      <c r="F1664" s="1">
        <v>40</v>
      </c>
    </row>
    <row r="1665" spans="1:6" x14ac:dyDescent="0.35">
      <c r="A1665" s="1">
        <v>46687</v>
      </c>
      <c r="B1665" s="2">
        <v>46293</v>
      </c>
      <c r="C1665" s="1" t="s">
        <v>10</v>
      </c>
      <c r="D1665" s="1">
        <v>2026</v>
      </c>
      <c r="E1665" s="1">
        <v>9</v>
      </c>
      <c r="F1665" s="1">
        <v>40</v>
      </c>
    </row>
    <row r="1666" spans="1:6" x14ac:dyDescent="0.35">
      <c r="A1666" s="1">
        <v>46676</v>
      </c>
      <c r="B1666" s="2">
        <v>46293</v>
      </c>
      <c r="C1666" s="1" t="s">
        <v>9</v>
      </c>
      <c r="D1666" s="1">
        <v>2026</v>
      </c>
      <c r="E1666" s="1">
        <v>9</v>
      </c>
      <c r="F1666" s="1">
        <v>40</v>
      </c>
    </row>
    <row r="1667" spans="1:6" x14ac:dyDescent="0.35">
      <c r="A1667" s="1">
        <v>46675</v>
      </c>
      <c r="B1667" s="2">
        <v>46293</v>
      </c>
      <c r="C1667" s="1" t="s">
        <v>9</v>
      </c>
      <c r="D1667" s="1">
        <v>2026</v>
      </c>
      <c r="E1667" s="1">
        <v>9</v>
      </c>
      <c r="F1667" s="1">
        <v>40</v>
      </c>
    </row>
    <row r="1668" spans="1:6" x14ac:dyDescent="0.35">
      <c r="A1668" s="1">
        <v>46674</v>
      </c>
      <c r="B1668" s="2">
        <v>46293</v>
      </c>
      <c r="C1668" s="1" t="s">
        <v>19</v>
      </c>
      <c r="D1668" s="1">
        <v>2026</v>
      </c>
      <c r="E1668" s="1">
        <v>9</v>
      </c>
      <c r="F1668" s="1">
        <v>40</v>
      </c>
    </row>
    <row r="1669" spans="1:6" x14ac:dyDescent="0.35">
      <c r="A1669" s="1">
        <v>46673</v>
      </c>
      <c r="B1669" s="2">
        <v>46293</v>
      </c>
      <c r="C1669" s="1" t="s">
        <v>19</v>
      </c>
      <c r="D1669" s="1">
        <v>2026</v>
      </c>
      <c r="E1669" s="1">
        <v>9</v>
      </c>
      <c r="F1669" s="1">
        <v>40</v>
      </c>
    </row>
    <row r="1670" spans="1:6" x14ac:dyDescent="0.35">
      <c r="A1670" s="1">
        <v>46672</v>
      </c>
      <c r="B1670" s="2">
        <v>46293</v>
      </c>
      <c r="C1670" s="1" t="s">
        <v>19</v>
      </c>
      <c r="D1670" s="1">
        <v>2026</v>
      </c>
      <c r="E1670" s="1">
        <v>9</v>
      </c>
      <c r="F1670" s="1">
        <v>40</v>
      </c>
    </row>
    <row r="1671" spans="1:6" x14ac:dyDescent="0.35">
      <c r="A1671" s="1">
        <v>46671</v>
      </c>
      <c r="B1671" s="2">
        <v>46293</v>
      </c>
      <c r="C1671" s="1" t="s">
        <v>19</v>
      </c>
      <c r="D1671" s="1">
        <v>2026</v>
      </c>
      <c r="E1671" s="1">
        <v>9</v>
      </c>
      <c r="F1671" s="1">
        <v>40</v>
      </c>
    </row>
    <row r="1672" spans="1:6" x14ac:dyDescent="0.35">
      <c r="A1672" s="1">
        <v>46665</v>
      </c>
      <c r="B1672" s="2">
        <v>46293</v>
      </c>
      <c r="C1672" s="1" t="s">
        <v>23</v>
      </c>
      <c r="D1672" s="1">
        <v>2026</v>
      </c>
      <c r="E1672" s="1">
        <v>9</v>
      </c>
      <c r="F1672" s="1">
        <v>40</v>
      </c>
    </row>
    <row r="1673" spans="1:6" x14ac:dyDescent="0.35">
      <c r="A1673" s="1">
        <v>46664</v>
      </c>
      <c r="B1673" s="2">
        <v>46293</v>
      </c>
      <c r="C1673" s="1" t="s">
        <v>23</v>
      </c>
      <c r="D1673" s="1">
        <v>2026</v>
      </c>
      <c r="E1673" s="1">
        <v>9</v>
      </c>
      <c r="F1673" s="1">
        <v>40</v>
      </c>
    </row>
    <row r="1674" spans="1:6" x14ac:dyDescent="0.35">
      <c r="A1674" s="1">
        <v>46663</v>
      </c>
      <c r="B1674" s="2">
        <v>46293</v>
      </c>
      <c r="C1674" s="1" t="s">
        <v>24</v>
      </c>
      <c r="D1674" s="1">
        <v>2026</v>
      </c>
      <c r="E1674" s="1">
        <v>9</v>
      </c>
      <c r="F1674" s="1">
        <v>40</v>
      </c>
    </row>
    <row r="1675" spans="1:6" x14ac:dyDescent="0.35">
      <c r="A1675" s="1">
        <v>46662</v>
      </c>
      <c r="B1675" s="2">
        <v>46293</v>
      </c>
      <c r="C1675" s="1" t="s">
        <v>24</v>
      </c>
      <c r="D1675" s="1">
        <v>2026</v>
      </c>
      <c r="E1675" s="1">
        <v>9</v>
      </c>
      <c r="F1675" s="1">
        <v>40</v>
      </c>
    </row>
    <row r="1676" spans="1:6" x14ac:dyDescent="0.35">
      <c r="A1676" s="1">
        <v>46661</v>
      </c>
      <c r="B1676" s="2">
        <v>46293</v>
      </c>
      <c r="C1676" s="1" t="s">
        <v>9</v>
      </c>
      <c r="D1676" s="1">
        <v>2026</v>
      </c>
      <c r="E1676" s="1">
        <v>9</v>
      </c>
      <c r="F1676" s="1">
        <v>40</v>
      </c>
    </row>
    <row r="1677" spans="1:6" x14ac:dyDescent="0.35">
      <c r="A1677" s="1">
        <v>46660</v>
      </c>
      <c r="B1677" s="2">
        <v>46293</v>
      </c>
      <c r="C1677" s="1" t="s">
        <v>24</v>
      </c>
      <c r="D1677" s="1">
        <v>2026</v>
      </c>
      <c r="E1677" s="1">
        <v>9</v>
      </c>
      <c r="F1677" s="1">
        <v>40</v>
      </c>
    </row>
    <row r="1678" spans="1:6" x14ac:dyDescent="0.35">
      <c r="A1678" s="1">
        <v>46659</v>
      </c>
      <c r="B1678" s="2">
        <v>46293</v>
      </c>
      <c r="C1678" s="1" t="s">
        <v>24</v>
      </c>
      <c r="D1678" s="1">
        <v>2026</v>
      </c>
      <c r="E1678" s="1">
        <v>9</v>
      </c>
      <c r="F1678" s="1">
        <v>40</v>
      </c>
    </row>
    <row r="1679" spans="1:6" x14ac:dyDescent="0.35">
      <c r="A1679" s="1">
        <v>46658</v>
      </c>
      <c r="B1679" s="2">
        <v>46293</v>
      </c>
      <c r="C1679" s="1" t="s">
        <v>24</v>
      </c>
      <c r="D1679" s="1">
        <v>2026</v>
      </c>
      <c r="E1679" s="1">
        <v>9</v>
      </c>
      <c r="F1679" s="1">
        <v>40</v>
      </c>
    </row>
    <row r="1680" spans="1:6" x14ac:dyDescent="0.35">
      <c r="A1680" s="1">
        <v>46657</v>
      </c>
      <c r="B1680" s="2">
        <v>46293</v>
      </c>
      <c r="C1680" s="1" t="s">
        <v>24</v>
      </c>
      <c r="D1680" s="1">
        <v>2026</v>
      </c>
      <c r="E1680" s="1">
        <v>9</v>
      </c>
      <c r="F1680" s="1">
        <v>40</v>
      </c>
    </row>
    <row r="1681" spans="1:6" x14ac:dyDescent="0.35">
      <c r="A1681" s="1">
        <v>46656</v>
      </c>
      <c r="B1681" s="2">
        <v>46293</v>
      </c>
      <c r="C1681" s="1" t="s">
        <v>103</v>
      </c>
      <c r="D1681" s="1">
        <v>2026</v>
      </c>
      <c r="E1681" s="1">
        <v>9</v>
      </c>
      <c r="F1681" s="1">
        <v>40</v>
      </c>
    </row>
    <row r="1682" spans="1:6" x14ac:dyDescent="0.35">
      <c r="A1682" s="1">
        <v>46655</v>
      </c>
      <c r="B1682" s="2">
        <v>46293</v>
      </c>
      <c r="C1682" s="1" t="s">
        <v>3</v>
      </c>
      <c r="D1682" s="1">
        <v>2026</v>
      </c>
      <c r="E1682" s="1">
        <v>9</v>
      </c>
      <c r="F1682" s="1">
        <v>40</v>
      </c>
    </row>
    <row r="1683" spans="1:6" x14ac:dyDescent="0.35">
      <c r="A1683" s="1">
        <v>46654</v>
      </c>
      <c r="B1683" s="2">
        <v>46293</v>
      </c>
      <c r="C1683" s="1" t="s">
        <v>103</v>
      </c>
      <c r="D1683" s="1">
        <v>2026</v>
      </c>
      <c r="E1683" s="1">
        <v>9</v>
      </c>
      <c r="F1683" s="1">
        <v>40</v>
      </c>
    </row>
    <row r="1684" spans="1:6" x14ac:dyDescent="0.35">
      <c r="A1684" s="1">
        <v>46653</v>
      </c>
      <c r="B1684" s="2">
        <v>46293</v>
      </c>
      <c r="C1684" s="1" t="s">
        <v>3</v>
      </c>
      <c r="D1684" s="1">
        <v>2026</v>
      </c>
      <c r="E1684" s="1">
        <v>9</v>
      </c>
      <c r="F1684" s="1">
        <v>40</v>
      </c>
    </row>
    <row r="1685" spans="1:6" x14ac:dyDescent="0.35">
      <c r="A1685" s="1">
        <v>46651</v>
      </c>
      <c r="B1685" s="2">
        <v>46293</v>
      </c>
      <c r="C1685" s="1" t="s">
        <v>3</v>
      </c>
      <c r="D1685" s="1">
        <v>2026</v>
      </c>
      <c r="E1685" s="1">
        <v>9</v>
      </c>
      <c r="F1685" s="1">
        <v>40</v>
      </c>
    </row>
    <row r="1686" spans="1:6" x14ac:dyDescent="0.35">
      <c r="A1686" s="1">
        <v>46650</v>
      </c>
      <c r="B1686" s="2">
        <v>46293</v>
      </c>
      <c r="C1686" s="1" t="s">
        <v>3</v>
      </c>
      <c r="D1686" s="1">
        <v>2026</v>
      </c>
      <c r="E1686" s="1">
        <v>9</v>
      </c>
      <c r="F1686" s="1">
        <v>40</v>
      </c>
    </row>
    <row r="1687" spans="1:6" x14ac:dyDescent="0.35">
      <c r="A1687" s="1">
        <v>46647</v>
      </c>
      <c r="B1687" s="2">
        <v>46293</v>
      </c>
      <c r="C1687" s="1" t="s">
        <v>7</v>
      </c>
      <c r="D1687" s="1">
        <v>2026</v>
      </c>
      <c r="E1687" s="1">
        <v>9</v>
      </c>
      <c r="F1687" s="1">
        <v>40</v>
      </c>
    </row>
    <row r="1688" spans="1:6" x14ac:dyDescent="0.35">
      <c r="A1688" s="1">
        <v>46646</v>
      </c>
      <c r="B1688" s="2">
        <v>46293</v>
      </c>
      <c r="C1688" s="1" t="s">
        <v>6</v>
      </c>
      <c r="D1688" s="1">
        <v>2026</v>
      </c>
      <c r="E1688" s="1">
        <v>9</v>
      </c>
      <c r="F1688" s="1">
        <v>40</v>
      </c>
    </row>
    <row r="1689" spans="1:6" x14ac:dyDescent="0.35">
      <c r="A1689" s="1">
        <v>46645</v>
      </c>
      <c r="B1689" s="2">
        <v>46293</v>
      </c>
      <c r="C1689" s="1" t="s">
        <v>6</v>
      </c>
      <c r="D1689" s="1">
        <v>2026</v>
      </c>
      <c r="E1689" s="1">
        <v>9</v>
      </c>
      <c r="F1689" s="1">
        <v>40</v>
      </c>
    </row>
    <row r="1690" spans="1:6" x14ac:dyDescent="0.35">
      <c r="A1690" s="1">
        <v>46639</v>
      </c>
      <c r="B1690" s="2">
        <v>46293</v>
      </c>
      <c r="C1690" s="1" t="s">
        <v>8</v>
      </c>
      <c r="D1690" s="1">
        <v>2026</v>
      </c>
      <c r="E1690" s="1">
        <v>9</v>
      </c>
      <c r="F1690" s="1">
        <v>40</v>
      </c>
    </row>
    <row r="1691" spans="1:6" x14ac:dyDescent="0.35">
      <c r="A1691" s="1">
        <v>46638</v>
      </c>
      <c r="B1691" s="2">
        <v>46293</v>
      </c>
      <c r="C1691" s="1" t="s">
        <v>8</v>
      </c>
      <c r="D1691" s="1">
        <v>2026</v>
      </c>
      <c r="E1691" s="1">
        <v>9</v>
      </c>
      <c r="F1691" s="1">
        <v>40</v>
      </c>
    </row>
    <row r="1692" spans="1:6" x14ac:dyDescent="0.35">
      <c r="A1692" s="1">
        <v>46715</v>
      </c>
      <c r="B1692" s="2">
        <v>46294</v>
      </c>
      <c r="C1692" s="1" t="s">
        <v>9</v>
      </c>
      <c r="D1692" s="1">
        <v>2026</v>
      </c>
      <c r="E1692" s="1">
        <v>9</v>
      </c>
      <c r="F1692" s="1">
        <v>40</v>
      </c>
    </row>
    <row r="1693" spans="1:6" x14ac:dyDescent="0.35">
      <c r="A1693" s="1">
        <v>46714</v>
      </c>
      <c r="B1693" s="2">
        <v>46294</v>
      </c>
      <c r="C1693" s="1" t="s">
        <v>9</v>
      </c>
      <c r="D1693" s="1">
        <v>2026</v>
      </c>
      <c r="E1693" s="1">
        <v>9</v>
      </c>
      <c r="F1693" s="1">
        <v>40</v>
      </c>
    </row>
    <row r="1694" spans="1:6" x14ac:dyDescent="0.35">
      <c r="A1694" s="1">
        <v>46713</v>
      </c>
      <c r="B1694" s="2">
        <v>46294</v>
      </c>
      <c r="C1694" s="1" t="s">
        <v>9</v>
      </c>
      <c r="D1694" s="1">
        <v>2026</v>
      </c>
      <c r="E1694" s="1">
        <v>9</v>
      </c>
      <c r="F1694" s="1">
        <v>40</v>
      </c>
    </row>
    <row r="1695" spans="1:6" x14ac:dyDescent="0.35">
      <c r="A1695" s="1">
        <v>46712</v>
      </c>
      <c r="B1695" s="2">
        <v>46294</v>
      </c>
      <c r="C1695" s="1" t="s">
        <v>10</v>
      </c>
      <c r="D1695" s="1">
        <v>2026</v>
      </c>
      <c r="E1695" s="1">
        <v>9</v>
      </c>
      <c r="F1695" s="1">
        <v>40</v>
      </c>
    </row>
    <row r="1696" spans="1:6" x14ac:dyDescent="0.35">
      <c r="A1696" s="1">
        <v>46711</v>
      </c>
      <c r="B1696" s="2">
        <v>46294</v>
      </c>
      <c r="C1696" s="1" t="s">
        <v>10</v>
      </c>
      <c r="D1696" s="1">
        <v>2026</v>
      </c>
      <c r="E1696" s="1">
        <v>9</v>
      </c>
      <c r="F1696" s="1">
        <v>40</v>
      </c>
    </row>
    <row r="1697" spans="1:6" x14ac:dyDescent="0.35">
      <c r="A1697" s="1">
        <v>46710</v>
      </c>
      <c r="B1697" s="2">
        <v>46294</v>
      </c>
      <c r="C1697" s="1" t="s">
        <v>103</v>
      </c>
      <c r="D1697" s="1">
        <v>2026</v>
      </c>
      <c r="E1697" s="1">
        <v>9</v>
      </c>
      <c r="F1697" s="1">
        <v>40</v>
      </c>
    </row>
    <row r="1698" spans="1:6" x14ac:dyDescent="0.35">
      <c r="A1698" s="1">
        <v>46709</v>
      </c>
      <c r="B1698" s="2">
        <v>46294</v>
      </c>
      <c r="C1698" s="1" t="s">
        <v>103</v>
      </c>
      <c r="D1698" s="1">
        <v>2026</v>
      </c>
      <c r="E1698" s="1">
        <v>9</v>
      </c>
      <c r="F1698" s="1">
        <v>40</v>
      </c>
    </row>
    <row r="1699" spans="1:6" x14ac:dyDescent="0.35">
      <c r="A1699" s="1">
        <v>46708</v>
      </c>
      <c r="B1699" s="2">
        <v>46294</v>
      </c>
      <c r="C1699" s="1" t="s">
        <v>3</v>
      </c>
      <c r="D1699" s="1">
        <v>2026</v>
      </c>
      <c r="E1699" s="1">
        <v>9</v>
      </c>
      <c r="F1699" s="1">
        <v>40</v>
      </c>
    </row>
    <row r="1700" spans="1:6" x14ac:dyDescent="0.35">
      <c r="A1700" s="1">
        <v>46707</v>
      </c>
      <c r="B1700" s="2">
        <v>46294</v>
      </c>
      <c r="C1700" s="1" t="s">
        <v>3</v>
      </c>
      <c r="D1700" s="1">
        <v>2026</v>
      </c>
      <c r="E1700" s="1">
        <v>9</v>
      </c>
      <c r="F1700" s="1">
        <v>40</v>
      </c>
    </row>
    <row r="1701" spans="1:6" x14ac:dyDescent="0.35">
      <c r="A1701" s="1">
        <v>46706</v>
      </c>
      <c r="B1701" s="2">
        <v>46294</v>
      </c>
      <c r="C1701" s="1" t="s">
        <v>3</v>
      </c>
      <c r="D1701" s="1">
        <v>2026</v>
      </c>
      <c r="E1701" s="1">
        <v>9</v>
      </c>
      <c r="F1701" s="1">
        <v>40</v>
      </c>
    </row>
    <row r="1702" spans="1:6" x14ac:dyDescent="0.35">
      <c r="A1702" s="1">
        <v>46700</v>
      </c>
      <c r="B1702" s="2">
        <v>46294</v>
      </c>
      <c r="C1702" s="1" t="s">
        <v>7</v>
      </c>
      <c r="D1702" s="1">
        <v>2026</v>
      </c>
      <c r="E1702" s="1">
        <v>9</v>
      </c>
      <c r="F1702" s="1">
        <v>40</v>
      </c>
    </row>
    <row r="1703" spans="1:6" x14ac:dyDescent="0.35">
      <c r="A1703" s="1">
        <v>46697</v>
      </c>
      <c r="B1703" s="2">
        <v>46294</v>
      </c>
      <c r="C1703" s="1" t="s">
        <v>7</v>
      </c>
      <c r="D1703" s="1">
        <v>2026</v>
      </c>
      <c r="E1703" s="1">
        <v>9</v>
      </c>
      <c r="F1703" s="1">
        <v>40</v>
      </c>
    </row>
    <row r="1704" spans="1:6" x14ac:dyDescent="0.35">
      <c r="A1704" s="1">
        <v>46696</v>
      </c>
      <c r="B1704" s="2">
        <v>46294</v>
      </c>
      <c r="C1704" s="1" t="s">
        <v>3</v>
      </c>
      <c r="D1704" s="1">
        <v>2026</v>
      </c>
      <c r="E1704" s="1">
        <v>9</v>
      </c>
      <c r="F1704" s="1">
        <v>40</v>
      </c>
    </row>
    <row r="1705" spans="1:6" x14ac:dyDescent="0.35">
      <c r="A1705" s="1">
        <v>46694</v>
      </c>
      <c r="B1705" s="2">
        <v>46294</v>
      </c>
      <c r="C1705" s="1" t="s">
        <v>3</v>
      </c>
      <c r="D1705" s="1">
        <v>2026</v>
      </c>
      <c r="E1705" s="1">
        <v>9</v>
      </c>
      <c r="F1705" s="1">
        <v>40</v>
      </c>
    </row>
    <row r="1706" spans="1:6" x14ac:dyDescent="0.35">
      <c r="A1706" s="1">
        <v>46693</v>
      </c>
      <c r="B1706" s="2">
        <v>46294</v>
      </c>
      <c r="C1706" s="1" t="s">
        <v>3</v>
      </c>
      <c r="D1706" s="1">
        <v>2026</v>
      </c>
      <c r="E1706" s="1">
        <v>9</v>
      </c>
      <c r="F1706" s="1">
        <v>40</v>
      </c>
    </row>
    <row r="1707" spans="1:6" x14ac:dyDescent="0.35">
      <c r="A1707" s="1">
        <v>46692</v>
      </c>
      <c r="B1707" s="2">
        <v>46294</v>
      </c>
      <c r="C1707" s="1" t="s">
        <v>3</v>
      </c>
      <c r="D1707" s="1">
        <v>2026</v>
      </c>
      <c r="E1707" s="1">
        <v>9</v>
      </c>
      <c r="F1707" s="1">
        <v>40</v>
      </c>
    </row>
    <row r="1708" spans="1:6" x14ac:dyDescent="0.35">
      <c r="A1708" s="1">
        <v>46691</v>
      </c>
      <c r="B1708" s="2">
        <v>46294</v>
      </c>
      <c r="C1708" s="1" t="s">
        <v>8</v>
      </c>
      <c r="D1708" s="1">
        <v>2026</v>
      </c>
      <c r="E1708" s="1">
        <v>9</v>
      </c>
      <c r="F1708" s="1">
        <v>40</v>
      </c>
    </row>
    <row r="1709" spans="1:6" x14ac:dyDescent="0.35">
      <c r="A1709" s="1">
        <v>46690</v>
      </c>
      <c r="B1709" s="2">
        <v>46294</v>
      </c>
      <c r="C1709" s="1" t="s">
        <v>8</v>
      </c>
      <c r="D1709" s="1">
        <v>2026</v>
      </c>
      <c r="E1709" s="1">
        <v>9</v>
      </c>
      <c r="F1709" s="1">
        <v>40</v>
      </c>
    </row>
    <row r="1710" spans="1:6" x14ac:dyDescent="0.35">
      <c r="A1710" s="1">
        <v>46689</v>
      </c>
      <c r="B1710" s="2">
        <v>46294</v>
      </c>
      <c r="C1710" s="1" t="s">
        <v>3</v>
      </c>
      <c r="D1710" s="1">
        <v>2026</v>
      </c>
      <c r="E1710" s="1">
        <v>9</v>
      </c>
      <c r="F1710" s="1">
        <v>40</v>
      </c>
    </row>
    <row r="1711" spans="1:6" x14ac:dyDescent="0.35">
      <c r="A1711" s="1">
        <v>46717</v>
      </c>
      <c r="B1711" s="2">
        <v>46295</v>
      </c>
      <c r="C1711" s="1" t="s">
        <v>19</v>
      </c>
      <c r="D1711" s="1">
        <v>2026</v>
      </c>
      <c r="E1711" s="1">
        <v>9</v>
      </c>
      <c r="F1711" s="1">
        <v>40</v>
      </c>
    </row>
    <row r="1712" spans="1:6" x14ac:dyDescent="0.35">
      <c r="A1712" s="1">
        <v>46752</v>
      </c>
      <c r="B1712" s="2">
        <v>46295</v>
      </c>
      <c r="C1712" s="1" t="s">
        <v>10</v>
      </c>
      <c r="D1712" s="1">
        <v>2026</v>
      </c>
      <c r="E1712" s="1">
        <v>9</v>
      </c>
      <c r="F1712" s="1">
        <v>40</v>
      </c>
    </row>
    <row r="1713" spans="1:6" x14ac:dyDescent="0.35">
      <c r="A1713" s="1">
        <v>46751</v>
      </c>
      <c r="B1713" s="2">
        <v>46295</v>
      </c>
      <c r="C1713" s="1" t="s">
        <v>10</v>
      </c>
      <c r="D1713" s="1">
        <v>2026</v>
      </c>
      <c r="E1713" s="1">
        <v>9</v>
      </c>
      <c r="F1713" s="1">
        <v>40</v>
      </c>
    </row>
    <row r="1714" spans="1:6" x14ac:dyDescent="0.35">
      <c r="A1714" s="1">
        <v>46747</v>
      </c>
      <c r="B1714" s="2">
        <v>46295</v>
      </c>
      <c r="C1714" s="1" t="s">
        <v>7</v>
      </c>
      <c r="D1714" s="1">
        <v>2026</v>
      </c>
      <c r="E1714" s="1">
        <v>9</v>
      </c>
      <c r="F1714" s="1">
        <v>40</v>
      </c>
    </row>
    <row r="1715" spans="1:6" x14ac:dyDescent="0.35">
      <c r="A1715" s="1">
        <v>46735</v>
      </c>
      <c r="B1715" s="2">
        <v>46295</v>
      </c>
      <c r="C1715" s="1" t="s">
        <v>19</v>
      </c>
      <c r="D1715" s="1">
        <v>2026</v>
      </c>
      <c r="E1715" s="1">
        <v>9</v>
      </c>
      <c r="F1715" s="1">
        <v>40</v>
      </c>
    </row>
    <row r="1716" spans="1:6" x14ac:dyDescent="0.35">
      <c r="A1716" s="1">
        <v>46734</v>
      </c>
      <c r="B1716" s="2">
        <v>46295</v>
      </c>
      <c r="C1716" s="1" t="s">
        <v>3</v>
      </c>
      <c r="D1716" s="1">
        <v>2026</v>
      </c>
      <c r="E1716" s="1">
        <v>9</v>
      </c>
      <c r="F1716" s="1">
        <v>40</v>
      </c>
    </row>
    <row r="1717" spans="1:6" x14ac:dyDescent="0.35">
      <c r="A1717" s="1">
        <v>46732</v>
      </c>
      <c r="B1717" s="2">
        <v>46295</v>
      </c>
      <c r="C1717" s="1" t="s">
        <v>6</v>
      </c>
      <c r="D1717" s="1">
        <v>2026</v>
      </c>
      <c r="E1717" s="1">
        <v>9</v>
      </c>
      <c r="F1717" s="1">
        <v>40</v>
      </c>
    </row>
    <row r="1718" spans="1:6" x14ac:dyDescent="0.35">
      <c r="A1718" s="1">
        <v>46731</v>
      </c>
      <c r="B1718" s="2">
        <v>46295</v>
      </c>
      <c r="C1718" s="1" t="s">
        <v>6</v>
      </c>
      <c r="D1718" s="1">
        <v>2026</v>
      </c>
      <c r="E1718" s="1">
        <v>9</v>
      </c>
      <c r="F1718" s="1">
        <v>40</v>
      </c>
    </row>
    <row r="1719" spans="1:6" x14ac:dyDescent="0.35">
      <c r="A1719" s="1">
        <v>46730</v>
      </c>
      <c r="B1719" s="2">
        <v>46295</v>
      </c>
      <c r="C1719" s="1" t="s">
        <v>7</v>
      </c>
      <c r="D1719" s="1">
        <v>2026</v>
      </c>
      <c r="E1719" s="1">
        <v>9</v>
      </c>
      <c r="F1719" s="1">
        <v>40</v>
      </c>
    </row>
    <row r="1720" spans="1:6" x14ac:dyDescent="0.35">
      <c r="A1720" s="1">
        <v>46729</v>
      </c>
      <c r="B1720" s="2">
        <v>46295</v>
      </c>
      <c r="C1720" s="1" t="s">
        <v>22</v>
      </c>
      <c r="D1720" s="1">
        <v>2026</v>
      </c>
      <c r="E1720" s="1">
        <v>9</v>
      </c>
      <c r="F1720" s="1">
        <v>40</v>
      </c>
    </row>
    <row r="1721" spans="1:6" x14ac:dyDescent="0.35">
      <c r="A1721" s="1">
        <v>46728</v>
      </c>
      <c r="B1721" s="2">
        <v>46295</v>
      </c>
      <c r="C1721" s="1" t="s">
        <v>22</v>
      </c>
      <c r="D1721" s="1">
        <v>2026</v>
      </c>
      <c r="E1721" s="1">
        <v>9</v>
      </c>
      <c r="F1721" s="1">
        <v>40</v>
      </c>
    </row>
    <row r="1722" spans="1:6" x14ac:dyDescent="0.35">
      <c r="A1722" s="1">
        <v>46727</v>
      </c>
      <c r="B1722" s="2">
        <v>46295</v>
      </c>
      <c r="C1722" s="1" t="s">
        <v>22</v>
      </c>
      <c r="D1722" s="1">
        <v>2026</v>
      </c>
      <c r="E1722" s="1">
        <v>9</v>
      </c>
      <c r="F1722" s="1">
        <v>40</v>
      </c>
    </row>
    <row r="1723" spans="1:6" x14ac:dyDescent="0.35">
      <c r="A1723" s="1">
        <v>46726</v>
      </c>
      <c r="B1723" s="2">
        <v>46295</v>
      </c>
      <c r="C1723" s="1" t="s">
        <v>22</v>
      </c>
      <c r="D1723" s="1">
        <v>2026</v>
      </c>
      <c r="E1723" s="1">
        <v>9</v>
      </c>
      <c r="F1723" s="1">
        <v>40</v>
      </c>
    </row>
    <row r="1724" spans="1:6" x14ac:dyDescent="0.35">
      <c r="A1724" s="1">
        <v>46725</v>
      </c>
      <c r="B1724" s="2">
        <v>46295</v>
      </c>
      <c r="C1724" s="1" t="s">
        <v>22</v>
      </c>
      <c r="D1724" s="1">
        <v>2026</v>
      </c>
      <c r="E1724" s="1">
        <v>9</v>
      </c>
      <c r="F1724" s="1">
        <v>40</v>
      </c>
    </row>
    <row r="1725" spans="1:6" x14ac:dyDescent="0.35">
      <c r="A1725" s="1">
        <v>46724</v>
      </c>
      <c r="B1725" s="2">
        <v>46295</v>
      </c>
      <c r="C1725" s="1" t="s">
        <v>22</v>
      </c>
      <c r="D1725" s="1">
        <v>2026</v>
      </c>
      <c r="E1725" s="1">
        <v>9</v>
      </c>
      <c r="F1725" s="1">
        <v>40</v>
      </c>
    </row>
    <row r="1726" spans="1:6" x14ac:dyDescent="0.35">
      <c r="A1726" s="1">
        <v>46723</v>
      </c>
      <c r="B1726" s="2">
        <v>46295</v>
      </c>
      <c r="C1726" s="1" t="s">
        <v>22</v>
      </c>
      <c r="D1726" s="1">
        <v>2026</v>
      </c>
      <c r="E1726" s="1">
        <v>9</v>
      </c>
      <c r="F1726" s="1">
        <v>40</v>
      </c>
    </row>
    <row r="1727" spans="1:6" x14ac:dyDescent="0.35">
      <c r="A1727" s="1">
        <v>46722</v>
      </c>
      <c r="B1727" s="2">
        <v>46295</v>
      </c>
      <c r="C1727" s="1" t="s">
        <v>22</v>
      </c>
      <c r="D1727" s="1">
        <v>2026</v>
      </c>
      <c r="E1727" s="1">
        <v>9</v>
      </c>
      <c r="F1727" s="1">
        <v>40</v>
      </c>
    </row>
    <row r="1728" spans="1:6" x14ac:dyDescent="0.35">
      <c r="A1728" s="1">
        <v>46720</v>
      </c>
      <c r="B1728" s="2">
        <v>46295</v>
      </c>
      <c r="C1728" s="1" t="s">
        <v>8</v>
      </c>
      <c r="D1728" s="1">
        <v>2026</v>
      </c>
      <c r="E1728" s="1">
        <v>9</v>
      </c>
      <c r="F1728" s="1">
        <v>40</v>
      </c>
    </row>
    <row r="1729" spans="1:6" x14ac:dyDescent="0.35">
      <c r="A1729" s="1">
        <v>46719</v>
      </c>
      <c r="B1729" s="2">
        <v>46295</v>
      </c>
      <c r="C1729" s="1" t="s">
        <v>8</v>
      </c>
      <c r="D1729" s="1">
        <v>2026</v>
      </c>
      <c r="E1729" s="1">
        <v>9</v>
      </c>
      <c r="F1729" s="1">
        <v>40</v>
      </c>
    </row>
    <row r="1730" spans="1:6" x14ac:dyDescent="0.35">
      <c r="A1730" s="1">
        <v>46718</v>
      </c>
      <c r="B1730" s="2">
        <v>46295</v>
      </c>
      <c r="C1730" s="1" t="s">
        <v>19</v>
      </c>
      <c r="D1730" s="1">
        <v>2026</v>
      </c>
      <c r="E1730" s="1">
        <v>9</v>
      </c>
      <c r="F1730" s="1">
        <v>40</v>
      </c>
    </row>
    <row r="1731" spans="1:6" x14ac:dyDescent="0.35">
      <c r="A1731" s="1">
        <v>46781</v>
      </c>
      <c r="B1731" s="2">
        <v>46296</v>
      </c>
      <c r="C1731" s="1" t="s">
        <v>11</v>
      </c>
      <c r="D1731" s="1">
        <v>2026</v>
      </c>
      <c r="E1731" s="1">
        <v>10</v>
      </c>
      <c r="F1731" s="1">
        <v>40</v>
      </c>
    </row>
    <row r="1732" spans="1:6" x14ac:dyDescent="0.35">
      <c r="A1732" s="1">
        <v>46779</v>
      </c>
      <c r="B1732" s="2">
        <v>46296</v>
      </c>
      <c r="C1732" s="1" t="s">
        <v>22</v>
      </c>
      <c r="D1732" s="1">
        <v>2026</v>
      </c>
      <c r="E1732" s="1">
        <v>10</v>
      </c>
      <c r="F1732" s="1">
        <v>40</v>
      </c>
    </row>
    <row r="1733" spans="1:6" x14ac:dyDescent="0.35">
      <c r="A1733" s="1">
        <v>46778</v>
      </c>
      <c r="B1733" s="2">
        <v>46296</v>
      </c>
      <c r="C1733" s="1" t="s">
        <v>4</v>
      </c>
      <c r="D1733" s="1">
        <v>2026</v>
      </c>
      <c r="E1733" s="1">
        <v>10</v>
      </c>
      <c r="F1733" s="1">
        <v>40</v>
      </c>
    </row>
    <row r="1734" spans="1:6" x14ac:dyDescent="0.35">
      <c r="A1734" s="1">
        <v>46777</v>
      </c>
      <c r="B1734" s="2">
        <v>46296</v>
      </c>
      <c r="C1734" s="1" t="s">
        <v>4</v>
      </c>
      <c r="D1734" s="1">
        <v>2026</v>
      </c>
      <c r="E1734" s="1">
        <v>10</v>
      </c>
      <c r="F1734" s="1">
        <v>40</v>
      </c>
    </row>
    <row r="1735" spans="1:6" x14ac:dyDescent="0.35">
      <c r="A1735" s="1">
        <v>46774</v>
      </c>
      <c r="B1735" s="2">
        <v>46296</v>
      </c>
      <c r="C1735" s="1" t="s">
        <v>9</v>
      </c>
      <c r="D1735" s="1">
        <v>2026</v>
      </c>
      <c r="E1735" s="1">
        <v>10</v>
      </c>
      <c r="F1735" s="1">
        <v>40</v>
      </c>
    </row>
    <row r="1736" spans="1:6" x14ac:dyDescent="0.35">
      <c r="A1736" s="1">
        <v>46772</v>
      </c>
      <c r="B1736" s="2">
        <v>46296</v>
      </c>
      <c r="C1736" s="1" t="s">
        <v>9</v>
      </c>
      <c r="D1736" s="1">
        <v>2026</v>
      </c>
      <c r="E1736" s="1">
        <v>10</v>
      </c>
      <c r="F1736" s="1">
        <v>40</v>
      </c>
    </row>
    <row r="1737" spans="1:6" x14ac:dyDescent="0.35">
      <c r="A1737" s="1">
        <v>46771</v>
      </c>
      <c r="B1737" s="2">
        <v>46296</v>
      </c>
      <c r="C1737" s="1" t="s">
        <v>24</v>
      </c>
      <c r="D1737" s="1">
        <v>2026</v>
      </c>
      <c r="E1737" s="1">
        <v>10</v>
      </c>
      <c r="F1737" s="1">
        <v>40</v>
      </c>
    </row>
    <row r="1738" spans="1:6" x14ac:dyDescent="0.35">
      <c r="A1738" s="1">
        <v>46770</v>
      </c>
      <c r="B1738" s="2">
        <v>46296</v>
      </c>
      <c r="C1738" s="1" t="s">
        <v>24</v>
      </c>
      <c r="D1738" s="1">
        <v>2026</v>
      </c>
      <c r="E1738" s="1">
        <v>10</v>
      </c>
      <c r="F1738" s="1">
        <v>40</v>
      </c>
    </row>
    <row r="1739" spans="1:6" x14ac:dyDescent="0.35">
      <c r="A1739" s="1">
        <v>46769</v>
      </c>
      <c r="B1739" s="2">
        <v>46296</v>
      </c>
      <c r="C1739" s="1" t="s">
        <v>24</v>
      </c>
      <c r="D1739" s="1">
        <v>2026</v>
      </c>
      <c r="E1739" s="1">
        <v>10</v>
      </c>
      <c r="F1739" s="1">
        <v>40</v>
      </c>
    </row>
    <row r="1740" spans="1:6" x14ac:dyDescent="0.35">
      <c r="A1740" s="1">
        <v>46768</v>
      </c>
      <c r="B1740" s="2">
        <v>46296</v>
      </c>
      <c r="C1740" s="1" t="s">
        <v>24</v>
      </c>
      <c r="D1740" s="1">
        <v>2026</v>
      </c>
      <c r="E1740" s="1">
        <v>10</v>
      </c>
      <c r="F1740" s="1">
        <v>40</v>
      </c>
    </row>
    <row r="1741" spans="1:6" x14ac:dyDescent="0.35">
      <c r="A1741" s="1">
        <v>46767</v>
      </c>
      <c r="B1741" s="2">
        <v>46296</v>
      </c>
      <c r="C1741" s="1" t="s">
        <v>24</v>
      </c>
      <c r="D1741" s="1">
        <v>2026</v>
      </c>
      <c r="E1741" s="1">
        <v>10</v>
      </c>
      <c r="F1741" s="1">
        <v>40</v>
      </c>
    </row>
    <row r="1742" spans="1:6" x14ac:dyDescent="0.35">
      <c r="A1742" s="1">
        <v>46765</v>
      </c>
      <c r="B1742" s="2">
        <v>46296</v>
      </c>
      <c r="C1742" s="1" t="s">
        <v>7</v>
      </c>
      <c r="D1742" s="1">
        <v>2026</v>
      </c>
      <c r="E1742" s="1">
        <v>10</v>
      </c>
      <c r="F1742" s="1">
        <v>40</v>
      </c>
    </row>
    <row r="1743" spans="1:6" x14ac:dyDescent="0.35">
      <c r="A1743" s="1">
        <v>46764</v>
      </c>
      <c r="B1743" s="2">
        <v>46296</v>
      </c>
      <c r="C1743" s="1" t="s">
        <v>10</v>
      </c>
      <c r="D1743" s="1">
        <v>2026</v>
      </c>
      <c r="E1743" s="1">
        <v>10</v>
      </c>
      <c r="F1743" s="1">
        <v>40</v>
      </c>
    </row>
    <row r="1744" spans="1:6" x14ac:dyDescent="0.35">
      <c r="A1744" s="1">
        <v>46763</v>
      </c>
      <c r="B1744" s="2">
        <v>46296</v>
      </c>
      <c r="C1744" s="1" t="s">
        <v>10</v>
      </c>
      <c r="D1744" s="1">
        <v>2026</v>
      </c>
      <c r="E1744" s="1">
        <v>10</v>
      </c>
      <c r="F1744" s="1">
        <v>40</v>
      </c>
    </row>
    <row r="1745" spans="1:6" x14ac:dyDescent="0.35">
      <c r="A1745" s="1">
        <v>46762</v>
      </c>
      <c r="B1745" s="2">
        <v>46296</v>
      </c>
      <c r="C1745" s="1" t="s">
        <v>19</v>
      </c>
      <c r="D1745" s="1">
        <v>2026</v>
      </c>
      <c r="E1745" s="1">
        <v>10</v>
      </c>
      <c r="F1745" s="1">
        <v>40</v>
      </c>
    </row>
    <row r="1746" spans="1:6" x14ac:dyDescent="0.35">
      <c r="A1746" s="1">
        <v>46760</v>
      </c>
      <c r="B1746" s="2">
        <v>46296</v>
      </c>
      <c r="C1746" s="1" t="s">
        <v>7</v>
      </c>
      <c r="D1746" s="1">
        <v>2026</v>
      </c>
      <c r="E1746" s="1">
        <v>10</v>
      </c>
      <c r="F1746" s="1">
        <v>40</v>
      </c>
    </row>
    <row r="1747" spans="1:6" x14ac:dyDescent="0.35">
      <c r="A1747" s="1">
        <v>46759</v>
      </c>
      <c r="B1747" s="2">
        <v>46296</v>
      </c>
      <c r="C1747" s="1" t="s">
        <v>9</v>
      </c>
      <c r="D1747" s="1">
        <v>2026</v>
      </c>
      <c r="E1747" s="1">
        <v>10</v>
      </c>
      <c r="F1747" s="1">
        <v>40</v>
      </c>
    </row>
    <row r="1748" spans="1:6" x14ac:dyDescent="0.35">
      <c r="A1748" s="1">
        <v>46758</v>
      </c>
      <c r="B1748" s="2">
        <v>46296</v>
      </c>
      <c r="C1748" s="1" t="s">
        <v>19</v>
      </c>
      <c r="D1748" s="1">
        <v>2026</v>
      </c>
      <c r="E1748" s="1">
        <v>10</v>
      </c>
      <c r="F1748" s="1">
        <v>40</v>
      </c>
    </row>
    <row r="1749" spans="1:6" x14ac:dyDescent="0.35">
      <c r="A1749" s="1">
        <v>46757</v>
      </c>
      <c r="B1749" s="2">
        <v>46296</v>
      </c>
      <c r="C1749" s="1" t="s">
        <v>19</v>
      </c>
      <c r="D1749" s="1">
        <v>2026</v>
      </c>
      <c r="E1749" s="1">
        <v>10</v>
      </c>
      <c r="F1749" s="1">
        <v>40</v>
      </c>
    </row>
    <row r="1750" spans="1:6" x14ac:dyDescent="0.35">
      <c r="A1750" s="1">
        <v>46755</v>
      </c>
      <c r="B1750" s="2">
        <v>46296</v>
      </c>
      <c r="C1750" s="1" t="s">
        <v>8</v>
      </c>
      <c r="D1750" s="1">
        <v>2026</v>
      </c>
      <c r="E1750" s="1">
        <v>10</v>
      </c>
      <c r="F1750" s="1">
        <v>40</v>
      </c>
    </row>
    <row r="1751" spans="1:6" x14ac:dyDescent="0.35">
      <c r="A1751" s="1">
        <v>46754</v>
      </c>
      <c r="B1751" s="2">
        <v>46296</v>
      </c>
      <c r="C1751" s="1" t="s">
        <v>8</v>
      </c>
      <c r="D1751" s="1">
        <v>2026</v>
      </c>
      <c r="E1751" s="1">
        <v>10</v>
      </c>
      <c r="F1751" s="1">
        <v>40</v>
      </c>
    </row>
    <row r="1752" spans="1:6" x14ac:dyDescent="0.35">
      <c r="A1752" s="1">
        <v>46822</v>
      </c>
      <c r="B1752" s="2">
        <v>46297</v>
      </c>
      <c r="C1752" s="1" t="s">
        <v>3</v>
      </c>
      <c r="D1752" s="1">
        <v>2026</v>
      </c>
      <c r="E1752" s="1">
        <v>10</v>
      </c>
      <c r="F1752" s="1">
        <v>40</v>
      </c>
    </row>
    <row r="1753" spans="1:6" x14ac:dyDescent="0.35">
      <c r="A1753" s="1">
        <v>46821</v>
      </c>
      <c r="B1753" s="2">
        <v>46297</v>
      </c>
      <c r="C1753" s="1" t="s">
        <v>28</v>
      </c>
      <c r="D1753" s="1">
        <v>2026</v>
      </c>
      <c r="E1753" s="1">
        <v>10</v>
      </c>
      <c r="F1753" s="1">
        <v>40</v>
      </c>
    </row>
    <row r="1754" spans="1:6" x14ac:dyDescent="0.35">
      <c r="A1754" s="1">
        <v>46820</v>
      </c>
      <c r="B1754" s="2">
        <v>46297</v>
      </c>
      <c r="C1754" s="1" t="s">
        <v>28</v>
      </c>
      <c r="D1754" s="1">
        <v>2026</v>
      </c>
      <c r="E1754" s="1">
        <v>10</v>
      </c>
      <c r="F1754" s="1">
        <v>40</v>
      </c>
    </row>
    <row r="1755" spans="1:6" x14ac:dyDescent="0.35">
      <c r="A1755" s="1">
        <v>46804</v>
      </c>
      <c r="B1755" s="2">
        <v>46297</v>
      </c>
      <c r="C1755" s="1" t="s">
        <v>22</v>
      </c>
      <c r="D1755" s="1">
        <v>2026</v>
      </c>
      <c r="E1755" s="1">
        <v>10</v>
      </c>
      <c r="F1755" s="1">
        <v>40</v>
      </c>
    </row>
    <row r="1756" spans="1:6" x14ac:dyDescent="0.35">
      <c r="A1756" s="1">
        <v>46803</v>
      </c>
      <c r="B1756" s="2">
        <v>46297</v>
      </c>
      <c r="C1756" s="1" t="s">
        <v>22</v>
      </c>
      <c r="D1756" s="1">
        <v>2026</v>
      </c>
      <c r="E1756" s="1">
        <v>10</v>
      </c>
      <c r="F1756" s="1">
        <v>40</v>
      </c>
    </row>
    <row r="1757" spans="1:6" x14ac:dyDescent="0.35">
      <c r="A1757" s="1">
        <v>46802</v>
      </c>
      <c r="B1757" s="2">
        <v>46297</v>
      </c>
      <c r="C1757" s="1" t="s">
        <v>22</v>
      </c>
      <c r="D1757" s="1">
        <v>2026</v>
      </c>
      <c r="E1757" s="1">
        <v>10</v>
      </c>
      <c r="F1757" s="1">
        <v>40</v>
      </c>
    </row>
    <row r="1758" spans="1:6" x14ac:dyDescent="0.35">
      <c r="A1758" s="1">
        <v>46801</v>
      </c>
      <c r="B1758" s="2">
        <v>46297</v>
      </c>
      <c r="C1758" s="1" t="s">
        <v>22</v>
      </c>
      <c r="D1758" s="1">
        <v>2026</v>
      </c>
      <c r="E1758" s="1">
        <v>10</v>
      </c>
      <c r="F1758" s="1">
        <v>40</v>
      </c>
    </row>
    <row r="1759" spans="1:6" x14ac:dyDescent="0.35">
      <c r="A1759" s="1">
        <v>46796</v>
      </c>
      <c r="B1759" s="2">
        <v>46297</v>
      </c>
      <c r="C1759" s="1" t="s">
        <v>3</v>
      </c>
      <c r="D1759" s="1">
        <v>2026</v>
      </c>
      <c r="E1759" s="1">
        <v>10</v>
      </c>
      <c r="F1759" s="1">
        <v>40</v>
      </c>
    </row>
    <row r="1760" spans="1:6" x14ac:dyDescent="0.35">
      <c r="A1760" s="1">
        <v>46794</v>
      </c>
      <c r="B1760" s="2">
        <v>46297</v>
      </c>
      <c r="C1760" s="1" t="s">
        <v>28</v>
      </c>
      <c r="D1760" s="1">
        <v>2026</v>
      </c>
      <c r="E1760" s="1">
        <v>10</v>
      </c>
      <c r="F1760" s="1">
        <v>40</v>
      </c>
    </row>
    <row r="1761" spans="1:6" x14ac:dyDescent="0.35">
      <c r="A1761" s="1">
        <v>46793</v>
      </c>
      <c r="B1761" s="2">
        <v>46297</v>
      </c>
      <c r="C1761" s="1" t="s">
        <v>28</v>
      </c>
      <c r="D1761" s="1">
        <v>2026</v>
      </c>
      <c r="E1761" s="1">
        <v>10</v>
      </c>
      <c r="F1761" s="1">
        <v>40</v>
      </c>
    </row>
    <row r="1762" spans="1:6" x14ac:dyDescent="0.35">
      <c r="A1762" s="1">
        <v>46792</v>
      </c>
      <c r="B1762" s="2">
        <v>46297</v>
      </c>
      <c r="C1762" s="1" t="s">
        <v>28</v>
      </c>
      <c r="D1762" s="1">
        <v>2026</v>
      </c>
      <c r="E1762" s="1">
        <v>10</v>
      </c>
      <c r="F1762" s="1">
        <v>40</v>
      </c>
    </row>
    <row r="1763" spans="1:6" x14ac:dyDescent="0.35">
      <c r="A1763" s="1">
        <v>46791</v>
      </c>
      <c r="B1763" s="2">
        <v>46297</v>
      </c>
      <c r="C1763" s="1" t="s">
        <v>3</v>
      </c>
      <c r="D1763" s="1">
        <v>2026</v>
      </c>
      <c r="E1763" s="1">
        <v>10</v>
      </c>
      <c r="F1763" s="1">
        <v>40</v>
      </c>
    </row>
    <row r="1764" spans="1:6" x14ac:dyDescent="0.35">
      <c r="A1764" s="1">
        <v>46790</v>
      </c>
      <c r="B1764" s="2">
        <v>46297</v>
      </c>
      <c r="C1764" s="1" t="s">
        <v>9</v>
      </c>
      <c r="D1764" s="1">
        <v>2026</v>
      </c>
      <c r="E1764" s="1">
        <v>10</v>
      </c>
      <c r="F1764" s="1">
        <v>40</v>
      </c>
    </row>
    <row r="1765" spans="1:6" x14ac:dyDescent="0.35">
      <c r="A1765" s="1">
        <v>46788</v>
      </c>
      <c r="B1765" s="2">
        <v>46297</v>
      </c>
      <c r="C1765" s="1" t="s">
        <v>9</v>
      </c>
      <c r="D1765" s="1">
        <v>2026</v>
      </c>
      <c r="E1765" s="1">
        <v>10</v>
      </c>
      <c r="F1765" s="1">
        <v>40</v>
      </c>
    </row>
    <row r="1766" spans="1:6" x14ac:dyDescent="0.35">
      <c r="A1766" s="1">
        <v>46787</v>
      </c>
      <c r="B1766" s="2">
        <v>46297</v>
      </c>
      <c r="C1766" s="1" t="s">
        <v>3</v>
      </c>
      <c r="D1766" s="1">
        <v>2026</v>
      </c>
      <c r="E1766" s="1">
        <v>10</v>
      </c>
      <c r="F1766" s="1">
        <v>40</v>
      </c>
    </row>
    <row r="1767" spans="1:6" x14ac:dyDescent="0.35">
      <c r="A1767" s="1">
        <v>46786</v>
      </c>
      <c r="B1767" s="2">
        <v>46297</v>
      </c>
      <c r="C1767" s="1" t="s">
        <v>3</v>
      </c>
      <c r="D1767" s="1">
        <v>2026</v>
      </c>
      <c r="E1767" s="1">
        <v>10</v>
      </c>
      <c r="F1767" s="1">
        <v>40</v>
      </c>
    </row>
    <row r="1768" spans="1:6" x14ac:dyDescent="0.35">
      <c r="A1768" s="1">
        <v>46785</v>
      </c>
      <c r="B1768" s="2">
        <v>46297</v>
      </c>
      <c r="C1768" s="1" t="s">
        <v>3</v>
      </c>
      <c r="D1768" s="1">
        <v>2026</v>
      </c>
      <c r="E1768" s="1">
        <v>10</v>
      </c>
      <c r="F1768" s="1">
        <v>40</v>
      </c>
    </row>
    <row r="1769" spans="1:6" x14ac:dyDescent="0.35">
      <c r="A1769" s="1">
        <v>46828</v>
      </c>
      <c r="B1769" s="2">
        <v>46298</v>
      </c>
      <c r="C1769" s="1" t="s">
        <v>17</v>
      </c>
      <c r="D1769" s="1">
        <v>2026</v>
      </c>
      <c r="E1769" s="1">
        <v>10</v>
      </c>
      <c r="F1769" s="1">
        <v>40</v>
      </c>
    </row>
    <row r="1770" spans="1:6" x14ac:dyDescent="0.35">
      <c r="A1770" s="1">
        <v>46827</v>
      </c>
      <c r="B1770" s="2">
        <v>46298</v>
      </c>
      <c r="C1770" s="1" t="s">
        <v>17</v>
      </c>
      <c r="D1770" s="1">
        <v>2026</v>
      </c>
      <c r="E1770" s="1">
        <v>10</v>
      </c>
      <c r="F1770" s="1">
        <v>40</v>
      </c>
    </row>
    <row r="1771" spans="1:6" x14ac:dyDescent="0.35">
      <c r="A1771" s="1">
        <v>46826</v>
      </c>
      <c r="B1771" s="2">
        <v>46298</v>
      </c>
      <c r="C1771" s="1" t="s">
        <v>17</v>
      </c>
      <c r="D1771" s="1">
        <v>2026</v>
      </c>
      <c r="E1771" s="1">
        <v>10</v>
      </c>
      <c r="F1771" s="1">
        <v>40</v>
      </c>
    </row>
    <row r="1772" spans="1:6" x14ac:dyDescent="0.35">
      <c r="A1772" s="1">
        <v>46825</v>
      </c>
      <c r="B1772" s="2">
        <v>46298</v>
      </c>
      <c r="C1772" s="1" t="s">
        <v>17</v>
      </c>
      <c r="D1772" s="1">
        <v>2026</v>
      </c>
      <c r="E1772" s="1">
        <v>10</v>
      </c>
      <c r="F1772" s="1">
        <v>40</v>
      </c>
    </row>
    <row r="1773" spans="1:6" x14ac:dyDescent="0.35">
      <c r="A1773" s="1">
        <v>46824</v>
      </c>
      <c r="B1773" s="2">
        <v>46298</v>
      </c>
      <c r="C1773" s="1" t="s">
        <v>4</v>
      </c>
      <c r="D1773" s="1">
        <v>2026</v>
      </c>
      <c r="E1773" s="1">
        <v>10</v>
      </c>
      <c r="F1773" s="1">
        <v>40</v>
      </c>
    </row>
    <row r="1774" spans="1:6" x14ac:dyDescent="0.35">
      <c r="A1774" s="1">
        <v>46823</v>
      </c>
      <c r="B1774" s="2">
        <v>46298</v>
      </c>
      <c r="C1774" s="1" t="s">
        <v>4</v>
      </c>
      <c r="D1774" s="1">
        <v>2026</v>
      </c>
      <c r="E1774" s="1">
        <v>10</v>
      </c>
      <c r="F1774" s="1">
        <v>40</v>
      </c>
    </row>
    <row r="1775" spans="1:6" x14ac:dyDescent="0.35">
      <c r="A1775" s="1">
        <v>46835</v>
      </c>
      <c r="B1775" s="2">
        <v>46299</v>
      </c>
      <c r="C1775" s="1" t="s">
        <v>17</v>
      </c>
      <c r="D1775" s="1">
        <v>2026</v>
      </c>
      <c r="E1775" s="1">
        <v>10</v>
      </c>
      <c r="F1775" s="1">
        <v>41</v>
      </c>
    </row>
    <row r="1776" spans="1:6" x14ac:dyDescent="0.35">
      <c r="A1776" s="1">
        <v>46834</v>
      </c>
      <c r="B1776" s="2">
        <v>46299</v>
      </c>
      <c r="C1776" s="1" t="s">
        <v>17</v>
      </c>
      <c r="D1776" s="1">
        <v>2026</v>
      </c>
      <c r="E1776" s="1">
        <v>10</v>
      </c>
      <c r="F1776" s="1">
        <v>41</v>
      </c>
    </row>
    <row r="1777" spans="1:6" x14ac:dyDescent="0.35">
      <c r="A1777" s="1">
        <v>46841</v>
      </c>
      <c r="B1777" s="2">
        <v>46300</v>
      </c>
      <c r="C1777" s="1" t="s">
        <v>3</v>
      </c>
      <c r="D1777" s="1">
        <v>2026</v>
      </c>
      <c r="E1777" s="1">
        <v>10</v>
      </c>
      <c r="F1777" s="1">
        <v>41</v>
      </c>
    </row>
    <row r="1778" spans="1:6" x14ac:dyDescent="0.35">
      <c r="A1778" s="1">
        <v>46840</v>
      </c>
      <c r="B1778" s="2">
        <v>46300</v>
      </c>
      <c r="C1778" s="1" t="s">
        <v>10</v>
      </c>
      <c r="D1778" s="1">
        <v>2026</v>
      </c>
      <c r="E1778" s="1">
        <v>10</v>
      </c>
      <c r="F1778" s="1">
        <v>41</v>
      </c>
    </row>
    <row r="1779" spans="1:6" x14ac:dyDescent="0.35">
      <c r="A1779" s="1">
        <v>46839</v>
      </c>
      <c r="B1779" s="2">
        <v>46300</v>
      </c>
      <c r="C1779" s="1" t="s">
        <v>10</v>
      </c>
      <c r="D1779" s="1">
        <v>2026</v>
      </c>
      <c r="E1779" s="1">
        <v>10</v>
      </c>
      <c r="F1779" s="1">
        <v>41</v>
      </c>
    </row>
    <row r="1780" spans="1:6" x14ac:dyDescent="0.35">
      <c r="A1780" s="1">
        <v>46838</v>
      </c>
      <c r="B1780" s="2">
        <v>46300</v>
      </c>
      <c r="C1780" s="1" t="s">
        <v>11</v>
      </c>
      <c r="D1780" s="1">
        <v>2026</v>
      </c>
      <c r="E1780" s="1">
        <v>10</v>
      </c>
      <c r="F1780" s="1">
        <v>41</v>
      </c>
    </row>
    <row r="1781" spans="1:6" x14ac:dyDescent="0.35">
      <c r="A1781" s="1">
        <v>46836</v>
      </c>
      <c r="B1781" s="2">
        <v>46300</v>
      </c>
      <c r="C1781" s="1" t="s">
        <v>17</v>
      </c>
      <c r="D1781" s="1">
        <v>2026</v>
      </c>
      <c r="E1781" s="1">
        <v>10</v>
      </c>
      <c r="F1781" s="1">
        <v>41</v>
      </c>
    </row>
    <row r="1782" spans="1:6" x14ac:dyDescent="0.35">
      <c r="A1782" s="1">
        <v>46913</v>
      </c>
      <c r="B1782" s="2">
        <v>46301</v>
      </c>
      <c r="C1782" s="1" t="s">
        <v>10</v>
      </c>
      <c r="D1782" s="1">
        <v>2026</v>
      </c>
      <c r="E1782" s="1">
        <v>10</v>
      </c>
      <c r="F1782" s="1">
        <v>41</v>
      </c>
    </row>
    <row r="1783" spans="1:6" x14ac:dyDescent="0.35">
      <c r="A1783" s="1">
        <v>46912</v>
      </c>
      <c r="B1783" s="2">
        <v>46301</v>
      </c>
      <c r="C1783" s="1" t="s">
        <v>10</v>
      </c>
      <c r="D1783" s="1">
        <v>2026</v>
      </c>
      <c r="E1783" s="1">
        <v>10</v>
      </c>
      <c r="F1783" s="1">
        <v>41</v>
      </c>
    </row>
    <row r="1784" spans="1:6" x14ac:dyDescent="0.35">
      <c r="A1784" s="1">
        <v>46903</v>
      </c>
      <c r="B1784" s="2">
        <v>46301</v>
      </c>
      <c r="C1784" s="1" t="s">
        <v>17</v>
      </c>
      <c r="D1784" s="1">
        <v>2026</v>
      </c>
      <c r="E1784" s="1">
        <v>10</v>
      </c>
      <c r="F1784" s="1">
        <v>41</v>
      </c>
    </row>
    <row r="1785" spans="1:6" x14ac:dyDescent="0.35">
      <c r="A1785" s="1">
        <v>46902</v>
      </c>
      <c r="B1785" s="2">
        <v>46301</v>
      </c>
      <c r="C1785" s="1" t="s">
        <v>17</v>
      </c>
      <c r="D1785" s="1">
        <v>2026</v>
      </c>
      <c r="E1785" s="1">
        <v>10</v>
      </c>
      <c r="F1785" s="1">
        <v>41</v>
      </c>
    </row>
    <row r="1786" spans="1:6" x14ac:dyDescent="0.35">
      <c r="A1786" s="1">
        <v>46901</v>
      </c>
      <c r="B1786" s="2">
        <v>46301</v>
      </c>
      <c r="C1786" s="1" t="s">
        <v>24</v>
      </c>
      <c r="D1786" s="1">
        <v>2026</v>
      </c>
      <c r="E1786" s="1">
        <v>10</v>
      </c>
      <c r="F1786" s="1">
        <v>41</v>
      </c>
    </row>
    <row r="1787" spans="1:6" x14ac:dyDescent="0.35">
      <c r="A1787" s="1">
        <v>46900</v>
      </c>
      <c r="B1787" s="2">
        <v>46301</v>
      </c>
      <c r="C1787" s="1" t="s">
        <v>21</v>
      </c>
      <c r="D1787" s="1">
        <v>2026</v>
      </c>
      <c r="E1787" s="1">
        <v>10</v>
      </c>
      <c r="F1787" s="1">
        <v>41</v>
      </c>
    </row>
    <row r="1788" spans="1:6" x14ac:dyDescent="0.35">
      <c r="A1788" s="1">
        <v>46899</v>
      </c>
      <c r="B1788" s="2">
        <v>46301</v>
      </c>
      <c r="C1788" s="1" t="s">
        <v>21</v>
      </c>
      <c r="D1788" s="1">
        <v>2026</v>
      </c>
      <c r="E1788" s="1">
        <v>10</v>
      </c>
      <c r="F1788" s="1">
        <v>41</v>
      </c>
    </row>
    <row r="1789" spans="1:6" x14ac:dyDescent="0.35">
      <c r="A1789" s="1">
        <v>46898</v>
      </c>
      <c r="B1789" s="2">
        <v>46301</v>
      </c>
      <c r="C1789" s="1" t="s">
        <v>21</v>
      </c>
      <c r="D1789" s="1">
        <v>2026</v>
      </c>
      <c r="E1789" s="1">
        <v>10</v>
      </c>
      <c r="F1789" s="1">
        <v>41</v>
      </c>
    </row>
    <row r="1790" spans="1:6" x14ac:dyDescent="0.35">
      <c r="A1790" s="1">
        <v>46897</v>
      </c>
      <c r="B1790" s="2">
        <v>46301</v>
      </c>
      <c r="C1790" s="1" t="s">
        <v>21</v>
      </c>
      <c r="D1790" s="1">
        <v>2026</v>
      </c>
      <c r="E1790" s="1">
        <v>10</v>
      </c>
      <c r="F1790" s="1">
        <v>41</v>
      </c>
    </row>
    <row r="1791" spans="1:6" x14ac:dyDescent="0.35">
      <c r="A1791" s="1">
        <v>46896</v>
      </c>
      <c r="B1791" s="2">
        <v>46301</v>
      </c>
      <c r="C1791" s="1" t="s">
        <v>3</v>
      </c>
      <c r="D1791" s="1">
        <v>2026</v>
      </c>
      <c r="E1791" s="1">
        <v>10</v>
      </c>
      <c r="F1791" s="1">
        <v>41</v>
      </c>
    </row>
    <row r="1792" spans="1:6" x14ac:dyDescent="0.35">
      <c r="A1792" s="1">
        <v>46895</v>
      </c>
      <c r="B1792" s="2">
        <v>46301</v>
      </c>
      <c r="C1792" s="1" t="s">
        <v>22</v>
      </c>
      <c r="D1792" s="1">
        <v>2026</v>
      </c>
      <c r="E1792" s="1">
        <v>10</v>
      </c>
      <c r="F1792" s="1">
        <v>41</v>
      </c>
    </row>
    <row r="1793" spans="1:6" x14ac:dyDescent="0.35">
      <c r="A1793" s="1">
        <v>46894</v>
      </c>
      <c r="B1793" s="2">
        <v>46301</v>
      </c>
      <c r="C1793" s="1" t="s">
        <v>22</v>
      </c>
      <c r="D1793" s="1">
        <v>2026</v>
      </c>
      <c r="E1793" s="1">
        <v>10</v>
      </c>
      <c r="F1793" s="1">
        <v>41</v>
      </c>
    </row>
    <row r="1794" spans="1:6" x14ac:dyDescent="0.35">
      <c r="A1794" s="1">
        <v>46893</v>
      </c>
      <c r="B1794" s="2">
        <v>46301</v>
      </c>
      <c r="C1794" s="1" t="s">
        <v>22</v>
      </c>
      <c r="D1794" s="1">
        <v>2026</v>
      </c>
      <c r="E1794" s="1">
        <v>10</v>
      </c>
      <c r="F1794" s="1">
        <v>41</v>
      </c>
    </row>
    <row r="1795" spans="1:6" x14ac:dyDescent="0.35">
      <c r="A1795" s="1">
        <v>46892</v>
      </c>
      <c r="B1795" s="2">
        <v>46301</v>
      </c>
      <c r="C1795" s="1" t="s">
        <v>3</v>
      </c>
      <c r="D1795" s="1">
        <v>2026</v>
      </c>
      <c r="E1795" s="1">
        <v>10</v>
      </c>
      <c r="F1795" s="1">
        <v>41</v>
      </c>
    </row>
    <row r="1796" spans="1:6" x14ac:dyDescent="0.35">
      <c r="A1796" s="1">
        <v>46890</v>
      </c>
      <c r="B1796" s="2">
        <v>46301</v>
      </c>
      <c r="C1796" s="1" t="s">
        <v>3</v>
      </c>
      <c r="D1796" s="1">
        <v>2026</v>
      </c>
      <c r="E1796" s="1">
        <v>10</v>
      </c>
      <c r="F1796" s="1">
        <v>41</v>
      </c>
    </row>
    <row r="1797" spans="1:6" x14ac:dyDescent="0.35">
      <c r="A1797" s="1">
        <v>46888</v>
      </c>
      <c r="B1797" s="2">
        <v>46301</v>
      </c>
      <c r="C1797" s="1" t="s">
        <v>21</v>
      </c>
      <c r="D1797" s="1">
        <v>2026</v>
      </c>
      <c r="E1797" s="1">
        <v>10</v>
      </c>
      <c r="F1797" s="1">
        <v>41</v>
      </c>
    </row>
    <row r="1798" spans="1:6" x14ac:dyDescent="0.35">
      <c r="A1798" s="1">
        <v>46882</v>
      </c>
      <c r="B1798" s="2">
        <v>46301</v>
      </c>
      <c r="C1798" s="1" t="s">
        <v>3</v>
      </c>
      <c r="D1798" s="1">
        <v>2026</v>
      </c>
      <c r="E1798" s="1">
        <v>10</v>
      </c>
      <c r="F1798" s="1">
        <v>41</v>
      </c>
    </row>
    <row r="1799" spans="1:6" x14ac:dyDescent="0.35">
      <c r="A1799" s="1">
        <v>46881</v>
      </c>
      <c r="B1799" s="2">
        <v>46301</v>
      </c>
      <c r="C1799" s="1" t="s">
        <v>21</v>
      </c>
      <c r="D1799" s="1">
        <v>2026</v>
      </c>
      <c r="E1799" s="1">
        <v>10</v>
      </c>
      <c r="F1799" s="1">
        <v>41</v>
      </c>
    </row>
    <row r="1800" spans="1:6" x14ac:dyDescent="0.35">
      <c r="A1800" s="1">
        <v>46879</v>
      </c>
      <c r="B1800" s="2">
        <v>46301</v>
      </c>
      <c r="C1800" s="1" t="s">
        <v>9</v>
      </c>
      <c r="D1800" s="1">
        <v>2026</v>
      </c>
      <c r="E1800" s="1">
        <v>10</v>
      </c>
      <c r="F1800" s="1">
        <v>41</v>
      </c>
    </row>
    <row r="1801" spans="1:6" x14ac:dyDescent="0.35">
      <c r="A1801" s="1">
        <v>46878</v>
      </c>
      <c r="B1801" s="2">
        <v>46301</v>
      </c>
      <c r="C1801" s="1" t="s">
        <v>9</v>
      </c>
      <c r="D1801" s="1">
        <v>2026</v>
      </c>
      <c r="E1801" s="1">
        <v>10</v>
      </c>
      <c r="F1801" s="1">
        <v>41</v>
      </c>
    </row>
    <row r="1802" spans="1:6" x14ac:dyDescent="0.35">
      <c r="A1802" s="1">
        <v>46877</v>
      </c>
      <c r="B1802" s="2">
        <v>46301</v>
      </c>
      <c r="C1802" s="1" t="s">
        <v>3</v>
      </c>
      <c r="D1802" s="1">
        <v>2026</v>
      </c>
      <c r="E1802" s="1">
        <v>10</v>
      </c>
      <c r="F1802" s="1">
        <v>41</v>
      </c>
    </row>
    <row r="1803" spans="1:6" x14ac:dyDescent="0.35">
      <c r="A1803" s="1">
        <v>46873</v>
      </c>
      <c r="B1803" s="2">
        <v>46301</v>
      </c>
      <c r="C1803" s="1" t="s">
        <v>21</v>
      </c>
      <c r="D1803" s="1">
        <v>2026</v>
      </c>
      <c r="E1803" s="1">
        <v>10</v>
      </c>
      <c r="F1803" s="1">
        <v>41</v>
      </c>
    </row>
    <row r="1804" spans="1:6" x14ac:dyDescent="0.35">
      <c r="A1804" s="1">
        <v>46871</v>
      </c>
      <c r="B1804" s="2">
        <v>46301</v>
      </c>
      <c r="C1804" s="1" t="s">
        <v>24</v>
      </c>
      <c r="D1804" s="1">
        <v>2026</v>
      </c>
      <c r="E1804" s="1">
        <v>10</v>
      </c>
      <c r="F1804" s="1">
        <v>41</v>
      </c>
    </row>
    <row r="1805" spans="1:6" x14ac:dyDescent="0.35">
      <c r="A1805" s="1">
        <v>46870</v>
      </c>
      <c r="B1805" s="2">
        <v>46301</v>
      </c>
      <c r="C1805" s="1" t="s">
        <v>24</v>
      </c>
      <c r="D1805" s="1">
        <v>2026</v>
      </c>
      <c r="E1805" s="1">
        <v>10</v>
      </c>
      <c r="F1805" s="1">
        <v>41</v>
      </c>
    </row>
    <row r="1806" spans="1:6" x14ac:dyDescent="0.35">
      <c r="A1806" s="1">
        <v>46869</v>
      </c>
      <c r="B1806" s="2">
        <v>46301</v>
      </c>
      <c r="C1806" s="1" t="s">
        <v>24</v>
      </c>
      <c r="D1806" s="1">
        <v>2026</v>
      </c>
      <c r="E1806" s="1">
        <v>10</v>
      </c>
      <c r="F1806" s="1">
        <v>41</v>
      </c>
    </row>
    <row r="1807" spans="1:6" x14ac:dyDescent="0.35">
      <c r="A1807" s="1">
        <v>46867</v>
      </c>
      <c r="B1807" s="2">
        <v>46301</v>
      </c>
      <c r="C1807" s="1" t="s">
        <v>19</v>
      </c>
      <c r="D1807" s="1">
        <v>2026</v>
      </c>
      <c r="E1807" s="1">
        <v>10</v>
      </c>
      <c r="F1807" s="1">
        <v>41</v>
      </c>
    </row>
    <row r="1808" spans="1:6" x14ac:dyDescent="0.35">
      <c r="A1808" s="1">
        <v>46865</v>
      </c>
      <c r="B1808" s="2">
        <v>46301</v>
      </c>
      <c r="C1808" s="1" t="s">
        <v>3</v>
      </c>
      <c r="D1808" s="1">
        <v>2026</v>
      </c>
      <c r="E1808" s="1">
        <v>10</v>
      </c>
      <c r="F1808" s="1">
        <v>41</v>
      </c>
    </row>
    <row r="1809" spans="1:6" x14ac:dyDescent="0.35">
      <c r="A1809" s="1">
        <v>46864</v>
      </c>
      <c r="B1809" s="2">
        <v>46301</v>
      </c>
      <c r="C1809" s="1" t="s">
        <v>3</v>
      </c>
      <c r="D1809" s="1">
        <v>2026</v>
      </c>
      <c r="E1809" s="1">
        <v>10</v>
      </c>
      <c r="F1809" s="1">
        <v>41</v>
      </c>
    </row>
    <row r="1810" spans="1:6" x14ac:dyDescent="0.35">
      <c r="A1810" s="1">
        <v>46863</v>
      </c>
      <c r="B1810" s="2">
        <v>46301</v>
      </c>
      <c r="C1810" s="1" t="s">
        <v>28</v>
      </c>
      <c r="D1810" s="1">
        <v>2026</v>
      </c>
      <c r="E1810" s="1">
        <v>10</v>
      </c>
      <c r="F1810" s="1">
        <v>41</v>
      </c>
    </row>
    <row r="1811" spans="1:6" x14ac:dyDescent="0.35">
      <c r="A1811" s="1">
        <v>46862</v>
      </c>
      <c r="B1811" s="2">
        <v>46301</v>
      </c>
      <c r="C1811" s="1" t="s">
        <v>28</v>
      </c>
      <c r="D1811" s="1">
        <v>2026</v>
      </c>
      <c r="E1811" s="1">
        <v>10</v>
      </c>
      <c r="F1811" s="1">
        <v>41</v>
      </c>
    </row>
    <row r="1812" spans="1:6" x14ac:dyDescent="0.35">
      <c r="A1812" s="1">
        <v>46861</v>
      </c>
      <c r="B1812" s="2">
        <v>46301</v>
      </c>
      <c r="C1812" s="1" t="s">
        <v>28</v>
      </c>
      <c r="D1812" s="1">
        <v>2026</v>
      </c>
      <c r="E1812" s="1">
        <v>10</v>
      </c>
      <c r="F1812" s="1">
        <v>41</v>
      </c>
    </row>
    <row r="1813" spans="1:6" x14ac:dyDescent="0.35">
      <c r="A1813" s="1">
        <v>46860</v>
      </c>
      <c r="B1813" s="2">
        <v>46301</v>
      </c>
      <c r="C1813" s="1" t="s">
        <v>28</v>
      </c>
      <c r="D1813" s="1">
        <v>2026</v>
      </c>
      <c r="E1813" s="1">
        <v>10</v>
      </c>
      <c r="F1813" s="1">
        <v>41</v>
      </c>
    </row>
    <row r="1814" spans="1:6" x14ac:dyDescent="0.35">
      <c r="A1814" s="1">
        <v>46854</v>
      </c>
      <c r="B1814" s="2">
        <v>46301</v>
      </c>
      <c r="C1814" s="1" t="s">
        <v>24</v>
      </c>
      <c r="D1814" s="1">
        <v>2026</v>
      </c>
      <c r="E1814" s="1">
        <v>10</v>
      </c>
      <c r="F1814" s="1">
        <v>41</v>
      </c>
    </row>
    <row r="1815" spans="1:6" x14ac:dyDescent="0.35">
      <c r="A1815" s="1">
        <v>46853</v>
      </c>
      <c r="B1815" s="2">
        <v>46301</v>
      </c>
      <c r="C1815" s="1" t="s">
        <v>24</v>
      </c>
      <c r="D1815" s="1">
        <v>2026</v>
      </c>
      <c r="E1815" s="1">
        <v>10</v>
      </c>
      <c r="F1815" s="1">
        <v>41</v>
      </c>
    </row>
    <row r="1816" spans="1:6" x14ac:dyDescent="0.35">
      <c r="A1816" s="1">
        <v>46852</v>
      </c>
      <c r="B1816" s="2">
        <v>46301</v>
      </c>
      <c r="C1816" s="1" t="s">
        <v>24</v>
      </c>
      <c r="D1816" s="1">
        <v>2026</v>
      </c>
      <c r="E1816" s="1">
        <v>10</v>
      </c>
      <c r="F1816" s="1">
        <v>41</v>
      </c>
    </row>
    <row r="1817" spans="1:6" x14ac:dyDescent="0.35">
      <c r="A1817" s="1">
        <v>46851</v>
      </c>
      <c r="B1817" s="2">
        <v>46301</v>
      </c>
      <c r="C1817" s="1" t="s">
        <v>24</v>
      </c>
      <c r="D1817" s="1">
        <v>2026</v>
      </c>
      <c r="E1817" s="1">
        <v>10</v>
      </c>
      <c r="F1817" s="1">
        <v>41</v>
      </c>
    </row>
    <row r="1818" spans="1:6" x14ac:dyDescent="0.35">
      <c r="A1818" s="1">
        <v>46850</v>
      </c>
      <c r="B1818" s="2">
        <v>46301</v>
      </c>
      <c r="C1818" s="1" t="s">
        <v>24</v>
      </c>
      <c r="D1818" s="1">
        <v>2026</v>
      </c>
      <c r="E1818" s="1">
        <v>10</v>
      </c>
      <c r="F1818" s="1">
        <v>41</v>
      </c>
    </row>
    <row r="1819" spans="1:6" x14ac:dyDescent="0.35">
      <c r="A1819" s="1">
        <v>46849</v>
      </c>
      <c r="B1819" s="2">
        <v>46301</v>
      </c>
      <c r="C1819" s="1" t="s">
        <v>3</v>
      </c>
      <c r="D1819" s="1">
        <v>2026</v>
      </c>
      <c r="E1819" s="1">
        <v>10</v>
      </c>
      <c r="F1819" s="1">
        <v>41</v>
      </c>
    </row>
    <row r="1820" spans="1:6" x14ac:dyDescent="0.35">
      <c r="A1820" s="1">
        <v>46848</v>
      </c>
      <c r="B1820" s="2">
        <v>46301</v>
      </c>
      <c r="C1820" s="1" t="s">
        <v>3</v>
      </c>
      <c r="D1820" s="1">
        <v>2026</v>
      </c>
      <c r="E1820" s="1">
        <v>10</v>
      </c>
      <c r="F1820" s="1">
        <v>41</v>
      </c>
    </row>
    <row r="1821" spans="1:6" x14ac:dyDescent="0.35">
      <c r="A1821" s="1">
        <v>46847</v>
      </c>
      <c r="B1821" s="2">
        <v>46301</v>
      </c>
      <c r="C1821" s="1" t="s">
        <v>9</v>
      </c>
      <c r="D1821" s="1">
        <v>2026</v>
      </c>
      <c r="E1821" s="1">
        <v>10</v>
      </c>
      <c r="F1821" s="1">
        <v>41</v>
      </c>
    </row>
    <row r="1822" spans="1:6" x14ac:dyDescent="0.35">
      <c r="A1822" s="1">
        <v>46846</v>
      </c>
      <c r="B1822" s="2">
        <v>46301</v>
      </c>
      <c r="C1822" s="1" t="s">
        <v>9</v>
      </c>
      <c r="D1822" s="1">
        <v>2026</v>
      </c>
      <c r="E1822" s="1">
        <v>10</v>
      </c>
      <c r="F1822" s="1">
        <v>41</v>
      </c>
    </row>
    <row r="1823" spans="1:6" x14ac:dyDescent="0.35">
      <c r="A1823" s="1">
        <v>46845</v>
      </c>
      <c r="B1823" s="2">
        <v>46301</v>
      </c>
      <c r="C1823" s="1" t="s">
        <v>9</v>
      </c>
      <c r="D1823" s="1">
        <v>2026</v>
      </c>
      <c r="E1823" s="1">
        <v>10</v>
      </c>
      <c r="F1823" s="1">
        <v>41</v>
      </c>
    </row>
    <row r="1824" spans="1:6" x14ac:dyDescent="0.35">
      <c r="A1824" s="1">
        <v>46844</v>
      </c>
      <c r="B1824" s="2">
        <v>46301</v>
      </c>
      <c r="C1824" s="1" t="s">
        <v>9</v>
      </c>
      <c r="D1824" s="1">
        <v>2026</v>
      </c>
      <c r="E1824" s="1">
        <v>10</v>
      </c>
      <c r="F1824" s="1">
        <v>41</v>
      </c>
    </row>
    <row r="1825" spans="1:6" x14ac:dyDescent="0.35">
      <c r="A1825" s="1">
        <v>46843</v>
      </c>
      <c r="B1825" s="2">
        <v>46301</v>
      </c>
      <c r="C1825" s="1" t="s">
        <v>9</v>
      </c>
      <c r="D1825" s="1">
        <v>2026</v>
      </c>
      <c r="E1825" s="1">
        <v>10</v>
      </c>
      <c r="F1825" s="1">
        <v>41</v>
      </c>
    </row>
    <row r="1826" spans="1:6" x14ac:dyDescent="0.35">
      <c r="A1826" s="1">
        <v>46842</v>
      </c>
      <c r="B1826" s="2">
        <v>46301</v>
      </c>
      <c r="C1826" s="1" t="s">
        <v>9</v>
      </c>
      <c r="D1826" s="1">
        <v>2026</v>
      </c>
      <c r="E1826" s="1">
        <v>10</v>
      </c>
      <c r="F1826" s="1">
        <v>41</v>
      </c>
    </row>
    <row r="1827" spans="1:6" x14ac:dyDescent="0.35">
      <c r="A1827" s="1">
        <v>46961</v>
      </c>
      <c r="B1827" s="2">
        <v>46302</v>
      </c>
      <c r="C1827" s="1" t="s">
        <v>17</v>
      </c>
      <c r="D1827" s="1">
        <v>2026</v>
      </c>
      <c r="E1827" s="1">
        <v>10</v>
      </c>
      <c r="F1827" s="1">
        <v>41</v>
      </c>
    </row>
    <row r="1828" spans="1:6" x14ac:dyDescent="0.35">
      <c r="A1828" s="1">
        <v>46960</v>
      </c>
      <c r="B1828" s="2">
        <v>46302</v>
      </c>
      <c r="C1828" s="1" t="s">
        <v>17</v>
      </c>
      <c r="D1828" s="1">
        <v>2026</v>
      </c>
      <c r="E1828" s="1">
        <v>10</v>
      </c>
      <c r="F1828" s="1">
        <v>41</v>
      </c>
    </row>
    <row r="1829" spans="1:6" x14ac:dyDescent="0.35">
      <c r="A1829" s="1">
        <v>46956</v>
      </c>
      <c r="B1829" s="2">
        <v>46302</v>
      </c>
      <c r="C1829" s="1" t="s">
        <v>9</v>
      </c>
      <c r="D1829" s="1">
        <v>2026</v>
      </c>
      <c r="E1829" s="1">
        <v>10</v>
      </c>
      <c r="F1829" s="1">
        <v>41</v>
      </c>
    </row>
    <row r="1830" spans="1:6" x14ac:dyDescent="0.35">
      <c r="A1830" s="1">
        <v>46955</v>
      </c>
      <c r="B1830" s="2">
        <v>46302</v>
      </c>
      <c r="C1830" s="1" t="s">
        <v>3</v>
      </c>
      <c r="D1830" s="1">
        <v>2026</v>
      </c>
      <c r="E1830" s="1">
        <v>10</v>
      </c>
      <c r="F1830" s="1">
        <v>41</v>
      </c>
    </row>
    <row r="1831" spans="1:6" x14ac:dyDescent="0.35">
      <c r="A1831" s="1">
        <v>46954</v>
      </c>
      <c r="B1831" s="2">
        <v>46302</v>
      </c>
      <c r="C1831" s="1" t="s">
        <v>9</v>
      </c>
      <c r="D1831" s="1">
        <v>2026</v>
      </c>
      <c r="E1831" s="1">
        <v>10</v>
      </c>
      <c r="F1831" s="1">
        <v>41</v>
      </c>
    </row>
    <row r="1832" spans="1:6" x14ac:dyDescent="0.35">
      <c r="A1832" s="1">
        <v>46953</v>
      </c>
      <c r="B1832" s="2">
        <v>46302</v>
      </c>
      <c r="C1832" s="1" t="s">
        <v>9</v>
      </c>
      <c r="D1832" s="1">
        <v>2026</v>
      </c>
      <c r="E1832" s="1">
        <v>10</v>
      </c>
      <c r="F1832" s="1">
        <v>41</v>
      </c>
    </row>
    <row r="1833" spans="1:6" x14ac:dyDescent="0.35">
      <c r="A1833" s="1">
        <v>46952</v>
      </c>
      <c r="B1833" s="2">
        <v>46302</v>
      </c>
      <c r="C1833" s="1" t="s">
        <v>7</v>
      </c>
      <c r="D1833" s="1">
        <v>2026</v>
      </c>
      <c r="E1833" s="1">
        <v>10</v>
      </c>
      <c r="F1833" s="1">
        <v>41</v>
      </c>
    </row>
    <row r="1834" spans="1:6" x14ac:dyDescent="0.35">
      <c r="A1834" s="1">
        <v>46951</v>
      </c>
      <c r="B1834" s="2">
        <v>46302</v>
      </c>
      <c r="C1834" s="1" t="s">
        <v>7</v>
      </c>
      <c r="D1834" s="1">
        <v>2026</v>
      </c>
      <c r="E1834" s="1">
        <v>10</v>
      </c>
      <c r="F1834" s="1">
        <v>41</v>
      </c>
    </row>
    <row r="1835" spans="1:6" x14ac:dyDescent="0.35">
      <c r="A1835" s="1">
        <v>46950</v>
      </c>
      <c r="B1835" s="2">
        <v>46302</v>
      </c>
      <c r="C1835" s="1" t="s">
        <v>7</v>
      </c>
      <c r="D1835" s="1">
        <v>2026</v>
      </c>
      <c r="E1835" s="1">
        <v>10</v>
      </c>
      <c r="F1835" s="1">
        <v>41</v>
      </c>
    </row>
    <row r="1836" spans="1:6" x14ac:dyDescent="0.35">
      <c r="A1836" s="1">
        <v>46949</v>
      </c>
      <c r="B1836" s="2">
        <v>46302</v>
      </c>
      <c r="C1836" s="1" t="s">
        <v>3</v>
      </c>
      <c r="D1836" s="1">
        <v>2026</v>
      </c>
      <c r="E1836" s="1">
        <v>10</v>
      </c>
      <c r="F1836" s="1">
        <v>41</v>
      </c>
    </row>
    <row r="1837" spans="1:6" x14ac:dyDescent="0.35">
      <c r="A1837" s="1">
        <v>46947</v>
      </c>
      <c r="B1837" s="2">
        <v>46302</v>
      </c>
      <c r="C1837" s="1" t="s">
        <v>19</v>
      </c>
      <c r="D1837" s="1">
        <v>2026</v>
      </c>
      <c r="E1837" s="1">
        <v>10</v>
      </c>
      <c r="F1837" s="1">
        <v>41</v>
      </c>
    </row>
    <row r="1838" spans="1:6" x14ac:dyDescent="0.35">
      <c r="A1838" s="1">
        <v>46945</v>
      </c>
      <c r="B1838" s="2">
        <v>46302</v>
      </c>
      <c r="C1838" s="1" t="s">
        <v>6</v>
      </c>
      <c r="D1838" s="1">
        <v>2026</v>
      </c>
      <c r="E1838" s="1">
        <v>10</v>
      </c>
      <c r="F1838" s="1">
        <v>41</v>
      </c>
    </row>
    <row r="1839" spans="1:6" x14ac:dyDescent="0.35">
      <c r="A1839" s="1">
        <v>46944</v>
      </c>
      <c r="B1839" s="2">
        <v>46302</v>
      </c>
      <c r="C1839" s="1" t="s">
        <v>6</v>
      </c>
      <c r="D1839" s="1">
        <v>2026</v>
      </c>
      <c r="E1839" s="1">
        <v>10</v>
      </c>
      <c r="F1839" s="1">
        <v>41</v>
      </c>
    </row>
    <row r="1840" spans="1:6" x14ac:dyDescent="0.35">
      <c r="A1840" s="1">
        <v>46942</v>
      </c>
      <c r="B1840" s="2">
        <v>46302</v>
      </c>
      <c r="C1840" s="1" t="s">
        <v>3</v>
      </c>
      <c r="D1840" s="1">
        <v>2026</v>
      </c>
      <c r="E1840" s="1">
        <v>10</v>
      </c>
      <c r="F1840" s="1">
        <v>41</v>
      </c>
    </row>
    <row r="1841" spans="1:6" x14ac:dyDescent="0.35">
      <c r="A1841" s="1">
        <v>47033</v>
      </c>
      <c r="B1841" s="2">
        <v>46303</v>
      </c>
      <c r="C1841" s="1" t="s">
        <v>10</v>
      </c>
      <c r="D1841" s="1">
        <v>2026</v>
      </c>
      <c r="E1841" s="1">
        <v>10</v>
      </c>
      <c r="F1841" s="1">
        <v>41</v>
      </c>
    </row>
    <row r="1842" spans="1:6" x14ac:dyDescent="0.35">
      <c r="A1842" s="1">
        <v>47032</v>
      </c>
      <c r="B1842" s="2">
        <v>46303</v>
      </c>
      <c r="C1842" s="1" t="s">
        <v>10</v>
      </c>
      <c r="D1842" s="1">
        <v>2026</v>
      </c>
      <c r="E1842" s="1">
        <v>10</v>
      </c>
      <c r="F1842" s="1">
        <v>41</v>
      </c>
    </row>
    <row r="1843" spans="1:6" x14ac:dyDescent="0.35">
      <c r="A1843" s="1">
        <v>47018</v>
      </c>
      <c r="B1843" s="2">
        <v>46303</v>
      </c>
      <c r="C1843" s="1" t="s">
        <v>21</v>
      </c>
      <c r="D1843" s="1">
        <v>2026</v>
      </c>
      <c r="E1843" s="1">
        <v>10</v>
      </c>
      <c r="F1843" s="1">
        <v>41</v>
      </c>
    </row>
    <row r="1844" spans="1:6" x14ac:dyDescent="0.35">
      <c r="A1844" s="1">
        <v>47017</v>
      </c>
      <c r="B1844" s="2">
        <v>46303</v>
      </c>
      <c r="C1844" s="1" t="s">
        <v>21</v>
      </c>
      <c r="D1844" s="1">
        <v>2026</v>
      </c>
      <c r="E1844" s="1">
        <v>10</v>
      </c>
      <c r="F1844" s="1">
        <v>41</v>
      </c>
    </row>
    <row r="1845" spans="1:6" x14ac:dyDescent="0.35">
      <c r="A1845" s="1">
        <v>47016</v>
      </c>
      <c r="B1845" s="2">
        <v>46303</v>
      </c>
      <c r="C1845" s="1" t="s">
        <v>3</v>
      </c>
      <c r="D1845" s="1">
        <v>2026</v>
      </c>
      <c r="E1845" s="1">
        <v>10</v>
      </c>
      <c r="F1845" s="1">
        <v>41</v>
      </c>
    </row>
    <row r="1846" spans="1:6" x14ac:dyDescent="0.35">
      <c r="A1846" s="1">
        <v>47015</v>
      </c>
      <c r="B1846" s="2">
        <v>46303</v>
      </c>
      <c r="C1846" s="1" t="s">
        <v>3</v>
      </c>
      <c r="D1846" s="1">
        <v>2026</v>
      </c>
      <c r="E1846" s="1">
        <v>10</v>
      </c>
      <c r="F1846" s="1">
        <v>41</v>
      </c>
    </row>
    <row r="1847" spans="1:6" x14ac:dyDescent="0.35">
      <c r="A1847" s="1">
        <v>47009</v>
      </c>
      <c r="B1847" s="2">
        <v>46303</v>
      </c>
      <c r="C1847" s="1" t="s">
        <v>22</v>
      </c>
      <c r="D1847" s="1">
        <v>2026</v>
      </c>
      <c r="E1847" s="1">
        <v>10</v>
      </c>
      <c r="F1847" s="1">
        <v>41</v>
      </c>
    </row>
    <row r="1848" spans="1:6" x14ac:dyDescent="0.35">
      <c r="A1848" s="1">
        <v>47008</v>
      </c>
      <c r="B1848" s="2">
        <v>46303</v>
      </c>
      <c r="C1848" s="1" t="s">
        <v>22</v>
      </c>
      <c r="D1848" s="1">
        <v>2026</v>
      </c>
      <c r="E1848" s="1">
        <v>10</v>
      </c>
      <c r="F1848" s="1">
        <v>41</v>
      </c>
    </row>
    <row r="1849" spans="1:6" x14ac:dyDescent="0.35">
      <c r="A1849" s="1">
        <v>47007</v>
      </c>
      <c r="B1849" s="2">
        <v>46303</v>
      </c>
      <c r="C1849" s="1" t="s">
        <v>22</v>
      </c>
      <c r="D1849" s="1">
        <v>2026</v>
      </c>
      <c r="E1849" s="1">
        <v>10</v>
      </c>
      <c r="F1849" s="1">
        <v>41</v>
      </c>
    </row>
    <row r="1850" spans="1:6" x14ac:dyDescent="0.35">
      <c r="A1850" s="1">
        <v>47006</v>
      </c>
      <c r="B1850" s="2">
        <v>46303</v>
      </c>
      <c r="C1850" s="1" t="s">
        <v>22</v>
      </c>
      <c r="D1850" s="1">
        <v>2026</v>
      </c>
      <c r="E1850" s="1">
        <v>10</v>
      </c>
      <c r="F1850" s="1">
        <v>41</v>
      </c>
    </row>
    <row r="1851" spans="1:6" x14ac:dyDescent="0.35">
      <c r="A1851" s="1">
        <v>47005</v>
      </c>
      <c r="B1851" s="2">
        <v>46303</v>
      </c>
      <c r="C1851" s="1" t="s">
        <v>22</v>
      </c>
      <c r="D1851" s="1">
        <v>2026</v>
      </c>
      <c r="E1851" s="1">
        <v>10</v>
      </c>
      <c r="F1851" s="1">
        <v>41</v>
      </c>
    </row>
    <row r="1852" spans="1:6" x14ac:dyDescent="0.35">
      <c r="A1852" s="1">
        <v>47004</v>
      </c>
      <c r="B1852" s="2">
        <v>46303</v>
      </c>
      <c r="C1852" s="1" t="s">
        <v>22</v>
      </c>
      <c r="D1852" s="1">
        <v>2026</v>
      </c>
      <c r="E1852" s="1">
        <v>10</v>
      </c>
      <c r="F1852" s="1">
        <v>41</v>
      </c>
    </row>
    <row r="1853" spans="1:6" x14ac:dyDescent="0.35">
      <c r="A1853" s="1">
        <v>47003</v>
      </c>
      <c r="B1853" s="2">
        <v>46303</v>
      </c>
      <c r="C1853" s="1" t="s">
        <v>22</v>
      </c>
      <c r="D1853" s="1">
        <v>2026</v>
      </c>
      <c r="E1853" s="1">
        <v>10</v>
      </c>
      <c r="F1853" s="1">
        <v>41</v>
      </c>
    </row>
    <row r="1854" spans="1:6" x14ac:dyDescent="0.35">
      <c r="A1854" s="1">
        <v>47002</v>
      </c>
      <c r="B1854" s="2">
        <v>46303</v>
      </c>
      <c r="C1854" s="1" t="s">
        <v>22</v>
      </c>
      <c r="D1854" s="1">
        <v>2026</v>
      </c>
      <c r="E1854" s="1">
        <v>10</v>
      </c>
      <c r="F1854" s="1">
        <v>41</v>
      </c>
    </row>
    <row r="1855" spans="1:6" x14ac:dyDescent="0.35">
      <c r="A1855" s="1">
        <v>47001</v>
      </c>
      <c r="B1855" s="2">
        <v>46303</v>
      </c>
      <c r="C1855" s="1" t="s">
        <v>22</v>
      </c>
      <c r="D1855" s="1">
        <v>2026</v>
      </c>
      <c r="E1855" s="1">
        <v>10</v>
      </c>
      <c r="F1855" s="1">
        <v>41</v>
      </c>
    </row>
    <row r="1856" spans="1:6" x14ac:dyDescent="0.35">
      <c r="A1856" s="1">
        <v>47000</v>
      </c>
      <c r="B1856" s="2">
        <v>46303</v>
      </c>
      <c r="C1856" s="1" t="s">
        <v>22</v>
      </c>
      <c r="D1856" s="1">
        <v>2026</v>
      </c>
      <c r="E1856" s="1">
        <v>10</v>
      </c>
      <c r="F1856" s="1">
        <v>41</v>
      </c>
    </row>
    <row r="1857" spans="1:6" x14ac:dyDescent="0.35">
      <c r="A1857" s="1">
        <v>46992</v>
      </c>
      <c r="B1857" s="2">
        <v>46303</v>
      </c>
      <c r="C1857" s="1" t="s">
        <v>19</v>
      </c>
      <c r="D1857" s="1">
        <v>2026</v>
      </c>
      <c r="E1857" s="1">
        <v>10</v>
      </c>
      <c r="F1857" s="1">
        <v>41</v>
      </c>
    </row>
    <row r="1858" spans="1:6" x14ac:dyDescent="0.35">
      <c r="A1858" s="1">
        <v>46991</v>
      </c>
      <c r="B1858" s="2">
        <v>46303</v>
      </c>
      <c r="C1858" s="1" t="s">
        <v>9</v>
      </c>
      <c r="D1858" s="1">
        <v>2026</v>
      </c>
      <c r="E1858" s="1">
        <v>10</v>
      </c>
      <c r="F1858" s="1">
        <v>41</v>
      </c>
    </row>
    <row r="1859" spans="1:6" x14ac:dyDescent="0.35">
      <c r="A1859" s="1">
        <v>46989</v>
      </c>
      <c r="B1859" s="2">
        <v>46303</v>
      </c>
      <c r="C1859" s="1" t="s">
        <v>7</v>
      </c>
      <c r="D1859" s="1">
        <v>2026</v>
      </c>
      <c r="E1859" s="1">
        <v>10</v>
      </c>
      <c r="F1859" s="1">
        <v>41</v>
      </c>
    </row>
    <row r="1860" spans="1:6" x14ac:dyDescent="0.35">
      <c r="A1860" s="1">
        <v>46987</v>
      </c>
      <c r="B1860" s="2">
        <v>46303</v>
      </c>
      <c r="C1860" s="1" t="s">
        <v>21</v>
      </c>
      <c r="D1860" s="1">
        <v>2026</v>
      </c>
      <c r="E1860" s="1">
        <v>10</v>
      </c>
      <c r="F1860" s="1">
        <v>41</v>
      </c>
    </row>
    <row r="1861" spans="1:6" x14ac:dyDescent="0.35">
      <c r="A1861" s="1">
        <v>46985</v>
      </c>
      <c r="B1861" s="2">
        <v>46303</v>
      </c>
      <c r="C1861" s="1" t="s">
        <v>19</v>
      </c>
      <c r="D1861" s="1">
        <v>2026</v>
      </c>
      <c r="E1861" s="1">
        <v>10</v>
      </c>
      <c r="F1861" s="1">
        <v>41</v>
      </c>
    </row>
    <row r="1862" spans="1:6" x14ac:dyDescent="0.35">
      <c r="A1862" s="1">
        <v>46980</v>
      </c>
      <c r="B1862" s="2">
        <v>46303</v>
      </c>
      <c r="C1862" s="1" t="s">
        <v>9</v>
      </c>
      <c r="D1862" s="1">
        <v>2026</v>
      </c>
      <c r="E1862" s="1">
        <v>10</v>
      </c>
      <c r="F1862" s="1">
        <v>41</v>
      </c>
    </row>
    <row r="1863" spans="1:6" x14ac:dyDescent="0.35">
      <c r="A1863" s="1">
        <v>46979</v>
      </c>
      <c r="B1863" s="2">
        <v>46303</v>
      </c>
      <c r="C1863" s="1" t="s">
        <v>21</v>
      </c>
      <c r="D1863" s="1">
        <v>2026</v>
      </c>
      <c r="E1863" s="1">
        <v>10</v>
      </c>
      <c r="F1863" s="1">
        <v>41</v>
      </c>
    </row>
    <row r="1864" spans="1:6" x14ac:dyDescent="0.35">
      <c r="A1864" s="1">
        <v>46978</v>
      </c>
      <c r="B1864" s="2">
        <v>46303</v>
      </c>
      <c r="C1864" s="1" t="s">
        <v>28</v>
      </c>
      <c r="D1864" s="1">
        <v>2026</v>
      </c>
      <c r="E1864" s="1">
        <v>10</v>
      </c>
      <c r="F1864" s="1">
        <v>41</v>
      </c>
    </row>
    <row r="1865" spans="1:6" x14ac:dyDescent="0.35">
      <c r="A1865" s="1">
        <v>46977</v>
      </c>
      <c r="B1865" s="2">
        <v>46303</v>
      </c>
      <c r="C1865" s="1" t="s">
        <v>28</v>
      </c>
      <c r="D1865" s="1">
        <v>2026</v>
      </c>
      <c r="E1865" s="1">
        <v>10</v>
      </c>
      <c r="F1865" s="1">
        <v>41</v>
      </c>
    </row>
    <row r="1866" spans="1:6" x14ac:dyDescent="0.35">
      <c r="A1866" s="1">
        <v>46976</v>
      </c>
      <c r="B1866" s="2">
        <v>46303</v>
      </c>
      <c r="C1866" s="1" t="s">
        <v>28</v>
      </c>
      <c r="D1866" s="1">
        <v>2026</v>
      </c>
      <c r="E1866" s="1">
        <v>10</v>
      </c>
      <c r="F1866" s="1">
        <v>41</v>
      </c>
    </row>
    <row r="1867" spans="1:6" x14ac:dyDescent="0.35">
      <c r="A1867" s="1">
        <v>46975</v>
      </c>
      <c r="B1867" s="2">
        <v>46303</v>
      </c>
      <c r="C1867" s="1" t="s">
        <v>28</v>
      </c>
      <c r="D1867" s="1">
        <v>2026</v>
      </c>
      <c r="E1867" s="1">
        <v>10</v>
      </c>
      <c r="F1867" s="1">
        <v>41</v>
      </c>
    </row>
    <row r="1868" spans="1:6" x14ac:dyDescent="0.35">
      <c r="A1868" s="1">
        <v>46974</v>
      </c>
      <c r="B1868" s="2">
        <v>46303</v>
      </c>
      <c r="C1868" s="1" t="s">
        <v>28</v>
      </c>
      <c r="D1868" s="1">
        <v>2026</v>
      </c>
      <c r="E1868" s="1">
        <v>10</v>
      </c>
      <c r="F1868" s="1">
        <v>41</v>
      </c>
    </row>
    <row r="1869" spans="1:6" x14ac:dyDescent="0.35">
      <c r="A1869" s="1">
        <v>46973</v>
      </c>
      <c r="B1869" s="2">
        <v>46303</v>
      </c>
      <c r="C1869" s="1" t="s">
        <v>28</v>
      </c>
      <c r="D1869" s="1">
        <v>2026</v>
      </c>
      <c r="E1869" s="1">
        <v>10</v>
      </c>
      <c r="F1869" s="1">
        <v>41</v>
      </c>
    </row>
    <row r="1870" spans="1:6" x14ac:dyDescent="0.35">
      <c r="A1870" s="1">
        <v>46972</v>
      </c>
      <c r="B1870" s="2">
        <v>46303</v>
      </c>
      <c r="C1870" s="1" t="s">
        <v>21</v>
      </c>
      <c r="D1870" s="1">
        <v>2026</v>
      </c>
      <c r="E1870" s="1">
        <v>10</v>
      </c>
      <c r="F1870" s="1">
        <v>41</v>
      </c>
    </row>
    <row r="1871" spans="1:6" x14ac:dyDescent="0.35">
      <c r="A1871" s="1">
        <v>46971</v>
      </c>
      <c r="B1871" s="2">
        <v>46303</v>
      </c>
      <c r="C1871" s="1" t="s">
        <v>21</v>
      </c>
      <c r="D1871" s="1">
        <v>2026</v>
      </c>
      <c r="E1871" s="1">
        <v>10</v>
      </c>
      <c r="F1871" s="1">
        <v>41</v>
      </c>
    </row>
    <row r="1872" spans="1:6" x14ac:dyDescent="0.35">
      <c r="A1872" s="1">
        <v>46970</v>
      </c>
      <c r="B1872" s="2">
        <v>46303</v>
      </c>
      <c r="C1872" s="1" t="s">
        <v>21</v>
      </c>
      <c r="D1872" s="1">
        <v>2026</v>
      </c>
      <c r="E1872" s="1">
        <v>10</v>
      </c>
      <c r="F1872" s="1">
        <v>41</v>
      </c>
    </row>
    <row r="1873" spans="1:6" x14ac:dyDescent="0.35">
      <c r="A1873" s="1">
        <v>46969</v>
      </c>
      <c r="B1873" s="2">
        <v>46303</v>
      </c>
      <c r="C1873" s="1" t="s">
        <v>21</v>
      </c>
      <c r="D1873" s="1">
        <v>2026</v>
      </c>
      <c r="E1873" s="1">
        <v>10</v>
      </c>
      <c r="F1873" s="1">
        <v>41</v>
      </c>
    </row>
    <row r="1874" spans="1:6" x14ac:dyDescent="0.35">
      <c r="A1874" s="1">
        <v>46968</v>
      </c>
      <c r="B1874" s="2">
        <v>46303</v>
      </c>
      <c r="C1874" s="1" t="s">
        <v>24</v>
      </c>
      <c r="D1874" s="1">
        <v>2026</v>
      </c>
      <c r="E1874" s="1">
        <v>10</v>
      </c>
      <c r="F1874" s="1">
        <v>41</v>
      </c>
    </row>
    <row r="1875" spans="1:6" x14ac:dyDescent="0.35">
      <c r="A1875" s="1">
        <v>46967</v>
      </c>
      <c r="B1875" s="2">
        <v>46303</v>
      </c>
      <c r="C1875" s="1" t="s">
        <v>24</v>
      </c>
      <c r="D1875" s="1">
        <v>2026</v>
      </c>
      <c r="E1875" s="1">
        <v>10</v>
      </c>
      <c r="F1875" s="1">
        <v>41</v>
      </c>
    </row>
    <row r="1876" spans="1:6" x14ac:dyDescent="0.35">
      <c r="A1876" s="1">
        <v>46966</v>
      </c>
      <c r="B1876" s="2">
        <v>46303</v>
      </c>
      <c r="C1876" s="1" t="s">
        <v>24</v>
      </c>
      <c r="D1876" s="1">
        <v>2026</v>
      </c>
      <c r="E1876" s="1">
        <v>10</v>
      </c>
      <c r="F1876" s="1">
        <v>41</v>
      </c>
    </row>
    <row r="1877" spans="1:6" x14ac:dyDescent="0.35">
      <c r="A1877" s="1">
        <v>46965</v>
      </c>
      <c r="B1877" s="2">
        <v>46303</v>
      </c>
      <c r="C1877" s="1" t="s">
        <v>24</v>
      </c>
      <c r="D1877" s="1">
        <v>2026</v>
      </c>
      <c r="E1877" s="1">
        <v>10</v>
      </c>
      <c r="F1877" s="1">
        <v>41</v>
      </c>
    </row>
    <row r="1878" spans="1:6" x14ac:dyDescent="0.35">
      <c r="A1878" s="1">
        <v>46964</v>
      </c>
      <c r="B1878" s="2">
        <v>46303</v>
      </c>
      <c r="C1878" s="1" t="s">
        <v>24</v>
      </c>
      <c r="D1878" s="1">
        <v>2026</v>
      </c>
      <c r="E1878" s="1">
        <v>10</v>
      </c>
      <c r="F1878" s="1">
        <v>41</v>
      </c>
    </row>
    <row r="1879" spans="1:6" x14ac:dyDescent="0.35">
      <c r="A1879" s="1">
        <v>46963</v>
      </c>
      <c r="B1879" s="2">
        <v>46303</v>
      </c>
      <c r="C1879" s="1" t="s">
        <v>4</v>
      </c>
      <c r="D1879" s="1">
        <v>2026</v>
      </c>
      <c r="E1879" s="1">
        <v>10</v>
      </c>
      <c r="F1879" s="1">
        <v>41</v>
      </c>
    </row>
    <row r="1880" spans="1:6" x14ac:dyDescent="0.35">
      <c r="A1880" s="1">
        <v>46962</v>
      </c>
      <c r="B1880" s="2">
        <v>46303</v>
      </c>
      <c r="C1880" s="1" t="s">
        <v>4</v>
      </c>
      <c r="D1880" s="1">
        <v>2026</v>
      </c>
      <c r="E1880" s="1">
        <v>10</v>
      </c>
      <c r="F1880" s="1">
        <v>41</v>
      </c>
    </row>
    <row r="1881" spans="1:6" x14ac:dyDescent="0.35">
      <c r="A1881" s="1">
        <v>47106</v>
      </c>
      <c r="B1881" s="2">
        <v>46304</v>
      </c>
      <c r="C1881" s="1" t="s">
        <v>10</v>
      </c>
      <c r="D1881" s="1">
        <v>2026</v>
      </c>
      <c r="E1881" s="1">
        <v>10</v>
      </c>
      <c r="F1881" s="1">
        <v>41</v>
      </c>
    </row>
    <row r="1882" spans="1:6" x14ac:dyDescent="0.35">
      <c r="A1882" s="1">
        <v>47105</v>
      </c>
      <c r="B1882" s="2">
        <v>46304</v>
      </c>
      <c r="C1882" s="1" t="s">
        <v>10</v>
      </c>
      <c r="D1882" s="1">
        <v>2026</v>
      </c>
      <c r="E1882" s="1">
        <v>10</v>
      </c>
      <c r="F1882" s="1">
        <v>41</v>
      </c>
    </row>
    <row r="1883" spans="1:6" x14ac:dyDescent="0.35">
      <c r="A1883" s="1">
        <v>47100</v>
      </c>
      <c r="B1883" s="2">
        <v>46304</v>
      </c>
      <c r="C1883" s="1" t="s">
        <v>24</v>
      </c>
      <c r="D1883" s="1">
        <v>2026</v>
      </c>
      <c r="E1883" s="1">
        <v>10</v>
      </c>
      <c r="F1883" s="1">
        <v>41</v>
      </c>
    </row>
    <row r="1884" spans="1:6" x14ac:dyDescent="0.35">
      <c r="A1884" s="1">
        <v>47099</v>
      </c>
      <c r="B1884" s="2">
        <v>46304</v>
      </c>
      <c r="C1884" s="1" t="s">
        <v>24</v>
      </c>
      <c r="D1884" s="1">
        <v>2026</v>
      </c>
      <c r="E1884" s="1">
        <v>10</v>
      </c>
      <c r="F1884" s="1">
        <v>41</v>
      </c>
    </row>
    <row r="1885" spans="1:6" x14ac:dyDescent="0.35">
      <c r="A1885" s="1">
        <v>47098</v>
      </c>
      <c r="B1885" s="2">
        <v>46304</v>
      </c>
      <c r="C1885" s="1" t="s">
        <v>24</v>
      </c>
      <c r="D1885" s="1">
        <v>2026</v>
      </c>
      <c r="E1885" s="1">
        <v>10</v>
      </c>
      <c r="F1885" s="1">
        <v>41</v>
      </c>
    </row>
    <row r="1886" spans="1:6" x14ac:dyDescent="0.35">
      <c r="A1886" s="1">
        <v>47097</v>
      </c>
      <c r="B1886" s="2">
        <v>46304</v>
      </c>
      <c r="C1886" s="1" t="s">
        <v>28</v>
      </c>
      <c r="D1886" s="1">
        <v>2026</v>
      </c>
      <c r="E1886" s="1">
        <v>10</v>
      </c>
      <c r="F1886" s="1">
        <v>41</v>
      </c>
    </row>
    <row r="1887" spans="1:6" x14ac:dyDescent="0.35">
      <c r="A1887" s="1">
        <v>47095</v>
      </c>
      <c r="B1887" s="2">
        <v>46304</v>
      </c>
      <c r="C1887" s="1" t="s">
        <v>3</v>
      </c>
      <c r="D1887" s="1">
        <v>2026</v>
      </c>
      <c r="E1887" s="1">
        <v>10</v>
      </c>
      <c r="F1887" s="1">
        <v>41</v>
      </c>
    </row>
    <row r="1888" spans="1:6" x14ac:dyDescent="0.35">
      <c r="A1888" s="1">
        <v>47094</v>
      </c>
      <c r="B1888" s="2">
        <v>46304</v>
      </c>
      <c r="C1888" s="1" t="s">
        <v>21</v>
      </c>
      <c r="D1888" s="1">
        <v>2026</v>
      </c>
      <c r="E1888" s="1">
        <v>10</v>
      </c>
      <c r="F1888" s="1">
        <v>41</v>
      </c>
    </row>
    <row r="1889" spans="1:6" x14ac:dyDescent="0.35">
      <c r="A1889" s="1">
        <v>47092</v>
      </c>
      <c r="B1889" s="2">
        <v>46304</v>
      </c>
      <c r="C1889" s="1" t="s">
        <v>7</v>
      </c>
      <c r="D1889" s="1">
        <v>2026</v>
      </c>
      <c r="E1889" s="1">
        <v>10</v>
      </c>
      <c r="F1889" s="1">
        <v>41</v>
      </c>
    </row>
    <row r="1890" spans="1:6" x14ac:dyDescent="0.35">
      <c r="A1890" s="1">
        <v>47091</v>
      </c>
      <c r="B1890" s="2">
        <v>46304</v>
      </c>
      <c r="C1890" s="1" t="s">
        <v>7</v>
      </c>
      <c r="D1890" s="1">
        <v>2026</v>
      </c>
      <c r="E1890" s="1">
        <v>10</v>
      </c>
      <c r="F1890" s="1">
        <v>41</v>
      </c>
    </row>
    <row r="1891" spans="1:6" x14ac:dyDescent="0.35">
      <c r="A1891" s="1">
        <v>47090</v>
      </c>
      <c r="B1891" s="2">
        <v>46304</v>
      </c>
      <c r="C1891" s="1" t="s">
        <v>28</v>
      </c>
      <c r="D1891" s="1">
        <v>2026</v>
      </c>
      <c r="E1891" s="1">
        <v>10</v>
      </c>
      <c r="F1891" s="1">
        <v>41</v>
      </c>
    </row>
    <row r="1892" spans="1:6" x14ac:dyDescent="0.35">
      <c r="A1892" s="1">
        <v>47089</v>
      </c>
      <c r="B1892" s="2">
        <v>46304</v>
      </c>
      <c r="C1892" s="1" t="s">
        <v>9</v>
      </c>
      <c r="D1892" s="1">
        <v>2026</v>
      </c>
      <c r="E1892" s="1">
        <v>10</v>
      </c>
      <c r="F1892" s="1">
        <v>41</v>
      </c>
    </row>
    <row r="1893" spans="1:6" x14ac:dyDescent="0.35">
      <c r="A1893" s="1">
        <v>47088</v>
      </c>
      <c r="B1893" s="2">
        <v>46304</v>
      </c>
      <c r="C1893" s="1" t="s">
        <v>9</v>
      </c>
      <c r="D1893" s="1">
        <v>2026</v>
      </c>
      <c r="E1893" s="1">
        <v>10</v>
      </c>
      <c r="F1893" s="1">
        <v>41</v>
      </c>
    </row>
    <row r="1894" spans="1:6" x14ac:dyDescent="0.35">
      <c r="A1894" s="1">
        <v>47087</v>
      </c>
      <c r="B1894" s="2">
        <v>46304</v>
      </c>
      <c r="C1894" s="1" t="s">
        <v>19</v>
      </c>
      <c r="D1894" s="1">
        <v>2026</v>
      </c>
      <c r="E1894" s="1">
        <v>10</v>
      </c>
      <c r="F1894" s="1">
        <v>41</v>
      </c>
    </row>
    <row r="1895" spans="1:6" x14ac:dyDescent="0.35">
      <c r="A1895" s="1">
        <v>47082</v>
      </c>
      <c r="B1895" s="2">
        <v>46304</v>
      </c>
      <c r="C1895" s="1" t="s">
        <v>28</v>
      </c>
      <c r="D1895" s="1">
        <v>2026</v>
      </c>
      <c r="E1895" s="1">
        <v>10</v>
      </c>
      <c r="F1895" s="1">
        <v>41</v>
      </c>
    </row>
    <row r="1896" spans="1:6" x14ac:dyDescent="0.35">
      <c r="A1896" s="1">
        <v>47078</v>
      </c>
      <c r="B1896" s="2">
        <v>46304</v>
      </c>
      <c r="C1896" s="1" t="s">
        <v>28</v>
      </c>
      <c r="D1896" s="1">
        <v>2026</v>
      </c>
      <c r="E1896" s="1">
        <v>10</v>
      </c>
      <c r="F1896" s="1">
        <v>41</v>
      </c>
    </row>
    <row r="1897" spans="1:6" x14ac:dyDescent="0.35">
      <c r="A1897" s="1">
        <v>47076</v>
      </c>
      <c r="B1897" s="2">
        <v>46304</v>
      </c>
      <c r="C1897" s="1" t="s">
        <v>24</v>
      </c>
      <c r="D1897" s="1">
        <v>2026</v>
      </c>
      <c r="E1897" s="1">
        <v>10</v>
      </c>
      <c r="F1897" s="1">
        <v>41</v>
      </c>
    </row>
    <row r="1898" spans="1:6" x14ac:dyDescent="0.35">
      <c r="A1898" s="1">
        <v>47075</v>
      </c>
      <c r="B1898" s="2">
        <v>46304</v>
      </c>
      <c r="C1898" s="1" t="s">
        <v>24</v>
      </c>
      <c r="D1898" s="1">
        <v>2026</v>
      </c>
      <c r="E1898" s="1">
        <v>10</v>
      </c>
      <c r="F1898" s="1">
        <v>41</v>
      </c>
    </row>
    <row r="1899" spans="1:6" x14ac:dyDescent="0.35">
      <c r="A1899" s="1">
        <v>47074</v>
      </c>
      <c r="B1899" s="2">
        <v>46304</v>
      </c>
      <c r="C1899" s="1" t="s">
        <v>24</v>
      </c>
      <c r="D1899" s="1">
        <v>2026</v>
      </c>
      <c r="E1899" s="1">
        <v>10</v>
      </c>
      <c r="F1899" s="1">
        <v>41</v>
      </c>
    </row>
    <row r="1900" spans="1:6" x14ac:dyDescent="0.35">
      <c r="A1900" s="1">
        <v>47073</v>
      </c>
      <c r="B1900" s="2">
        <v>46304</v>
      </c>
      <c r="C1900" s="1" t="s">
        <v>24</v>
      </c>
      <c r="D1900" s="1">
        <v>2026</v>
      </c>
      <c r="E1900" s="1">
        <v>10</v>
      </c>
      <c r="F1900" s="1">
        <v>41</v>
      </c>
    </row>
    <row r="1901" spans="1:6" x14ac:dyDescent="0.35">
      <c r="A1901" s="1">
        <v>47071</v>
      </c>
      <c r="B1901" s="2">
        <v>46304</v>
      </c>
      <c r="C1901" s="1" t="s">
        <v>21</v>
      </c>
      <c r="D1901" s="1">
        <v>2026</v>
      </c>
      <c r="E1901" s="1">
        <v>10</v>
      </c>
      <c r="F1901" s="1">
        <v>41</v>
      </c>
    </row>
    <row r="1902" spans="1:6" x14ac:dyDescent="0.35">
      <c r="A1902" s="1">
        <v>47070</v>
      </c>
      <c r="B1902" s="2">
        <v>46304</v>
      </c>
      <c r="C1902" s="1" t="s">
        <v>19</v>
      </c>
      <c r="D1902" s="1">
        <v>2026</v>
      </c>
      <c r="E1902" s="1">
        <v>10</v>
      </c>
      <c r="F1902" s="1">
        <v>41</v>
      </c>
    </row>
    <row r="1903" spans="1:6" x14ac:dyDescent="0.35">
      <c r="A1903" s="1">
        <v>47051</v>
      </c>
      <c r="B1903" s="2">
        <v>46304</v>
      </c>
      <c r="C1903" s="1" t="s">
        <v>19</v>
      </c>
      <c r="D1903" s="1">
        <v>2026</v>
      </c>
      <c r="E1903" s="1">
        <v>10</v>
      </c>
      <c r="F1903" s="1">
        <v>41</v>
      </c>
    </row>
    <row r="1904" spans="1:6" x14ac:dyDescent="0.35">
      <c r="A1904" s="1">
        <v>47049</v>
      </c>
      <c r="B1904" s="2">
        <v>46304</v>
      </c>
      <c r="C1904" s="1" t="s">
        <v>21</v>
      </c>
      <c r="D1904" s="1">
        <v>2026</v>
      </c>
      <c r="E1904" s="1">
        <v>10</v>
      </c>
      <c r="F1904" s="1">
        <v>41</v>
      </c>
    </row>
    <row r="1905" spans="1:6" x14ac:dyDescent="0.35">
      <c r="A1905" s="1">
        <v>47047</v>
      </c>
      <c r="B1905" s="2">
        <v>46304</v>
      </c>
      <c r="C1905" s="1" t="s">
        <v>3</v>
      </c>
      <c r="D1905" s="1">
        <v>2026</v>
      </c>
      <c r="E1905" s="1">
        <v>10</v>
      </c>
      <c r="F1905" s="1">
        <v>41</v>
      </c>
    </row>
    <row r="1906" spans="1:6" x14ac:dyDescent="0.35">
      <c r="A1906" s="1">
        <v>47044</v>
      </c>
      <c r="B1906" s="2">
        <v>46304</v>
      </c>
      <c r="C1906" s="1" t="s">
        <v>19</v>
      </c>
      <c r="D1906" s="1">
        <v>2026</v>
      </c>
      <c r="E1906" s="1">
        <v>10</v>
      </c>
      <c r="F1906" s="1">
        <v>41</v>
      </c>
    </row>
    <row r="1907" spans="1:6" x14ac:dyDescent="0.35">
      <c r="A1907" s="1">
        <v>47039</v>
      </c>
      <c r="B1907" s="2">
        <v>46304</v>
      </c>
      <c r="C1907" s="1" t="s">
        <v>21</v>
      </c>
      <c r="D1907" s="1">
        <v>2026</v>
      </c>
      <c r="E1907" s="1">
        <v>10</v>
      </c>
      <c r="F1907" s="1">
        <v>41</v>
      </c>
    </row>
    <row r="1908" spans="1:6" x14ac:dyDescent="0.35">
      <c r="A1908" s="1">
        <v>47038</v>
      </c>
      <c r="B1908" s="2">
        <v>46304</v>
      </c>
      <c r="C1908" s="1" t="s">
        <v>19</v>
      </c>
      <c r="D1908" s="1">
        <v>2026</v>
      </c>
      <c r="E1908" s="1">
        <v>10</v>
      </c>
      <c r="F1908" s="1">
        <v>41</v>
      </c>
    </row>
    <row r="1909" spans="1:6" x14ac:dyDescent="0.35">
      <c r="A1909" s="1">
        <v>47036</v>
      </c>
      <c r="B1909" s="2">
        <v>46304</v>
      </c>
      <c r="C1909" s="1" t="s">
        <v>9</v>
      </c>
      <c r="D1909" s="1">
        <v>2026</v>
      </c>
      <c r="E1909" s="1">
        <v>10</v>
      </c>
      <c r="F1909" s="1">
        <v>41</v>
      </c>
    </row>
    <row r="1910" spans="1:6" x14ac:dyDescent="0.35">
      <c r="A1910" s="1">
        <v>47117</v>
      </c>
      <c r="B1910" s="2">
        <v>46305</v>
      </c>
      <c r="C1910" s="1" t="s">
        <v>10</v>
      </c>
      <c r="D1910" s="1">
        <v>2026</v>
      </c>
      <c r="E1910" s="1">
        <v>10</v>
      </c>
      <c r="F1910" s="1">
        <v>41</v>
      </c>
    </row>
    <row r="1911" spans="1:6" x14ac:dyDescent="0.35">
      <c r="A1911" s="1">
        <v>47107</v>
      </c>
      <c r="B1911" s="2">
        <v>46305</v>
      </c>
      <c r="C1911" s="1" t="s">
        <v>10</v>
      </c>
      <c r="D1911" s="1">
        <v>2026</v>
      </c>
      <c r="E1911" s="1">
        <v>10</v>
      </c>
      <c r="F1911" s="1">
        <v>41</v>
      </c>
    </row>
    <row r="1912" spans="1:6" x14ac:dyDescent="0.35">
      <c r="A1912" s="1">
        <v>47130</v>
      </c>
      <c r="B1912" s="2">
        <v>46306</v>
      </c>
      <c r="C1912" s="1" t="s">
        <v>17</v>
      </c>
      <c r="D1912" s="1">
        <v>2026</v>
      </c>
      <c r="E1912" s="1">
        <v>10</v>
      </c>
      <c r="F1912" s="1">
        <v>42</v>
      </c>
    </row>
    <row r="1913" spans="1:6" x14ac:dyDescent="0.35">
      <c r="A1913" s="1">
        <v>47129</v>
      </c>
      <c r="B1913" s="2">
        <v>46306</v>
      </c>
      <c r="C1913" s="1" t="s">
        <v>17</v>
      </c>
      <c r="D1913" s="1">
        <v>2026</v>
      </c>
      <c r="E1913" s="1">
        <v>10</v>
      </c>
      <c r="F1913" s="1">
        <v>42</v>
      </c>
    </row>
    <row r="1914" spans="1:6" x14ac:dyDescent="0.35">
      <c r="A1914" s="1">
        <v>47128</v>
      </c>
      <c r="B1914" s="2">
        <v>46306</v>
      </c>
      <c r="C1914" s="1" t="s">
        <v>17</v>
      </c>
      <c r="D1914" s="1">
        <v>2026</v>
      </c>
      <c r="E1914" s="1">
        <v>10</v>
      </c>
      <c r="F1914" s="1">
        <v>42</v>
      </c>
    </row>
    <row r="1915" spans="1:6" x14ac:dyDescent="0.35">
      <c r="A1915" s="1">
        <v>47127</v>
      </c>
      <c r="B1915" s="2">
        <v>46306</v>
      </c>
      <c r="C1915" s="1" t="s">
        <v>17</v>
      </c>
      <c r="D1915" s="1">
        <v>2026</v>
      </c>
      <c r="E1915" s="1">
        <v>10</v>
      </c>
      <c r="F1915" s="1">
        <v>42</v>
      </c>
    </row>
    <row r="1916" spans="1:6" x14ac:dyDescent="0.35">
      <c r="A1916" s="1">
        <v>47170</v>
      </c>
      <c r="B1916" s="2">
        <v>46307</v>
      </c>
      <c r="C1916" s="1" t="s">
        <v>10</v>
      </c>
      <c r="D1916" s="1">
        <v>2026</v>
      </c>
      <c r="E1916" s="1">
        <v>10</v>
      </c>
      <c r="F1916" s="1">
        <v>42</v>
      </c>
    </row>
    <row r="1917" spans="1:6" x14ac:dyDescent="0.35">
      <c r="A1917" s="1">
        <v>47169</v>
      </c>
      <c r="B1917" s="2">
        <v>46307</v>
      </c>
      <c r="C1917" s="1" t="s">
        <v>10</v>
      </c>
      <c r="D1917" s="1">
        <v>2026</v>
      </c>
      <c r="E1917" s="1">
        <v>10</v>
      </c>
      <c r="F1917" s="1">
        <v>42</v>
      </c>
    </row>
    <row r="1918" spans="1:6" x14ac:dyDescent="0.35">
      <c r="A1918" s="1">
        <v>47188</v>
      </c>
      <c r="B1918" s="2">
        <v>46308</v>
      </c>
      <c r="C1918" s="1" t="s">
        <v>3</v>
      </c>
      <c r="D1918" s="1">
        <v>2026</v>
      </c>
      <c r="E1918" s="1">
        <v>10</v>
      </c>
      <c r="F1918" s="1">
        <v>42</v>
      </c>
    </row>
    <row r="1919" spans="1:6" x14ac:dyDescent="0.35">
      <c r="A1919" s="1">
        <v>47187</v>
      </c>
      <c r="B1919" s="2">
        <v>46308</v>
      </c>
      <c r="C1919" s="1" t="s">
        <v>21</v>
      </c>
      <c r="D1919" s="1">
        <v>2026</v>
      </c>
      <c r="E1919" s="1">
        <v>10</v>
      </c>
      <c r="F1919" s="1">
        <v>42</v>
      </c>
    </row>
    <row r="1920" spans="1:6" x14ac:dyDescent="0.35">
      <c r="A1920" s="1">
        <v>47246</v>
      </c>
      <c r="B1920" s="2">
        <v>46308</v>
      </c>
      <c r="C1920" s="1" t="s">
        <v>3</v>
      </c>
      <c r="D1920" s="1">
        <v>2026</v>
      </c>
      <c r="E1920" s="1">
        <v>10</v>
      </c>
      <c r="F1920" s="1">
        <v>42</v>
      </c>
    </row>
    <row r="1921" spans="1:6" x14ac:dyDescent="0.35">
      <c r="A1921" s="1">
        <v>47245</v>
      </c>
      <c r="B1921" s="2">
        <v>46308</v>
      </c>
      <c r="C1921" s="1" t="s">
        <v>10</v>
      </c>
      <c r="D1921" s="1">
        <v>2026</v>
      </c>
      <c r="E1921" s="1">
        <v>10</v>
      </c>
      <c r="F1921" s="1">
        <v>42</v>
      </c>
    </row>
    <row r="1922" spans="1:6" x14ac:dyDescent="0.35">
      <c r="A1922" s="1">
        <v>47244</v>
      </c>
      <c r="B1922" s="2">
        <v>46308</v>
      </c>
      <c r="C1922" s="1" t="s">
        <v>10</v>
      </c>
      <c r="D1922" s="1">
        <v>2026</v>
      </c>
      <c r="E1922" s="1">
        <v>10</v>
      </c>
      <c r="F1922" s="1">
        <v>42</v>
      </c>
    </row>
    <row r="1923" spans="1:6" x14ac:dyDescent="0.35">
      <c r="A1923" s="1">
        <v>47232</v>
      </c>
      <c r="B1923" s="2">
        <v>46308</v>
      </c>
      <c r="C1923" s="1" t="s">
        <v>22</v>
      </c>
      <c r="D1923" s="1">
        <v>2026</v>
      </c>
      <c r="E1923" s="1">
        <v>10</v>
      </c>
      <c r="F1923" s="1">
        <v>42</v>
      </c>
    </row>
    <row r="1924" spans="1:6" x14ac:dyDescent="0.35">
      <c r="A1924" s="1">
        <v>47231</v>
      </c>
      <c r="B1924" s="2">
        <v>46308</v>
      </c>
      <c r="C1924" s="1" t="s">
        <v>22</v>
      </c>
      <c r="D1924" s="1">
        <v>2026</v>
      </c>
      <c r="E1924" s="1">
        <v>10</v>
      </c>
      <c r="F1924" s="1">
        <v>42</v>
      </c>
    </row>
    <row r="1925" spans="1:6" x14ac:dyDescent="0.35">
      <c r="A1925" s="1">
        <v>47230</v>
      </c>
      <c r="B1925" s="2">
        <v>46308</v>
      </c>
      <c r="C1925" s="1" t="s">
        <v>22</v>
      </c>
      <c r="D1925" s="1">
        <v>2026</v>
      </c>
      <c r="E1925" s="1">
        <v>10</v>
      </c>
      <c r="F1925" s="1">
        <v>42</v>
      </c>
    </row>
    <row r="1926" spans="1:6" x14ac:dyDescent="0.35">
      <c r="A1926" s="1">
        <v>47229</v>
      </c>
      <c r="B1926" s="2">
        <v>46308</v>
      </c>
      <c r="C1926" s="1" t="s">
        <v>24</v>
      </c>
      <c r="D1926" s="1">
        <v>2026</v>
      </c>
      <c r="E1926" s="1">
        <v>10</v>
      </c>
      <c r="F1926" s="1">
        <v>42</v>
      </c>
    </row>
    <row r="1927" spans="1:6" x14ac:dyDescent="0.35">
      <c r="A1927" s="1">
        <v>47228</v>
      </c>
      <c r="B1927" s="2">
        <v>46308</v>
      </c>
      <c r="C1927" s="1" t="s">
        <v>24</v>
      </c>
      <c r="D1927" s="1">
        <v>2026</v>
      </c>
      <c r="E1927" s="1">
        <v>10</v>
      </c>
      <c r="F1927" s="1">
        <v>42</v>
      </c>
    </row>
    <row r="1928" spans="1:6" x14ac:dyDescent="0.35">
      <c r="A1928" s="1">
        <v>47227</v>
      </c>
      <c r="B1928" s="2">
        <v>46308</v>
      </c>
      <c r="C1928" s="1" t="s">
        <v>7</v>
      </c>
      <c r="D1928" s="1">
        <v>2026</v>
      </c>
      <c r="E1928" s="1">
        <v>10</v>
      </c>
      <c r="F1928" s="1">
        <v>42</v>
      </c>
    </row>
    <row r="1929" spans="1:6" x14ac:dyDescent="0.35">
      <c r="A1929" s="1">
        <v>47226</v>
      </c>
      <c r="B1929" s="2">
        <v>46308</v>
      </c>
      <c r="C1929" s="1" t="s">
        <v>24</v>
      </c>
      <c r="D1929" s="1">
        <v>2026</v>
      </c>
      <c r="E1929" s="1">
        <v>10</v>
      </c>
      <c r="F1929" s="1">
        <v>42</v>
      </c>
    </row>
    <row r="1930" spans="1:6" x14ac:dyDescent="0.35">
      <c r="A1930" s="1">
        <v>47225</v>
      </c>
      <c r="B1930" s="2">
        <v>46308</v>
      </c>
      <c r="C1930" s="1" t="s">
        <v>24</v>
      </c>
      <c r="D1930" s="1">
        <v>2026</v>
      </c>
      <c r="E1930" s="1">
        <v>10</v>
      </c>
      <c r="F1930" s="1">
        <v>42</v>
      </c>
    </row>
    <row r="1931" spans="1:6" x14ac:dyDescent="0.35">
      <c r="A1931" s="1">
        <v>47220</v>
      </c>
      <c r="B1931" s="2">
        <v>46308</v>
      </c>
      <c r="C1931" s="1" t="s">
        <v>28</v>
      </c>
      <c r="D1931" s="1">
        <v>2026</v>
      </c>
      <c r="E1931" s="1">
        <v>10</v>
      </c>
      <c r="F1931" s="1">
        <v>42</v>
      </c>
    </row>
    <row r="1932" spans="1:6" x14ac:dyDescent="0.35">
      <c r="A1932" s="1">
        <v>47219</v>
      </c>
      <c r="B1932" s="2">
        <v>46308</v>
      </c>
      <c r="C1932" s="1" t="s">
        <v>28</v>
      </c>
      <c r="D1932" s="1">
        <v>2026</v>
      </c>
      <c r="E1932" s="1">
        <v>10</v>
      </c>
      <c r="F1932" s="1">
        <v>42</v>
      </c>
    </row>
    <row r="1933" spans="1:6" x14ac:dyDescent="0.35">
      <c r="A1933" s="1">
        <v>47218</v>
      </c>
      <c r="B1933" s="2">
        <v>46308</v>
      </c>
      <c r="C1933" s="1" t="s">
        <v>28</v>
      </c>
      <c r="D1933" s="1">
        <v>2026</v>
      </c>
      <c r="E1933" s="1">
        <v>10</v>
      </c>
      <c r="F1933" s="1">
        <v>42</v>
      </c>
    </row>
    <row r="1934" spans="1:6" x14ac:dyDescent="0.35">
      <c r="A1934" s="1">
        <v>47216</v>
      </c>
      <c r="B1934" s="2">
        <v>46308</v>
      </c>
      <c r="C1934" s="1" t="s">
        <v>28</v>
      </c>
      <c r="D1934" s="1">
        <v>2026</v>
      </c>
      <c r="E1934" s="1">
        <v>10</v>
      </c>
      <c r="F1934" s="1">
        <v>42</v>
      </c>
    </row>
    <row r="1935" spans="1:6" x14ac:dyDescent="0.35">
      <c r="A1935" s="1">
        <v>47215</v>
      </c>
      <c r="B1935" s="2">
        <v>46308</v>
      </c>
      <c r="C1935" s="1" t="s">
        <v>28</v>
      </c>
      <c r="D1935" s="1">
        <v>2026</v>
      </c>
      <c r="E1935" s="1">
        <v>10</v>
      </c>
      <c r="F1935" s="1">
        <v>42</v>
      </c>
    </row>
    <row r="1936" spans="1:6" x14ac:dyDescent="0.35">
      <c r="A1936" s="1">
        <v>47214</v>
      </c>
      <c r="B1936" s="2">
        <v>46308</v>
      </c>
      <c r="C1936" s="1" t="s">
        <v>21</v>
      </c>
      <c r="D1936" s="1">
        <v>2026</v>
      </c>
      <c r="E1936" s="1">
        <v>10</v>
      </c>
      <c r="F1936" s="1">
        <v>42</v>
      </c>
    </row>
    <row r="1937" spans="1:6" x14ac:dyDescent="0.35">
      <c r="A1937" s="1">
        <v>47213</v>
      </c>
      <c r="B1937" s="2">
        <v>46308</v>
      </c>
      <c r="C1937" s="1" t="s">
        <v>17</v>
      </c>
      <c r="D1937" s="1">
        <v>2026</v>
      </c>
      <c r="E1937" s="1">
        <v>10</v>
      </c>
      <c r="F1937" s="1">
        <v>42</v>
      </c>
    </row>
    <row r="1938" spans="1:6" x14ac:dyDescent="0.35">
      <c r="A1938" s="1">
        <v>47212</v>
      </c>
      <c r="B1938" s="2">
        <v>46308</v>
      </c>
      <c r="C1938" s="1" t="s">
        <v>17</v>
      </c>
      <c r="D1938" s="1">
        <v>2026</v>
      </c>
      <c r="E1938" s="1">
        <v>10</v>
      </c>
      <c r="F1938" s="1">
        <v>42</v>
      </c>
    </row>
    <row r="1939" spans="1:6" x14ac:dyDescent="0.35">
      <c r="A1939" s="1">
        <v>47211</v>
      </c>
      <c r="B1939" s="2">
        <v>46308</v>
      </c>
      <c r="C1939" s="1" t="s">
        <v>17</v>
      </c>
      <c r="D1939" s="1">
        <v>2026</v>
      </c>
      <c r="E1939" s="1">
        <v>10</v>
      </c>
      <c r="F1939" s="1">
        <v>42</v>
      </c>
    </row>
    <row r="1940" spans="1:6" x14ac:dyDescent="0.35">
      <c r="A1940" s="1">
        <v>47210</v>
      </c>
      <c r="B1940" s="2">
        <v>46308</v>
      </c>
      <c r="C1940" s="1" t="s">
        <v>17</v>
      </c>
      <c r="D1940" s="1">
        <v>2026</v>
      </c>
      <c r="E1940" s="1">
        <v>10</v>
      </c>
      <c r="F1940" s="1">
        <v>42</v>
      </c>
    </row>
    <row r="1941" spans="1:6" x14ac:dyDescent="0.35">
      <c r="A1941" s="1">
        <v>47208</v>
      </c>
      <c r="B1941" s="2">
        <v>46308</v>
      </c>
      <c r="C1941" s="1" t="s">
        <v>19</v>
      </c>
      <c r="D1941" s="1">
        <v>2026</v>
      </c>
      <c r="E1941" s="1">
        <v>10</v>
      </c>
      <c r="F1941" s="1">
        <v>42</v>
      </c>
    </row>
    <row r="1942" spans="1:6" x14ac:dyDescent="0.35">
      <c r="A1942" s="1">
        <v>47206</v>
      </c>
      <c r="B1942" s="2">
        <v>46308</v>
      </c>
      <c r="C1942" s="1" t="s">
        <v>9</v>
      </c>
      <c r="D1942" s="1">
        <v>2026</v>
      </c>
      <c r="E1942" s="1">
        <v>10</v>
      </c>
      <c r="F1942" s="1">
        <v>42</v>
      </c>
    </row>
    <row r="1943" spans="1:6" x14ac:dyDescent="0.35">
      <c r="A1943" s="1">
        <v>47203</v>
      </c>
      <c r="B1943" s="2">
        <v>46308</v>
      </c>
      <c r="C1943" s="1" t="s">
        <v>103</v>
      </c>
      <c r="D1943" s="1">
        <v>2026</v>
      </c>
      <c r="E1943" s="1">
        <v>10</v>
      </c>
      <c r="F1943" s="1">
        <v>42</v>
      </c>
    </row>
    <row r="1944" spans="1:6" x14ac:dyDescent="0.35">
      <c r="A1944" s="1">
        <v>47202</v>
      </c>
      <c r="B1944" s="2">
        <v>46308</v>
      </c>
      <c r="C1944" s="1" t="s">
        <v>103</v>
      </c>
      <c r="D1944" s="1">
        <v>2026</v>
      </c>
      <c r="E1944" s="1">
        <v>10</v>
      </c>
      <c r="F1944" s="1">
        <v>42</v>
      </c>
    </row>
    <row r="1945" spans="1:6" x14ac:dyDescent="0.35">
      <c r="A1945" s="1">
        <v>47201</v>
      </c>
      <c r="B1945" s="2">
        <v>46308</v>
      </c>
      <c r="C1945" s="1" t="s">
        <v>7</v>
      </c>
      <c r="D1945" s="1">
        <v>2026</v>
      </c>
      <c r="E1945" s="1">
        <v>10</v>
      </c>
      <c r="F1945" s="1">
        <v>42</v>
      </c>
    </row>
    <row r="1946" spans="1:6" x14ac:dyDescent="0.35">
      <c r="A1946" s="1">
        <v>47200</v>
      </c>
      <c r="B1946" s="2">
        <v>46308</v>
      </c>
      <c r="C1946" s="1" t="s">
        <v>21</v>
      </c>
      <c r="D1946" s="1">
        <v>2026</v>
      </c>
      <c r="E1946" s="1">
        <v>10</v>
      </c>
      <c r="F1946" s="1">
        <v>42</v>
      </c>
    </row>
    <row r="1947" spans="1:6" x14ac:dyDescent="0.35">
      <c r="A1947" s="1">
        <v>47199</v>
      </c>
      <c r="B1947" s="2">
        <v>46308</v>
      </c>
      <c r="C1947" s="1" t="s">
        <v>21</v>
      </c>
      <c r="D1947" s="1">
        <v>2026</v>
      </c>
      <c r="E1947" s="1">
        <v>10</v>
      </c>
      <c r="F1947" s="1">
        <v>42</v>
      </c>
    </row>
    <row r="1948" spans="1:6" x14ac:dyDescent="0.35">
      <c r="A1948" s="1">
        <v>47198</v>
      </c>
      <c r="B1948" s="2">
        <v>46308</v>
      </c>
      <c r="C1948" s="1" t="s">
        <v>15</v>
      </c>
      <c r="D1948" s="1">
        <v>2026</v>
      </c>
      <c r="E1948" s="1">
        <v>10</v>
      </c>
      <c r="F1948" s="1">
        <v>42</v>
      </c>
    </row>
    <row r="1949" spans="1:6" x14ac:dyDescent="0.35">
      <c r="A1949" s="1">
        <v>47197</v>
      </c>
      <c r="B1949" s="2">
        <v>46308</v>
      </c>
      <c r="C1949" s="1" t="s">
        <v>6</v>
      </c>
      <c r="D1949" s="1">
        <v>2026</v>
      </c>
      <c r="E1949" s="1">
        <v>10</v>
      </c>
      <c r="F1949" s="1">
        <v>42</v>
      </c>
    </row>
    <row r="1950" spans="1:6" x14ac:dyDescent="0.35">
      <c r="A1950" s="1">
        <v>47196</v>
      </c>
      <c r="B1950" s="2">
        <v>46308</v>
      </c>
      <c r="C1950" s="1" t="s">
        <v>6</v>
      </c>
      <c r="D1950" s="1">
        <v>2026</v>
      </c>
      <c r="E1950" s="1">
        <v>10</v>
      </c>
      <c r="F1950" s="1">
        <v>42</v>
      </c>
    </row>
    <row r="1951" spans="1:6" x14ac:dyDescent="0.35">
      <c r="A1951" s="1">
        <v>47194</v>
      </c>
      <c r="B1951" s="2">
        <v>46308</v>
      </c>
      <c r="C1951" s="1" t="s">
        <v>9</v>
      </c>
      <c r="D1951" s="1">
        <v>2026</v>
      </c>
      <c r="E1951" s="1">
        <v>10</v>
      </c>
      <c r="F1951" s="1">
        <v>42</v>
      </c>
    </row>
    <row r="1952" spans="1:6" x14ac:dyDescent="0.35">
      <c r="A1952" s="1">
        <v>47193</v>
      </c>
      <c r="B1952" s="2">
        <v>46308</v>
      </c>
      <c r="C1952" s="1" t="s">
        <v>19</v>
      </c>
      <c r="D1952" s="1">
        <v>2026</v>
      </c>
      <c r="E1952" s="1">
        <v>10</v>
      </c>
      <c r="F1952" s="1">
        <v>42</v>
      </c>
    </row>
    <row r="1953" spans="1:6" x14ac:dyDescent="0.35">
      <c r="A1953" s="1">
        <v>47192</v>
      </c>
      <c r="B1953" s="2">
        <v>46308</v>
      </c>
      <c r="C1953" s="1" t="s">
        <v>21</v>
      </c>
      <c r="D1953" s="1">
        <v>2026</v>
      </c>
      <c r="E1953" s="1">
        <v>10</v>
      </c>
      <c r="F1953" s="1">
        <v>42</v>
      </c>
    </row>
    <row r="1954" spans="1:6" x14ac:dyDescent="0.35">
      <c r="A1954" s="1">
        <v>47191</v>
      </c>
      <c r="B1954" s="2">
        <v>46308</v>
      </c>
      <c r="C1954" s="1" t="s">
        <v>19</v>
      </c>
      <c r="D1954" s="1">
        <v>2026</v>
      </c>
      <c r="E1954" s="1">
        <v>10</v>
      </c>
      <c r="F1954" s="1">
        <v>42</v>
      </c>
    </row>
    <row r="1955" spans="1:6" x14ac:dyDescent="0.35">
      <c r="A1955" s="1">
        <v>47190</v>
      </c>
      <c r="B1955" s="2">
        <v>46308</v>
      </c>
      <c r="C1955" s="1" t="s">
        <v>9</v>
      </c>
      <c r="D1955" s="1">
        <v>2026</v>
      </c>
      <c r="E1955" s="1">
        <v>10</v>
      </c>
      <c r="F1955" s="1">
        <v>42</v>
      </c>
    </row>
    <row r="1956" spans="1:6" x14ac:dyDescent="0.35">
      <c r="A1956" s="1">
        <v>47189</v>
      </c>
      <c r="B1956" s="2">
        <v>46308</v>
      </c>
      <c r="C1956" s="1" t="s">
        <v>3</v>
      </c>
      <c r="D1956" s="1">
        <v>2026</v>
      </c>
      <c r="E1956" s="1">
        <v>10</v>
      </c>
      <c r="F1956" s="1">
        <v>42</v>
      </c>
    </row>
    <row r="1957" spans="1:6" x14ac:dyDescent="0.35">
      <c r="A1957" s="1">
        <v>47289</v>
      </c>
      <c r="B1957" s="2">
        <v>46309</v>
      </c>
      <c r="C1957" s="1" t="s">
        <v>3</v>
      </c>
      <c r="D1957" s="1">
        <v>2026</v>
      </c>
      <c r="E1957" s="1">
        <v>10</v>
      </c>
      <c r="F1957" s="1">
        <v>42</v>
      </c>
    </row>
    <row r="1958" spans="1:6" x14ac:dyDescent="0.35">
      <c r="A1958" s="1">
        <v>47281</v>
      </c>
      <c r="B1958" s="2">
        <v>46309</v>
      </c>
      <c r="C1958" s="1" t="s">
        <v>21</v>
      </c>
      <c r="D1958" s="1">
        <v>2026</v>
      </c>
      <c r="E1958" s="1">
        <v>10</v>
      </c>
      <c r="F1958" s="1">
        <v>42</v>
      </c>
    </row>
    <row r="1959" spans="1:6" x14ac:dyDescent="0.35">
      <c r="A1959" s="1">
        <v>47280</v>
      </c>
      <c r="B1959" s="2">
        <v>46309</v>
      </c>
      <c r="C1959" s="1" t="s">
        <v>21</v>
      </c>
      <c r="D1959" s="1">
        <v>2026</v>
      </c>
      <c r="E1959" s="1">
        <v>10</v>
      </c>
      <c r="F1959" s="1">
        <v>42</v>
      </c>
    </row>
    <row r="1960" spans="1:6" x14ac:dyDescent="0.35">
      <c r="A1960" s="1">
        <v>47277</v>
      </c>
      <c r="B1960" s="2">
        <v>46309</v>
      </c>
      <c r="C1960" s="1" t="s">
        <v>17</v>
      </c>
      <c r="D1960" s="1">
        <v>2026</v>
      </c>
      <c r="E1960" s="1">
        <v>10</v>
      </c>
      <c r="F1960" s="1">
        <v>42</v>
      </c>
    </row>
    <row r="1961" spans="1:6" x14ac:dyDescent="0.35">
      <c r="A1961" s="1">
        <v>47276</v>
      </c>
      <c r="B1961" s="2">
        <v>46309</v>
      </c>
      <c r="C1961" s="1" t="s">
        <v>17</v>
      </c>
      <c r="D1961" s="1">
        <v>2026</v>
      </c>
      <c r="E1961" s="1">
        <v>10</v>
      </c>
      <c r="F1961" s="1">
        <v>42</v>
      </c>
    </row>
    <row r="1962" spans="1:6" x14ac:dyDescent="0.35">
      <c r="A1962" s="1">
        <v>47275</v>
      </c>
      <c r="B1962" s="2">
        <v>46309</v>
      </c>
      <c r="C1962" s="1" t="s">
        <v>17</v>
      </c>
      <c r="D1962" s="1">
        <v>2026</v>
      </c>
      <c r="E1962" s="1">
        <v>10</v>
      </c>
      <c r="F1962" s="1">
        <v>42</v>
      </c>
    </row>
    <row r="1963" spans="1:6" x14ac:dyDescent="0.35">
      <c r="A1963" s="1">
        <v>47274</v>
      </c>
      <c r="B1963" s="2">
        <v>46309</v>
      </c>
      <c r="C1963" s="1" t="s">
        <v>7</v>
      </c>
      <c r="D1963" s="1">
        <v>2026</v>
      </c>
      <c r="E1963" s="1">
        <v>10</v>
      </c>
      <c r="F1963" s="1">
        <v>42</v>
      </c>
    </row>
    <row r="1964" spans="1:6" x14ac:dyDescent="0.35">
      <c r="A1964" s="1">
        <v>47273</v>
      </c>
      <c r="B1964" s="2">
        <v>46309</v>
      </c>
      <c r="C1964" s="1" t="s">
        <v>7</v>
      </c>
      <c r="D1964" s="1">
        <v>2026</v>
      </c>
      <c r="E1964" s="1">
        <v>10</v>
      </c>
      <c r="F1964" s="1">
        <v>42</v>
      </c>
    </row>
    <row r="1965" spans="1:6" x14ac:dyDescent="0.35">
      <c r="A1965" s="1">
        <v>47268</v>
      </c>
      <c r="B1965" s="2">
        <v>46309</v>
      </c>
      <c r="C1965" s="1" t="s">
        <v>6</v>
      </c>
      <c r="D1965" s="1">
        <v>2026</v>
      </c>
      <c r="E1965" s="1">
        <v>10</v>
      </c>
      <c r="F1965" s="1">
        <v>42</v>
      </c>
    </row>
    <row r="1966" spans="1:6" x14ac:dyDescent="0.35">
      <c r="A1966" s="1">
        <v>47267</v>
      </c>
      <c r="B1966" s="2">
        <v>46309</v>
      </c>
      <c r="C1966" s="1" t="s">
        <v>6</v>
      </c>
      <c r="D1966" s="1">
        <v>2026</v>
      </c>
      <c r="E1966" s="1">
        <v>10</v>
      </c>
      <c r="F1966" s="1">
        <v>42</v>
      </c>
    </row>
    <row r="1967" spans="1:6" x14ac:dyDescent="0.35">
      <c r="A1967" s="1">
        <v>47266</v>
      </c>
      <c r="B1967" s="2">
        <v>46309</v>
      </c>
      <c r="C1967" s="1" t="s">
        <v>21</v>
      </c>
      <c r="D1967" s="1">
        <v>2026</v>
      </c>
      <c r="E1967" s="1">
        <v>10</v>
      </c>
      <c r="F1967" s="1">
        <v>42</v>
      </c>
    </row>
    <row r="1968" spans="1:6" x14ac:dyDescent="0.35">
      <c r="A1968" s="1">
        <v>47265</v>
      </c>
      <c r="B1968" s="2">
        <v>46309</v>
      </c>
      <c r="C1968" s="1" t="s">
        <v>21</v>
      </c>
      <c r="D1968" s="1">
        <v>2026</v>
      </c>
      <c r="E1968" s="1">
        <v>10</v>
      </c>
      <c r="F1968" s="1">
        <v>42</v>
      </c>
    </row>
    <row r="1969" spans="1:6" x14ac:dyDescent="0.35">
      <c r="A1969" s="1">
        <v>47264</v>
      </c>
      <c r="B1969" s="2">
        <v>46309</v>
      </c>
      <c r="C1969" s="1" t="s">
        <v>10</v>
      </c>
      <c r="D1969" s="1">
        <v>2026</v>
      </c>
      <c r="E1969" s="1">
        <v>10</v>
      </c>
      <c r="F1969" s="1">
        <v>42</v>
      </c>
    </row>
    <row r="1970" spans="1:6" x14ac:dyDescent="0.35">
      <c r="A1970" s="1">
        <v>47263</v>
      </c>
      <c r="B1970" s="2">
        <v>46309</v>
      </c>
      <c r="C1970" s="1" t="s">
        <v>10</v>
      </c>
      <c r="D1970" s="1">
        <v>2026</v>
      </c>
      <c r="E1970" s="1">
        <v>10</v>
      </c>
      <c r="F1970" s="1">
        <v>42</v>
      </c>
    </row>
    <row r="1971" spans="1:6" x14ac:dyDescent="0.35">
      <c r="A1971" s="1">
        <v>47262</v>
      </c>
      <c r="B1971" s="2">
        <v>46309</v>
      </c>
      <c r="C1971" s="1" t="s">
        <v>3</v>
      </c>
      <c r="D1971" s="1">
        <v>2026</v>
      </c>
      <c r="E1971" s="1">
        <v>10</v>
      </c>
      <c r="F1971" s="1">
        <v>42</v>
      </c>
    </row>
    <row r="1972" spans="1:6" x14ac:dyDescent="0.35">
      <c r="A1972" s="1">
        <v>47261</v>
      </c>
      <c r="B1972" s="2">
        <v>46309</v>
      </c>
      <c r="C1972" s="1" t="s">
        <v>21</v>
      </c>
      <c r="D1972" s="1">
        <v>2026</v>
      </c>
      <c r="E1972" s="1">
        <v>10</v>
      </c>
      <c r="F1972" s="1">
        <v>42</v>
      </c>
    </row>
    <row r="1973" spans="1:6" x14ac:dyDescent="0.35">
      <c r="A1973" s="1">
        <v>47260</v>
      </c>
      <c r="B1973" s="2">
        <v>46309</v>
      </c>
      <c r="C1973" s="1" t="s">
        <v>21</v>
      </c>
      <c r="D1973" s="1">
        <v>2026</v>
      </c>
      <c r="E1973" s="1">
        <v>10</v>
      </c>
      <c r="F1973" s="1">
        <v>42</v>
      </c>
    </row>
    <row r="1974" spans="1:6" x14ac:dyDescent="0.35">
      <c r="A1974" s="1">
        <v>47255</v>
      </c>
      <c r="B1974" s="2">
        <v>46309</v>
      </c>
      <c r="C1974" s="1" t="s">
        <v>3</v>
      </c>
      <c r="D1974" s="1">
        <v>2026</v>
      </c>
      <c r="E1974" s="1">
        <v>10</v>
      </c>
      <c r="F1974" s="1">
        <v>42</v>
      </c>
    </row>
    <row r="1975" spans="1:6" x14ac:dyDescent="0.35">
      <c r="A1975" s="1">
        <v>47254</v>
      </c>
      <c r="B1975" s="2">
        <v>46309</v>
      </c>
      <c r="C1975" s="1" t="s">
        <v>3</v>
      </c>
      <c r="D1975" s="1">
        <v>2026</v>
      </c>
      <c r="E1975" s="1">
        <v>10</v>
      </c>
      <c r="F1975" s="1">
        <v>42</v>
      </c>
    </row>
    <row r="1976" spans="1:6" x14ac:dyDescent="0.35">
      <c r="A1976" s="1">
        <v>47349</v>
      </c>
      <c r="B1976" s="2">
        <v>46310</v>
      </c>
      <c r="C1976" s="1" t="s">
        <v>11</v>
      </c>
      <c r="D1976" s="1">
        <v>2026</v>
      </c>
      <c r="E1976" s="1">
        <v>10</v>
      </c>
      <c r="F1976" s="1">
        <v>42</v>
      </c>
    </row>
    <row r="1977" spans="1:6" x14ac:dyDescent="0.35">
      <c r="A1977" s="1">
        <v>47339</v>
      </c>
      <c r="B1977" s="2">
        <v>46310</v>
      </c>
      <c r="C1977" s="1" t="s">
        <v>21</v>
      </c>
      <c r="D1977" s="1">
        <v>2026</v>
      </c>
      <c r="E1977" s="1">
        <v>10</v>
      </c>
      <c r="F1977" s="1">
        <v>42</v>
      </c>
    </row>
    <row r="1978" spans="1:6" x14ac:dyDescent="0.35">
      <c r="A1978" s="1">
        <v>47338</v>
      </c>
      <c r="B1978" s="2">
        <v>46310</v>
      </c>
      <c r="C1978" s="1" t="s">
        <v>21</v>
      </c>
      <c r="D1978" s="1">
        <v>2026</v>
      </c>
      <c r="E1978" s="1">
        <v>10</v>
      </c>
      <c r="F1978" s="1">
        <v>42</v>
      </c>
    </row>
    <row r="1979" spans="1:6" x14ac:dyDescent="0.35">
      <c r="A1979" s="1">
        <v>47337</v>
      </c>
      <c r="B1979" s="2">
        <v>46310</v>
      </c>
      <c r="C1979" s="1" t="s">
        <v>21</v>
      </c>
      <c r="D1979" s="1">
        <v>2026</v>
      </c>
      <c r="E1979" s="1">
        <v>10</v>
      </c>
      <c r="F1979" s="1">
        <v>42</v>
      </c>
    </row>
    <row r="1980" spans="1:6" x14ac:dyDescent="0.35">
      <c r="A1980" s="1">
        <v>47336</v>
      </c>
      <c r="B1980" s="2">
        <v>46310</v>
      </c>
      <c r="C1980" s="1" t="s">
        <v>10</v>
      </c>
      <c r="D1980" s="1">
        <v>2026</v>
      </c>
      <c r="E1980" s="1">
        <v>10</v>
      </c>
      <c r="F1980" s="1">
        <v>42</v>
      </c>
    </row>
    <row r="1981" spans="1:6" x14ac:dyDescent="0.35">
      <c r="A1981" s="1">
        <v>47335</v>
      </c>
      <c r="B1981" s="2">
        <v>46310</v>
      </c>
      <c r="C1981" s="1" t="s">
        <v>10</v>
      </c>
      <c r="D1981" s="1">
        <v>2026</v>
      </c>
      <c r="E1981" s="1">
        <v>10</v>
      </c>
      <c r="F1981" s="1">
        <v>42</v>
      </c>
    </row>
    <row r="1982" spans="1:6" x14ac:dyDescent="0.35">
      <c r="A1982" s="1">
        <v>47332</v>
      </c>
      <c r="B1982" s="2">
        <v>46310</v>
      </c>
      <c r="C1982" s="1" t="s">
        <v>103</v>
      </c>
      <c r="D1982" s="1">
        <v>2026</v>
      </c>
      <c r="E1982" s="1">
        <v>10</v>
      </c>
      <c r="F1982" s="1">
        <v>42</v>
      </c>
    </row>
    <row r="1983" spans="1:6" x14ac:dyDescent="0.35">
      <c r="A1983" s="1">
        <v>47331</v>
      </c>
      <c r="B1983" s="2">
        <v>46310</v>
      </c>
      <c r="C1983" s="1" t="s">
        <v>103</v>
      </c>
      <c r="D1983" s="1">
        <v>2026</v>
      </c>
      <c r="E1983" s="1">
        <v>10</v>
      </c>
      <c r="F1983" s="1">
        <v>42</v>
      </c>
    </row>
    <row r="1984" spans="1:6" x14ac:dyDescent="0.35">
      <c r="A1984" s="1">
        <v>47328</v>
      </c>
      <c r="B1984" s="2">
        <v>46310</v>
      </c>
      <c r="C1984" s="1" t="s">
        <v>9</v>
      </c>
      <c r="D1984" s="1">
        <v>2026</v>
      </c>
      <c r="E1984" s="1">
        <v>10</v>
      </c>
      <c r="F1984" s="1">
        <v>42</v>
      </c>
    </row>
    <row r="1985" spans="1:6" x14ac:dyDescent="0.35">
      <c r="A1985" s="1">
        <v>47319</v>
      </c>
      <c r="B1985" s="2">
        <v>46310</v>
      </c>
      <c r="C1985" s="1" t="s">
        <v>17</v>
      </c>
      <c r="D1985" s="1">
        <v>2026</v>
      </c>
      <c r="E1985" s="1">
        <v>10</v>
      </c>
      <c r="F1985" s="1">
        <v>42</v>
      </c>
    </row>
    <row r="1986" spans="1:6" x14ac:dyDescent="0.35">
      <c r="A1986" s="1">
        <v>47318</v>
      </c>
      <c r="B1986" s="2">
        <v>46310</v>
      </c>
      <c r="C1986" s="1" t="s">
        <v>17</v>
      </c>
      <c r="D1986" s="1">
        <v>2026</v>
      </c>
      <c r="E1986" s="1">
        <v>10</v>
      </c>
      <c r="F1986" s="1">
        <v>42</v>
      </c>
    </row>
    <row r="1987" spans="1:6" x14ac:dyDescent="0.35">
      <c r="A1987" s="1">
        <v>47315</v>
      </c>
      <c r="B1987" s="2">
        <v>46310</v>
      </c>
      <c r="C1987" s="1" t="s">
        <v>9</v>
      </c>
      <c r="D1987" s="1">
        <v>2026</v>
      </c>
      <c r="E1987" s="1">
        <v>10</v>
      </c>
      <c r="F1987" s="1">
        <v>42</v>
      </c>
    </row>
    <row r="1988" spans="1:6" x14ac:dyDescent="0.35">
      <c r="A1988" s="1">
        <v>47312</v>
      </c>
      <c r="B1988" s="2">
        <v>46310</v>
      </c>
      <c r="C1988" s="1" t="s">
        <v>7</v>
      </c>
      <c r="D1988" s="1">
        <v>2026</v>
      </c>
      <c r="E1988" s="1">
        <v>10</v>
      </c>
      <c r="F1988" s="1">
        <v>42</v>
      </c>
    </row>
    <row r="1989" spans="1:6" x14ac:dyDescent="0.35">
      <c r="A1989" s="1">
        <v>47311</v>
      </c>
      <c r="B1989" s="2">
        <v>46310</v>
      </c>
      <c r="C1989" s="1" t="s">
        <v>9</v>
      </c>
      <c r="D1989" s="1">
        <v>2026</v>
      </c>
      <c r="E1989" s="1">
        <v>10</v>
      </c>
      <c r="F1989" s="1">
        <v>42</v>
      </c>
    </row>
    <row r="1990" spans="1:6" x14ac:dyDescent="0.35">
      <c r="A1990" s="1">
        <v>47310</v>
      </c>
      <c r="B1990" s="2">
        <v>46310</v>
      </c>
      <c r="C1990" s="1" t="s">
        <v>9</v>
      </c>
      <c r="D1990" s="1">
        <v>2026</v>
      </c>
      <c r="E1990" s="1">
        <v>10</v>
      </c>
      <c r="F1990" s="1">
        <v>42</v>
      </c>
    </row>
    <row r="1991" spans="1:6" x14ac:dyDescent="0.35">
      <c r="A1991" s="1">
        <v>47309</v>
      </c>
      <c r="B1991" s="2">
        <v>46310</v>
      </c>
      <c r="C1991" s="1" t="s">
        <v>9</v>
      </c>
      <c r="D1991" s="1">
        <v>2026</v>
      </c>
      <c r="E1991" s="1">
        <v>10</v>
      </c>
      <c r="F1991" s="1">
        <v>42</v>
      </c>
    </row>
    <row r="1992" spans="1:6" x14ac:dyDescent="0.35">
      <c r="A1992" s="1">
        <v>47308</v>
      </c>
      <c r="B1992" s="2">
        <v>46310</v>
      </c>
      <c r="C1992" s="1" t="s">
        <v>9</v>
      </c>
      <c r="D1992" s="1">
        <v>2026</v>
      </c>
      <c r="E1992" s="1">
        <v>10</v>
      </c>
      <c r="F1992" s="1">
        <v>42</v>
      </c>
    </row>
    <row r="1993" spans="1:6" x14ac:dyDescent="0.35">
      <c r="A1993" s="1">
        <v>47306</v>
      </c>
      <c r="B1993" s="2">
        <v>46310</v>
      </c>
      <c r="C1993" s="1" t="s">
        <v>9</v>
      </c>
      <c r="D1993" s="1">
        <v>2026</v>
      </c>
      <c r="E1993" s="1">
        <v>10</v>
      </c>
      <c r="F1993" s="1">
        <v>42</v>
      </c>
    </row>
    <row r="1994" spans="1:6" x14ac:dyDescent="0.35">
      <c r="A1994" s="1">
        <v>47305</v>
      </c>
      <c r="B1994" s="2">
        <v>46310</v>
      </c>
      <c r="C1994" s="1" t="s">
        <v>9</v>
      </c>
      <c r="D1994" s="1">
        <v>2026</v>
      </c>
      <c r="E1994" s="1">
        <v>10</v>
      </c>
      <c r="F1994" s="1">
        <v>42</v>
      </c>
    </row>
    <row r="1995" spans="1:6" x14ac:dyDescent="0.35">
      <c r="A1995" s="1">
        <v>47304</v>
      </c>
      <c r="B1995" s="2">
        <v>46310</v>
      </c>
      <c r="C1995" s="1" t="s">
        <v>3</v>
      </c>
      <c r="D1995" s="1">
        <v>2026</v>
      </c>
      <c r="E1995" s="1">
        <v>10</v>
      </c>
      <c r="F1995" s="1">
        <v>42</v>
      </c>
    </row>
    <row r="1996" spans="1:6" x14ac:dyDescent="0.35">
      <c r="A1996" s="1">
        <v>47303</v>
      </c>
      <c r="B1996" s="2">
        <v>46310</v>
      </c>
      <c r="C1996" s="1" t="s">
        <v>3</v>
      </c>
      <c r="D1996" s="1">
        <v>2026</v>
      </c>
      <c r="E1996" s="1">
        <v>10</v>
      </c>
      <c r="F1996" s="1">
        <v>42</v>
      </c>
    </row>
    <row r="1997" spans="1:6" x14ac:dyDescent="0.35">
      <c r="A1997" s="1">
        <v>47299</v>
      </c>
      <c r="B1997" s="2">
        <v>46310</v>
      </c>
      <c r="C1997" s="1" t="s">
        <v>9</v>
      </c>
      <c r="D1997" s="1">
        <v>2026</v>
      </c>
      <c r="E1997" s="1">
        <v>10</v>
      </c>
      <c r="F1997" s="1">
        <v>42</v>
      </c>
    </row>
    <row r="1998" spans="1:6" x14ac:dyDescent="0.35">
      <c r="A1998" s="1">
        <v>47298</v>
      </c>
      <c r="B1998" s="2">
        <v>46310</v>
      </c>
      <c r="C1998" s="1" t="s">
        <v>19</v>
      </c>
      <c r="D1998" s="1">
        <v>2026</v>
      </c>
      <c r="E1998" s="1">
        <v>10</v>
      </c>
      <c r="F1998" s="1">
        <v>42</v>
      </c>
    </row>
    <row r="1999" spans="1:6" x14ac:dyDescent="0.35">
      <c r="A1999" s="1">
        <v>47297</v>
      </c>
      <c r="B1999" s="2">
        <v>46310</v>
      </c>
      <c r="C1999" s="1" t="s">
        <v>19</v>
      </c>
      <c r="D1999" s="1">
        <v>2026</v>
      </c>
      <c r="E1999" s="1">
        <v>10</v>
      </c>
      <c r="F1999" s="1">
        <v>42</v>
      </c>
    </row>
    <row r="2000" spans="1:6" x14ac:dyDescent="0.35">
      <c r="A2000" s="1">
        <v>47294</v>
      </c>
      <c r="B2000" s="2">
        <v>46310</v>
      </c>
      <c r="C2000" s="1" t="s">
        <v>9</v>
      </c>
      <c r="D2000" s="1">
        <v>2026</v>
      </c>
      <c r="E2000" s="1">
        <v>10</v>
      </c>
      <c r="F2000" s="1">
        <v>42</v>
      </c>
    </row>
    <row r="2001" spans="1:6" x14ac:dyDescent="0.35">
      <c r="A2001" s="1">
        <v>47293</v>
      </c>
      <c r="B2001" s="2">
        <v>46310</v>
      </c>
      <c r="C2001" s="1" t="s">
        <v>21</v>
      </c>
      <c r="D2001" s="1">
        <v>2026</v>
      </c>
      <c r="E2001" s="1">
        <v>10</v>
      </c>
      <c r="F2001" s="1">
        <v>42</v>
      </c>
    </row>
    <row r="2002" spans="1:6" x14ac:dyDescent="0.35">
      <c r="A2002" s="1">
        <v>47292</v>
      </c>
      <c r="B2002" s="2">
        <v>46310</v>
      </c>
      <c r="C2002" s="1" t="s">
        <v>19</v>
      </c>
      <c r="D2002" s="1">
        <v>2026</v>
      </c>
      <c r="E2002" s="1">
        <v>10</v>
      </c>
      <c r="F2002" s="1">
        <v>42</v>
      </c>
    </row>
    <row r="2003" spans="1:6" x14ac:dyDescent="0.35">
      <c r="A2003" s="1">
        <v>47354</v>
      </c>
      <c r="B2003" s="2">
        <v>46311</v>
      </c>
      <c r="C2003" s="1" t="s">
        <v>3</v>
      </c>
      <c r="D2003" s="1">
        <v>2026</v>
      </c>
      <c r="E2003" s="1">
        <v>10</v>
      </c>
      <c r="F2003" s="1">
        <v>42</v>
      </c>
    </row>
    <row r="2004" spans="1:6" x14ac:dyDescent="0.35">
      <c r="A2004" s="1">
        <v>47352</v>
      </c>
      <c r="B2004" s="2">
        <v>46311</v>
      </c>
      <c r="C2004" s="1" t="s">
        <v>3</v>
      </c>
      <c r="D2004" s="1">
        <v>2026</v>
      </c>
      <c r="E2004" s="1">
        <v>10</v>
      </c>
      <c r="F2004" s="1">
        <v>42</v>
      </c>
    </row>
    <row r="2005" spans="1:6" x14ac:dyDescent="0.35">
      <c r="A2005" s="1">
        <v>47350</v>
      </c>
      <c r="B2005" s="2">
        <v>46311</v>
      </c>
      <c r="C2005" s="1" t="s">
        <v>21</v>
      </c>
      <c r="D2005" s="1">
        <v>2026</v>
      </c>
      <c r="E2005" s="1">
        <v>10</v>
      </c>
      <c r="F2005" s="1">
        <v>42</v>
      </c>
    </row>
    <row r="2006" spans="1:6" x14ac:dyDescent="0.35">
      <c r="A2006" s="1">
        <v>47348</v>
      </c>
      <c r="B2006" s="2">
        <v>46311</v>
      </c>
      <c r="C2006" s="1" t="s">
        <v>21</v>
      </c>
      <c r="D2006" s="1">
        <v>2026</v>
      </c>
      <c r="E2006" s="1">
        <v>10</v>
      </c>
      <c r="F2006" s="1">
        <v>42</v>
      </c>
    </row>
    <row r="2007" spans="1:6" x14ac:dyDescent="0.35">
      <c r="A2007" s="1">
        <v>47346</v>
      </c>
      <c r="B2007" s="2">
        <v>46311</v>
      </c>
      <c r="C2007" s="1" t="s">
        <v>9</v>
      </c>
      <c r="D2007" s="1">
        <v>2026</v>
      </c>
      <c r="E2007" s="1">
        <v>10</v>
      </c>
      <c r="F2007" s="1">
        <v>42</v>
      </c>
    </row>
    <row r="2008" spans="1:6" x14ac:dyDescent="0.35">
      <c r="A2008" s="1">
        <v>47345</v>
      </c>
      <c r="B2008" s="2">
        <v>46311</v>
      </c>
      <c r="C2008" s="1" t="s">
        <v>9</v>
      </c>
      <c r="D2008" s="1">
        <v>2026</v>
      </c>
      <c r="E2008" s="1">
        <v>10</v>
      </c>
      <c r="F2008" s="1">
        <v>42</v>
      </c>
    </row>
    <row r="2009" spans="1:6" x14ac:dyDescent="0.35">
      <c r="A2009" s="1">
        <v>47343</v>
      </c>
      <c r="B2009" s="2">
        <v>46311</v>
      </c>
      <c r="C2009" s="1" t="s">
        <v>9</v>
      </c>
      <c r="D2009" s="1">
        <v>2026</v>
      </c>
      <c r="E2009" s="1">
        <v>10</v>
      </c>
      <c r="F2009" s="1">
        <v>42</v>
      </c>
    </row>
    <row r="2010" spans="1:6" x14ac:dyDescent="0.35">
      <c r="A2010" s="1">
        <v>47340</v>
      </c>
      <c r="B2010" s="2">
        <v>46311</v>
      </c>
      <c r="C2010" s="1" t="s">
        <v>19</v>
      </c>
      <c r="D2010" s="1">
        <v>2026</v>
      </c>
      <c r="E2010" s="1">
        <v>10</v>
      </c>
      <c r="F2010" s="1">
        <v>42</v>
      </c>
    </row>
    <row r="2011" spans="1:6" x14ac:dyDescent="0.35">
      <c r="A2011" s="1">
        <v>47405</v>
      </c>
      <c r="B2011" s="2">
        <v>46311</v>
      </c>
      <c r="C2011" s="1" t="s">
        <v>15</v>
      </c>
      <c r="D2011" s="1">
        <v>2026</v>
      </c>
      <c r="E2011" s="1">
        <v>10</v>
      </c>
      <c r="F2011" s="1">
        <v>42</v>
      </c>
    </row>
    <row r="2012" spans="1:6" x14ac:dyDescent="0.35">
      <c r="A2012" s="1">
        <v>47404</v>
      </c>
      <c r="B2012" s="2">
        <v>46311</v>
      </c>
      <c r="C2012" s="1" t="s">
        <v>15</v>
      </c>
      <c r="D2012" s="1">
        <v>2026</v>
      </c>
      <c r="E2012" s="1">
        <v>10</v>
      </c>
      <c r="F2012" s="1">
        <v>42</v>
      </c>
    </row>
    <row r="2013" spans="1:6" x14ac:dyDescent="0.35">
      <c r="A2013" s="1">
        <v>47403</v>
      </c>
      <c r="B2013" s="2">
        <v>46311</v>
      </c>
      <c r="C2013" s="1" t="s">
        <v>15</v>
      </c>
      <c r="D2013" s="1">
        <v>2026</v>
      </c>
      <c r="E2013" s="1">
        <v>10</v>
      </c>
      <c r="F2013" s="1">
        <v>42</v>
      </c>
    </row>
    <row r="2014" spans="1:6" x14ac:dyDescent="0.35">
      <c r="A2014" s="1">
        <v>47402</v>
      </c>
      <c r="B2014" s="2">
        <v>46311</v>
      </c>
      <c r="C2014" s="1" t="s">
        <v>10</v>
      </c>
      <c r="D2014" s="1">
        <v>2026</v>
      </c>
      <c r="E2014" s="1">
        <v>10</v>
      </c>
      <c r="F2014" s="1">
        <v>42</v>
      </c>
    </row>
    <row r="2015" spans="1:6" x14ac:dyDescent="0.35">
      <c r="A2015" s="1">
        <v>47401</v>
      </c>
      <c r="B2015" s="2">
        <v>46311</v>
      </c>
      <c r="C2015" s="1" t="s">
        <v>9</v>
      </c>
      <c r="D2015" s="1">
        <v>2026</v>
      </c>
      <c r="E2015" s="1">
        <v>10</v>
      </c>
      <c r="F2015" s="1">
        <v>42</v>
      </c>
    </row>
    <row r="2016" spans="1:6" x14ac:dyDescent="0.35">
      <c r="A2016" s="1">
        <v>47398</v>
      </c>
      <c r="B2016" s="2">
        <v>46311</v>
      </c>
      <c r="C2016" s="1" t="s">
        <v>21</v>
      </c>
      <c r="D2016" s="1">
        <v>2026</v>
      </c>
      <c r="E2016" s="1">
        <v>10</v>
      </c>
      <c r="F2016" s="1">
        <v>42</v>
      </c>
    </row>
    <row r="2017" spans="1:6" x14ac:dyDescent="0.35">
      <c r="A2017" s="1">
        <v>47395</v>
      </c>
      <c r="B2017" s="2">
        <v>46311</v>
      </c>
      <c r="C2017" s="1" t="s">
        <v>9</v>
      </c>
      <c r="D2017" s="1">
        <v>2026</v>
      </c>
      <c r="E2017" s="1">
        <v>10</v>
      </c>
      <c r="F2017" s="1">
        <v>42</v>
      </c>
    </row>
    <row r="2018" spans="1:6" x14ac:dyDescent="0.35">
      <c r="A2018" s="1">
        <v>47394</v>
      </c>
      <c r="B2018" s="2">
        <v>46311</v>
      </c>
      <c r="C2018" s="1" t="s">
        <v>9</v>
      </c>
      <c r="D2018" s="1">
        <v>2026</v>
      </c>
      <c r="E2018" s="1">
        <v>10</v>
      </c>
      <c r="F2018" s="1">
        <v>42</v>
      </c>
    </row>
    <row r="2019" spans="1:6" x14ac:dyDescent="0.35">
      <c r="A2019" s="1">
        <v>47391</v>
      </c>
      <c r="B2019" s="2">
        <v>46311</v>
      </c>
      <c r="C2019" s="1" t="s">
        <v>22</v>
      </c>
      <c r="D2019" s="1">
        <v>2026</v>
      </c>
      <c r="E2019" s="1">
        <v>10</v>
      </c>
      <c r="F2019" s="1">
        <v>42</v>
      </c>
    </row>
    <row r="2020" spans="1:6" x14ac:dyDescent="0.35">
      <c r="A2020" s="1">
        <v>47390</v>
      </c>
      <c r="B2020" s="2">
        <v>46311</v>
      </c>
      <c r="C2020" s="1" t="s">
        <v>22</v>
      </c>
      <c r="D2020" s="1">
        <v>2026</v>
      </c>
      <c r="E2020" s="1">
        <v>10</v>
      </c>
      <c r="F2020" s="1">
        <v>42</v>
      </c>
    </row>
    <row r="2021" spans="1:6" x14ac:dyDescent="0.35">
      <c r="A2021" s="1">
        <v>47389</v>
      </c>
      <c r="B2021" s="2">
        <v>46311</v>
      </c>
      <c r="C2021" s="1" t="s">
        <v>22</v>
      </c>
      <c r="D2021" s="1">
        <v>2026</v>
      </c>
      <c r="E2021" s="1">
        <v>10</v>
      </c>
      <c r="F2021" s="1">
        <v>42</v>
      </c>
    </row>
    <row r="2022" spans="1:6" x14ac:dyDescent="0.35">
      <c r="A2022" s="1">
        <v>47387</v>
      </c>
      <c r="B2022" s="2">
        <v>46311</v>
      </c>
      <c r="C2022" s="1" t="s">
        <v>22</v>
      </c>
      <c r="D2022" s="1">
        <v>2026</v>
      </c>
      <c r="E2022" s="1">
        <v>10</v>
      </c>
      <c r="F2022" s="1">
        <v>42</v>
      </c>
    </row>
    <row r="2023" spans="1:6" x14ac:dyDescent="0.35">
      <c r="A2023" s="1">
        <v>47386</v>
      </c>
      <c r="B2023" s="2">
        <v>46311</v>
      </c>
      <c r="C2023" s="1" t="s">
        <v>22</v>
      </c>
      <c r="D2023" s="1">
        <v>2026</v>
      </c>
      <c r="E2023" s="1">
        <v>10</v>
      </c>
      <c r="F2023" s="1">
        <v>42</v>
      </c>
    </row>
    <row r="2024" spans="1:6" x14ac:dyDescent="0.35">
      <c r="A2024" s="1">
        <v>47384</v>
      </c>
      <c r="B2024" s="2">
        <v>46311</v>
      </c>
      <c r="C2024" s="1" t="s">
        <v>22</v>
      </c>
      <c r="D2024" s="1">
        <v>2026</v>
      </c>
      <c r="E2024" s="1">
        <v>10</v>
      </c>
      <c r="F2024" s="1">
        <v>42</v>
      </c>
    </row>
    <row r="2025" spans="1:6" x14ac:dyDescent="0.35">
      <c r="A2025" s="1">
        <v>47382</v>
      </c>
      <c r="B2025" s="2">
        <v>46311</v>
      </c>
      <c r="C2025" s="1" t="s">
        <v>22</v>
      </c>
      <c r="D2025" s="1">
        <v>2026</v>
      </c>
      <c r="E2025" s="1">
        <v>10</v>
      </c>
      <c r="F2025" s="1">
        <v>42</v>
      </c>
    </row>
    <row r="2026" spans="1:6" x14ac:dyDescent="0.35">
      <c r="A2026" s="1">
        <v>47381</v>
      </c>
      <c r="B2026" s="2">
        <v>46311</v>
      </c>
      <c r="C2026" s="1" t="s">
        <v>22</v>
      </c>
      <c r="D2026" s="1">
        <v>2026</v>
      </c>
      <c r="E2026" s="1">
        <v>10</v>
      </c>
      <c r="F2026" s="1">
        <v>42</v>
      </c>
    </row>
    <row r="2027" spans="1:6" x14ac:dyDescent="0.35">
      <c r="A2027" s="1">
        <v>47379</v>
      </c>
      <c r="B2027" s="2">
        <v>46311</v>
      </c>
      <c r="C2027" s="1" t="s">
        <v>22</v>
      </c>
      <c r="D2027" s="1">
        <v>2026</v>
      </c>
      <c r="E2027" s="1">
        <v>10</v>
      </c>
      <c r="F2027" s="1">
        <v>42</v>
      </c>
    </row>
    <row r="2028" spans="1:6" x14ac:dyDescent="0.35">
      <c r="A2028" s="1">
        <v>47378</v>
      </c>
      <c r="B2028" s="2">
        <v>46311</v>
      </c>
      <c r="C2028" s="1" t="s">
        <v>22</v>
      </c>
      <c r="D2028" s="1">
        <v>2026</v>
      </c>
      <c r="E2028" s="1">
        <v>10</v>
      </c>
      <c r="F2028" s="1">
        <v>42</v>
      </c>
    </row>
    <row r="2029" spans="1:6" x14ac:dyDescent="0.35">
      <c r="A2029" s="1">
        <v>47376</v>
      </c>
      <c r="B2029" s="2">
        <v>46311</v>
      </c>
      <c r="C2029" s="1" t="s">
        <v>22</v>
      </c>
      <c r="D2029" s="1">
        <v>2026</v>
      </c>
      <c r="E2029" s="1">
        <v>10</v>
      </c>
      <c r="F2029" s="1">
        <v>42</v>
      </c>
    </row>
    <row r="2030" spans="1:6" x14ac:dyDescent="0.35">
      <c r="A2030" s="1">
        <v>47374</v>
      </c>
      <c r="B2030" s="2">
        <v>46311</v>
      </c>
      <c r="C2030" s="1" t="s">
        <v>22</v>
      </c>
      <c r="D2030" s="1">
        <v>2026</v>
      </c>
      <c r="E2030" s="1">
        <v>10</v>
      </c>
      <c r="F2030" s="1">
        <v>42</v>
      </c>
    </row>
    <row r="2031" spans="1:6" x14ac:dyDescent="0.35">
      <c r="A2031" s="1">
        <v>47372</v>
      </c>
      <c r="B2031" s="2">
        <v>46311</v>
      </c>
      <c r="C2031" s="1" t="s">
        <v>22</v>
      </c>
      <c r="D2031" s="1">
        <v>2026</v>
      </c>
      <c r="E2031" s="1">
        <v>10</v>
      </c>
      <c r="F2031" s="1">
        <v>42</v>
      </c>
    </row>
    <row r="2032" spans="1:6" x14ac:dyDescent="0.35">
      <c r="A2032" s="1">
        <v>47371</v>
      </c>
      <c r="B2032" s="2">
        <v>46311</v>
      </c>
      <c r="C2032" s="1" t="s">
        <v>22</v>
      </c>
      <c r="D2032" s="1">
        <v>2026</v>
      </c>
      <c r="E2032" s="1">
        <v>10</v>
      </c>
      <c r="F2032" s="1">
        <v>42</v>
      </c>
    </row>
    <row r="2033" spans="1:6" x14ac:dyDescent="0.35">
      <c r="A2033" s="1">
        <v>47365</v>
      </c>
      <c r="B2033" s="2">
        <v>46311</v>
      </c>
      <c r="C2033" s="1" t="s">
        <v>7</v>
      </c>
      <c r="D2033" s="1">
        <v>2026</v>
      </c>
      <c r="E2033" s="1">
        <v>10</v>
      </c>
      <c r="F2033" s="1">
        <v>42</v>
      </c>
    </row>
    <row r="2034" spans="1:6" x14ac:dyDescent="0.35">
      <c r="A2034" s="1">
        <v>47363</v>
      </c>
      <c r="B2034" s="2">
        <v>46311</v>
      </c>
      <c r="C2034" s="1" t="s">
        <v>7</v>
      </c>
      <c r="D2034" s="1">
        <v>2026</v>
      </c>
      <c r="E2034" s="1">
        <v>10</v>
      </c>
      <c r="F2034" s="1">
        <v>42</v>
      </c>
    </row>
    <row r="2035" spans="1:6" x14ac:dyDescent="0.35">
      <c r="A2035" s="1">
        <v>47360</v>
      </c>
      <c r="B2035" s="2">
        <v>46311</v>
      </c>
      <c r="C2035" s="1" t="s">
        <v>6</v>
      </c>
      <c r="D2035" s="1">
        <v>2026</v>
      </c>
      <c r="E2035" s="1">
        <v>10</v>
      </c>
      <c r="F2035" s="1">
        <v>42</v>
      </c>
    </row>
    <row r="2036" spans="1:6" x14ac:dyDescent="0.35">
      <c r="A2036" s="1">
        <v>47359</v>
      </c>
      <c r="B2036" s="2">
        <v>46311</v>
      </c>
      <c r="C2036" s="1" t="s">
        <v>6</v>
      </c>
      <c r="D2036" s="1">
        <v>2026</v>
      </c>
      <c r="E2036" s="1">
        <v>10</v>
      </c>
      <c r="F2036" s="1">
        <v>42</v>
      </c>
    </row>
    <row r="2037" spans="1:6" x14ac:dyDescent="0.35">
      <c r="A2037" s="1">
        <v>47424</v>
      </c>
      <c r="B2037" s="2">
        <v>46312</v>
      </c>
      <c r="C2037" s="1" t="s">
        <v>10</v>
      </c>
      <c r="D2037" s="1">
        <v>2026</v>
      </c>
      <c r="E2037" s="1">
        <v>10</v>
      </c>
      <c r="F2037" s="1">
        <v>42</v>
      </c>
    </row>
    <row r="2038" spans="1:6" x14ac:dyDescent="0.35">
      <c r="A2038" s="1">
        <v>47417</v>
      </c>
      <c r="B2038" s="2">
        <v>46312</v>
      </c>
      <c r="C2038" s="1" t="s">
        <v>10</v>
      </c>
      <c r="D2038" s="1">
        <v>2026</v>
      </c>
      <c r="E2038" s="1">
        <v>10</v>
      </c>
      <c r="F2038" s="1">
        <v>42</v>
      </c>
    </row>
    <row r="2039" spans="1:6" x14ac:dyDescent="0.35">
      <c r="A2039" s="1">
        <v>47414</v>
      </c>
      <c r="B2039" s="2">
        <v>46312</v>
      </c>
      <c r="C2039" s="1" t="s">
        <v>17</v>
      </c>
      <c r="D2039" s="1">
        <v>2026</v>
      </c>
      <c r="E2039" s="1">
        <v>10</v>
      </c>
      <c r="F2039" s="1">
        <v>42</v>
      </c>
    </row>
    <row r="2040" spans="1:6" x14ac:dyDescent="0.35">
      <c r="A2040" s="1">
        <v>47413</v>
      </c>
      <c r="B2040" s="2">
        <v>46312</v>
      </c>
      <c r="C2040" s="1" t="s">
        <v>17</v>
      </c>
      <c r="D2040" s="1">
        <v>2026</v>
      </c>
      <c r="E2040" s="1">
        <v>10</v>
      </c>
      <c r="F2040" s="1">
        <v>42</v>
      </c>
    </row>
    <row r="2041" spans="1:6" x14ac:dyDescent="0.35">
      <c r="A2041" s="1">
        <v>47412</v>
      </c>
      <c r="B2041" s="2">
        <v>46312</v>
      </c>
      <c r="C2041" s="1" t="s">
        <v>17</v>
      </c>
      <c r="D2041" s="1">
        <v>2026</v>
      </c>
      <c r="E2041" s="1">
        <v>10</v>
      </c>
      <c r="F2041" s="1">
        <v>42</v>
      </c>
    </row>
    <row r="2042" spans="1:6" x14ac:dyDescent="0.35">
      <c r="A2042" s="1">
        <v>47407</v>
      </c>
      <c r="B2042" s="2">
        <v>46312</v>
      </c>
      <c r="C2042" s="1" t="s">
        <v>10</v>
      </c>
      <c r="D2042" s="1">
        <v>2026</v>
      </c>
      <c r="E2042" s="1">
        <v>10</v>
      </c>
      <c r="F2042" s="1">
        <v>42</v>
      </c>
    </row>
    <row r="2043" spans="1:6" x14ac:dyDescent="0.35">
      <c r="A2043" s="1">
        <v>47489</v>
      </c>
      <c r="B2043" s="2">
        <v>46314</v>
      </c>
      <c r="C2043" s="1" t="s">
        <v>3</v>
      </c>
      <c r="D2043" s="1">
        <v>2026</v>
      </c>
      <c r="E2043" s="1">
        <v>10</v>
      </c>
      <c r="F2043" s="1">
        <v>43</v>
      </c>
    </row>
    <row r="2044" spans="1:6" x14ac:dyDescent="0.35">
      <c r="A2044" s="1">
        <v>47476</v>
      </c>
      <c r="B2044" s="2">
        <v>46314</v>
      </c>
      <c r="C2044" s="1" t="s">
        <v>10</v>
      </c>
      <c r="D2044" s="1">
        <v>2026</v>
      </c>
      <c r="E2044" s="1">
        <v>10</v>
      </c>
      <c r="F2044" s="1">
        <v>43</v>
      </c>
    </row>
    <row r="2045" spans="1:6" x14ac:dyDescent="0.35">
      <c r="A2045" s="1">
        <v>47475</v>
      </c>
      <c r="B2045" s="2">
        <v>46314</v>
      </c>
      <c r="C2045" s="1" t="s">
        <v>10</v>
      </c>
      <c r="D2045" s="1">
        <v>2026</v>
      </c>
      <c r="E2045" s="1">
        <v>10</v>
      </c>
      <c r="F2045" s="1">
        <v>43</v>
      </c>
    </row>
    <row r="2046" spans="1:6" x14ac:dyDescent="0.35">
      <c r="A2046" s="1">
        <v>47470</v>
      </c>
      <c r="B2046" s="2">
        <v>46314</v>
      </c>
      <c r="C2046" s="1" t="s">
        <v>7</v>
      </c>
      <c r="D2046" s="1">
        <v>2026</v>
      </c>
      <c r="E2046" s="1">
        <v>10</v>
      </c>
      <c r="F2046" s="1">
        <v>43</v>
      </c>
    </row>
    <row r="2047" spans="1:6" x14ac:dyDescent="0.35">
      <c r="A2047" s="1">
        <v>47469</v>
      </c>
      <c r="B2047" s="2">
        <v>46314</v>
      </c>
      <c r="C2047" s="1" t="s">
        <v>22</v>
      </c>
      <c r="D2047" s="1">
        <v>2026</v>
      </c>
      <c r="E2047" s="1">
        <v>10</v>
      </c>
      <c r="F2047" s="1">
        <v>43</v>
      </c>
    </row>
    <row r="2048" spans="1:6" x14ac:dyDescent="0.35">
      <c r="A2048" s="1">
        <v>47468</v>
      </c>
      <c r="B2048" s="2">
        <v>46314</v>
      </c>
      <c r="C2048" s="1" t="s">
        <v>22</v>
      </c>
      <c r="D2048" s="1">
        <v>2026</v>
      </c>
      <c r="E2048" s="1">
        <v>10</v>
      </c>
      <c r="F2048" s="1">
        <v>43</v>
      </c>
    </row>
    <row r="2049" spans="1:6" x14ac:dyDescent="0.35">
      <c r="A2049" s="1">
        <v>47467</v>
      </c>
      <c r="B2049" s="2">
        <v>46314</v>
      </c>
      <c r="C2049" s="1" t="s">
        <v>9</v>
      </c>
      <c r="D2049" s="1">
        <v>2026</v>
      </c>
      <c r="E2049" s="1">
        <v>10</v>
      </c>
      <c r="F2049" s="1">
        <v>43</v>
      </c>
    </row>
    <row r="2050" spans="1:6" x14ac:dyDescent="0.35">
      <c r="A2050" s="1">
        <v>47466</v>
      </c>
      <c r="B2050" s="2">
        <v>46314</v>
      </c>
      <c r="C2050" s="1" t="s">
        <v>22</v>
      </c>
      <c r="D2050" s="1">
        <v>2026</v>
      </c>
      <c r="E2050" s="1">
        <v>10</v>
      </c>
      <c r="F2050" s="1">
        <v>43</v>
      </c>
    </row>
    <row r="2051" spans="1:6" x14ac:dyDescent="0.35">
      <c r="A2051" s="1">
        <v>47465</v>
      </c>
      <c r="B2051" s="2">
        <v>46314</v>
      </c>
      <c r="C2051" s="1" t="s">
        <v>9</v>
      </c>
      <c r="D2051" s="1">
        <v>2026</v>
      </c>
      <c r="E2051" s="1">
        <v>10</v>
      </c>
      <c r="F2051" s="1">
        <v>43</v>
      </c>
    </row>
    <row r="2052" spans="1:6" x14ac:dyDescent="0.35">
      <c r="A2052" s="1">
        <v>47464</v>
      </c>
      <c r="B2052" s="2">
        <v>46314</v>
      </c>
      <c r="C2052" s="1" t="s">
        <v>22</v>
      </c>
      <c r="D2052" s="1">
        <v>2026</v>
      </c>
      <c r="E2052" s="1">
        <v>10</v>
      </c>
      <c r="F2052" s="1">
        <v>43</v>
      </c>
    </row>
    <row r="2053" spans="1:6" x14ac:dyDescent="0.35">
      <c r="A2053" s="1">
        <v>47461</v>
      </c>
      <c r="B2053" s="2">
        <v>46314</v>
      </c>
      <c r="C2053" s="1" t="s">
        <v>3</v>
      </c>
      <c r="D2053" s="1">
        <v>2026</v>
      </c>
      <c r="E2053" s="1">
        <v>10</v>
      </c>
      <c r="F2053" s="1">
        <v>43</v>
      </c>
    </row>
    <row r="2054" spans="1:6" x14ac:dyDescent="0.35">
      <c r="A2054" s="1">
        <v>47460</v>
      </c>
      <c r="B2054" s="2">
        <v>46314</v>
      </c>
      <c r="C2054" s="1" t="s">
        <v>6</v>
      </c>
      <c r="D2054" s="1">
        <v>2026</v>
      </c>
      <c r="E2054" s="1">
        <v>10</v>
      </c>
      <c r="F2054" s="1">
        <v>43</v>
      </c>
    </row>
    <row r="2055" spans="1:6" x14ac:dyDescent="0.35">
      <c r="A2055" s="1">
        <v>47459</v>
      </c>
      <c r="B2055" s="2">
        <v>46314</v>
      </c>
      <c r="C2055" s="1" t="s">
        <v>6</v>
      </c>
      <c r="D2055" s="1">
        <v>2026</v>
      </c>
      <c r="E2055" s="1">
        <v>10</v>
      </c>
      <c r="F2055" s="1">
        <v>43</v>
      </c>
    </row>
    <row r="2056" spans="1:6" x14ac:dyDescent="0.35">
      <c r="A2056" s="1">
        <v>47457</v>
      </c>
      <c r="B2056" s="2">
        <v>46314</v>
      </c>
      <c r="C2056" s="1" t="s">
        <v>17</v>
      </c>
      <c r="D2056" s="1">
        <v>2026</v>
      </c>
      <c r="E2056" s="1">
        <v>10</v>
      </c>
      <c r="F2056" s="1">
        <v>43</v>
      </c>
    </row>
    <row r="2057" spans="1:6" x14ac:dyDescent="0.35">
      <c r="A2057" s="1">
        <v>47456</v>
      </c>
      <c r="B2057" s="2">
        <v>46314</v>
      </c>
      <c r="C2057" s="1" t="s">
        <v>17</v>
      </c>
      <c r="D2057" s="1">
        <v>2026</v>
      </c>
      <c r="E2057" s="1">
        <v>10</v>
      </c>
      <c r="F2057" s="1">
        <v>43</v>
      </c>
    </row>
    <row r="2058" spans="1:6" x14ac:dyDescent="0.35">
      <c r="A2058" s="1">
        <v>47455</v>
      </c>
      <c r="B2058" s="2">
        <v>46314</v>
      </c>
      <c r="C2058" s="1" t="s">
        <v>17</v>
      </c>
      <c r="D2058" s="1">
        <v>2026</v>
      </c>
      <c r="E2058" s="1">
        <v>10</v>
      </c>
      <c r="F2058" s="1">
        <v>43</v>
      </c>
    </row>
    <row r="2059" spans="1:6" x14ac:dyDescent="0.35">
      <c r="A2059" s="1">
        <v>47453</v>
      </c>
      <c r="B2059" s="2">
        <v>46314</v>
      </c>
      <c r="C2059" s="1" t="s">
        <v>3</v>
      </c>
      <c r="D2059" s="1">
        <v>2026</v>
      </c>
      <c r="E2059" s="1">
        <v>10</v>
      </c>
      <c r="F2059" s="1">
        <v>43</v>
      </c>
    </row>
    <row r="2060" spans="1:6" x14ac:dyDescent="0.35">
      <c r="A2060" s="1">
        <v>47452</v>
      </c>
      <c r="B2060" s="2">
        <v>46314</v>
      </c>
      <c r="C2060" s="1" t="s">
        <v>3</v>
      </c>
      <c r="D2060" s="1">
        <v>2026</v>
      </c>
      <c r="E2060" s="1">
        <v>10</v>
      </c>
      <c r="F2060" s="1">
        <v>43</v>
      </c>
    </row>
    <row r="2061" spans="1:6" x14ac:dyDescent="0.35">
      <c r="A2061" s="1">
        <v>47451</v>
      </c>
      <c r="B2061" s="2">
        <v>46314</v>
      </c>
      <c r="C2061" s="1" t="s">
        <v>9</v>
      </c>
      <c r="D2061" s="1">
        <v>2026</v>
      </c>
      <c r="E2061" s="1">
        <v>10</v>
      </c>
      <c r="F2061" s="1">
        <v>43</v>
      </c>
    </row>
    <row r="2062" spans="1:6" x14ac:dyDescent="0.35">
      <c r="A2062" s="1">
        <v>47448</v>
      </c>
      <c r="B2062" s="2">
        <v>46314</v>
      </c>
      <c r="C2062" s="1" t="s">
        <v>5</v>
      </c>
      <c r="D2062" s="1">
        <v>2026</v>
      </c>
      <c r="E2062" s="1">
        <v>10</v>
      </c>
      <c r="F2062" s="1">
        <v>43</v>
      </c>
    </row>
    <row r="2063" spans="1:6" x14ac:dyDescent="0.35">
      <c r="A2063" s="1">
        <v>47445</v>
      </c>
      <c r="B2063" s="2">
        <v>46314</v>
      </c>
      <c r="C2063" s="1" t="s">
        <v>9</v>
      </c>
      <c r="D2063" s="1">
        <v>2026</v>
      </c>
      <c r="E2063" s="1">
        <v>10</v>
      </c>
      <c r="F2063" s="1">
        <v>43</v>
      </c>
    </row>
    <row r="2064" spans="1:6" x14ac:dyDescent="0.35">
      <c r="A2064" s="1">
        <v>47526</v>
      </c>
      <c r="B2064" s="2">
        <v>46314</v>
      </c>
      <c r="C2064" s="1" t="s">
        <v>11</v>
      </c>
      <c r="D2064" s="1">
        <v>2026</v>
      </c>
      <c r="E2064" s="1">
        <v>10</v>
      </c>
      <c r="F2064" s="1">
        <v>43</v>
      </c>
    </row>
    <row r="2065" spans="1:6" x14ac:dyDescent="0.35">
      <c r="A2065" s="1">
        <v>47506</v>
      </c>
      <c r="B2065" s="2">
        <v>46314</v>
      </c>
      <c r="C2065" s="1" t="s">
        <v>21</v>
      </c>
      <c r="D2065" s="1">
        <v>2026</v>
      </c>
      <c r="E2065" s="1">
        <v>10</v>
      </c>
      <c r="F2065" s="1">
        <v>43</v>
      </c>
    </row>
    <row r="2066" spans="1:6" x14ac:dyDescent="0.35">
      <c r="A2066" s="1">
        <v>47505</v>
      </c>
      <c r="B2066" s="2">
        <v>46314</v>
      </c>
      <c r="C2066" s="1" t="s">
        <v>21</v>
      </c>
      <c r="D2066" s="1">
        <v>2026</v>
      </c>
      <c r="E2066" s="1">
        <v>10</v>
      </c>
      <c r="F2066" s="1">
        <v>43</v>
      </c>
    </row>
    <row r="2067" spans="1:6" x14ac:dyDescent="0.35">
      <c r="A2067" s="1">
        <v>47504</v>
      </c>
      <c r="B2067" s="2">
        <v>46314</v>
      </c>
      <c r="C2067" s="1" t="s">
        <v>21</v>
      </c>
      <c r="D2067" s="1">
        <v>2026</v>
      </c>
      <c r="E2067" s="1">
        <v>10</v>
      </c>
      <c r="F2067" s="1">
        <v>43</v>
      </c>
    </row>
    <row r="2068" spans="1:6" x14ac:dyDescent="0.35">
      <c r="A2068" s="1">
        <v>47502</v>
      </c>
      <c r="B2068" s="2">
        <v>46314</v>
      </c>
      <c r="C2068" s="1" t="s">
        <v>21</v>
      </c>
      <c r="D2068" s="1">
        <v>2026</v>
      </c>
      <c r="E2068" s="1">
        <v>10</v>
      </c>
      <c r="F2068" s="1">
        <v>43</v>
      </c>
    </row>
    <row r="2069" spans="1:6" x14ac:dyDescent="0.35">
      <c r="A2069" s="1">
        <v>47501</v>
      </c>
      <c r="B2069" s="2">
        <v>46314</v>
      </c>
      <c r="C2069" s="1" t="s">
        <v>21</v>
      </c>
      <c r="D2069" s="1">
        <v>2026</v>
      </c>
      <c r="E2069" s="1">
        <v>10</v>
      </c>
      <c r="F2069" s="1">
        <v>43</v>
      </c>
    </row>
    <row r="2070" spans="1:6" x14ac:dyDescent="0.35">
      <c r="A2070" s="1">
        <v>47659</v>
      </c>
      <c r="B2070" s="2">
        <v>46314</v>
      </c>
      <c r="C2070" s="1" t="s">
        <v>21</v>
      </c>
      <c r="D2070" s="1">
        <v>2026</v>
      </c>
      <c r="E2070" s="1">
        <v>10</v>
      </c>
      <c r="F2070" s="1">
        <v>43</v>
      </c>
    </row>
    <row r="2071" spans="1:6" x14ac:dyDescent="0.35">
      <c r="A2071" s="1">
        <v>47658</v>
      </c>
      <c r="B2071" s="2">
        <v>46314</v>
      </c>
      <c r="C2071" s="1" t="s">
        <v>21</v>
      </c>
      <c r="D2071" s="1">
        <v>2026</v>
      </c>
      <c r="E2071" s="1">
        <v>10</v>
      </c>
      <c r="F2071" s="1">
        <v>43</v>
      </c>
    </row>
    <row r="2072" spans="1:6" x14ac:dyDescent="0.35">
      <c r="A2072" s="1">
        <v>47657</v>
      </c>
      <c r="B2072" s="2">
        <v>46314</v>
      </c>
      <c r="C2072" s="1" t="s">
        <v>21</v>
      </c>
      <c r="D2072" s="1">
        <v>2026</v>
      </c>
      <c r="E2072" s="1">
        <v>10</v>
      </c>
      <c r="F2072" s="1">
        <v>43</v>
      </c>
    </row>
    <row r="2073" spans="1:6" x14ac:dyDescent="0.35">
      <c r="A2073" s="1">
        <v>47655</v>
      </c>
      <c r="B2073" s="2">
        <v>46314</v>
      </c>
      <c r="C2073" s="1" t="s">
        <v>21</v>
      </c>
      <c r="D2073" s="1">
        <v>2026</v>
      </c>
      <c r="E2073" s="1">
        <v>10</v>
      </c>
      <c r="F2073" s="1">
        <v>43</v>
      </c>
    </row>
    <row r="2074" spans="1:6" x14ac:dyDescent="0.35">
      <c r="A2074" s="1">
        <v>47653</v>
      </c>
      <c r="B2074" s="2">
        <v>46314</v>
      </c>
      <c r="C2074" s="1" t="s">
        <v>21</v>
      </c>
      <c r="D2074" s="1">
        <v>2026</v>
      </c>
      <c r="E2074" s="1">
        <v>10</v>
      </c>
      <c r="F2074" s="1">
        <v>43</v>
      </c>
    </row>
    <row r="2075" spans="1:6" x14ac:dyDescent="0.35">
      <c r="A2075" s="1">
        <v>47647</v>
      </c>
      <c r="B2075" s="2">
        <v>46314</v>
      </c>
      <c r="C2075" s="1" t="s">
        <v>21</v>
      </c>
      <c r="D2075" s="1">
        <v>2026</v>
      </c>
      <c r="E2075" s="1">
        <v>10</v>
      </c>
      <c r="F2075" s="1">
        <v>43</v>
      </c>
    </row>
    <row r="2076" spans="1:6" x14ac:dyDescent="0.35">
      <c r="A2076" s="1">
        <v>47646</v>
      </c>
      <c r="B2076" s="2">
        <v>46314</v>
      </c>
      <c r="C2076" s="1" t="s">
        <v>21</v>
      </c>
      <c r="D2076" s="1">
        <v>2026</v>
      </c>
      <c r="E2076" s="1">
        <v>10</v>
      </c>
      <c r="F2076" s="1">
        <v>43</v>
      </c>
    </row>
    <row r="2077" spans="1:6" x14ac:dyDescent="0.35">
      <c r="A2077" s="1">
        <v>47535</v>
      </c>
      <c r="B2077" s="2">
        <v>46315</v>
      </c>
      <c r="C2077" s="1" t="s">
        <v>10</v>
      </c>
      <c r="D2077" s="1">
        <v>2026</v>
      </c>
      <c r="E2077" s="1">
        <v>10</v>
      </c>
      <c r="F2077" s="1">
        <v>43</v>
      </c>
    </row>
    <row r="2078" spans="1:6" x14ac:dyDescent="0.35">
      <c r="A2078" s="1">
        <v>47534</v>
      </c>
      <c r="B2078" s="2">
        <v>46315</v>
      </c>
      <c r="C2078" s="1" t="s">
        <v>10</v>
      </c>
      <c r="D2078" s="1">
        <v>2026</v>
      </c>
      <c r="E2078" s="1">
        <v>10</v>
      </c>
      <c r="F2078" s="1">
        <v>43</v>
      </c>
    </row>
    <row r="2079" spans="1:6" x14ac:dyDescent="0.35">
      <c r="A2079" s="1">
        <v>47533</v>
      </c>
      <c r="B2079" s="2">
        <v>46315</v>
      </c>
      <c r="C2079" s="1" t="s">
        <v>103</v>
      </c>
      <c r="D2079" s="1">
        <v>2026</v>
      </c>
      <c r="E2079" s="1">
        <v>10</v>
      </c>
      <c r="F2079" s="1">
        <v>43</v>
      </c>
    </row>
    <row r="2080" spans="1:6" x14ac:dyDescent="0.35">
      <c r="A2080" s="1">
        <v>47532</v>
      </c>
      <c r="B2080" s="2">
        <v>46315</v>
      </c>
      <c r="C2080" s="1" t="s">
        <v>103</v>
      </c>
      <c r="D2080" s="1">
        <v>2026</v>
      </c>
      <c r="E2080" s="1">
        <v>10</v>
      </c>
      <c r="F2080" s="1">
        <v>43</v>
      </c>
    </row>
    <row r="2081" spans="1:6" x14ac:dyDescent="0.35">
      <c r="A2081" s="1">
        <v>47531</v>
      </c>
      <c r="B2081" s="2">
        <v>46315</v>
      </c>
      <c r="C2081" s="1" t="s">
        <v>103</v>
      </c>
      <c r="D2081" s="1">
        <v>2026</v>
      </c>
      <c r="E2081" s="1">
        <v>10</v>
      </c>
      <c r="F2081" s="1">
        <v>43</v>
      </c>
    </row>
    <row r="2082" spans="1:6" x14ac:dyDescent="0.35">
      <c r="A2082" s="1">
        <v>47525</v>
      </c>
      <c r="B2082" s="2">
        <v>46315</v>
      </c>
      <c r="C2082" s="1" t="s">
        <v>4</v>
      </c>
      <c r="D2082" s="1">
        <v>2026</v>
      </c>
      <c r="E2082" s="1">
        <v>10</v>
      </c>
      <c r="F2082" s="1">
        <v>43</v>
      </c>
    </row>
    <row r="2083" spans="1:6" x14ac:dyDescent="0.35">
      <c r="A2083" s="1">
        <v>47524</v>
      </c>
      <c r="B2083" s="2">
        <v>46315</v>
      </c>
      <c r="C2083" s="1" t="s">
        <v>4</v>
      </c>
      <c r="D2083" s="1">
        <v>2026</v>
      </c>
      <c r="E2083" s="1">
        <v>10</v>
      </c>
      <c r="F2083" s="1">
        <v>43</v>
      </c>
    </row>
    <row r="2084" spans="1:6" x14ac:dyDescent="0.35">
      <c r="A2084" s="1">
        <v>47523</v>
      </c>
      <c r="B2084" s="2">
        <v>46315</v>
      </c>
      <c r="C2084" s="1" t="s">
        <v>9</v>
      </c>
      <c r="D2084" s="1">
        <v>2026</v>
      </c>
      <c r="E2084" s="1">
        <v>10</v>
      </c>
      <c r="F2084" s="1">
        <v>43</v>
      </c>
    </row>
    <row r="2085" spans="1:6" x14ac:dyDescent="0.35">
      <c r="A2085" s="1">
        <v>47522</v>
      </c>
      <c r="B2085" s="2">
        <v>46315</v>
      </c>
      <c r="C2085" s="1" t="s">
        <v>3</v>
      </c>
      <c r="D2085" s="1">
        <v>2026</v>
      </c>
      <c r="E2085" s="1">
        <v>10</v>
      </c>
      <c r="F2085" s="1">
        <v>43</v>
      </c>
    </row>
    <row r="2086" spans="1:6" x14ac:dyDescent="0.35">
      <c r="A2086" s="1">
        <v>47521</v>
      </c>
      <c r="B2086" s="2">
        <v>46315</v>
      </c>
      <c r="C2086" s="1" t="s">
        <v>9</v>
      </c>
      <c r="D2086" s="1">
        <v>2026</v>
      </c>
      <c r="E2086" s="1">
        <v>10</v>
      </c>
      <c r="F2086" s="1">
        <v>43</v>
      </c>
    </row>
    <row r="2087" spans="1:6" x14ac:dyDescent="0.35">
      <c r="A2087" s="1">
        <v>47520</v>
      </c>
      <c r="B2087" s="2">
        <v>46315</v>
      </c>
      <c r="C2087" s="1" t="s">
        <v>19</v>
      </c>
      <c r="D2087" s="1">
        <v>2026</v>
      </c>
      <c r="E2087" s="1">
        <v>10</v>
      </c>
      <c r="F2087" s="1">
        <v>43</v>
      </c>
    </row>
    <row r="2088" spans="1:6" x14ac:dyDescent="0.35">
      <c r="A2088" s="1">
        <v>47519</v>
      </c>
      <c r="B2088" s="2">
        <v>46315</v>
      </c>
      <c r="C2088" s="1" t="s">
        <v>22</v>
      </c>
      <c r="D2088" s="1">
        <v>2026</v>
      </c>
      <c r="E2088" s="1">
        <v>10</v>
      </c>
      <c r="F2088" s="1">
        <v>43</v>
      </c>
    </row>
    <row r="2089" spans="1:6" x14ac:dyDescent="0.35">
      <c r="A2089" s="1">
        <v>47518</v>
      </c>
      <c r="B2089" s="2">
        <v>46315</v>
      </c>
      <c r="C2089" s="1" t="s">
        <v>22</v>
      </c>
      <c r="D2089" s="1">
        <v>2026</v>
      </c>
      <c r="E2089" s="1">
        <v>10</v>
      </c>
      <c r="F2089" s="1">
        <v>43</v>
      </c>
    </row>
    <row r="2090" spans="1:6" x14ac:dyDescent="0.35">
      <c r="A2090" s="1">
        <v>47517</v>
      </c>
      <c r="B2090" s="2">
        <v>46315</v>
      </c>
      <c r="C2090" s="1" t="s">
        <v>22</v>
      </c>
      <c r="D2090" s="1">
        <v>2026</v>
      </c>
      <c r="E2090" s="1">
        <v>10</v>
      </c>
      <c r="F2090" s="1">
        <v>43</v>
      </c>
    </row>
    <row r="2091" spans="1:6" x14ac:dyDescent="0.35">
      <c r="A2091" s="1">
        <v>47516</v>
      </c>
      <c r="B2091" s="2">
        <v>46315</v>
      </c>
      <c r="C2091" s="1" t="s">
        <v>22</v>
      </c>
      <c r="D2091" s="1">
        <v>2026</v>
      </c>
      <c r="E2091" s="1">
        <v>10</v>
      </c>
      <c r="F2091" s="1">
        <v>43</v>
      </c>
    </row>
    <row r="2092" spans="1:6" x14ac:dyDescent="0.35">
      <c r="A2092" s="1">
        <v>47515</v>
      </c>
      <c r="B2092" s="2">
        <v>46315</v>
      </c>
      <c r="C2092" s="1" t="s">
        <v>6</v>
      </c>
      <c r="D2092" s="1">
        <v>2026</v>
      </c>
      <c r="E2092" s="1">
        <v>10</v>
      </c>
      <c r="F2092" s="1">
        <v>43</v>
      </c>
    </row>
    <row r="2093" spans="1:6" x14ac:dyDescent="0.35">
      <c r="A2093" s="1">
        <v>47514</v>
      </c>
      <c r="B2093" s="2">
        <v>46315</v>
      </c>
      <c r="C2093" s="1" t="s">
        <v>6</v>
      </c>
      <c r="D2093" s="1">
        <v>2026</v>
      </c>
      <c r="E2093" s="1">
        <v>10</v>
      </c>
      <c r="F2093" s="1">
        <v>43</v>
      </c>
    </row>
    <row r="2094" spans="1:6" x14ac:dyDescent="0.35">
      <c r="A2094" s="1">
        <v>47513</v>
      </c>
      <c r="B2094" s="2">
        <v>46315</v>
      </c>
      <c r="C2094" s="1" t="s">
        <v>3</v>
      </c>
      <c r="D2094" s="1">
        <v>2026</v>
      </c>
      <c r="E2094" s="1">
        <v>10</v>
      </c>
      <c r="F2094" s="1">
        <v>43</v>
      </c>
    </row>
    <row r="2095" spans="1:6" x14ac:dyDescent="0.35">
      <c r="A2095" s="1">
        <v>47512</v>
      </c>
      <c r="B2095" s="2">
        <v>46315</v>
      </c>
      <c r="C2095" s="1" t="s">
        <v>21</v>
      </c>
      <c r="D2095" s="1">
        <v>2026</v>
      </c>
      <c r="E2095" s="1">
        <v>10</v>
      </c>
      <c r="F2095" s="1">
        <v>43</v>
      </c>
    </row>
    <row r="2096" spans="1:6" x14ac:dyDescent="0.35">
      <c r="A2096" s="1">
        <v>47511</v>
      </c>
      <c r="B2096" s="2">
        <v>46315</v>
      </c>
      <c r="C2096" s="1" t="s">
        <v>7</v>
      </c>
      <c r="D2096" s="1">
        <v>2026</v>
      </c>
      <c r="E2096" s="1">
        <v>10</v>
      </c>
      <c r="F2096" s="1">
        <v>43</v>
      </c>
    </row>
    <row r="2097" spans="1:6" x14ac:dyDescent="0.35">
      <c r="A2097" s="1">
        <v>47510</v>
      </c>
      <c r="B2097" s="2">
        <v>46315</v>
      </c>
      <c r="C2097" s="1" t="s">
        <v>9</v>
      </c>
      <c r="D2097" s="1">
        <v>2026</v>
      </c>
      <c r="E2097" s="1">
        <v>10</v>
      </c>
      <c r="F2097" s="1">
        <v>43</v>
      </c>
    </row>
    <row r="2098" spans="1:6" x14ac:dyDescent="0.35">
      <c r="A2098" s="1">
        <v>47509</v>
      </c>
      <c r="B2098" s="2">
        <v>46315</v>
      </c>
      <c r="C2098" s="1" t="s">
        <v>9</v>
      </c>
      <c r="D2098" s="1">
        <v>2026</v>
      </c>
      <c r="E2098" s="1">
        <v>10</v>
      </c>
      <c r="F2098" s="1">
        <v>43</v>
      </c>
    </row>
    <row r="2099" spans="1:6" x14ac:dyDescent="0.35">
      <c r="A2099" s="1">
        <v>47508</v>
      </c>
      <c r="B2099" s="2">
        <v>46315</v>
      </c>
      <c r="C2099" s="1" t="s">
        <v>7</v>
      </c>
      <c r="D2099" s="1">
        <v>2026</v>
      </c>
      <c r="E2099" s="1">
        <v>10</v>
      </c>
      <c r="F2099" s="1">
        <v>43</v>
      </c>
    </row>
    <row r="2100" spans="1:6" x14ac:dyDescent="0.35">
      <c r="A2100" s="1">
        <v>47507</v>
      </c>
      <c r="B2100" s="2">
        <v>46315</v>
      </c>
      <c r="C2100" s="1" t="s">
        <v>3</v>
      </c>
      <c r="D2100" s="1">
        <v>2026</v>
      </c>
      <c r="E2100" s="1">
        <v>10</v>
      </c>
      <c r="F2100" s="1">
        <v>43</v>
      </c>
    </row>
    <row r="2101" spans="1:6" x14ac:dyDescent="0.35">
      <c r="A2101" s="1">
        <v>47503</v>
      </c>
      <c r="B2101" s="2">
        <v>46315</v>
      </c>
      <c r="C2101" s="1" t="s">
        <v>21</v>
      </c>
      <c r="D2101" s="1">
        <v>2026</v>
      </c>
      <c r="E2101" s="1">
        <v>10</v>
      </c>
      <c r="F2101" s="1">
        <v>43</v>
      </c>
    </row>
    <row r="2102" spans="1:6" x14ac:dyDescent="0.35">
      <c r="A2102" s="1">
        <v>47500</v>
      </c>
      <c r="B2102" s="2">
        <v>46315</v>
      </c>
      <c r="C2102" s="1" t="s">
        <v>21</v>
      </c>
      <c r="D2102" s="1">
        <v>2026</v>
      </c>
      <c r="E2102" s="1">
        <v>10</v>
      </c>
      <c r="F2102" s="1">
        <v>43</v>
      </c>
    </row>
    <row r="2103" spans="1:6" x14ac:dyDescent="0.35">
      <c r="A2103" s="1">
        <v>47499</v>
      </c>
      <c r="B2103" s="2">
        <v>46315</v>
      </c>
      <c r="C2103" s="1" t="s">
        <v>3</v>
      </c>
      <c r="D2103" s="1">
        <v>2026</v>
      </c>
      <c r="E2103" s="1">
        <v>10</v>
      </c>
      <c r="F2103" s="1">
        <v>43</v>
      </c>
    </row>
    <row r="2104" spans="1:6" x14ac:dyDescent="0.35">
      <c r="A2104" s="1">
        <v>47498</v>
      </c>
      <c r="B2104" s="2">
        <v>46315</v>
      </c>
      <c r="C2104" s="1" t="s">
        <v>19</v>
      </c>
      <c r="D2104" s="1">
        <v>2026</v>
      </c>
      <c r="E2104" s="1">
        <v>10</v>
      </c>
      <c r="F2104" s="1">
        <v>43</v>
      </c>
    </row>
    <row r="2105" spans="1:6" x14ac:dyDescent="0.35">
      <c r="A2105" s="1">
        <v>47496</v>
      </c>
      <c r="B2105" s="2">
        <v>46315</v>
      </c>
      <c r="C2105" s="1" t="s">
        <v>6</v>
      </c>
      <c r="D2105" s="1">
        <v>2026</v>
      </c>
      <c r="E2105" s="1">
        <v>10</v>
      </c>
      <c r="F2105" s="1">
        <v>43</v>
      </c>
    </row>
    <row r="2106" spans="1:6" x14ac:dyDescent="0.35">
      <c r="A2106" s="1">
        <v>47495</v>
      </c>
      <c r="B2106" s="2">
        <v>46315</v>
      </c>
      <c r="C2106" s="1" t="s">
        <v>6</v>
      </c>
      <c r="D2106" s="1">
        <v>2026</v>
      </c>
      <c r="E2106" s="1">
        <v>10</v>
      </c>
      <c r="F2106" s="1">
        <v>43</v>
      </c>
    </row>
    <row r="2107" spans="1:6" x14ac:dyDescent="0.35">
      <c r="A2107" s="1">
        <v>47493</v>
      </c>
      <c r="B2107" s="2">
        <v>46315</v>
      </c>
      <c r="C2107" s="1" t="s">
        <v>3</v>
      </c>
      <c r="D2107" s="1">
        <v>2026</v>
      </c>
      <c r="E2107" s="1">
        <v>10</v>
      </c>
      <c r="F2107" s="1">
        <v>43</v>
      </c>
    </row>
    <row r="2108" spans="1:6" x14ac:dyDescent="0.35">
      <c r="A2108" s="1">
        <v>47490</v>
      </c>
      <c r="B2108" s="2">
        <v>46315</v>
      </c>
      <c r="C2108" s="1" t="s">
        <v>19</v>
      </c>
      <c r="D2108" s="1">
        <v>2026</v>
      </c>
      <c r="E2108" s="1">
        <v>10</v>
      </c>
      <c r="F2108" s="1">
        <v>43</v>
      </c>
    </row>
    <row r="2109" spans="1:6" x14ac:dyDescent="0.35">
      <c r="A2109" s="1">
        <v>47660</v>
      </c>
      <c r="B2109" s="2">
        <v>46315</v>
      </c>
      <c r="C2109" s="1" t="s">
        <v>21</v>
      </c>
      <c r="D2109" s="1">
        <v>2026</v>
      </c>
      <c r="E2109" s="1">
        <v>10</v>
      </c>
      <c r="F2109" s="1">
        <v>43</v>
      </c>
    </row>
    <row r="2110" spans="1:6" x14ac:dyDescent="0.35">
      <c r="A2110" s="1">
        <v>47556</v>
      </c>
      <c r="B2110" s="2">
        <v>46315</v>
      </c>
      <c r="C2110" s="1" t="s">
        <v>16</v>
      </c>
      <c r="D2110" s="1">
        <v>2026</v>
      </c>
      <c r="E2110" s="1">
        <v>10</v>
      </c>
      <c r="F2110" s="1">
        <v>43</v>
      </c>
    </row>
    <row r="2111" spans="1:6" x14ac:dyDescent="0.35">
      <c r="A2111" s="1">
        <v>47546</v>
      </c>
      <c r="B2111" s="2">
        <v>46316</v>
      </c>
      <c r="C2111" s="1" t="s">
        <v>19</v>
      </c>
      <c r="D2111" s="1">
        <v>2026</v>
      </c>
      <c r="E2111" s="1">
        <v>10</v>
      </c>
      <c r="F2111" s="1">
        <v>43</v>
      </c>
    </row>
    <row r="2112" spans="1:6" x14ac:dyDescent="0.35">
      <c r="A2112" s="1">
        <v>47538</v>
      </c>
      <c r="B2112" s="2">
        <v>46316</v>
      </c>
      <c r="C2112" s="1" t="s">
        <v>20</v>
      </c>
      <c r="D2112" s="1">
        <v>2026</v>
      </c>
      <c r="E2112" s="1">
        <v>10</v>
      </c>
      <c r="F2112" s="1">
        <v>43</v>
      </c>
    </row>
    <row r="2113" spans="1:6" x14ac:dyDescent="0.35">
      <c r="A2113" s="1">
        <v>47537</v>
      </c>
      <c r="B2113" s="2">
        <v>46316</v>
      </c>
      <c r="C2113" s="1" t="s">
        <v>20</v>
      </c>
      <c r="D2113" s="1">
        <v>2026</v>
      </c>
      <c r="E2113" s="1">
        <v>10</v>
      </c>
      <c r="F2113" s="1">
        <v>43</v>
      </c>
    </row>
    <row r="2114" spans="1:6" x14ac:dyDescent="0.35">
      <c r="A2114" s="1">
        <v>47536</v>
      </c>
      <c r="B2114" s="2">
        <v>46316</v>
      </c>
      <c r="C2114" s="1" t="s">
        <v>20</v>
      </c>
      <c r="D2114" s="1">
        <v>2026</v>
      </c>
      <c r="E2114" s="1">
        <v>10</v>
      </c>
      <c r="F2114" s="1">
        <v>43</v>
      </c>
    </row>
    <row r="2115" spans="1:6" x14ac:dyDescent="0.35">
      <c r="A2115" s="1">
        <v>47662</v>
      </c>
      <c r="B2115" s="2">
        <v>46316</v>
      </c>
      <c r="C2115" s="1" t="s">
        <v>21</v>
      </c>
      <c r="D2115" s="1">
        <v>2026</v>
      </c>
      <c r="E2115" s="1">
        <v>10</v>
      </c>
      <c r="F2115" s="1">
        <v>43</v>
      </c>
    </row>
    <row r="2116" spans="1:6" x14ac:dyDescent="0.35">
      <c r="A2116" s="1">
        <v>47661</v>
      </c>
      <c r="B2116" s="2">
        <v>46316</v>
      </c>
      <c r="C2116" s="1" t="s">
        <v>21</v>
      </c>
      <c r="D2116" s="1">
        <v>2026</v>
      </c>
      <c r="E2116" s="1">
        <v>10</v>
      </c>
      <c r="F2116" s="1">
        <v>43</v>
      </c>
    </row>
    <row r="2117" spans="1:6" x14ac:dyDescent="0.35">
      <c r="A2117" s="1">
        <v>47632</v>
      </c>
      <c r="B2117" s="2">
        <v>46316</v>
      </c>
      <c r="C2117" s="1" t="s">
        <v>10</v>
      </c>
      <c r="D2117" s="1">
        <v>2026</v>
      </c>
      <c r="E2117" s="1">
        <v>10</v>
      </c>
      <c r="F2117" s="1">
        <v>43</v>
      </c>
    </row>
    <row r="2118" spans="1:6" x14ac:dyDescent="0.35">
      <c r="A2118" s="1">
        <v>47630</v>
      </c>
      <c r="B2118" s="2">
        <v>46316</v>
      </c>
      <c r="C2118" s="1" t="s">
        <v>10</v>
      </c>
      <c r="D2118" s="1">
        <v>2026</v>
      </c>
      <c r="E2118" s="1">
        <v>10</v>
      </c>
      <c r="F2118" s="1">
        <v>43</v>
      </c>
    </row>
    <row r="2119" spans="1:6" x14ac:dyDescent="0.35">
      <c r="A2119" s="1">
        <v>47628</v>
      </c>
      <c r="B2119" s="2">
        <v>46316</v>
      </c>
      <c r="C2119" s="1" t="s">
        <v>15</v>
      </c>
      <c r="D2119" s="1">
        <v>2026</v>
      </c>
      <c r="E2119" s="1">
        <v>10</v>
      </c>
      <c r="F2119" s="1">
        <v>43</v>
      </c>
    </row>
    <row r="2120" spans="1:6" x14ac:dyDescent="0.35">
      <c r="A2120" s="1">
        <v>47627</v>
      </c>
      <c r="B2120" s="2">
        <v>46316</v>
      </c>
      <c r="C2120" s="1" t="s">
        <v>15</v>
      </c>
      <c r="D2120" s="1">
        <v>2026</v>
      </c>
      <c r="E2120" s="1">
        <v>10</v>
      </c>
      <c r="F2120" s="1">
        <v>43</v>
      </c>
    </row>
    <row r="2121" spans="1:6" x14ac:dyDescent="0.35">
      <c r="A2121" s="1">
        <v>47626</v>
      </c>
      <c r="B2121" s="2">
        <v>46316</v>
      </c>
      <c r="C2121" s="1" t="s">
        <v>17</v>
      </c>
      <c r="D2121" s="1">
        <v>2026</v>
      </c>
      <c r="E2121" s="1">
        <v>10</v>
      </c>
      <c r="F2121" s="1">
        <v>43</v>
      </c>
    </row>
    <row r="2122" spans="1:6" x14ac:dyDescent="0.35">
      <c r="A2122" s="1">
        <v>47625</v>
      </c>
      <c r="B2122" s="2">
        <v>46316</v>
      </c>
      <c r="C2122" s="1" t="s">
        <v>17</v>
      </c>
      <c r="D2122" s="1">
        <v>2026</v>
      </c>
      <c r="E2122" s="1">
        <v>10</v>
      </c>
      <c r="F2122" s="1">
        <v>43</v>
      </c>
    </row>
    <row r="2123" spans="1:6" x14ac:dyDescent="0.35">
      <c r="A2123" s="1">
        <v>47624</v>
      </c>
      <c r="B2123" s="2">
        <v>46316</v>
      </c>
      <c r="C2123" s="1" t="s">
        <v>17</v>
      </c>
      <c r="D2123" s="1">
        <v>2026</v>
      </c>
      <c r="E2123" s="1">
        <v>10</v>
      </c>
      <c r="F2123" s="1">
        <v>43</v>
      </c>
    </row>
    <row r="2124" spans="1:6" x14ac:dyDescent="0.35">
      <c r="A2124" s="1">
        <v>47623</v>
      </c>
      <c r="B2124" s="2">
        <v>46316</v>
      </c>
      <c r="C2124" s="1" t="s">
        <v>103</v>
      </c>
      <c r="D2124" s="1">
        <v>2026</v>
      </c>
      <c r="E2124" s="1">
        <v>10</v>
      </c>
      <c r="F2124" s="1">
        <v>43</v>
      </c>
    </row>
    <row r="2125" spans="1:6" x14ac:dyDescent="0.35">
      <c r="A2125" s="1">
        <v>47622</v>
      </c>
      <c r="B2125" s="2">
        <v>46316</v>
      </c>
      <c r="C2125" s="1" t="s">
        <v>3</v>
      </c>
      <c r="D2125" s="1">
        <v>2026</v>
      </c>
      <c r="E2125" s="1">
        <v>10</v>
      </c>
      <c r="F2125" s="1">
        <v>43</v>
      </c>
    </row>
    <row r="2126" spans="1:6" x14ac:dyDescent="0.35">
      <c r="A2126" s="1">
        <v>47620</v>
      </c>
      <c r="B2126" s="2">
        <v>46316</v>
      </c>
      <c r="C2126" s="1" t="s">
        <v>19</v>
      </c>
      <c r="D2126" s="1">
        <v>2026</v>
      </c>
      <c r="E2126" s="1">
        <v>10</v>
      </c>
      <c r="F2126" s="1">
        <v>43</v>
      </c>
    </row>
    <row r="2127" spans="1:6" x14ac:dyDescent="0.35">
      <c r="A2127" s="1">
        <v>47617</v>
      </c>
      <c r="B2127" s="2">
        <v>46316</v>
      </c>
      <c r="C2127" s="1" t="s">
        <v>9</v>
      </c>
      <c r="D2127" s="1">
        <v>2026</v>
      </c>
      <c r="E2127" s="1">
        <v>10</v>
      </c>
      <c r="F2127" s="1">
        <v>43</v>
      </c>
    </row>
    <row r="2128" spans="1:6" x14ac:dyDescent="0.35">
      <c r="A2128" s="1">
        <v>47616</v>
      </c>
      <c r="B2128" s="2">
        <v>46316</v>
      </c>
      <c r="C2128" s="1" t="s">
        <v>103</v>
      </c>
      <c r="D2128" s="1">
        <v>2026</v>
      </c>
      <c r="E2128" s="1">
        <v>10</v>
      </c>
      <c r="F2128" s="1">
        <v>43</v>
      </c>
    </row>
    <row r="2129" spans="1:6" x14ac:dyDescent="0.35">
      <c r="A2129" s="1">
        <v>47615</v>
      </c>
      <c r="B2129" s="2">
        <v>46316</v>
      </c>
      <c r="C2129" s="1" t="s">
        <v>103</v>
      </c>
      <c r="D2129" s="1">
        <v>2026</v>
      </c>
      <c r="E2129" s="1">
        <v>10</v>
      </c>
      <c r="F2129" s="1">
        <v>43</v>
      </c>
    </row>
    <row r="2130" spans="1:6" x14ac:dyDescent="0.35">
      <c r="A2130" s="1">
        <v>47612</v>
      </c>
      <c r="B2130" s="2">
        <v>46316</v>
      </c>
      <c r="C2130" s="1" t="s">
        <v>22</v>
      </c>
      <c r="D2130" s="1">
        <v>2026</v>
      </c>
      <c r="E2130" s="1">
        <v>10</v>
      </c>
      <c r="F2130" s="1">
        <v>43</v>
      </c>
    </row>
    <row r="2131" spans="1:6" x14ac:dyDescent="0.35">
      <c r="A2131" s="1">
        <v>47611</v>
      </c>
      <c r="B2131" s="2">
        <v>46316</v>
      </c>
      <c r="C2131" s="1" t="s">
        <v>22</v>
      </c>
      <c r="D2131" s="1">
        <v>2026</v>
      </c>
      <c r="E2131" s="1">
        <v>10</v>
      </c>
      <c r="F2131" s="1">
        <v>43</v>
      </c>
    </row>
    <row r="2132" spans="1:6" x14ac:dyDescent="0.35">
      <c r="A2132" s="1">
        <v>47610</v>
      </c>
      <c r="B2132" s="2">
        <v>46316</v>
      </c>
      <c r="C2132" s="1" t="s">
        <v>22</v>
      </c>
      <c r="D2132" s="1">
        <v>2026</v>
      </c>
      <c r="E2132" s="1">
        <v>10</v>
      </c>
      <c r="F2132" s="1">
        <v>43</v>
      </c>
    </row>
    <row r="2133" spans="1:6" x14ac:dyDescent="0.35">
      <c r="A2133" s="1">
        <v>47609</v>
      </c>
      <c r="B2133" s="2">
        <v>46316</v>
      </c>
      <c r="C2133" s="1" t="s">
        <v>3</v>
      </c>
      <c r="D2133" s="1">
        <v>2026</v>
      </c>
      <c r="E2133" s="1">
        <v>10</v>
      </c>
      <c r="F2133" s="1">
        <v>43</v>
      </c>
    </row>
    <row r="2134" spans="1:6" x14ac:dyDescent="0.35">
      <c r="A2134" s="1">
        <v>47608</v>
      </c>
      <c r="B2134" s="2">
        <v>46316</v>
      </c>
      <c r="C2134" s="1" t="s">
        <v>11</v>
      </c>
      <c r="D2134" s="1">
        <v>2026</v>
      </c>
      <c r="E2134" s="1">
        <v>10</v>
      </c>
      <c r="F2134" s="1">
        <v>43</v>
      </c>
    </row>
    <row r="2135" spans="1:6" x14ac:dyDescent="0.35">
      <c r="A2135" s="1">
        <v>47604</v>
      </c>
      <c r="B2135" s="2">
        <v>46316</v>
      </c>
      <c r="C2135" s="1" t="s">
        <v>19</v>
      </c>
      <c r="D2135" s="1">
        <v>2026</v>
      </c>
      <c r="E2135" s="1">
        <v>10</v>
      </c>
      <c r="F2135" s="1">
        <v>43</v>
      </c>
    </row>
    <row r="2136" spans="1:6" x14ac:dyDescent="0.35">
      <c r="A2136" s="1">
        <v>47602</v>
      </c>
      <c r="B2136" s="2">
        <v>46316</v>
      </c>
      <c r="C2136" s="1" t="s">
        <v>19</v>
      </c>
      <c r="D2136" s="1">
        <v>2026</v>
      </c>
      <c r="E2136" s="1">
        <v>10</v>
      </c>
      <c r="F2136" s="1">
        <v>43</v>
      </c>
    </row>
    <row r="2137" spans="1:6" x14ac:dyDescent="0.35">
      <c r="A2137" s="1">
        <v>47593</v>
      </c>
      <c r="B2137" s="2">
        <v>46316</v>
      </c>
      <c r="C2137" s="1" t="s">
        <v>9</v>
      </c>
      <c r="D2137" s="1">
        <v>2026</v>
      </c>
      <c r="E2137" s="1">
        <v>10</v>
      </c>
      <c r="F2137" s="1">
        <v>43</v>
      </c>
    </row>
    <row r="2138" spans="1:6" x14ac:dyDescent="0.35">
      <c r="A2138" s="1">
        <v>47591</v>
      </c>
      <c r="B2138" s="2">
        <v>46316</v>
      </c>
      <c r="C2138" s="1" t="s">
        <v>9</v>
      </c>
      <c r="D2138" s="1">
        <v>2026</v>
      </c>
      <c r="E2138" s="1">
        <v>10</v>
      </c>
      <c r="F2138" s="1">
        <v>43</v>
      </c>
    </row>
    <row r="2139" spans="1:6" x14ac:dyDescent="0.35">
      <c r="A2139" s="1">
        <v>47590</v>
      </c>
      <c r="B2139" s="2">
        <v>46316</v>
      </c>
      <c r="C2139" s="1" t="s">
        <v>7</v>
      </c>
      <c r="D2139" s="1">
        <v>2026</v>
      </c>
      <c r="E2139" s="1">
        <v>10</v>
      </c>
      <c r="F2139" s="1">
        <v>43</v>
      </c>
    </row>
    <row r="2140" spans="1:6" x14ac:dyDescent="0.35">
      <c r="A2140" s="1">
        <v>47589</v>
      </c>
      <c r="B2140" s="2">
        <v>46316</v>
      </c>
      <c r="C2140" s="1" t="s">
        <v>7</v>
      </c>
      <c r="D2140" s="1">
        <v>2026</v>
      </c>
      <c r="E2140" s="1">
        <v>10</v>
      </c>
      <c r="F2140" s="1">
        <v>43</v>
      </c>
    </row>
    <row r="2141" spans="1:6" x14ac:dyDescent="0.35">
      <c r="A2141" s="1">
        <v>47585</v>
      </c>
      <c r="B2141" s="2">
        <v>46316</v>
      </c>
      <c r="C2141" s="1" t="s">
        <v>6</v>
      </c>
      <c r="D2141" s="1">
        <v>2026</v>
      </c>
      <c r="E2141" s="1">
        <v>10</v>
      </c>
      <c r="F2141" s="1">
        <v>43</v>
      </c>
    </row>
    <row r="2142" spans="1:6" x14ac:dyDescent="0.35">
      <c r="A2142" s="1">
        <v>47584</v>
      </c>
      <c r="B2142" s="2">
        <v>46316</v>
      </c>
      <c r="C2142" s="1" t="s">
        <v>6</v>
      </c>
      <c r="D2142" s="1">
        <v>2026</v>
      </c>
      <c r="E2142" s="1">
        <v>10</v>
      </c>
      <c r="F2142" s="1">
        <v>43</v>
      </c>
    </row>
    <row r="2143" spans="1:6" x14ac:dyDescent="0.35">
      <c r="A2143" s="1">
        <v>47583</v>
      </c>
      <c r="B2143" s="2">
        <v>46316</v>
      </c>
      <c r="C2143" s="1" t="s">
        <v>6</v>
      </c>
      <c r="D2143" s="1">
        <v>2026</v>
      </c>
      <c r="E2143" s="1">
        <v>10</v>
      </c>
      <c r="F2143" s="1">
        <v>43</v>
      </c>
    </row>
    <row r="2144" spans="1:6" x14ac:dyDescent="0.35">
      <c r="A2144" s="1">
        <v>47582</v>
      </c>
      <c r="B2144" s="2">
        <v>46316</v>
      </c>
      <c r="C2144" s="1" t="s">
        <v>6</v>
      </c>
      <c r="D2144" s="1">
        <v>2026</v>
      </c>
      <c r="E2144" s="1">
        <v>10</v>
      </c>
      <c r="F2144" s="1">
        <v>43</v>
      </c>
    </row>
    <row r="2145" spans="1:6" x14ac:dyDescent="0.35">
      <c r="A2145" s="1">
        <v>47581</v>
      </c>
      <c r="B2145" s="2">
        <v>46316</v>
      </c>
      <c r="C2145" s="1" t="s">
        <v>6</v>
      </c>
      <c r="D2145" s="1">
        <v>2026</v>
      </c>
      <c r="E2145" s="1">
        <v>10</v>
      </c>
      <c r="F2145" s="1">
        <v>43</v>
      </c>
    </row>
    <row r="2146" spans="1:6" x14ac:dyDescent="0.35">
      <c r="A2146" s="1">
        <v>47580</v>
      </c>
      <c r="B2146" s="2">
        <v>46316</v>
      </c>
      <c r="C2146" s="1" t="s">
        <v>6</v>
      </c>
      <c r="D2146" s="1">
        <v>2026</v>
      </c>
      <c r="E2146" s="1">
        <v>10</v>
      </c>
      <c r="F2146" s="1">
        <v>43</v>
      </c>
    </row>
    <row r="2147" spans="1:6" x14ac:dyDescent="0.35">
      <c r="A2147" s="1">
        <v>47579</v>
      </c>
      <c r="B2147" s="2">
        <v>46316</v>
      </c>
      <c r="C2147" s="1" t="s">
        <v>6</v>
      </c>
      <c r="D2147" s="1">
        <v>2026</v>
      </c>
      <c r="E2147" s="1">
        <v>10</v>
      </c>
      <c r="F2147" s="1">
        <v>43</v>
      </c>
    </row>
    <row r="2148" spans="1:6" x14ac:dyDescent="0.35">
      <c r="A2148" s="1">
        <v>47578</v>
      </c>
      <c r="B2148" s="2">
        <v>46316</v>
      </c>
      <c r="C2148" s="1" t="s">
        <v>6</v>
      </c>
      <c r="D2148" s="1">
        <v>2026</v>
      </c>
      <c r="E2148" s="1">
        <v>10</v>
      </c>
      <c r="F2148" s="1">
        <v>43</v>
      </c>
    </row>
    <row r="2149" spans="1:6" x14ac:dyDescent="0.35">
      <c r="A2149" s="1">
        <v>47577</v>
      </c>
      <c r="B2149" s="2">
        <v>46316</v>
      </c>
      <c r="C2149" s="1" t="s">
        <v>6</v>
      </c>
      <c r="D2149" s="1">
        <v>2026</v>
      </c>
      <c r="E2149" s="1">
        <v>10</v>
      </c>
      <c r="F2149" s="1">
        <v>43</v>
      </c>
    </row>
    <row r="2150" spans="1:6" x14ac:dyDescent="0.35">
      <c r="A2150" s="1">
        <v>47576</v>
      </c>
      <c r="B2150" s="2">
        <v>46316</v>
      </c>
      <c r="C2150" s="1" t="s">
        <v>6</v>
      </c>
      <c r="D2150" s="1">
        <v>2026</v>
      </c>
      <c r="E2150" s="1">
        <v>10</v>
      </c>
      <c r="F2150" s="1">
        <v>43</v>
      </c>
    </row>
    <row r="2151" spans="1:6" x14ac:dyDescent="0.35">
      <c r="A2151" s="1">
        <v>47575</v>
      </c>
      <c r="B2151" s="2">
        <v>46316</v>
      </c>
      <c r="C2151" s="1" t="s">
        <v>6</v>
      </c>
      <c r="D2151" s="1">
        <v>2026</v>
      </c>
      <c r="E2151" s="1">
        <v>10</v>
      </c>
      <c r="F2151" s="1">
        <v>43</v>
      </c>
    </row>
    <row r="2152" spans="1:6" x14ac:dyDescent="0.35">
      <c r="A2152" s="1">
        <v>47574</v>
      </c>
      <c r="B2152" s="2">
        <v>46316</v>
      </c>
      <c r="C2152" s="1" t="s">
        <v>6</v>
      </c>
      <c r="D2152" s="1">
        <v>2026</v>
      </c>
      <c r="E2152" s="1">
        <v>10</v>
      </c>
      <c r="F2152" s="1">
        <v>43</v>
      </c>
    </row>
    <row r="2153" spans="1:6" x14ac:dyDescent="0.35">
      <c r="A2153" s="1">
        <v>47573</v>
      </c>
      <c r="B2153" s="2">
        <v>46316</v>
      </c>
      <c r="C2153" s="1" t="s">
        <v>6</v>
      </c>
      <c r="D2153" s="1">
        <v>2026</v>
      </c>
      <c r="E2153" s="1">
        <v>10</v>
      </c>
      <c r="F2153" s="1">
        <v>43</v>
      </c>
    </row>
    <row r="2154" spans="1:6" x14ac:dyDescent="0.35">
      <c r="A2154" s="1">
        <v>47572</v>
      </c>
      <c r="B2154" s="2">
        <v>46316</v>
      </c>
      <c r="C2154" s="1" t="s">
        <v>6</v>
      </c>
      <c r="D2154" s="1">
        <v>2026</v>
      </c>
      <c r="E2154" s="1">
        <v>10</v>
      </c>
      <c r="F2154" s="1">
        <v>43</v>
      </c>
    </row>
    <row r="2155" spans="1:6" x14ac:dyDescent="0.35">
      <c r="A2155" s="1">
        <v>47571</v>
      </c>
      <c r="B2155" s="2">
        <v>46316</v>
      </c>
      <c r="C2155" s="1" t="s">
        <v>6</v>
      </c>
      <c r="D2155" s="1">
        <v>2026</v>
      </c>
      <c r="E2155" s="1">
        <v>10</v>
      </c>
      <c r="F2155" s="1">
        <v>43</v>
      </c>
    </row>
    <row r="2156" spans="1:6" x14ac:dyDescent="0.35">
      <c r="A2156" s="1">
        <v>47569</v>
      </c>
      <c r="B2156" s="2">
        <v>46316</v>
      </c>
      <c r="C2156" s="1" t="s">
        <v>6</v>
      </c>
      <c r="D2156" s="1">
        <v>2026</v>
      </c>
      <c r="E2156" s="1">
        <v>10</v>
      </c>
      <c r="F2156" s="1">
        <v>43</v>
      </c>
    </row>
    <row r="2157" spans="1:6" x14ac:dyDescent="0.35">
      <c r="A2157" s="1">
        <v>47567</v>
      </c>
      <c r="B2157" s="2">
        <v>46316</v>
      </c>
      <c r="C2157" s="1" t="s">
        <v>3</v>
      </c>
      <c r="D2157" s="1">
        <v>2026</v>
      </c>
      <c r="E2157" s="1">
        <v>10</v>
      </c>
      <c r="F2157" s="1">
        <v>43</v>
      </c>
    </row>
    <row r="2158" spans="1:6" x14ac:dyDescent="0.35">
      <c r="A2158" s="1">
        <v>47566</v>
      </c>
      <c r="B2158" s="2">
        <v>46316</v>
      </c>
      <c r="C2158" s="1" t="s">
        <v>3</v>
      </c>
      <c r="D2158" s="1">
        <v>2026</v>
      </c>
      <c r="E2158" s="1">
        <v>10</v>
      </c>
      <c r="F2158" s="1">
        <v>43</v>
      </c>
    </row>
    <row r="2159" spans="1:6" x14ac:dyDescent="0.35">
      <c r="A2159" s="1">
        <v>47565</v>
      </c>
      <c r="B2159" s="2">
        <v>46316</v>
      </c>
      <c r="C2159" s="1" t="s">
        <v>3</v>
      </c>
      <c r="D2159" s="1">
        <v>2026</v>
      </c>
      <c r="E2159" s="1">
        <v>10</v>
      </c>
      <c r="F2159" s="1">
        <v>43</v>
      </c>
    </row>
    <row r="2160" spans="1:6" x14ac:dyDescent="0.35">
      <c r="A2160" s="1">
        <v>47561</v>
      </c>
      <c r="B2160" s="2">
        <v>46316</v>
      </c>
      <c r="C2160" s="1" t="s">
        <v>16</v>
      </c>
      <c r="D2160" s="1">
        <v>2026</v>
      </c>
      <c r="E2160" s="1">
        <v>10</v>
      </c>
      <c r="F2160" s="1">
        <v>43</v>
      </c>
    </row>
    <row r="2161" spans="1:6" x14ac:dyDescent="0.35">
      <c r="A2161" s="1">
        <v>47560</v>
      </c>
      <c r="B2161" s="2">
        <v>46316</v>
      </c>
      <c r="C2161" s="1" t="s">
        <v>16</v>
      </c>
      <c r="D2161" s="1">
        <v>2026</v>
      </c>
      <c r="E2161" s="1">
        <v>10</v>
      </c>
      <c r="F2161" s="1">
        <v>43</v>
      </c>
    </row>
    <row r="2162" spans="1:6" x14ac:dyDescent="0.35">
      <c r="A2162" s="1">
        <v>47559</v>
      </c>
      <c r="B2162" s="2">
        <v>46316</v>
      </c>
      <c r="C2162" s="1" t="s">
        <v>16</v>
      </c>
      <c r="D2162" s="1">
        <v>2026</v>
      </c>
      <c r="E2162" s="1">
        <v>10</v>
      </c>
      <c r="F2162" s="1">
        <v>43</v>
      </c>
    </row>
    <row r="2163" spans="1:6" x14ac:dyDescent="0.35">
      <c r="A2163" s="1">
        <v>47557</v>
      </c>
      <c r="B2163" s="2">
        <v>46316</v>
      </c>
      <c r="C2163" s="1" t="s">
        <v>16</v>
      </c>
      <c r="D2163" s="1">
        <v>2026</v>
      </c>
      <c r="E2163" s="1">
        <v>10</v>
      </c>
      <c r="F2163" s="1">
        <v>43</v>
      </c>
    </row>
    <row r="2164" spans="1:6" x14ac:dyDescent="0.35">
      <c r="A2164" s="1">
        <v>47555</v>
      </c>
      <c r="B2164" s="2">
        <v>46316</v>
      </c>
      <c r="C2164" s="1" t="s">
        <v>19</v>
      </c>
      <c r="D2164" s="1">
        <v>2026</v>
      </c>
      <c r="E2164" s="1">
        <v>10</v>
      </c>
      <c r="F2164" s="1">
        <v>43</v>
      </c>
    </row>
    <row r="2165" spans="1:6" x14ac:dyDescent="0.35">
      <c r="A2165" s="1">
        <v>47554</v>
      </c>
      <c r="B2165" s="2">
        <v>46316</v>
      </c>
      <c r="C2165" s="1" t="s">
        <v>19</v>
      </c>
      <c r="D2165" s="1">
        <v>2026</v>
      </c>
      <c r="E2165" s="1">
        <v>10</v>
      </c>
      <c r="F2165" s="1">
        <v>43</v>
      </c>
    </row>
    <row r="2166" spans="1:6" x14ac:dyDescent="0.35">
      <c r="A2166" s="1">
        <v>47553</v>
      </c>
      <c r="B2166" s="2">
        <v>46316</v>
      </c>
      <c r="C2166" s="1" t="s">
        <v>4</v>
      </c>
      <c r="D2166" s="1">
        <v>2026</v>
      </c>
      <c r="E2166" s="1">
        <v>10</v>
      </c>
      <c r="F2166" s="1">
        <v>43</v>
      </c>
    </row>
    <row r="2167" spans="1:6" x14ac:dyDescent="0.35">
      <c r="A2167" s="1">
        <v>47552</v>
      </c>
      <c r="B2167" s="2">
        <v>46316</v>
      </c>
      <c r="C2167" s="1" t="s">
        <v>4</v>
      </c>
      <c r="D2167" s="1">
        <v>2026</v>
      </c>
      <c r="E2167" s="1">
        <v>10</v>
      </c>
      <c r="F2167" s="1">
        <v>43</v>
      </c>
    </row>
    <row r="2168" spans="1:6" x14ac:dyDescent="0.35">
      <c r="A2168" s="1">
        <v>47551</v>
      </c>
      <c r="B2168" s="2">
        <v>46316</v>
      </c>
      <c r="C2168" s="1" t="s">
        <v>4</v>
      </c>
      <c r="D2168" s="1">
        <v>2026</v>
      </c>
      <c r="E2168" s="1">
        <v>10</v>
      </c>
      <c r="F2168" s="1">
        <v>43</v>
      </c>
    </row>
    <row r="2169" spans="1:6" x14ac:dyDescent="0.35">
      <c r="A2169" s="1">
        <v>47550</v>
      </c>
      <c r="B2169" s="2">
        <v>46316</v>
      </c>
      <c r="C2169" s="1" t="s">
        <v>9</v>
      </c>
      <c r="D2169" s="1">
        <v>2026</v>
      </c>
      <c r="E2169" s="1">
        <v>10</v>
      </c>
      <c r="F2169" s="1">
        <v>43</v>
      </c>
    </row>
    <row r="2170" spans="1:6" x14ac:dyDescent="0.35">
      <c r="A2170" s="1">
        <v>47709</v>
      </c>
      <c r="B2170" s="2">
        <v>46317</v>
      </c>
      <c r="C2170" s="1" t="s">
        <v>17</v>
      </c>
      <c r="D2170" s="1">
        <v>2026</v>
      </c>
      <c r="E2170" s="1">
        <v>10</v>
      </c>
      <c r="F2170" s="1">
        <v>43</v>
      </c>
    </row>
    <row r="2171" spans="1:6" x14ac:dyDescent="0.35">
      <c r="A2171" s="1">
        <v>47708</v>
      </c>
      <c r="B2171" s="2">
        <v>46317</v>
      </c>
      <c r="C2171" s="1" t="s">
        <v>17</v>
      </c>
      <c r="D2171" s="1">
        <v>2026</v>
      </c>
      <c r="E2171" s="1">
        <v>10</v>
      </c>
      <c r="F2171" s="1">
        <v>43</v>
      </c>
    </row>
    <row r="2172" spans="1:6" x14ac:dyDescent="0.35">
      <c r="A2172" s="1">
        <v>47705</v>
      </c>
      <c r="B2172" s="2">
        <v>46317</v>
      </c>
      <c r="C2172" s="1" t="s">
        <v>10</v>
      </c>
      <c r="D2172" s="1">
        <v>2026</v>
      </c>
      <c r="E2172" s="1">
        <v>10</v>
      </c>
      <c r="F2172" s="1">
        <v>43</v>
      </c>
    </row>
    <row r="2173" spans="1:6" x14ac:dyDescent="0.35">
      <c r="A2173" s="1">
        <v>47704</v>
      </c>
      <c r="B2173" s="2">
        <v>46317</v>
      </c>
      <c r="C2173" s="1" t="s">
        <v>10</v>
      </c>
      <c r="D2173" s="1">
        <v>2026</v>
      </c>
      <c r="E2173" s="1">
        <v>10</v>
      </c>
      <c r="F2173" s="1">
        <v>43</v>
      </c>
    </row>
    <row r="2174" spans="1:6" x14ac:dyDescent="0.35">
      <c r="A2174" s="1">
        <v>47703</v>
      </c>
      <c r="B2174" s="2">
        <v>46317</v>
      </c>
      <c r="C2174" s="1" t="s">
        <v>20</v>
      </c>
      <c r="D2174" s="1">
        <v>2026</v>
      </c>
      <c r="E2174" s="1">
        <v>10</v>
      </c>
      <c r="F2174" s="1">
        <v>43</v>
      </c>
    </row>
    <row r="2175" spans="1:6" x14ac:dyDescent="0.35">
      <c r="A2175" s="1">
        <v>47701</v>
      </c>
      <c r="B2175" s="2">
        <v>46317</v>
      </c>
      <c r="C2175" s="1" t="s">
        <v>103</v>
      </c>
      <c r="D2175" s="1">
        <v>2026</v>
      </c>
      <c r="E2175" s="1">
        <v>10</v>
      </c>
      <c r="F2175" s="1">
        <v>43</v>
      </c>
    </row>
    <row r="2176" spans="1:6" x14ac:dyDescent="0.35">
      <c r="A2176" s="1">
        <v>47699</v>
      </c>
      <c r="B2176" s="2">
        <v>46317</v>
      </c>
      <c r="C2176" s="1" t="s">
        <v>103</v>
      </c>
      <c r="D2176" s="1">
        <v>2026</v>
      </c>
      <c r="E2176" s="1">
        <v>10</v>
      </c>
      <c r="F2176" s="1">
        <v>43</v>
      </c>
    </row>
    <row r="2177" spans="1:6" x14ac:dyDescent="0.35">
      <c r="A2177" s="1">
        <v>47698</v>
      </c>
      <c r="B2177" s="2">
        <v>46317</v>
      </c>
      <c r="C2177" s="1" t="s">
        <v>103</v>
      </c>
      <c r="D2177" s="1">
        <v>2026</v>
      </c>
      <c r="E2177" s="1">
        <v>10</v>
      </c>
      <c r="F2177" s="1">
        <v>43</v>
      </c>
    </row>
    <row r="2178" spans="1:6" x14ac:dyDescent="0.35">
      <c r="A2178" s="1">
        <v>47697</v>
      </c>
      <c r="B2178" s="2">
        <v>46317</v>
      </c>
      <c r="C2178" s="1" t="s">
        <v>16</v>
      </c>
      <c r="D2178" s="1">
        <v>2026</v>
      </c>
      <c r="E2178" s="1">
        <v>10</v>
      </c>
      <c r="F2178" s="1">
        <v>43</v>
      </c>
    </row>
    <row r="2179" spans="1:6" x14ac:dyDescent="0.35">
      <c r="A2179" s="1">
        <v>47696</v>
      </c>
      <c r="B2179" s="2">
        <v>46317</v>
      </c>
      <c r="C2179" s="1" t="s">
        <v>16</v>
      </c>
      <c r="D2179" s="1">
        <v>2026</v>
      </c>
      <c r="E2179" s="1">
        <v>10</v>
      </c>
      <c r="F2179" s="1">
        <v>43</v>
      </c>
    </row>
    <row r="2180" spans="1:6" x14ac:dyDescent="0.35">
      <c r="A2180" s="1">
        <v>47695</v>
      </c>
      <c r="B2180" s="2">
        <v>46317</v>
      </c>
      <c r="C2180" s="1" t="s">
        <v>11</v>
      </c>
      <c r="D2180" s="1">
        <v>2026</v>
      </c>
      <c r="E2180" s="1">
        <v>10</v>
      </c>
      <c r="F2180" s="1">
        <v>43</v>
      </c>
    </row>
    <row r="2181" spans="1:6" x14ac:dyDescent="0.35">
      <c r="A2181" s="1">
        <v>47694</v>
      </c>
      <c r="B2181" s="2">
        <v>46317</v>
      </c>
      <c r="C2181" s="1" t="s">
        <v>11</v>
      </c>
      <c r="D2181" s="1">
        <v>2026</v>
      </c>
      <c r="E2181" s="1">
        <v>10</v>
      </c>
      <c r="F2181" s="1">
        <v>43</v>
      </c>
    </row>
    <row r="2182" spans="1:6" x14ac:dyDescent="0.35">
      <c r="A2182" s="1">
        <v>47693</v>
      </c>
      <c r="B2182" s="2">
        <v>46317</v>
      </c>
      <c r="C2182" s="1" t="s">
        <v>4</v>
      </c>
      <c r="D2182" s="1">
        <v>2026</v>
      </c>
      <c r="E2182" s="1">
        <v>10</v>
      </c>
      <c r="F2182" s="1">
        <v>43</v>
      </c>
    </row>
    <row r="2183" spans="1:6" x14ac:dyDescent="0.35">
      <c r="A2183" s="1">
        <v>47692</v>
      </c>
      <c r="B2183" s="2">
        <v>46317</v>
      </c>
      <c r="C2183" s="1" t="s">
        <v>4</v>
      </c>
      <c r="D2183" s="1">
        <v>2026</v>
      </c>
      <c r="E2183" s="1">
        <v>10</v>
      </c>
      <c r="F2183" s="1">
        <v>43</v>
      </c>
    </row>
    <row r="2184" spans="1:6" x14ac:dyDescent="0.35">
      <c r="A2184" s="1">
        <v>47691</v>
      </c>
      <c r="B2184" s="2">
        <v>46317</v>
      </c>
      <c r="C2184" s="1" t="s">
        <v>4</v>
      </c>
      <c r="D2184" s="1">
        <v>2026</v>
      </c>
      <c r="E2184" s="1">
        <v>10</v>
      </c>
      <c r="F2184" s="1">
        <v>43</v>
      </c>
    </row>
    <row r="2185" spans="1:6" x14ac:dyDescent="0.35">
      <c r="A2185" s="1">
        <v>47689</v>
      </c>
      <c r="B2185" s="2">
        <v>46317</v>
      </c>
      <c r="C2185" s="1" t="s">
        <v>21</v>
      </c>
      <c r="D2185" s="1">
        <v>2026</v>
      </c>
      <c r="E2185" s="1">
        <v>10</v>
      </c>
      <c r="F2185" s="1">
        <v>43</v>
      </c>
    </row>
    <row r="2186" spans="1:6" x14ac:dyDescent="0.35">
      <c r="A2186" s="1">
        <v>47682</v>
      </c>
      <c r="B2186" s="2">
        <v>46317</v>
      </c>
      <c r="C2186" s="1" t="s">
        <v>21</v>
      </c>
      <c r="D2186" s="1">
        <v>2026</v>
      </c>
      <c r="E2186" s="1">
        <v>10</v>
      </c>
      <c r="F2186" s="1">
        <v>43</v>
      </c>
    </row>
    <row r="2187" spans="1:6" x14ac:dyDescent="0.35">
      <c r="A2187" s="1">
        <v>47681</v>
      </c>
      <c r="B2187" s="2">
        <v>46317</v>
      </c>
      <c r="C2187" s="1" t="s">
        <v>21</v>
      </c>
      <c r="D2187" s="1">
        <v>2026</v>
      </c>
      <c r="E2187" s="1">
        <v>10</v>
      </c>
      <c r="F2187" s="1">
        <v>43</v>
      </c>
    </row>
    <row r="2188" spans="1:6" x14ac:dyDescent="0.35">
      <c r="A2188" s="1">
        <v>47678</v>
      </c>
      <c r="B2188" s="2">
        <v>46317</v>
      </c>
      <c r="C2188" s="1" t="s">
        <v>7</v>
      </c>
      <c r="D2188" s="1">
        <v>2026</v>
      </c>
      <c r="E2188" s="1">
        <v>10</v>
      </c>
      <c r="F2188" s="1">
        <v>43</v>
      </c>
    </row>
    <row r="2189" spans="1:6" x14ac:dyDescent="0.35">
      <c r="A2189" s="1">
        <v>47676</v>
      </c>
      <c r="B2189" s="2">
        <v>46317</v>
      </c>
      <c r="C2189" s="1" t="s">
        <v>22</v>
      </c>
      <c r="D2189" s="1">
        <v>2026</v>
      </c>
      <c r="E2189" s="1">
        <v>10</v>
      </c>
      <c r="F2189" s="1">
        <v>43</v>
      </c>
    </row>
    <row r="2190" spans="1:6" x14ac:dyDescent="0.35">
      <c r="A2190" s="1">
        <v>47674</v>
      </c>
      <c r="B2190" s="2">
        <v>46317</v>
      </c>
      <c r="C2190" s="1" t="s">
        <v>9</v>
      </c>
      <c r="D2190" s="1">
        <v>2026</v>
      </c>
      <c r="E2190" s="1">
        <v>10</v>
      </c>
      <c r="F2190" s="1">
        <v>43</v>
      </c>
    </row>
    <row r="2191" spans="1:6" x14ac:dyDescent="0.35">
      <c r="A2191" s="1">
        <v>47673</v>
      </c>
      <c r="B2191" s="2">
        <v>46317</v>
      </c>
      <c r="C2191" s="1" t="s">
        <v>3</v>
      </c>
      <c r="D2191" s="1">
        <v>2026</v>
      </c>
      <c r="E2191" s="1">
        <v>10</v>
      </c>
      <c r="F2191" s="1">
        <v>43</v>
      </c>
    </row>
    <row r="2192" spans="1:6" x14ac:dyDescent="0.35">
      <c r="A2192" s="1">
        <v>47665</v>
      </c>
      <c r="B2192" s="2">
        <v>46317</v>
      </c>
      <c r="C2192" s="1" t="s">
        <v>1029</v>
      </c>
      <c r="D2192" s="1">
        <v>2026</v>
      </c>
      <c r="E2192" s="1">
        <v>10</v>
      </c>
      <c r="F2192" s="1">
        <v>43</v>
      </c>
    </row>
    <row r="2193" spans="1:6" x14ac:dyDescent="0.35">
      <c r="A2193" s="1">
        <v>47664</v>
      </c>
      <c r="B2193" s="2">
        <v>46317</v>
      </c>
      <c r="C2193" s="1" t="s">
        <v>19</v>
      </c>
      <c r="D2193" s="1">
        <v>2026</v>
      </c>
      <c r="E2193" s="1">
        <v>10</v>
      </c>
      <c r="F2193" s="1">
        <v>43</v>
      </c>
    </row>
    <row r="2194" spans="1:6" x14ac:dyDescent="0.35">
      <c r="A2194" s="1">
        <v>47663</v>
      </c>
      <c r="B2194" s="2">
        <v>46317</v>
      </c>
      <c r="C2194" s="1" t="s">
        <v>9</v>
      </c>
      <c r="D2194" s="1">
        <v>2026</v>
      </c>
      <c r="E2194" s="1">
        <v>10</v>
      </c>
      <c r="F2194" s="1">
        <v>43</v>
      </c>
    </row>
    <row r="2195" spans="1:6" x14ac:dyDescent="0.35">
      <c r="A2195" s="1">
        <v>47654</v>
      </c>
      <c r="B2195" s="2">
        <v>46317</v>
      </c>
      <c r="C2195" s="1" t="s">
        <v>21</v>
      </c>
      <c r="D2195" s="1">
        <v>2026</v>
      </c>
      <c r="E2195" s="1">
        <v>10</v>
      </c>
      <c r="F2195" s="1">
        <v>43</v>
      </c>
    </row>
    <row r="2196" spans="1:6" x14ac:dyDescent="0.35">
      <c r="A2196" s="1">
        <v>47732</v>
      </c>
      <c r="B2196" s="2">
        <v>46317</v>
      </c>
      <c r="C2196" s="1" t="s">
        <v>3</v>
      </c>
      <c r="D2196" s="1">
        <v>2026</v>
      </c>
      <c r="E2196" s="1">
        <v>10</v>
      </c>
      <c r="F2196" s="1">
        <v>43</v>
      </c>
    </row>
    <row r="2197" spans="1:6" x14ac:dyDescent="0.35">
      <c r="A2197" s="1">
        <v>47717</v>
      </c>
      <c r="B2197" s="2">
        <v>46318</v>
      </c>
      <c r="C2197" s="1" t="s">
        <v>19</v>
      </c>
      <c r="D2197" s="1">
        <v>2026</v>
      </c>
      <c r="E2197" s="1">
        <v>10</v>
      </c>
      <c r="F2197" s="1">
        <v>43</v>
      </c>
    </row>
    <row r="2198" spans="1:6" x14ac:dyDescent="0.35">
      <c r="A2198" s="1">
        <v>47760</v>
      </c>
      <c r="B2198" s="2">
        <v>46318</v>
      </c>
      <c r="C2198" s="1" t="s">
        <v>1029</v>
      </c>
      <c r="D2198" s="1">
        <v>2026</v>
      </c>
      <c r="E2198" s="1">
        <v>10</v>
      </c>
      <c r="F2198" s="1">
        <v>43</v>
      </c>
    </row>
    <row r="2199" spans="1:6" x14ac:dyDescent="0.35">
      <c r="A2199" s="1">
        <v>47759</v>
      </c>
      <c r="B2199" s="2">
        <v>46318</v>
      </c>
      <c r="C2199" s="1" t="s">
        <v>1029</v>
      </c>
      <c r="D2199" s="1">
        <v>2026</v>
      </c>
      <c r="E2199" s="1">
        <v>10</v>
      </c>
      <c r="F2199" s="1">
        <v>43</v>
      </c>
    </row>
    <row r="2200" spans="1:6" x14ac:dyDescent="0.35">
      <c r="A2200" s="1">
        <v>47758</v>
      </c>
      <c r="B2200" s="2">
        <v>46318</v>
      </c>
      <c r="C2200" s="1" t="s">
        <v>1029</v>
      </c>
      <c r="D2200" s="1">
        <v>2026</v>
      </c>
      <c r="E2200" s="1">
        <v>10</v>
      </c>
      <c r="F2200" s="1">
        <v>43</v>
      </c>
    </row>
    <row r="2201" spans="1:6" x14ac:dyDescent="0.35">
      <c r="A2201" s="1">
        <v>47757</v>
      </c>
      <c r="B2201" s="2">
        <v>46318</v>
      </c>
      <c r="C2201" s="1" t="s">
        <v>10</v>
      </c>
      <c r="D2201" s="1">
        <v>2026</v>
      </c>
      <c r="E2201" s="1">
        <v>10</v>
      </c>
      <c r="F2201" s="1">
        <v>43</v>
      </c>
    </row>
    <row r="2202" spans="1:6" x14ac:dyDescent="0.35">
      <c r="A2202" s="1">
        <v>47756</v>
      </c>
      <c r="B2202" s="2">
        <v>46318</v>
      </c>
      <c r="C2202" s="1" t="s">
        <v>10</v>
      </c>
      <c r="D2202" s="1">
        <v>2026</v>
      </c>
      <c r="E2202" s="1">
        <v>10</v>
      </c>
      <c r="F2202" s="1">
        <v>43</v>
      </c>
    </row>
    <row r="2203" spans="1:6" x14ac:dyDescent="0.35">
      <c r="A2203" s="1">
        <v>47755</v>
      </c>
      <c r="B2203" s="2">
        <v>46318</v>
      </c>
      <c r="C2203" s="1" t="s">
        <v>11</v>
      </c>
      <c r="D2203" s="1">
        <v>2026</v>
      </c>
      <c r="E2203" s="1">
        <v>10</v>
      </c>
      <c r="F2203" s="1">
        <v>43</v>
      </c>
    </row>
    <row r="2204" spans="1:6" x14ac:dyDescent="0.35">
      <c r="A2204" s="1">
        <v>47752</v>
      </c>
      <c r="B2204" s="2">
        <v>46318</v>
      </c>
      <c r="C2204" s="1" t="s">
        <v>4</v>
      </c>
      <c r="D2204" s="1">
        <v>2026</v>
      </c>
      <c r="E2204" s="1">
        <v>10</v>
      </c>
      <c r="F2204" s="1">
        <v>43</v>
      </c>
    </row>
    <row r="2205" spans="1:6" x14ac:dyDescent="0.35">
      <c r="A2205" s="1">
        <v>47751</v>
      </c>
      <c r="B2205" s="2">
        <v>46318</v>
      </c>
      <c r="C2205" s="1" t="s">
        <v>4</v>
      </c>
      <c r="D2205" s="1">
        <v>2026</v>
      </c>
      <c r="E2205" s="1">
        <v>10</v>
      </c>
      <c r="F2205" s="1">
        <v>43</v>
      </c>
    </row>
    <row r="2206" spans="1:6" x14ac:dyDescent="0.35">
      <c r="A2206" s="1">
        <v>47750</v>
      </c>
      <c r="B2206" s="2">
        <v>46318</v>
      </c>
      <c r="C2206" s="1" t="s">
        <v>4</v>
      </c>
      <c r="D2206" s="1">
        <v>2026</v>
      </c>
      <c r="E2206" s="1">
        <v>10</v>
      </c>
      <c r="F2206" s="1">
        <v>43</v>
      </c>
    </row>
    <row r="2207" spans="1:6" x14ac:dyDescent="0.35">
      <c r="A2207" s="1">
        <v>47749</v>
      </c>
      <c r="B2207" s="2">
        <v>46318</v>
      </c>
      <c r="C2207" s="1" t="s">
        <v>7</v>
      </c>
      <c r="D2207" s="1">
        <v>2026</v>
      </c>
      <c r="E2207" s="1">
        <v>10</v>
      </c>
      <c r="F2207" s="1">
        <v>43</v>
      </c>
    </row>
    <row r="2208" spans="1:6" x14ac:dyDescent="0.35">
      <c r="A2208" s="1">
        <v>47748</v>
      </c>
      <c r="B2208" s="2">
        <v>46318</v>
      </c>
      <c r="C2208" s="1" t="s">
        <v>7</v>
      </c>
      <c r="D2208" s="1">
        <v>2026</v>
      </c>
      <c r="E2208" s="1">
        <v>10</v>
      </c>
      <c r="F2208" s="1">
        <v>43</v>
      </c>
    </row>
    <row r="2209" spans="1:6" x14ac:dyDescent="0.35">
      <c r="A2209" s="1">
        <v>47741</v>
      </c>
      <c r="B2209" s="2">
        <v>46318</v>
      </c>
      <c r="C2209" s="1" t="s">
        <v>16</v>
      </c>
      <c r="D2209" s="1">
        <v>2026</v>
      </c>
      <c r="E2209" s="1">
        <v>10</v>
      </c>
      <c r="F2209" s="1">
        <v>43</v>
      </c>
    </row>
    <row r="2210" spans="1:6" x14ac:dyDescent="0.35">
      <c r="A2210" s="1">
        <v>47740</v>
      </c>
      <c r="B2210" s="2">
        <v>46318</v>
      </c>
      <c r="C2210" s="1" t="s">
        <v>16</v>
      </c>
      <c r="D2210" s="1">
        <v>2026</v>
      </c>
      <c r="E2210" s="1">
        <v>10</v>
      </c>
      <c r="F2210" s="1">
        <v>43</v>
      </c>
    </row>
    <row r="2211" spans="1:6" x14ac:dyDescent="0.35">
      <c r="A2211" s="1">
        <v>47739</v>
      </c>
      <c r="B2211" s="2">
        <v>46318</v>
      </c>
      <c r="C2211" s="1" t="s">
        <v>16</v>
      </c>
      <c r="D2211" s="1">
        <v>2026</v>
      </c>
      <c r="E2211" s="1">
        <v>10</v>
      </c>
      <c r="F2211" s="1">
        <v>43</v>
      </c>
    </row>
    <row r="2212" spans="1:6" x14ac:dyDescent="0.35">
      <c r="A2212" s="1">
        <v>47733</v>
      </c>
      <c r="B2212" s="2">
        <v>46318</v>
      </c>
      <c r="C2212" s="1" t="s">
        <v>3</v>
      </c>
      <c r="D2212" s="1">
        <v>2026</v>
      </c>
      <c r="E2212" s="1">
        <v>10</v>
      </c>
      <c r="F2212" s="1">
        <v>43</v>
      </c>
    </row>
    <row r="2213" spans="1:6" x14ac:dyDescent="0.35">
      <c r="A2213" s="1">
        <v>47731</v>
      </c>
      <c r="B2213" s="2">
        <v>46318</v>
      </c>
      <c r="C2213" s="1" t="s">
        <v>3</v>
      </c>
      <c r="D2213" s="1">
        <v>2026</v>
      </c>
      <c r="E2213" s="1">
        <v>10</v>
      </c>
      <c r="F2213" s="1">
        <v>43</v>
      </c>
    </row>
    <row r="2214" spans="1:6" x14ac:dyDescent="0.35">
      <c r="A2214" s="1">
        <v>47727</v>
      </c>
      <c r="B2214" s="2">
        <v>46318</v>
      </c>
      <c r="C2214" s="1" t="s">
        <v>6</v>
      </c>
      <c r="D2214" s="1">
        <v>2026</v>
      </c>
      <c r="E2214" s="1">
        <v>10</v>
      </c>
      <c r="F2214" s="1">
        <v>43</v>
      </c>
    </row>
    <row r="2215" spans="1:6" x14ac:dyDescent="0.35">
      <c r="A2215" s="1">
        <v>47726</v>
      </c>
      <c r="B2215" s="2">
        <v>46318</v>
      </c>
      <c r="C2215" s="1" t="s">
        <v>6</v>
      </c>
      <c r="D2215" s="1">
        <v>2026</v>
      </c>
      <c r="E2215" s="1">
        <v>10</v>
      </c>
      <c r="F2215" s="1">
        <v>43</v>
      </c>
    </row>
    <row r="2216" spans="1:6" x14ac:dyDescent="0.35">
      <c r="A2216" s="1">
        <v>47725</v>
      </c>
      <c r="B2216" s="2">
        <v>46318</v>
      </c>
      <c r="C2216" s="1" t="s">
        <v>6</v>
      </c>
      <c r="D2216" s="1">
        <v>2026</v>
      </c>
      <c r="E2216" s="1">
        <v>10</v>
      </c>
      <c r="F2216" s="1">
        <v>43</v>
      </c>
    </row>
    <row r="2217" spans="1:6" x14ac:dyDescent="0.35">
      <c r="A2217" s="1">
        <v>47724</v>
      </c>
      <c r="B2217" s="2">
        <v>46318</v>
      </c>
      <c r="C2217" s="1" t="s">
        <v>6</v>
      </c>
      <c r="D2217" s="1">
        <v>2026</v>
      </c>
      <c r="E2217" s="1">
        <v>10</v>
      </c>
      <c r="F2217" s="1">
        <v>43</v>
      </c>
    </row>
    <row r="2218" spans="1:6" x14ac:dyDescent="0.35">
      <c r="A2218" s="1">
        <v>47718</v>
      </c>
      <c r="B2218" s="2">
        <v>46318</v>
      </c>
      <c r="C2218" s="1" t="s">
        <v>19</v>
      </c>
      <c r="D2218" s="1">
        <v>2026</v>
      </c>
      <c r="E2218" s="1">
        <v>10</v>
      </c>
      <c r="F2218" s="1">
        <v>43</v>
      </c>
    </row>
    <row r="2219" spans="1:6" x14ac:dyDescent="0.35">
      <c r="A2219" s="1">
        <v>47768</v>
      </c>
      <c r="B2219" s="2">
        <v>46319</v>
      </c>
      <c r="C2219" s="1" t="s">
        <v>10</v>
      </c>
      <c r="D2219" s="1">
        <v>2026</v>
      </c>
      <c r="E2219" s="1">
        <v>10</v>
      </c>
      <c r="F2219" s="1">
        <v>43</v>
      </c>
    </row>
    <row r="2220" spans="1:6" x14ac:dyDescent="0.35">
      <c r="A2220" s="1">
        <v>47767</v>
      </c>
      <c r="B2220" s="2">
        <v>46319</v>
      </c>
      <c r="C2220" s="1" t="s">
        <v>10</v>
      </c>
      <c r="D2220" s="1">
        <v>2026</v>
      </c>
      <c r="E2220" s="1">
        <v>10</v>
      </c>
      <c r="F2220" s="1">
        <v>43</v>
      </c>
    </row>
    <row r="2221" spans="1:6" x14ac:dyDescent="0.35">
      <c r="A2221" s="1">
        <v>47766</v>
      </c>
      <c r="B2221" s="2">
        <v>46319</v>
      </c>
      <c r="C2221" s="1" t="s">
        <v>4</v>
      </c>
      <c r="D2221" s="1">
        <v>2026</v>
      </c>
      <c r="E2221" s="1">
        <v>10</v>
      </c>
      <c r="F2221" s="1">
        <v>43</v>
      </c>
    </row>
    <row r="2222" spans="1:6" x14ac:dyDescent="0.35">
      <c r="A2222" s="1">
        <v>47765</v>
      </c>
      <c r="B2222" s="2">
        <v>46319</v>
      </c>
      <c r="C2222" s="1" t="s">
        <v>4</v>
      </c>
      <c r="D2222" s="1">
        <v>2026</v>
      </c>
      <c r="E2222" s="1">
        <v>10</v>
      </c>
      <c r="F2222" s="1">
        <v>43</v>
      </c>
    </row>
    <row r="2223" spans="1:6" x14ac:dyDescent="0.35">
      <c r="A2223" s="1">
        <v>47761</v>
      </c>
      <c r="B2223" s="2">
        <v>46319</v>
      </c>
      <c r="C2223" s="1" t="s">
        <v>1029</v>
      </c>
      <c r="D2223" s="1">
        <v>2026</v>
      </c>
      <c r="E2223" s="1">
        <v>10</v>
      </c>
      <c r="F2223" s="1">
        <v>43</v>
      </c>
    </row>
    <row r="2224" spans="1:6" x14ac:dyDescent="0.35">
      <c r="A2224" s="1">
        <v>47769</v>
      </c>
      <c r="B2224" s="2">
        <v>46320</v>
      </c>
      <c r="C2224" s="1" t="s">
        <v>1029</v>
      </c>
      <c r="D2224" s="1">
        <v>2026</v>
      </c>
      <c r="E2224" s="1">
        <v>10</v>
      </c>
      <c r="F2224" s="1">
        <v>44</v>
      </c>
    </row>
    <row r="2225" spans="1:6" x14ac:dyDescent="0.35">
      <c r="A2225" s="1">
        <v>47818</v>
      </c>
      <c r="B2225" s="2">
        <v>46321</v>
      </c>
      <c r="C2225" s="1" t="s">
        <v>10</v>
      </c>
      <c r="D2225" s="1">
        <v>2026</v>
      </c>
      <c r="E2225" s="1">
        <v>10</v>
      </c>
      <c r="F2225" s="1">
        <v>44</v>
      </c>
    </row>
    <row r="2226" spans="1:6" x14ac:dyDescent="0.35">
      <c r="A2226" s="1">
        <v>47817</v>
      </c>
      <c r="B2226" s="2">
        <v>46321</v>
      </c>
      <c r="C2226" s="1" t="s">
        <v>10</v>
      </c>
      <c r="D2226" s="1">
        <v>2026</v>
      </c>
      <c r="E2226" s="1">
        <v>10</v>
      </c>
      <c r="F2226" s="1">
        <v>44</v>
      </c>
    </row>
    <row r="2227" spans="1:6" x14ac:dyDescent="0.35">
      <c r="A2227" s="1">
        <v>47816</v>
      </c>
      <c r="B2227" s="2">
        <v>46321</v>
      </c>
      <c r="C2227" s="1" t="s">
        <v>16</v>
      </c>
      <c r="D2227" s="1">
        <v>2026</v>
      </c>
      <c r="E2227" s="1">
        <v>10</v>
      </c>
      <c r="F2227" s="1">
        <v>44</v>
      </c>
    </row>
    <row r="2228" spans="1:6" x14ac:dyDescent="0.35">
      <c r="A2228" s="1">
        <v>47815</v>
      </c>
      <c r="B2228" s="2">
        <v>46321</v>
      </c>
      <c r="C2228" s="1" t="s">
        <v>16</v>
      </c>
      <c r="D2228" s="1">
        <v>2026</v>
      </c>
      <c r="E2228" s="1">
        <v>10</v>
      </c>
      <c r="F2228" s="1">
        <v>44</v>
      </c>
    </row>
    <row r="2229" spans="1:6" x14ac:dyDescent="0.35">
      <c r="A2229" s="1">
        <v>47814</v>
      </c>
      <c r="B2229" s="2">
        <v>46321</v>
      </c>
      <c r="C2229" s="1" t="s">
        <v>16</v>
      </c>
      <c r="D2229" s="1">
        <v>2026</v>
      </c>
      <c r="E2229" s="1">
        <v>10</v>
      </c>
      <c r="F2229" s="1">
        <v>44</v>
      </c>
    </row>
    <row r="2230" spans="1:6" x14ac:dyDescent="0.35">
      <c r="A2230" s="1">
        <v>47808</v>
      </c>
      <c r="B2230" s="2">
        <v>46321</v>
      </c>
      <c r="C2230" s="1" t="s">
        <v>103</v>
      </c>
      <c r="D2230" s="1">
        <v>2026</v>
      </c>
      <c r="E2230" s="1">
        <v>10</v>
      </c>
      <c r="F2230" s="1">
        <v>44</v>
      </c>
    </row>
    <row r="2231" spans="1:6" x14ac:dyDescent="0.35">
      <c r="A2231" s="1">
        <v>47807</v>
      </c>
      <c r="B2231" s="2">
        <v>46321</v>
      </c>
      <c r="C2231" s="1" t="s">
        <v>103</v>
      </c>
      <c r="D2231" s="1">
        <v>2026</v>
      </c>
      <c r="E2231" s="1">
        <v>10</v>
      </c>
      <c r="F2231" s="1">
        <v>44</v>
      </c>
    </row>
    <row r="2232" spans="1:6" x14ac:dyDescent="0.35">
      <c r="A2232" s="1">
        <v>47806</v>
      </c>
      <c r="B2232" s="2">
        <v>46321</v>
      </c>
      <c r="C2232" s="1" t="s">
        <v>103</v>
      </c>
      <c r="D2232" s="1">
        <v>2026</v>
      </c>
      <c r="E2232" s="1">
        <v>10</v>
      </c>
      <c r="F2232" s="1">
        <v>44</v>
      </c>
    </row>
    <row r="2233" spans="1:6" x14ac:dyDescent="0.35">
      <c r="A2233" s="1">
        <v>47805</v>
      </c>
      <c r="B2233" s="2">
        <v>46321</v>
      </c>
      <c r="C2233" s="1" t="s">
        <v>1029</v>
      </c>
      <c r="D2233" s="1">
        <v>2026</v>
      </c>
      <c r="E2233" s="1">
        <v>10</v>
      </c>
      <c r="F2233" s="1">
        <v>44</v>
      </c>
    </row>
    <row r="2234" spans="1:6" x14ac:dyDescent="0.35">
      <c r="A2234" s="1">
        <v>47804</v>
      </c>
      <c r="B2234" s="2">
        <v>46321</v>
      </c>
      <c r="C2234" s="1" t="s">
        <v>4</v>
      </c>
      <c r="D2234" s="1">
        <v>2026</v>
      </c>
      <c r="E2234" s="1">
        <v>10</v>
      </c>
      <c r="F2234" s="1">
        <v>44</v>
      </c>
    </row>
    <row r="2235" spans="1:6" x14ac:dyDescent="0.35">
      <c r="A2235" s="1">
        <v>47803</v>
      </c>
      <c r="B2235" s="2">
        <v>46321</v>
      </c>
      <c r="C2235" s="1" t="s">
        <v>4</v>
      </c>
      <c r="D2235" s="1">
        <v>2026</v>
      </c>
      <c r="E2235" s="1">
        <v>10</v>
      </c>
      <c r="F2235" s="1">
        <v>44</v>
      </c>
    </row>
    <row r="2236" spans="1:6" x14ac:dyDescent="0.35">
      <c r="A2236" s="1">
        <v>47802</v>
      </c>
      <c r="B2236" s="2">
        <v>46321</v>
      </c>
      <c r="C2236" s="1" t="s">
        <v>4</v>
      </c>
      <c r="D2236" s="1">
        <v>2026</v>
      </c>
      <c r="E2236" s="1">
        <v>10</v>
      </c>
      <c r="F2236" s="1">
        <v>44</v>
      </c>
    </row>
    <row r="2237" spans="1:6" x14ac:dyDescent="0.35">
      <c r="A2237" s="1">
        <v>47801</v>
      </c>
      <c r="B2237" s="2">
        <v>46321</v>
      </c>
      <c r="C2237" s="1" t="s">
        <v>19</v>
      </c>
      <c r="D2237" s="1">
        <v>2026</v>
      </c>
      <c r="E2237" s="1">
        <v>10</v>
      </c>
      <c r="F2237" s="1">
        <v>44</v>
      </c>
    </row>
    <row r="2238" spans="1:6" x14ac:dyDescent="0.35">
      <c r="A2238" s="1">
        <v>47800</v>
      </c>
      <c r="B2238" s="2">
        <v>46321</v>
      </c>
      <c r="C2238" s="1" t="s">
        <v>19</v>
      </c>
      <c r="D2238" s="1">
        <v>2026</v>
      </c>
      <c r="E2238" s="1">
        <v>10</v>
      </c>
      <c r="F2238" s="1">
        <v>44</v>
      </c>
    </row>
    <row r="2239" spans="1:6" x14ac:dyDescent="0.35">
      <c r="A2239" s="1">
        <v>47799</v>
      </c>
      <c r="B2239" s="2">
        <v>46321</v>
      </c>
      <c r="C2239" s="1" t="s">
        <v>19</v>
      </c>
      <c r="D2239" s="1">
        <v>2026</v>
      </c>
      <c r="E2239" s="1">
        <v>10</v>
      </c>
      <c r="F2239" s="1">
        <v>44</v>
      </c>
    </row>
    <row r="2240" spans="1:6" x14ac:dyDescent="0.35">
      <c r="A2240" s="1">
        <v>47798</v>
      </c>
      <c r="B2240" s="2">
        <v>46321</v>
      </c>
      <c r="C2240" s="1" t="s">
        <v>19</v>
      </c>
      <c r="D2240" s="1">
        <v>2026</v>
      </c>
      <c r="E2240" s="1">
        <v>10</v>
      </c>
      <c r="F2240" s="1">
        <v>44</v>
      </c>
    </row>
    <row r="2241" spans="1:6" x14ac:dyDescent="0.35">
      <c r="A2241" s="1">
        <v>47796</v>
      </c>
      <c r="B2241" s="2">
        <v>46321</v>
      </c>
      <c r="C2241" s="1" t="s">
        <v>17</v>
      </c>
      <c r="D2241" s="1">
        <v>2026</v>
      </c>
      <c r="E2241" s="1">
        <v>10</v>
      </c>
      <c r="F2241" s="1">
        <v>44</v>
      </c>
    </row>
    <row r="2242" spans="1:6" x14ac:dyDescent="0.35">
      <c r="A2242" s="1">
        <v>47794</v>
      </c>
      <c r="B2242" s="2">
        <v>46321</v>
      </c>
      <c r="C2242" s="1" t="s">
        <v>17</v>
      </c>
      <c r="D2242" s="1">
        <v>2026</v>
      </c>
      <c r="E2242" s="1">
        <v>10</v>
      </c>
      <c r="F2242" s="1">
        <v>44</v>
      </c>
    </row>
    <row r="2243" spans="1:6" x14ac:dyDescent="0.35">
      <c r="A2243" s="1">
        <v>47793</v>
      </c>
      <c r="B2243" s="2">
        <v>46321</v>
      </c>
      <c r="C2243" s="1" t="s">
        <v>17</v>
      </c>
      <c r="D2243" s="1">
        <v>2026</v>
      </c>
      <c r="E2243" s="1">
        <v>10</v>
      </c>
      <c r="F2243" s="1">
        <v>44</v>
      </c>
    </row>
    <row r="2244" spans="1:6" x14ac:dyDescent="0.35">
      <c r="A2244" s="1">
        <v>47792</v>
      </c>
      <c r="B2244" s="2">
        <v>46321</v>
      </c>
      <c r="C2244" s="1" t="s">
        <v>6</v>
      </c>
      <c r="D2244" s="1">
        <v>2026</v>
      </c>
      <c r="E2244" s="1">
        <v>10</v>
      </c>
      <c r="F2244" s="1">
        <v>44</v>
      </c>
    </row>
    <row r="2245" spans="1:6" x14ac:dyDescent="0.35">
      <c r="A2245" s="1">
        <v>47791</v>
      </c>
      <c r="B2245" s="2">
        <v>46321</v>
      </c>
      <c r="C2245" s="1" t="s">
        <v>6</v>
      </c>
      <c r="D2245" s="1">
        <v>2026</v>
      </c>
      <c r="E2245" s="1">
        <v>10</v>
      </c>
      <c r="F2245" s="1">
        <v>44</v>
      </c>
    </row>
    <row r="2246" spans="1:6" x14ac:dyDescent="0.35">
      <c r="A2246" s="1">
        <v>47789</v>
      </c>
      <c r="B2246" s="2">
        <v>46321</v>
      </c>
      <c r="C2246" s="1" t="s">
        <v>6</v>
      </c>
      <c r="D2246" s="1">
        <v>2026</v>
      </c>
      <c r="E2246" s="1">
        <v>10</v>
      </c>
      <c r="F2246" s="1">
        <v>44</v>
      </c>
    </row>
    <row r="2247" spans="1:6" x14ac:dyDescent="0.35">
      <c r="A2247" s="1">
        <v>47787</v>
      </c>
      <c r="B2247" s="2">
        <v>46321</v>
      </c>
      <c r="C2247" s="1" t="s">
        <v>6</v>
      </c>
      <c r="D2247" s="1">
        <v>2026</v>
      </c>
      <c r="E2247" s="1">
        <v>10</v>
      </c>
      <c r="F2247" s="1">
        <v>44</v>
      </c>
    </row>
    <row r="2248" spans="1:6" x14ac:dyDescent="0.35">
      <c r="A2248" s="1">
        <v>47784</v>
      </c>
      <c r="B2248" s="2">
        <v>46321</v>
      </c>
      <c r="C2248" s="1" t="s">
        <v>7</v>
      </c>
      <c r="D2248" s="1">
        <v>2026</v>
      </c>
      <c r="E2248" s="1">
        <v>10</v>
      </c>
      <c r="F2248" s="1">
        <v>44</v>
      </c>
    </row>
    <row r="2249" spans="1:6" x14ac:dyDescent="0.35">
      <c r="A2249" s="1">
        <v>47783</v>
      </c>
      <c r="B2249" s="2">
        <v>46321</v>
      </c>
      <c r="C2249" s="1" t="s">
        <v>7</v>
      </c>
      <c r="D2249" s="1">
        <v>2026</v>
      </c>
      <c r="E2249" s="1">
        <v>10</v>
      </c>
      <c r="F2249" s="1">
        <v>44</v>
      </c>
    </row>
    <row r="2250" spans="1:6" x14ac:dyDescent="0.35">
      <c r="A2250" s="1">
        <v>47771</v>
      </c>
      <c r="B2250" s="2">
        <v>46321</v>
      </c>
      <c r="C2250" s="1" t="s">
        <v>8</v>
      </c>
      <c r="D2250" s="1">
        <v>2026</v>
      </c>
      <c r="E2250" s="1">
        <v>10</v>
      </c>
      <c r="F2250" s="1">
        <v>44</v>
      </c>
    </row>
    <row r="2251" spans="1:6" x14ac:dyDescent="0.35">
      <c r="A2251" s="1">
        <v>47770</v>
      </c>
      <c r="B2251" s="2">
        <v>46321</v>
      </c>
      <c r="C2251" s="1" t="s">
        <v>8</v>
      </c>
      <c r="D2251" s="1">
        <v>2026</v>
      </c>
      <c r="E2251" s="1">
        <v>10</v>
      </c>
      <c r="F2251" s="1">
        <v>44</v>
      </c>
    </row>
    <row r="2252" spans="1:6" x14ac:dyDescent="0.35">
      <c r="A2252" s="1">
        <v>47829</v>
      </c>
      <c r="B2252" s="2">
        <v>46321</v>
      </c>
      <c r="C2252" s="1" t="s">
        <v>3</v>
      </c>
      <c r="D2252" s="1">
        <v>2026</v>
      </c>
      <c r="E2252" s="1">
        <v>10</v>
      </c>
      <c r="F2252" s="1">
        <v>44</v>
      </c>
    </row>
    <row r="2253" spans="1:6" x14ac:dyDescent="0.35">
      <c r="A2253" s="1">
        <v>47828</v>
      </c>
      <c r="B2253" s="2">
        <v>46321</v>
      </c>
      <c r="C2253" s="1" t="s">
        <v>3</v>
      </c>
      <c r="D2253" s="1">
        <v>2026</v>
      </c>
      <c r="E2253" s="1">
        <v>10</v>
      </c>
      <c r="F2253" s="1">
        <v>44</v>
      </c>
    </row>
    <row r="2254" spans="1:6" x14ac:dyDescent="0.35">
      <c r="A2254" s="1">
        <v>47824</v>
      </c>
      <c r="B2254" s="2">
        <v>46322</v>
      </c>
      <c r="C2254" s="1" t="s">
        <v>8</v>
      </c>
      <c r="D2254" s="1">
        <v>2026</v>
      </c>
      <c r="E2254" s="1">
        <v>10</v>
      </c>
      <c r="F2254" s="1">
        <v>44</v>
      </c>
    </row>
    <row r="2255" spans="1:6" x14ac:dyDescent="0.35">
      <c r="A2255" s="1">
        <v>47821</v>
      </c>
      <c r="B2255" s="2">
        <v>46322</v>
      </c>
      <c r="C2255" s="1" t="s">
        <v>8</v>
      </c>
      <c r="D2255" s="1">
        <v>2026</v>
      </c>
      <c r="E2255" s="1">
        <v>10</v>
      </c>
      <c r="F2255" s="1">
        <v>44</v>
      </c>
    </row>
    <row r="2256" spans="1:6" x14ac:dyDescent="0.35">
      <c r="A2256" s="1">
        <v>47875</v>
      </c>
      <c r="B2256" s="2">
        <v>46322</v>
      </c>
      <c r="C2256" s="1" t="s">
        <v>21</v>
      </c>
      <c r="D2256" s="1">
        <v>2026</v>
      </c>
      <c r="E2256" s="1">
        <v>10</v>
      </c>
      <c r="F2256" s="1">
        <v>44</v>
      </c>
    </row>
    <row r="2257" spans="1:6" x14ac:dyDescent="0.35">
      <c r="A2257" s="1">
        <v>47874</v>
      </c>
      <c r="B2257" s="2">
        <v>46322</v>
      </c>
      <c r="C2257" s="1" t="s">
        <v>21</v>
      </c>
      <c r="D2257" s="1">
        <v>2026</v>
      </c>
      <c r="E2257" s="1">
        <v>10</v>
      </c>
      <c r="F2257" s="1">
        <v>44</v>
      </c>
    </row>
    <row r="2258" spans="1:6" x14ac:dyDescent="0.35">
      <c r="A2258" s="1">
        <v>47873</v>
      </c>
      <c r="B2258" s="2">
        <v>46322</v>
      </c>
      <c r="C2258" s="1" t="s">
        <v>21</v>
      </c>
      <c r="D2258" s="1">
        <v>2026</v>
      </c>
      <c r="E2258" s="1">
        <v>10</v>
      </c>
      <c r="F2258" s="1">
        <v>44</v>
      </c>
    </row>
    <row r="2259" spans="1:6" x14ac:dyDescent="0.35">
      <c r="A2259" s="1">
        <v>47872</v>
      </c>
      <c r="B2259" s="2">
        <v>46322</v>
      </c>
      <c r="C2259" s="1" t="s">
        <v>21</v>
      </c>
      <c r="D2259" s="1">
        <v>2026</v>
      </c>
      <c r="E2259" s="1">
        <v>10</v>
      </c>
      <c r="F2259" s="1">
        <v>44</v>
      </c>
    </row>
    <row r="2260" spans="1:6" x14ac:dyDescent="0.35">
      <c r="A2260" s="1">
        <v>47858</v>
      </c>
      <c r="B2260" s="2">
        <v>46322</v>
      </c>
      <c r="C2260" s="1" t="s">
        <v>10</v>
      </c>
      <c r="D2260" s="1">
        <v>2026</v>
      </c>
      <c r="E2260" s="1">
        <v>10</v>
      </c>
      <c r="F2260" s="1">
        <v>44</v>
      </c>
    </row>
    <row r="2261" spans="1:6" x14ac:dyDescent="0.35">
      <c r="A2261" s="1">
        <v>47855</v>
      </c>
      <c r="B2261" s="2">
        <v>46322</v>
      </c>
      <c r="C2261" s="1" t="s">
        <v>10</v>
      </c>
      <c r="D2261" s="1">
        <v>2026</v>
      </c>
      <c r="E2261" s="1">
        <v>10</v>
      </c>
      <c r="F2261" s="1">
        <v>44</v>
      </c>
    </row>
    <row r="2262" spans="1:6" x14ac:dyDescent="0.35">
      <c r="A2262" s="1">
        <v>47854</v>
      </c>
      <c r="B2262" s="2">
        <v>46322</v>
      </c>
      <c r="C2262" s="1" t="s">
        <v>16</v>
      </c>
      <c r="D2262" s="1">
        <v>2026</v>
      </c>
      <c r="E2262" s="1">
        <v>10</v>
      </c>
      <c r="F2262" s="1">
        <v>44</v>
      </c>
    </row>
    <row r="2263" spans="1:6" x14ac:dyDescent="0.35">
      <c r="A2263" s="1">
        <v>47853</v>
      </c>
      <c r="B2263" s="2">
        <v>46322</v>
      </c>
      <c r="C2263" s="1" t="s">
        <v>16</v>
      </c>
      <c r="D2263" s="1">
        <v>2026</v>
      </c>
      <c r="E2263" s="1">
        <v>10</v>
      </c>
      <c r="F2263" s="1">
        <v>44</v>
      </c>
    </row>
    <row r="2264" spans="1:6" x14ac:dyDescent="0.35">
      <c r="A2264" s="1">
        <v>47845</v>
      </c>
      <c r="B2264" s="2">
        <v>46322</v>
      </c>
      <c r="C2264" s="1" t="s">
        <v>3</v>
      </c>
      <c r="D2264" s="1">
        <v>2026</v>
      </c>
      <c r="E2264" s="1">
        <v>10</v>
      </c>
      <c r="F2264" s="1">
        <v>44</v>
      </c>
    </row>
    <row r="2265" spans="1:6" x14ac:dyDescent="0.35">
      <c r="A2265" s="1">
        <v>47844</v>
      </c>
      <c r="B2265" s="2">
        <v>46322</v>
      </c>
      <c r="C2265" s="1" t="s">
        <v>3</v>
      </c>
      <c r="D2265" s="1">
        <v>2026</v>
      </c>
      <c r="E2265" s="1">
        <v>10</v>
      </c>
      <c r="F2265" s="1">
        <v>44</v>
      </c>
    </row>
    <row r="2266" spans="1:6" x14ac:dyDescent="0.35">
      <c r="A2266" s="1">
        <v>47843</v>
      </c>
      <c r="B2266" s="2">
        <v>46322</v>
      </c>
      <c r="C2266" s="1" t="s">
        <v>3</v>
      </c>
      <c r="D2266" s="1">
        <v>2026</v>
      </c>
      <c r="E2266" s="1">
        <v>10</v>
      </c>
      <c r="F2266" s="1">
        <v>44</v>
      </c>
    </row>
    <row r="2267" spans="1:6" x14ac:dyDescent="0.35">
      <c r="A2267" s="1">
        <v>47841</v>
      </c>
      <c r="B2267" s="2">
        <v>46322</v>
      </c>
      <c r="C2267" s="1" t="s">
        <v>7</v>
      </c>
      <c r="D2267" s="1">
        <v>2026</v>
      </c>
      <c r="E2267" s="1">
        <v>10</v>
      </c>
      <c r="F2267" s="1">
        <v>44</v>
      </c>
    </row>
    <row r="2268" spans="1:6" x14ac:dyDescent="0.35">
      <c r="A2268" s="1">
        <v>47840</v>
      </c>
      <c r="B2268" s="2">
        <v>46322</v>
      </c>
      <c r="C2268" s="1" t="s">
        <v>7</v>
      </c>
      <c r="D2268" s="1">
        <v>2026</v>
      </c>
      <c r="E2268" s="1">
        <v>10</v>
      </c>
      <c r="F2268" s="1">
        <v>44</v>
      </c>
    </row>
    <row r="2269" spans="1:6" x14ac:dyDescent="0.35">
      <c r="A2269" s="1">
        <v>47839</v>
      </c>
      <c r="B2269" s="2">
        <v>46322</v>
      </c>
      <c r="C2269" s="1" t="s">
        <v>1029</v>
      </c>
      <c r="D2269" s="1">
        <v>2026</v>
      </c>
      <c r="E2269" s="1">
        <v>10</v>
      </c>
      <c r="F2269" s="1">
        <v>44</v>
      </c>
    </row>
    <row r="2270" spans="1:6" x14ac:dyDescent="0.35">
      <c r="A2270" s="1">
        <v>47835</v>
      </c>
      <c r="B2270" s="2">
        <v>46322</v>
      </c>
      <c r="C2270" s="1" t="s">
        <v>17</v>
      </c>
      <c r="D2270" s="1">
        <v>2026</v>
      </c>
      <c r="E2270" s="1">
        <v>10</v>
      </c>
      <c r="F2270" s="1">
        <v>44</v>
      </c>
    </row>
    <row r="2271" spans="1:6" x14ac:dyDescent="0.35">
      <c r="A2271" s="1">
        <v>47834</v>
      </c>
      <c r="B2271" s="2">
        <v>46322</v>
      </c>
      <c r="C2271" s="1" t="s">
        <v>19</v>
      </c>
      <c r="D2271" s="1">
        <v>2026</v>
      </c>
      <c r="E2271" s="1">
        <v>10</v>
      </c>
      <c r="F2271" s="1">
        <v>44</v>
      </c>
    </row>
    <row r="2272" spans="1:6" x14ac:dyDescent="0.35">
      <c r="A2272" s="1">
        <v>47833</v>
      </c>
      <c r="B2272" s="2">
        <v>46322</v>
      </c>
      <c r="C2272" s="1" t="s">
        <v>17</v>
      </c>
      <c r="D2272" s="1">
        <v>2026</v>
      </c>
      <c r="E2272" s="1">
        <v>10</v>
      </c>
      <c r="F2272" s="1">
        <v>44</v>
      </c>
    </row>
    <row r="2273" spans="1:6" x14ac:dyDescent="0.35">
      <c r="A2273" s="1">
        <v>47832</v>
      </c>
      <c r="B2273" s="2">
        <v>46322</v>
      </c>
      <c r="C2273" s="1" t="s">
        <v>6</v>
      </c>
      <c r="D2273" s="1">
        <v>2026</v>
      </c>
      <c r="E2273" s="1">
        <v>10</v>
      </c>
      <c r="F2273" s="1">
        <v>44</v>
      </c>
    </row>
    <row r="2274" spans="1:6" x14ac:dyDescent="0.35">
      <c r="A2274" s="1">
        <v>47831</v>
      </c>
      <c r="B2274" s="2">
        <v>46322</v>
      </c>
      <c r="C2274" s="1" t="s">
        <v>6</v>
      </c>
      <c r="D2274" s="1">
        <v>2026</v>
      </c>
      <c r="E2274" s="1">
        <v>10</v>
      </c>
      <c r="F2274" s="1">
        <v>44</v>
      </c>
    </row>
    <row r="2275" spans="1:6" x14ac:dyDescent="0.35">
      <c r="A2275" s="1">
        <v>47827</v>
      </c>
      <c r="B2275" s="2">
        <v>46322</v>
      </c>
      <c r="C2275" s="1" t="s">
        <v>19</v>
      </c>
      <c r="D2275" s="1">
        <v>2026</v>
      </c>
      <c r="E2275" s="1">
        <v>10</v>
      </c>
      <c r="F2275" s="1">
        <v>44</v>
      </c>
    </row>
    <row r="2276" spans="1:6" x14ac:dyDescent="0.35">
      <c r="A2276" s="1">
        <v>47826</v>
      </c>
      <c r="B2276" s="2">
        <v>46322</v>
      </c>
      <c r="C2276" s="1" t="s">
        <v>19</v>
      </c>
      <c r="D2276" s="1">
        <v>2026</v>
      </c>
      <c r="E2276" s="1">
        <v>10</v>
      </c>
      <c r="F2276" s="1">
        <v>44</v>
      </c>
    </row>
    <row r="2277" spans="1:6" x14ac:dyDescent="0.35">
      <c r="A2277" s="1">
        <v>47915</v>
      </c>
      <c r="B2277" s="2">
        <v>46323</v>
      </c>
      <c r="C2277" s="1" t="s">
        <v>10</v>
      </c>
      <c r="D2277" s="1">
        <v>2026</v>
      </c>
      <c r="E2277" s="1">
        <v>10</v>
      </c>
      <c r="F2277" s="1">
        <v>44</v>
      </c>
    </row>
    <row r="2278" spans="1:6" x14ac:dyDescent="0.35">
      <c r="A2278" s="1">
        <v>47914</v>
      </c>
      <c r="B2278" s="2">
        <v>46323</v>
      </c>
      <c r="C2278" s="1" t="s">
        <v>10</v>
      </c>
      <c r="D2278" s="1">
        <v>2026</v>
      </c>
      <c r="E2278" s="1">
        <v>10</v>
      </c>
      <c r="F2278" s="1">
        <v>44</v>
      </c>
    </row>
    <row r="2279" spans="1:6" x14ac:dyDescent="0.35">
      <c r="A2279" s="1">
        <v>47913</v>
      </c>
      <c r="B2279" s="2">
        <v>46323</v>
      </c>
      <c r="C2279" s="1" t="s">
        <v>16</v>
      </c>
      <c r="D2279" s="1">
        <v>2026</v>
      </c>
      <c r="E2279" s="1">
        <v>10</v>
      </c>
      <c r="F2279" s="1">
        <v>44</v>
      </c>
    </row>
    <row r="2280" spans="1:6" x14ac:dyDescent="0.35">
      <c r="A2280" s="1">
        <v>47912</v>
      </c>
      <c r="B2280" s="2">
        <v>46323</v>
      </c>
      <c r="C2280" s="1" t="s">
        <v>16</v>
      </c>
      <c r="D2280" s="1">
        <v>2026</v>
      </c>
      <c r="E2280" s="1">
        <v>10</v>
      </c>
      <c r="F2280" s="1">
        <v>44</v>
      </c>
    </row>
    <row r="2281" spans="1:6" x14ac:dyDescent="0.35">
      <c r="A2281" s="1">
        <v>47909</v>
      </c>
      <c r="B2281" s="2">
        <v>46323</v>
      </c>
      <c r="C2281" s="1" t="s">
        <v>103</v>
      </c>
      <c r="D2281" s="1">
        <v>2026</v>
      </c>
      <c r="E2281" s="1">
        <v>10</v>
      </c>
      <c r="F2281" s="1">
        <v>44</v>
      </c>
    </row>
    <row r="2282" spans="1:6" x14ac:dyDescent="0.35">
      <c r="A2282" s="1">
        <v>47908</v>
      </c>
      <c r="B2282" s="2">
        <v>46323</v>
      </c>
      <c r="C2282" s="1" t="s">
        <v>3</v>
      </c>
      <c r="D2282" s="1">
        <v>2026</v>
      </c>
      <c r="E2282" s="1">
        <v>10</v>
      </c>
      <c r="F2282" s="1">
        <v>44</v>
      </c>
    </row>
    <row r="2283" spans="1:6" x14ac:dyDescent="0.35">
      <c r="A2283" s="1">
        <v>47907</v>
      </c>
      <c r="B2283" s="2">
        <v>46323</v>
      </c>
      <c r="C2283" s="1" t="s">
        <v>103</v>
      </c>
      <c r="D2283" s="1">
        <v>2026</v>
      </c>
      <c r="E2283" s="1">
        <v>10</v>
      </c>
      <c r="F2283" s="1">
        <v>44</v>
      </c>
    </row>
    <row r="2284" spans="1:6" x14ac:dyDescent="0.35">
      <c r="A2284" s="1">
        <v>47906</v>
      </c>
      <c r="B2284" s="2">
        <v>46323</v>
      </c>
      <c r="C2284" s="1" t="s">
        <v>103</v>
      </c>
      <c r="D2284" s="1">
        <v>2026</v>
      </c>
      <c r="E2284" s="1">
        <v>10</v>
      </c>
      <c r="F2284" s="1">
        <v>44</v>
      </c>
    </row>
    <row r="2285" spans="1:6" x14ac:dyDescent="0.35">
      <c r="A2285" s="1">
        <v>47904</v>
      </c>
      <c r="B2285" s="2">
        <v>46323</v>
      </c>
      <c r="C2285" s="1" t="s">
        <v>19</v>
      </c>
      <c r="D2285" s="1">
        <v>2026</v>
      </c>
      <c r="E2285" s="1">
        <v>10</v>
      </c>
      <c r="F2285" s="1">
        <v>44</v>
      </c>
    </row>
    <row r="2286" spans="1:6" x14ac:dyDescent="0.35">
      <c r="A2286" s="1">
        <v>47902</v>
      </c>
      <c r="B2286" s="2">
        <v>46323</v>
      </c>
      <c r="C2286" s="1" t="s">
        <v>4</v>
      </c>
      <c r="D2286" s="1">
        <v>2026</v>
      </c>
      <c r="E2286" s="1">
        <v>10</v>
      </c>
      <c r="F2286" s="1">
        <v>44</v>
      </c>
    </row>
    <row r="2287" spans="1:6" x14ac:dyDescent="0.35">
      <c r="A2287" s="1">
        <v>47901</v>
      </c>
      <c r="B2287" s="2">
        <v>46323</v>
      </c>
      <c r="C2287" s="1" t="s">
        <v>4</v>
      </c>
      <c r="D2287" s="1">
        <v>2026</v>
      </c>
      <c r="E2287" s="1">
        <v>10</v>
      </c>
      <c r="F2287" s="1">
        <v>44</v>
      </c>
    </row>
    <row r="2288" spans="1:6" x14ac:dyDescent="0.35">
      <c r="A2288" s="1">
        <v>47900</v>
      </c>
      <c r="B2288" s="2">
        <v>46323</v>
      </c>
      <c r="C2288" s="1" t="s">
        <v>4</v>
      </c>
      <c r="D2288" s="1">
        <v>2026</v>
      </c>
      <c r="E2288" s="1">
        <v>10</v>
      </c>
      <c r="F2288" s="1">
        <v>44</v>
      </c>
    </row>
    <row r="2289" spans="1:6" x14ac:dyDescent="0.35">
      <c r="A2289" s="1">
        <v>47899</v>
      </c>
      <c r="B2289" s="2">
        <v>46323</v>
      </c>
      <c r="C2289" s="1" t="s">
        <v>9</v>
      </c>
      <c r="D2289" s="1">
        <v>2026</v>
      </c>
      <c r="E2289" s="1">
        <v>10</v>
      </c>
      <c r="F2289" s="1">
        <v>44</v>
      </c>
    </row>
    <row r="2290" spans="1:6" x14ac:dyDescent="0.35">
      <c r="A2290" s="1">
        <v>47897</v>
      </c>
      <c r="B2290" s="2">
        <v>46323</v>
      </c>
      <c r="C2290" s="1" t="s">
        <v>9</v>
      </c>
      <c r="D2290" s="1">
        <v>2026</v>
      </c>
      <c r="E2290" s="1">
        <v>10</v>
      </c>
      <c r="F2290" s="1">
        <v>44</v>
      </c>
    </row>
    <row r="2291" spans="1:6" x14ac:dyDescent="0.35">
      <c r="A2291" s="1">
        <v>47896</v>
      </c>
      <c r="B2291" s="2">
        <v>46323</v>
      </c>
      <c r="C2291" s="1" t="s">
        <v>1029</v>
      </c>
      <c r="D2291" s="1">
        <v>2026</v>
      </c>
      <c r="E2291" s="1">
        <v>10</v>
      </c>
      <c r="F2291" s="1">
        <v>44</v>
      </c>
    </row>
    <row r="2292" spans="1:6" x14ac:dyDescent="0.35">
      <c r="A2292" s="1">
        <v>47889</v>
      </c>
      <c r="B2292" s="2">
        <v>46323</v>
      </c>
      <c r="C2292" s="1" t="s">
        <v>7</v>
      </c>
      <c r="D2292" s="1">
        <v>2026</v>
      </c>
      <c r="E2292" s="1">
        <v>10</v>
      </c>
      <c r="F2292" s="1">
        <v>44</v>
      </c>
    </row>
    <row r="2293" spans="1:6" x14ac:dyDescent="0.35">
      <c r="A2293" s="1">
        <v>47888</v>
      </c>
      <c r="B2293" s="2">
        <v>46323</v>
      </c>
      <c r="C2293" s="1" t="s">
        <v>7</v>
      </c>
      <c r="D2293" s="1">
        <v>2026</v>
      </c>
      <c r="E2293" s="1">
        <v>10</v>
      </c>
      <c r="F2293" s="1">
        <v>44</v>
      </c>
    </row>
    <row r="2294" spans="1:6" x14ac:dyDescent="0.35">
      <c r="A2294" s="1">
        <v>47885</v>
      </c>
      <c r="B2294" s="2">
        <v>46323</v>
      </c>
      <c r="C2294" s="1" t="s">
        <v>1029</v>
      </c>
      <c r="D2294" s="1">
        <v>2026</v>
      </c>
      <c r="E2294" s="1">
        <v>10</v>
      </c>
      <c r="F2294" s="1">
        <v>44</v>
      </c>
    </row>
    <row r="2295" spans="1:6" x14ac:dyDescent="0.35">
      <c r="A2295" s="1">
        <v>47883</v>
      </c>
      <c r="B2295" s="2">
        <v>46323</v>
      </c>
      <c r="C2295" s="1" t="s">
        <v>3</v>
      </c>
      <c r="D2295" s="1">
        <v>2026</v>
      </c>
      <c r="E2295" s="1">
        <v>10</v>
      </c>
      <c r="F2295" s="1">
        <v>44</v>
      </c>
    </row>
    <row r="2296" spans="1:6" x14ac:dyDescent="0.35">
      <c r="A2296" s="1">
        <v>47882</v>
      </c>
      <c r="B2296" s="2">
        <v>46323</v>
      </c>
      <c r="C2296" s="1" t="s">
        <v>19</v>
      </c>
      <c r="D2296" s="1">
        <v>2026</v>
      </c>
      <c r="E2296" s="1">
        <v>10</v>
      </c>
      <c r="F2296" s="1">
        <v>44</v>
      </c>
    </row>
    <row r="2297" spans="1:6" x14ac:dyDescent="0.35">
      <c r="A2297" s="1">
        <v>47881</v>
      </c>
      <c r="B2297" s="2">
        <v>46323</v>
      </c>
      <c r="C2297" s="1" t="s">
        <v>6</v>
      </c>
      <c r="D2297" s="1">
        <v>2026</v>
      </c>
      <c r="E2297" s="1">
        <v>10</v>
      </c>
      <c r="F2297" s="1">
        <v>44</v>
      </c>
    </row>
    <row r="2298" spans="1:6" x14ac:dyDescent="0.35">
      <c r="A2298" s="1">
        <v>47880</v>
      </c>
      <c r="B2298" s="2">
        <v>46323</v>
      </c>
      <c r="C2298" s="1" t="s">
        <v>6</v>
      </c>
      <c r="D2298" s="1">
        <v>2026</v>
      </c>
      <c r="E2298" s="1">
        <v>10</v>
      </c>
      <c r="F2298" s="1">
        <v>44</v>
      </c>
    </row>
    <row r="2299" spans="1:6" x14ac:dyDescent="0.35">
      <c r="A2299" s="1">
        <v>47879</v>
      </c>
      <c r="B2299" s="2">
        <v>46323</v>
      </c>
      <c r="C2299" s="1" t="s">
        <v>6</v>
      </c>
      <c r="D2299" s="1">
        <v>2026</v>
      </c>
      <c r="E2299" s="1">
        <v>10</v>
      </c>
      <c r="F2299" s="1">
        <v>44</v>
      </c>
    </row>
    <row r="2300" spans="1:6" x14ac:dyDescent="0.35">
      <c r="A2300" s="1">
        <v>47878</v>
      </c>
      <c r="B2300" s="2">
        <v>46323</v>
      </c>
      <c r="C2300" s="1" t="s">
        <v>19</v>
      </c>
      <c r="D2300" s="1">
        <v>2026</v>
      </c>
      <c r="E2300" s="1">
        <v>10</v>
      </c>
      <c r="F2300" s="1">
        <v>44</v>
      </c>
    </row>
    <row r="2301" spans="1:6" x14ac:dyDescent="0.35">
      <c r="A2301" s="1">
        <v>47876</v>
      </c>
      <c r="B2301" s="2">
        <v>46323</v>
      </c>
      <c r="C2301" s="1" t="s">
        <v>3</v>
      </c>
      <c r="D2301" s="1">
        <v>2026</v>
      </c>
      <c r="E2301" s="1">
        <v>10</v>
      </c>
      <c r="F2301" s="1">
        <v>44</v>
      </c>
    </row>
    <row r="2302" spans="1:6" x14ac:dyDescent="0.35">
      <c r="A2302" s="1">
        <v>47871</v>
      </c>
      <c r="B2302" s="2">
        <v>46323</v>
      </c>
      <c r="C2302" s="1" t="s">
        <v>19</v>
      </c>
      <c r="D2302" s="1">
        <v>2026</v>
      </c>
      <c r="E2302" s="1">
        <v>10</v>
      </c>
      <c r="F2302" s="1">
        <v>44</v>
      </c>
    </row>
    <row r="2303" spans="1:6" x14ac:dyDescent="0.35">
      <c r="A2303" s="1">
        <v>47870</v>
      </c>
      <c r="B2303" s="2">
        <v>46323</v>
      </c>
      <c r="C2303" s="1" t="s">
        <v>19</v>
      </c>
      <c r="D2303" s="1">
        <v>2026</v>
      </c>
      <c r="E2303" s="1">
        <v>10</v>
      </c>
      <c r="F2303" s="1">
        <v>44</v>
      </c>
    </row>
    <row r="2304" spans="1:6" x14ac:dyDescent="0.35">
      <c r="A2304" s="1">
        <v>47869</v>
      </c>
      <c r="B2304" s="2">
        <v>46323</v>
      </c>
      <c r="C2304" s="1" t="s">
        <v>8</v>
      </c>
      <c r="D2304" s="1">
        <v>2026</v>
      </c>
      <c r="E2304" s="1">
        <v>10</v>
      </c>
      <c r="F2304" s="1">
        <v>44</v>
      </c>
    </row>
    <row r="2305" spans="1:6" x14ac:dyDescent="0.35">
      <c r="A2305" s="1">
        <v>47868</v>
      </c>
      <c r="B2305" s="2">
        <v>46323</v>
      </c>
      <c r="C2305" s="1" t="s">
        <v>8</v>
      </c>
      <c r="D2305" s="1">
        <v>2026</v>
      </c>
      <c r="E2305" s="1">
        <v>10</v>
      </c>
      <c r="F2305" s="1">
        <v>44</v>
      </c>
    </row>
    <row r="2306" spans="1:6" x14ac:dyDescent="0.35">
      <c r="A2306" s="1">
        <v>47867</v>
      </c>
      <c r="B2306" s="2">
        <v>46323</v>
      </c>
      <c r="C2306" s="1" t="s">
        <v>19</v>
      </c>
      <c r="D2306" s="1">
        <v>2026</v>
      </c>
      <c r="E2306" s="1">
        <v>10</v>
      </c>
      <c r="F2306" s="1">
        <v>44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6ABB8-C2CB-4114-B543-1680B5C1F286}">
  <dimension ref="A1:D831"/>
  <sheetViews>
    <sheetView showGridLines="0" workbookViewId="0">
      <selection sqref="A1:D831"/>
    </sheetView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5.453125" style="1" bestFit="1" customWidth="1"/>
    <col min="4" max="4" width="12.5429687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30</v>
      </c>
    </row>
    <row r="2" spans="1:4" hidden="1" x14ac:dyDescent="0.35">
      <c r="A2" s="1">
        <v>47915</v>
      </c>
      <c r="B2" s="2">
        <v>46323</v>
      </c>
      <c r="C2" s="1" t="s">
        <v>10</v>
      </c>
      <c r="D2" s="1">
        <f>IFERROR(VLOOKUP(RIT_FUSIONS[[#This Row],[ID]],RIT_ACUM!A:A,1,0),"NOVO")</f>
        <v>47915</v>
      </c>
    </row>
    <row r="3" spans="1:4" hidden="1" x14ac:dyDescent="0.35">
      <c r="A3" s="1">
        <v>47914</v>
      </c>
      <c r="B3" s="2">
        <v>46323</v>
      </c>
      <c r="C3" s="1" t="s">
        <v>10</v>
      </c>
      <c r="D3" s="1">
        <f>IFERROR(VLOOKUP(RIT_FUSIONS[[#This Row],[ID]],RIT_ACUM!A:A,1,0),"NOVO")</f>
        <v>47914</v>
      </c>
    </row>
    <row r="4" spans="1:4" hidden="1" x14ac:dyDescent="0.35">
      <c r="A4" s="1">
        <v>47913</v>
      </c>
      <c r="B4" s="2">
        <v>46323</v>
      </c>
      <c r="C4" s="1" t="s">
        <v>16</v>
      </c>
      <c r="D4" s="1">
        <f>IFERROR(VLOOKUP(RIT_FUSIONS[[#This Row],[ID]],RIT_ACUM!A:A,1,0),"NOVO")</f>
        <v>47913</v>
      </c>
    </row>
    <row r="5" spans="1:4" hidden="1" x14ac:dyDescent="0.35">
      <c r="A5" s="1">
        <v>47912</v>
      </c>
      <c r="B5" s="2">
        <v>46323</v>
      </c>
      <c r="C5" s="1" t="s">
        <v>16</v>
      </c>
      <c r="D5" s="1">
        <f>IFERROR(VLOOKUP(RIT_FUSIONS[[#This Row],[ID]],RIT_ACUM!A:A,1,0),"NOVO")</f>
        <v>47912</v>
      </c>
    </row>
    <row r="6" spans="1:4" hidden="1" x14ac:dyDescent="0.35">
      <c r="A6" s="1">
        <v>47909</v>
      </c>
      <c r="B6" s="2">
        <v>46323</v>
      </c>
      <c r="C6" s="1" t="s">
        <v>103</v>
      </c>
      <c r="D6" s="1">
        <f>IFERROR(VLOOKUP(RIT_FUSIONS[[#This Row],[ID]],RIT_ACUM!A:A,1,0),"NOVO")</f>
        <v>47909</v>
      </c>
    </row>
    <row r="7" spans="1:4" hidden="1" x14ac:dyDescent="0.35">
      <c r="A7" s="1">
        <v>47908</v>
      </c>
      <c r="B7" s="2">
        <v>46323</v>
      </c>
      <c r="C7" s="1" t="s">
        <v>3</v>
      </c>
      <c r="D7" s="1">
        <f>IFERROR(VLOOKUP(RIT_FUSIONS[[#This Row],[ID]],RIT_ACUM!A:A,1,0),"NOVO")</f>
        <v>47908</v>
      </c>
    </row>
    <row r="8" spans="1:4" hidden="1" x14ac:dyDescent="0.35">
      <c r="A8" s="1">
        <v>47907</v>
      </c>
      <c r="B8" s="2">
        <v>46323</v>
      </c>
      <c r="C8" s="1" t="s">
        <v>103</v>
      </c>
      <c r="D8" s="1">
        <f>IFERROR(VLOOKUP(RIT_FUSIONS[[#This Row],[ID]],RIT_ACUM!A:A,1,0),"NOVO")</f>
        <v>47907</v>
      </c>
    </row>
    <row r="9" spans="1:4" hidden="1" x14ac:dyDescent="0.35">
      <c r="A9" s="1">
        <v>47906</v>
      </c>
      <c r="B9" s="2">
        <v>46323</v>
      </c>
      <c r="C9" s="1" t="s">
        <v>103</v>
      </c>
      <c r="D9" s="1">
        <f>IFERROR(VLOOKUP(RIT_FUSIONS[[#This Row],[ID]],RIT_ACUM!A:A,1,0),"NOVO")</f>
        <v>47906</v>
      </c>
    </row>
    <row r="10" spans="1:4" hidden="1" x14ac:dyDescent="0.35">
      <c r="A10" s="1">
        <v>47904</v>
      </c>
      <c r="B10" s="2">
        <v>46323</v>
      </c>
      <c r="C10" s="1" t="s">
        <v>19</v>
      </c>
      <c r="D10" s="1">
        <f>IFERROR(VLOOKUP(RIT_FUSIONS[[#This Row],[ID]],RIT_ACUM!A:A,1,0),"NOVO")</f>
        <v>47904</v>
      </c>
    </row>
    <row r="11" spans="1:4" hidden="1" x14ac:dyDescent="0.35">
      <c r="A11" s="1">
        <v>47902</v>
      </c>
      <c r="B11" s="2">
        <v>46323</v>
      </c>
      <c r="C11" s="1" t="s">
        <v>4</v>
      </c>
      <c r="D11" s="1">
        <f>IFERROR(VLOOKUP(RIT_FUSIONS[[#This Row],[ID]],RIT_ACUM!A:A,1,0),"NOVO")</f>
        <v>47902</v>
      </c>
    </row>
    <row r="12" spans="1:4" hidden="1" x14ac:dyDescent="0.35">
      <c r="A12" s="1">
        <v>47901</v>
      </c>
      <c r="B12" s="2">
        <v>46323</v>
      </c>
      <c r="C12" s="1" t="s">
        <v>4</v>
      </c>
      <c r="D12" s="1">
        <f>IFERROR(VLOOKUP(RIT_FUSIONS[[#This Row],[ID]],RIT_ACUM!A:A,1,0),"NOVO")</f>
        <v>47901</v>
      </c>
    </row>
    <row r="13" spans="1:4" hidden="1" x14ac:dyDescent="0.35">
      <c r="A13" s="1">
        <v>47900</v>
      </c>
      <c r="B13" s="2">
        <v>46323</v>
      </c>
      <c r="C13" s="1" t="s">
        <v>4</v>
      </c>
      <c r="D13" s="1">
        <f>IFERROR(VLOOKUP(RIT_FUSIONS[[#This Row],[ID]],RIT_ACUM!A:A,1,0),"NOVO")</f>
        <v>47900</v>
      </c>
    </row>
    <row r="14" spans="1:4" hidden="1" x14ac:dyDescent="0.35">
      <c r="A14" s="1">
        <v>47899</v>
      </c>
      <c r="B14" s="2">
        <v>46323</v>
      </c>
      <c r="C14" s="1" t="s">
        <v>9</v>
      </c>
      <c r="D14" s="1">
        <f>IFERROR(VLOOKUP(RIT_FUSIONS[[#This Row],[ID]],RIT_ACUM!A:A,1,0),"NOVO")</f>
        <v>47899</v>
      </c>
    </row>
    <row r="15" spans="1:4" hidden="1" x14ac:dyDescent="0.35">
      <c r="A15" s="1">
        <v>47897</v>
      </c>
      <c r="B15" s="2">
        <v>46323</v>
      </c>
      <c r="C15" s="1" t="s">
        <v>9</v>
      </c>
      <c r="D15" s="1">
        <f>IFERROR(VLOOKUP(RIT_FUSIONS[[#This Row],[ID]],RIT_ACUM!A:A,1,0),"NOVO")</f>
        <v>47897</v>
      </c>
    </row>
    <row r="16" spans="1:4" hidden="1" x14ac:dyDescent="0.35">
      <c r="A16" s="1">
        <v>47896</v>
      </c>
      <c r="B16" s="2">
        <v>46323</v>
      </c>
      <c r="C16" s="1" t="s">
        <v>1029</v>
      </c>
      <c r="D16" s="1">
        <f>IFERROR(VLOOKUP(RIT_FUSIONS[[#This Row],[ID]],RIT_ACUM!A:A,1,0),"NOVO")</f>
        <v>47896</v>
      </c>
    </row>
    <row r="17" spans="1:4" hidden="1" x14ac:dyDescent="0.35">
      <c r="A17" s="1">
        <v>47889</v>
      </c>
      <c r="B17" s="2">
        <v>46323</v>
      </c>
      <c r="C17" s="1" t="s">
        <v>7</v>
      </c>
      <c r="D17" s="1">
        <f>IFERROR(VLOOKUP(RIT_FUSIONS[[#This Row],[ID]],RIT_ACUM!A:A,1,0),"NOVO")</f>
        <v>47889</v>
      </c>
    </row>
    <row r="18" spans="1:4" hidden="1" x14ac:dyDescent="0.35">
      <c r="A18" s="1">
        <v>47888</v>
      </c>
      <c r="B18" s="2">
        <v>46323</v>
      </c>
      <c r="C18" s="1" t="s">
        <v>7</v>
      </c>
      <c r="D18" s="1">
        <f>IFERROR(VLOOKUP(RIT_FUSIONS[[#This Row],[ID]],RIT_ACUM!A:A,1,0),"NOVO")</f>
        <v>47888</v>
      </c>
    </row>
    <row r="19" spans="1:4" hidden="1" x14ac:dyDescent="0.35">
      <c r="A19" s="1">
        <v>47885</v>
      </c>
      <c r="B19" s="2">
        <v>46323</v>
      </c>
      <c r="C19" s="1" t="s">
        <v>1029</v>
      </c>
      <c r="D19" s="1">
        <f>IFERROR(VLOOKUP(RIT_FUSIONS[[#This Row],[ID]],RIT_ACUM!A:A,1,0),"NOVO")</f>
        <v>47885</v>
      </c>
    </row>
    <row r="20" spans="1:4" hidden="1" x14ac:dyDescent="0.35">
      <c r="A20" s="1">
        <v>47883</v>
      </c>
      <c r="B20" s="2">
        <v>46323</v>
      </c>
      <c r="C20" s="1" t="s">
        <v>3</v>
      </c>
      <c r="D20" s="1">
        <f>IFERROR(VLOOKUP(RIT_FUSIONS[[#This Row],[ID]],RIT_ACUM!A:A,1,0),"NOVO")</f>
        <v>47883</v>
      </c>
    </row>
    <row r="21" spans="1:4" hidden="1" x14ac:dyDescent="0.35">
      <c r="A21" s="1">
        <v>47882</v>
      </c>
      <c r="B21" s="2">
        <v>46323</v>
      </c>
      <c r="C21" s="1" t="s">
        <v>19</v>
      </c>
      <c r="D21" s="1">
        <f>IFERROR(VLOOKUP(RIT_FUSIONS[[#This Row],[ID]],RIT_ACUM!A:A,1,0),"NOVO")</f>
        <v>47882</v>
      </c>
    </row>
    <row r="22" spans="1:4" hidden="1" x14ac:dyDescent="0.35">
      <c r="A22" s="1">
        <v>47881</v>
      </c>
      <c r="B22" s="2">
        <v>46323</v>
      </c>
      <c r="C22" s="1" t="s">
        <v>6</v>
      </c>
      <c r="D22" s="1">
        <f>IFERROR(VLOOKUP(RIT_FUSIONS[[#This Row],[ID]],RIT_ACUM!A:A,1,0),"NOVO")</f>
        <v>47881</v>
      </c>
    </row>
    <row r="23" spans="1:4" hidden="1" x14ac:dyDescent="0.35">
      <c r="A23" s="1">
        <v>47880</v>
      </c>
      <c r="B23" s="2">
        <v>46323</v>
      </c>
      <c r="C23" s="1" t="s">
        <v>6</v>
      </c>
      <c r="D23" s="1">
        <f>IFERROR(VLOOKUP(RIT_FUSIONS[[#This Row],[ID]],RIT_ACUM!A:A,1,0),"NOVO")</f>
        <v>47880</v>
      </c>
    </row>
    <row r="24" spans="1:4" hidden="1" x14ac:dyDescent="0.35">
      <c r="A24" s="1">
        <v>47879</v>
      </c>
      <c r="B24" s="2">
        <v>46323</v>
      </c>
      <c r="C24" s="1" t="s">
        <v>6</v>
      </c>
      <c r="D24" s="1">
        <f>IFERROR(VLOOKUP(RIT_FUSIONS[[#This Row],[ID]],RIT_ACUM!A:A,1,0),"NOVO")</f>
        <v>47879</v>
      </c>
    </row>
    <row r="25" spans="1:4" hidden="1" x14ac:dyDescent="0.35">
      <c r="A25" s="1">
        <v>47878</v>
      </c>
      <c r="B25" s="2">
        <v>46323</v>
      </c>
      <c r="C25" s="1" t="s">
        <v>19</v>
      </c>
      <c r="D25" s="1">
        <f>IFERROR(VLOOKUP(RIT_FUSIONS[[#This Row],[ID]],RIT_ACUM!A:A,1,0),"NOVO")</f>
        <v>47878</v>
      </c>
    </row>
    <row r="26" spans="1:4" hidden="1" x14ac:dyDescent="0.35">
      <c r="A26" s="1">
        <v>47876</v>
      </c>
      <c r="B26" s="2">
        <v>46323</v>
      </c>
      <c r="C26" s="1" t="s">
        <v>3</v>
      </c>
      <c r="D26" s="1">
        <f>IFERROR(VLOOKUP(RIT_FUSIONS[[#This Row],[ID]],RIT_ACUM!A:A,1,0),"NOVO")</f>
        <v>47876</v>
      </c>
    </row>
    <row r="27" spans="1:4" hidden="1" x14ac:dyDescent="0.35">
      <c r="A27" s="1">
        <v>47875</v>
      </c>
      <c r="B27" s="2">
        <v>46322</v>
      </c>
      <c r="C27" s="1" t="s">
        <v>21</v>
      </c>
      <c r="D27" s="1">
        <f>IFERROR(VLOOKUP(RIT_FUSIONS[[#This Row],[ID]],RIT_ACUM!A:A,1,0),"NOVO")</f>
        <v>47875</v>
      </c>
    </row>
    <row r="28" spans="1:4" hidden="1" x14ac:dyDescent="0.35">
      <c r="A28" s="1">
        <v>47874</v>
      </c>
      <c r="B28" s="2">
        <v>46322</v>
      </c>
      <c r="C28" s="1" t="s">
        <v>21</v>
      </c>
      <c r="D28" s="1">
        <f>IFERROR(VLOOKUP(RIT_FUSIONS[[#This Row],[ID]],RIT_ACUM!A:A,1,0),"NOVO")</f>
        <v>47874</v>
      </c>
    </row>
    <row r="29" spans="1:4" hidden="1" x14ac:dyDescent="0.35">
      <c r="A29" s="1">
        <v>47873</v>
      </c>
      <c r="B29" s="2">
        <v>46322</v>
      </c>
      <c r="C29" s="1" t="s">
        <v>21</v>
      </c>
      <c r="D29" s="1">
        <f>IFERROR(VLOOKUP(RIT_FUSIONS[[#This Row],[ID]],RIT_ACUM!A:A,1,0),"NOVO")</f>
        <v>47873</v>
      </c>
    </row>
    <row r="30" spans="1:4" hidden="1" x14ac:dyDescent="0.35">
      <c r="A30" s="1">
        <v>47872</v>
      </c>
      <c r="B30" s="2">
        <v>46322</v>
      </c>
      <c r="C30" s="1" t="s">
        <v>21</v>
      </c>
      <c r="D30" s="1">
        <f>IFERROR(VLOOKUP(RIT_FUSIONS[[#This Row],[ID]],RIT_ACUM!A:A,1,0),"NOVO")</f>
        <v>47872</v>
      </c>
    </row>
    <row r="31" spans="1:4" hidden="1" x14ac:dyDescent="0.35">
      <c r="A31" s="1">
        <v>47871</v>
      </c>
      <c r="B31" s="2">
        <v>46323</v>
      </c>
      <c r="C31" s="1" t="s">
        <v>19</v>
      </c>
      <c r="D31" s="1">
        <f>IFERROR(VLOOKUP(RIT_FUSIONS[[#This Row],[ID]],RIT_ACUM!A:A,1,0),"NOVO")</f>
        <v>47871</v>
      </c>
    </row>
    <row r="32" spans="1:4" hidden="1" x14ac:dyDescent="0.35">
      <c r="A32" s="1">
        <v>47870</v>
      </c>
      <c r="B32" s="2">
        <v>46323</v>
      </c>
      <c r="C32" s="1" t="s">
        <v>19</v>
      </c>
      <c r="D32" s="1">
        <f>IFERROR(VLOOKUP(RIT_FUSIONS[[#This Row],[ID]],RIT_ACUM!A:A,1,0),"NOVO")</f>
        <v>47870</v>
      </c>
    </row>
    <row r="33" spans="1:4" hidden="1" x14ac:dyDescent="0.35">
      <c r="A33" s="1">
        <v>47869</v>
      </c>
      <c r="B33" s="2">
        <v>46323</v>
      </c>
      <c r="C33" s="1" t="s">
        <v>8</v>
      </c>
      <c r="D33" s="1">
        <f>IFERROR(VLOOKUP(RIT_FUSIONS[[#This Row],[ID]],RIT_ACUM!A:A,1,0),"NOVO")</f>
        <v>47869</v>
      </c>
    </row>
    <row r="34" spans="1:4" hidden="1" x14ac:dyDescent="0.35">
      <c r="A34" s="1">
        <v>47868</v>
      </c>
      <c r="B34" s="2">
        <v>46323</v>
      </c>
      <c r="C34" s="1" t="s">
        <v>8</v>
      </c>
      <c r="D34" s="1">
        <f>IFERROR(VLOOKUP(RIT_FUSIONS[[#This Row],[ID]],RIT_ACUM!A:A,1,0),"NOVO")</f>
        <v>47868</v>
      </c>
    </row>
    <row r="35" spans="1:4" hidden="1" x14ac:dyDescent="0.35">
      <c r="A35" s="1">
        <v>47867</v>
      </c>
      <c r="B35" s="2">
        <v>46323</v>
      </c>
      <c r="C35" s="1" t="s">
        <v>19</v>
      </c>
      <c r="D35" s="1">
        <f>IFERROR(VLOOKUP(RIT_FUSIONS[[#This Row],[ID]],RIT_ACUM!A:A,1,0),"NOVO")</f>
        <v>47867</v>
      </c>
    </row>
    <row r="36" spans="1:4" hidden="1" x14ac:dyDescent="0.35">
      <c r="A36" s="1">
        <v>47858</v>
      </c>
      <c r="B36" s="2">
        <v>46322</v>
      </c>
      <c r="C36" s="1" t="s">
        <v>10</v>
      </c>
      <c r="D36" s="1">
        <f>IFERROR(VLOOKUP(RIT_FUSIONS[[#This Row],[ID]],RIT_ACUM!A:A,1,0),"NOVO")</f>
        <v>47858</v>
      </c>
    </row>
    <row r="37" spans="1:4" hidden="1" x14ac:dyDescent="0.35">
      <c r="A37" s="1">
        <v>47855</v>
      </c>
      <c r="B37" s="2">
        <v>46322</v>
      </c>
      <c r="C37" s="1" t="s">
        <v>10</v>
      </c>
      <c r="D37" s="1">
        <f>IFERROR(VLOOKUP(RIT_FUSIONS[[#This Row],[ID]],RIT_ACUM!A:A,1,0),"NOVO")</f>
        <v>47855</v>
      </c>
    </row>
    <row r="38" spans="1:4" hidden="1" x14ac:dyDescent="0.35">
      <c r="A38" s="1">
        <v>47854</v>
      </c>
      <c r="B38" s="2">
        <v>46322</v>
      </c>
      <c r="C38" s="1" t="s">
        <v>16</v>
      </c>
      <c r="D38" s="1">
        <f>IFERROR(VLOOKUP(RIT_FUSIONS[[#This Row],[ID]],RIT_ACUM!A:A,1,0),"NOVO")</f>
        <v>47854</v>
      </c>
    </row>
    <row r="39" spans="1:4" hidden="1" x14ac:dyDescent="0.35">
      <c r="A39" s="1">
        <v>47853</v>
      </c>
      <c r="B39" s="2">
        <v>46322</v>
      </c>
      <c r="C39" s="1" t="s">
        <v>16</v>
      </c>
      <c r="D39" s="1">
        <f>IFERROR(VLOOKUP(RIT_FUSIONS[[#This Row],[ID]],RIT_ACUM!A:A,1,0),"NOVO")</f>
        <v>47853</v>
      </c>
    </row>
    <row r="40" spans="1:4" hidden="1" x14ac:dyDescent="0.35">
      <c r="A40" s="1">
        <v>47845</v>
      </c>
      <c r="B40" s="2">
        <v>46322</v>
      </c>
      <c r="C40" s="1" t="s">
        <v>3</v>
      </c>
      <c r="D40" s="1">
        <f>IFERROR(VLOOKUP(RIT_FUSIONS[[#This Row],[ID]],RIT_ACUM!A:A,1,0),"NOVO")</f>
        <v>47845</v>
      </c>
    </row>
    <row r="41" spans="1:4" hidden="1" x14ac:dyDescent="0.35">
      <c r="A41" s="1">
        <v>47844</v>
      </c>
      <c r="B41" s="2">
        <v>46322</v>
      </c>
      <c r="C41" s="1" t="s">
        <v>3</v>
      </c>
      <c r="D41" s="1">
        <f>IFERROR(VLOOKUP(RIT_FUSIONS[[#This Row],[ID]],RIT_ACUM!A:A,1,0),"NOVO")</f>
        <v>47844</v>
      </c>
    </row>
    <row r="42" spans="1:4" hidden="1" x14ac:dyDescent="0.35">
      <c r="A42" s="1">
        <v>47843</v>
      </c>
      <c r="B42" s="2">
        <v>46322</v>
      </c>
      <c r="C42" s="1" t="s">
        <v>3</v>
      </c>
      <c r="D42" s="1">
        <f>IFERROR(VLOOKUP(RIT_FUSIONS[[#This Row],[ID]],RIT_ACUM!A:A,1,0),"NOVO")</f>
        <v>47843</v>
      </c>
    </row>
    <row r="43" spans="1:4" hidden="1" x14ac:dyDescent="0.35">
      <c r="A43" s="1">
        <v>47841</v>
      </c>
      <c r="B43" s="2">
        <v>46322</v>
      </c>
      <c r="C43" s="1" t="s">
        <v>7</v>
      </c>
      <c r="D43" s="1">
        <f>IFERROR(VLOOKUP(RIT_FUSIONS[[#This Row],[ID]],RIT_ACUM!A:A,1,0),"NOVO")</f>
        <v>47841</v>
      </c>
    </row>
    <row r="44" spans="1:4" hidden="1" x14ac:dyDescent="0.35">
      <c r="A44" s="1">
        <v>47840</v>
      </c>
      <c r="B44" s="2">
        <v>46322</v>
      </c>
      <c r="C44" s="1" t="s">
        <v>7</v>
      </c>
      <c r="D44" s="1">
        <f>IFERROR(VLOOKUP(RIT_FUSIONS[[#This Row],[ID]],RIT_ACUM!A:A,1,0),"NOVO")</f>
        <v>47840</v>
      </c>
    </row>
    <row r="45" spans="1:4" hidden="1" x14ac:dyDescent="0.35">
      <c r="A45" s="1">
        <v>47839</v>
      </c>
      <c r="B45" s="2">
        <v>46322</v>
      </c>
      <c r="C45" s="1" t="s">
        <v>1029</v>
      </c>
      <c r="D45" s="1">
        <f>IFERROR(VLOOKUP(RIT_FUSIONS[[#This Row],[ID]],RIT_ACUM!A:A,1,0),"NOVO")</f>
        <v>47839</v>
      </c>
    </row>
    <row r="46" spans="1:4" hidden="1" x14ac:dyDescent="0.35">
      <c r="A46" s="1">
        <v>47835</v>
      </c>
      <c r="B46" s="2">
        <v>46322</v>
      </c>
      <c r="C46" s="1" t="s">
        <v>17</v>
      </c>
      <c r="D46" s="1">
        <f>IFERROR(VLOOKUP(RIT_FUSIONS[[#This Row],[ID]],RIT_ACUM!A:A,1,0),"NOVO")</f>
        <v>47835</v>
      </c>
    </row>
    <row r="47" spans="1:4" hidden="1" x14ac:dyDescent="0.35">
      <c r="A47" s="1">
        <v>47834</v>
      </c>
      <c r="B47" s="2">
        <v>46322</v>
      </c>
      <c r="C47" s="1" t="s">
        <v>19</v>
      </c>
      <c r="D47" s="1">
        <f>IFERROR(VLOOKUP(RIT_FUSIONS[[#This Row],[ID]],RIT_ACUM!A:A,1,0),"NOVO")</f>
        <v>47834</v>
      </c>
    </row>
    <row r="48" spans="1:4" hidden="1" x14ac:dyDescent="0.35">
      <c r="A48" s="1">
        <v>47833</v>
      </c>
      <c r="B48" s="2">
        <v>46322</v>
      </c>
      <c r="C48" s="1" t="s">
        <v>17</v>
      </c>
      <c r="D48" s="1">
        <f>IFERROR(VLOOKUP(RIT_FUSIONS[[#This Row],[ID]],RIT_ACUM!A:A,1,0),"NOVO")</f>
        <v>47833</v>
      </c>
    </row>
    <row r="49" spans="1:4" hidden="1" x14ac:dyDescent="0.35">
      <c r="A49" s="1">
        <v>47832</v>
      </c>
      <c r="B49" s="2">
        <v>46322</v>
      </c>
      <c r="C49" s="1" t="s">
        <v>6</v>
      </c>
      <c r="D49" s="1">
        <f>IFERROR(VLOOKUP(RIT_FUSIONS[[#This Row],[ID]],RIT_ACUM!A:A,1,0),"NOVO")</f>
        <v>47832</v>
      </c>
    </row>
    <row r="50" spans="1:4" hidden="1" x14ac:dyDescent="0.35">
      <c r="A50" s="1">
        <v>47831</v>
      </c>
      <c r="B50" s="2">
        <v>46322</v>
      </c>
      <c r="C50" s="1" t="s">
        <v>6</v>
      </c>
      <c r="D50" s="1">
        <f>IFERROR(VLOOKUP(RIT_FUSIONS[[#This Row],[ID]],RIT_ACUM!A:A,1,0),"NOVO")</f>
        <v>47831</v>
      </c>
    </row>
    <row r="51" spans="1:4" hidden="1" x14ac:dyDescent="0.35">
      <c r="A51" s="1">
        <v>47829</v>
      </c>
      <c r="B51" s="2">
        <v>46321</v>
      </c>
      <c r="C51" s="1" t="s">
        <v>3</v>
      </c>
      <c r="D51" s="1">
        <f>IFERROR(VLOOKUP(RIT_FUSIONS[[#This Row],[ID]],RIT_ACUM!A:A,1,0),"NOVO")</f>
        <v>47829</v>
      </c>
    </row>
    <row r="52" spans="1:4" hidden="1" x14ac:dyDescent="0.35">
      <c r="A52" s="1">
        <v>47828</v>
      </c>
      <c r="B52" s="2">
        <v>46321</v>
      </c>
      <c r="C52" s="1" t="s">
        <v>3</v>
      </c>
      <c r="D52" s="1">
        <f>IFERROR(VLOOKUP(RIT_FUSIONS[[#This Row],[ID]],RIT_ACUM!A:A,1,0),"NOVO")</f>
        <v>47828</v>
      </c>
    </row>
    <row r="53" spans="1:4" hidden="1" x14ac:dyDescent="0.35">
      <c r="A53" s="1">
        <v>47827</v>
      </c>
      <c r="B53" s="2">
        <v>46322</v>
      </c>
      <c r="C53" s="1" t="s">
        <v>19</v>
      </c>
      <c r="D53" s="1">
        <f>IFERROR(VLOOKUP(RIT_FUSIONS[[#This Row],[ID]],RIT_ACUM!A:A,1,0),"NOVO")</f>
        <v>47827</v>
      </c>
    </row>
    <row r="54" spans="1:4" hidden="1" x14ac:dyDescent="0.35">
      <c r="A54" s="1">
        <v>47826</v>
      </c>
      <c r="B54" s="2">
        <v>46322</v>
      </c>
      <c r="C54" s="1" t="s">
        <v>19</v>
      </c>
      <c r="D54" s="1">
        <f>IFERROR(VLOOKUP(RIT_FUSIONS[[#This Row],[ID]],RIT_ACUM!A:A,1,0),"NOVO")</f>
        <v>47826</v>
      </c>
    </row>
    <row r="55" spans="1:4" hidden="1" x14ac:dyDescent="0.35">
      <c r="A55" s="1">
        <v>47824</v>
      </c>
      <c r="B55" s="2">
        <v>46322</v>
      </c>
      <c r="C55" s="1" t="s">
        <v>8</v>
      </c>
      <c r="D55" s="1">
        <f>IFERROR(VLOOKUP(RIT_FUSIONS[[#This Row],[ID]],RIT_ACUM!A:A,1,0),"NOVO")</f>
        <v>47824</v>
      </c>
    </row>
    <row r="56" spans="1:4" hidden="1" x14ac:dyDescent="0.35">
      <c r="A56" s="1">
        <v>47821</v>
      </c>
      <c r="B56" s="2">
        <v>46322</v>
      </c>
      <c r="C56" s="1" t="s">
        <v>8</v>
      </c>
      <c r="D56" s="1">
        <f>IFERROR(VLOOKUP(RIT_FUSIONS[[#This Row],[ID]],RIT_ACUM!A:A,1,0),"NOVO")</f>
        <v>47821</v>
      </c>
    </row>
    <row r="57" spans="1:4" hidden="1" x14ac:dyDescent="0.35">
      <c r="A57" s="1">
        <v>47818</v>
      </c>
      <c r="B57" s="2">
        <v>46321</v>
      </c>
      <c r="C57" s="1" t="s">
        <v>10</v>
      </c>
      <c r="D57" s="1">
        <f>IFERROR(VLOOKUP(RIT_FUSIONS[[#This Row],[ID]],RIT_ACUM!A:A,1,0),"NOVO")</f>
        <v>47818</v>
      </c>
    </row>
    <row r="58" spans="1:4" hidden="1" x14ac:dyDescent="0.35">
      <c r="A58" s="1">
        <v>47817</v>
      </c>
      <c r="B58" s="2">
        <v>46321</v>
      </c>
      <c r="C58" s="1" t="s">
        <v>10</v>
      </c>
      <c r="D58" s="1">
        <f>IFERROR(VLOOKUP(RIT_FUSIONS[[#This Row],[ID]],RIT_ACUM!A:A,1,0),"NOVO")</f>
        <v>47817</v>
      </c>
    </row>
    <row r="59" spans="1:4" hidden="1" x14ac:dyDescent="0.35">
      <c r="A59" s="1">
        <v>47816</v>
      </c>
      <c r="B59" s="2">
        <v>46321</v>
      </c>
      <c r="C59" s="1" t="s">
        <v>16</v>
      </c>
      <c r="D59" s="1">
        <f>IFERROR(VLOOKUP(RIT_FUSIONS[[#This Row],[ID]],RIT_ACUM!A:A,1,0),"NOVO")</f>
        <v>47816</v>
      </c>
    </row>
    <row r="60" spans="1:4" hidden="1" x14ac:dyDescent="0.35">
      <c r="A60" s="1">
        <v>47815</v>
      </c>
      <c r="B60" s="2">
        <v>46321</v>
      </c>
      <c r="C60" s="1" t="s">
        <v>16</v>
      </c>
      <c r="D60" s="1">
        <f>IFERROR(VLOOKUP(RIT_FUSIONS[[#This Row],[ID]],RIT_ACUM!A:A,1,0),"NOVO")</f>
        <v>47815</v>
      </c>
    </row>
    <row r="61" spans="1:4" hidden="1" x14ac:dyDescent="0.35">
      <c r="A61" s="1">
        <v>47814</v>
      </c>
      <c r="B61" s="2">
        <v>46321</v>
      </c>
      <c r="C61" s="1" t="s">
        <v>16</v>
      </c>
      <c r="D61" s="1">
        <f>IFERROR(VLOOKUP(RIT_FUSIONS[[#This Row],[ID]],RIT_ACUM!A:A,1,0),"NOVO")</f>
        <v>47814</v>
      </c>
    </row>
    <row r="62" spans="1:4" hidden="1" x14ac:dyDescent="0.35">
      <c r="A62" s="1">
        <v>47808</v>
      </c>
      <c r="B62" s="2">
        <v>46321</v>
      </c>
      <c r="C62" s="1" t="s">
        <v>103</v>
      </c>
      <c r="D62" s="1">
        <f>IFERROR(VLOOKUP(RIT_FUSIONS[[#This Row],[ID]],RIT_ACUM!A:A,1,0),"NOVO")</f>
        <v>47808</v>
      </c>
    </row>
    <row r="63" spans="1:4" hidden="1" x14ac:dyDescent="0.35">
      <c r="A63" s="1">
        <v>47807</v>
      </c>
      <c r="B63" s="2">
        <v>46321</v>
      </c>
      <c r="C63" s="1" t="s">
        <v>103</v>
      </c>
      <c r="D63" s="1">
        <f>IFERROR(VLOOKUP(RIT_FUSIONS[[#This Row],[ID]],RIT_ACUM!A:A,1,0),"NOVO")</f>
        <v>47807</v>
      </c>
    </row>
    <row r="64" spans="1:4" hidden="1" x14ac:dyDescent="0.35">
      <c r="A64" s="1">
        <v>47806</v>
      </c>
      <c r="B64" s="2">
        <v>46321</v>
      </c>
      <c r="C64" s="1" t="s">
        <v>103</v>
      </c>
      <c r="D64" s="1">
        <f>IFERROR(VLOOKUP(RIT_FUSIONS[[#This Row],[ID]],RIT_ACUM!A:A,1,0),"NOVO")</f>
        <v>47806</v>
      </c>
    </row>
    <row r="65" spans="1:4" hidden="1" x14ac:dyDescent="0.35">
      <c r="A65" s="1">
        <v>47805</v>
      </c>
      <c r="B65" s="2">
        <v>46321</v>
      </c>
      <c r="C65" s="1" t="s">
        <v>1029</v>
      </c>
      <c r="D65" s="1">
        <f>IFERROR(VLOOKUP(RIT_FUSIONS[[#This Row],[ID]],RIT_ACUM!A:A,1,0),"NOVO")</f>
        <v>47805</v>
      </c>
    </row>
    <row r="66" spans="1:4" hidden="1" x14ac:dyDescent="0.35">
      <c r="A66" s="1">
        <v>47804</v>
      </c>
      <c r="B66" s="2">
        <v>46321</v>
      </c>
      <c r="C66" s="1" t="s">
        <v>4</v>
      </c>
      <c r="D66" s="1">
        <f>IFERROR(VLOOKUP(RIT_FUSIONS[[#This Row],[ID]],RIT_ACUM!A:A,1,0),"NOVO")</f>
        <v>47804</v>
      </c>
    </row>
    <row r="67" spans="1:4" hidden="1" x14ac:dyDescent="0.35">
      <c r="A67" s="1">
        <v>47803</v>
      </c>
      <c r="B67" s="2">
        <v>46321</v>
      </c>
      <c r="C67" s="1" t="s">
        <v>4</v>
      </c>
      <c r="D67" s="1">
        <f>IFERROR(VLOOKUP(RIT_FUSIONS[[#This Row],[ID]],RIT_ACUM!A:A,1,0),"NOVO")</f>
        <v>47803</v>
      </c>
    </row>
    <row r="68" spans="1:4" hidden="1" x14ac:dyDescent="0.35">
      <c r="A68" s="1">
        <v>47802</v>
      </c>
      <c r="B68" s="2">
        <v>46321</v>
      </c>
      <c r="C68" s="1" t="s">
        <v>4</v>
      </c>
      <c r="D68" s="1">
        <f>IFERROR(VLOOKUP(RIT_FUSIONS[[#This Row],[ID]],RIT_ACUM!A:A,1,0),"NOVO")</f>
        <v>47802</v>
      </c>
    </row>
    <row r="69" spans="1:4" hidden="1" x14ac:dyDescent="0.35">
      <c r="A69" s="1">
        <v>47801</v>
      </c>
      <c r="B69" s="2">
        <v>46321</v>
      </c>
      <c r="C69" s="1" t="s">
        <v>19</v>
      </c>
      <c r="D69" s="1">
        <f>IFERROR(VLOOKUP(RIT_FUSIONS[[#This Row],[ID]],RIT_ACUM!A:A,1,0),"NOVO")</f>
        <v>47801</v>
      </c>
    </row>
    <row r="70" spans="1:4" hidden="1" x14ac:dyDescent="0.35">
      <c r="A70" s="1">
        <v>47800</v>
      </c>
      <c r="B70" s="2">
        <v>46321</v>
      </c>
      <c r="C70" s="1" t="s">
        <v>19</v>
      </c>
      <c r="D70" s="1">
        <f>IFERROR(VLOOKUP(RIT_FUSIONS[[#This Row],[ID]],RIT_ACUM!A:A,1,0),"NOVO")</f>
        <v>47800</v>
      </c>
    </row>
    <row r="71" spans="1:4" hidden="1" x14ac:dyDescent="0.35">
      <c r="A71" s="1">
        <v>47799</v>
      </c>
      <c r="B71" s="2">
        <v>46321</v>
      </c>
      <c r="C71" s="1" t="s">
        <v>19</v>
      </c>
      <c r="D71" s="1">
        <f>IFERROR(VLOOKUP(RIT_FUSIONS[[#This Row],[ID]],RIT_ACUM!A:A,1,0),"NOVO")</f>
        <v>47799</v>
      </c>
    </row>
    <row r="72" spans="1:4" hidden="1" x14ac:dyDescent="0.35">
      <c r="A72" s="1">
        <v>47798</v>
      </c>
      <c r="B72" s="2">
        <v>46321</v>
      </c>
      <c r="C72" s="1" t="s">
        <v>19</v>
      </c>
      <c r="D72" s="1">
        <f>IFERROR(VLOOKUP(RIT_FUSIONS[[#This Row],[ID]],RIT_ACUM!A:A,1,0),"NOVO")</f>
        <v>47798</v>
      </c>
    </row>
    <row r="73" spans="1:4" hidden="1" x14ac:dyDescent="0.35">
      <c r="A73" s="1">
        <v>47796</v>
      </c>
      <c r="B73" s="2">
        <v>46321</v>
      </c>
      <c r="C73" s="1" t="s">
        <v>17</v>
      </c>
      <c r="D73" s="1">
        <f>IFERROR(VLOOKUP(RIT_FUSIONS[[#This Row],[ID]],RIT_ACUM!A:A,1,0),"NOVO")</f>
        <v>47796</v>
      </c>
    </row>
    <row r="74" spans="1:4" hidden="1" x14ac:dyDescent="0.35">
      <c r="A74" s="1">
        <v>47794</v>
      </c>
      <c r="B74" s="2">
        <v>46321</v>
      </c>
      <c r="C74" s="1" t="s">
        <v>17</v>
      </c>
      <c r="D74" s="1">
        <f>IFERROR(VLOOKUP(RIT_FUSIONS[[#This Row],[ID]],RIT_ACUM!A:A,1,0),"NOVO")</f>
        <v>47794</v>
      </c>
    </row>
    <row r="75" spans="1:4" hidden="1" x14ac:dyDescent="0.35">
      <c r="A75" s="1">
        <v>47793</v>
      </c>
      <c r="B75" s="2">
        <v>46321</v>
      </c>
      <c r="C75" s="1" t="s">
        <v>17</v>
      </c>
      <c r="D75" s="1">
        <f>IFERROR(VLOOKUP(RIT_FUSIONS[[#This Row],[ID]],RIT_ACUM!A:A,1,0),"NOVO")</f>
        <v>47793</v>
      </c>
    </row>
    <row r="76" spans="1:4" hidden="1" x14ac:dyDescent="0.35">
      <c r="A76" s="1">
        <v>47792</v>
      </c>
      <c r="B76" s="2">
        <v>46321</v>
      </c>
      <c r="C76" s="1" t="s">
        <v>6</v>
      </c>
      <c r="D76" s="1">
        <f>IFERROR(VLOOKUP(RIT_FUSIONS[[#This Row],[ID]],RIT_ACUM!A:A,1,0),"NOVO")</f>
        <v>47792</v>
      </c>
    </row>
    <row r="77" spans="1:4" hidden="1" x14ac:dyDescent="0.35">
      <c r="A77" s="1">
        <v>47791</v>
      </c>
      <c r="B77" s="2">
        <v>46321</v>
      </c>
      <c r="C77" s="1" t="s">
        <v>6</v>
      </c>
      <c r="D77" s="1">
        <f>IFERROR(VLOOKUP(RIT_FUSIONS[[#This Row],[ID]],RIT_ACUM!A:A,1,0),"NOVO")</f>
        <v>47791</v>
      </c>
    </row>
    <row r="78" spans="1:4" hidden="1" x14ac:dyDescent="0.35">
      <c r="A78" s="1">
        <v>47789</v>
      </c>
      <c r="B78" s="2">
        <v>46321</v>
      </c>
      <c r="C78" s="1" t="s">
        <v>6</v>
      </c>
      <c r="D78" s="1">
        <f>IFERROR(VLOOKUP(RIT_FUSIONS[[#This Row],[ID]],RIT_ACUM!A:A,1,0),"NOVO")</f>
        <v>47789</v>
      </c>
    </row>
    <row r="79" spans="1:4" hidden="1" x14ac:dyDescent="0.35">
      <c r="A79" s="1">
        <v>47787</v>
      </c>
      <c r="B79" s="2">
        <v>46321</v>
      </c>
      <c r="C79" s="1" t="s">
        <v>6</v>
      </c>
      <c r="D79" s="1">
        <f>IFERROR(VLOOKUP(RIT_FUSIONS[[#This Row],[ID]],RIT_ACUM!A:A,1,0),"NOVO")</f>
        <v>47787</v>
      </c>
    </row>
    <row r="80" spans="1:4" hidden="1" x14ac:dyDescent="0.35">
      <c r="A80" s="1">
        <v>47784</v>
      </c>
      <c r="B80" s="2">
        <v>46321</v>
      </c>
      <c r="C80" s="1" t="s">
        <v>7</v>
      </c>
      <c r="D80" s="1">
        <f>IFERROR(VLOOKUP(RIT_FUSIONS[[#This Row],[ID]],RIT_ACUM!A:A,1,0),"NOVO")</f>
        <v>47784</v>
      </c>
    </row>
    <row r="81" spans="1:4" hidden="1" x14ac:dyDescent="0.35">
      <c r="A81" s="1">
        <v>47783</v>
      </c>
      <c r="B81" s="2">
        <v>46321</v>
      </c>
      <c r="C81" s="1" t="s">
        <v>7</v>
      </c>
      <c r="D81" s="1">
        <f>IFERROR(VLOOKUP(RIT_FUSIONS[[#This Row],[ID]],RIT_ACUM!A:A,1,0),"NOVO")</f>
        <v>47783</v>
      </c>
    </row>
    <row r="82" spans="1:4" hidden="1" x14ac:dyDescent="0.35">
      <c r="A82" s="1">
        <v>47771</v>
      </c>
      <c r="B82" s="2">
        <v>46321</v>
      </c>
      <c r="C82" s="1" t="s">
        <v>8</v>
      </c>
      <c r="D82" s="1">
        <f>IFERROR(VLOOKUP(RIT_FUSIONS[[#This Row],[ID]],RIT_ACUM!A:A,1,0),"NOVO")</f>
        <v>47771</v>
      </c>
    </row>
    <row r="83" spans="1:4" hidden="1" x14ac:dyDescent="0.35">
      <c r="A83" s="1">
        <v>47770</v>
      </c>
      <c r="B83" s="2">
        <v>46321</v>
      </c>
      <c r="C83" s="1" t="s">
        <v>8</v>
      </c>
      <c r="D83" s="1">
        <f>IFERROR(VLOOKUP(RIT_FUSIONS[[#This Row],[ID]],RIT_ACUM!A:A,1,0),"NOVO")</f>
        <v>47770</v>
      </c>
    </row>
    <row r="84" spans="1:4" hidden="1" x14ac:dyDescent="0.35">
      <c r="A84" s="1">
        <v>47769</v>
      </c>
      <c r="B84" s="2">
        <v>46320</v>
      </c>
      <c r="C84" s="1" t="s">
        <v>1029</v>
      </c>
      <c r="D84" s="1">
        <f>IFERROR(VLOOKUP(RIT_FUSIONS[[#This Row],[ID]],RIT_ACUM!A:A,1,0),"NOVO")</f>
        <v>47769</v>
      </c>
    </row>
    <row r="85" spans="1:4" hidden="1" x14ac:dyDescent="0.35">
      <c r="A85" s="1">
        <v>47768</v>
      </c>
      <c r="B85" s="2">
        <v>46319</v>
      </c>
      <c r="C85" s="1" t="s">
        <v>10</v>
      </c>
      <c r="D85" s="1">
        <f>IFERROR(VLOOKUP(RIT_FUSIONS[[#This Row],[ID]],RIT_ACUM!A:A,1,0),"NOVO")</f>
        <v>47768</v>
      </c>
    </row>
    <row r="86" spans="1:4" hidden="1" x14ac:dyDescent="0.35">
      <c r="A86" s="1">
        <v>47767</v>
      </c>
      <c r="B86" s="2">
        <v>46319</v>
      </c>
      <c r="C86" s="1" t="s">
        <v>10</v>
      </c>
      <c r="D86" s="1">
        <f>IFERROR(VLOOKUP(RIT_FUSIONS[[#This Row],[ID]],RIT_ACUM!A:A,1,0),"NOVO")</f>
        <v>47767</v>
      </c>
    </row>
    <row r="87" spans="1:4" hidden="1" x14ac:dyDescent="0.35">
      <c r="A87" s="1">
        <v>47766</v>
      </c>
      <c r="B87" s="2">
        <v>46319</v>
      </c>
      <c r="C87" s="1" t="s">
        <v>4</v>
      </c>
      <c r="D87" s="1">
        <f>IFERROR(VLOOKUP(RIT_FUSIONS[[#This Row],[ID]],RIT_ACUM!A:A,1,0),"NOVO")</f>
        <v>47766</v>
      </c>
    </row>
    <row r="88" spans="1:4" hidden="1" x14ac:dyDescent="0.35">
      <c r="A88" s="1">
        <v>47765</v>
      </c>
      <c r="B88" s="2">
        <v>46319</v>
      </c>
      <c r="C88" s="1" t="s">
        <v>4</v>
      </c>
      <c r="D88" s="1">
        <f>IFERROR(VLOOKUP(RIT_FUSIONS[[#This Row],[ID]],RIT_ACUM!A:A,1,0),"NOVO")</f>
        <v>47765</v>
      </c>
    </row>
    <row r="89" spans="1:4" hidden="1" x14ac:dyDescent="0.35">
      <c r="A89" s="1">
        <v>47761</v>
      </c>
      <c r="B89" s="2">
        <v>46319</v>
      </c>
      <c r="C89" s="1" t="s">
        <v>1029</v>
      </c>
      <c r="D89" s="1">
        <f>IFERROR(VLOOKUP(RIT_FUSIONS[[#This Row],[ID]],RIT_ACUM!A:A,1,0),"NOVO")</f>
        <v>47761</v>
      </c>
    </row>
    <row r="90" spans="1:4" hidden="1" x14ac:dyDescent="0.35">
      <c r="A90" s="1">
        <v>47760</v>
      </c>
      <c r="B90" s="2">
        <v>46318</v>
      </c>
      <c r="C90" s="1" t="s">
        <v>1029</v>
      </c>
      <c r="D90" s="1">
        <f>IFERROR(VLOOKUP(RIT_FUSIONS[[#This Row],[ID]],RIT_ACUM!A:A,1,0),"NOVO")</f>
        <v>47760</v>
      </c>
    </row>
    <row r="91" spans="1:4" hidden="1" x14ac:dyDescent="0.35">
      <c r="A91" s="1">
        <v>47759</v>
      </c>
      <c r="B91" s="2">
        <v>46318</v>
      </c>
      <c r="C91" s="1" t="s">
        <v>1029</v>
      </c>
      <c r="D91" s="1">
        <f>IFERROR(VLOOKUP(RIT_FUSIONS[[#This Row],[ID]],RIT_ACUM!A:A,1,0),"NOVO")</f>
        <v>47759</v>
      </c>
    </row>
    <row r="92" spans="1:4" hidden="1" x14ac:dyDescent="0.35">
      <c r="A92" s="1">
        <v>47758</v>
      </c>
      <c r="B92" s="2">
        <v>46318</v>
      </c>
      <c r="C92" s="1" t="s">
        <v>1029</v>
      </c>
      <c r="D92" s="1">
        <f>IFERROR(VLOOKUP(RIT_FUSIONS[[#This Row],[ID]],RIT_ACUM!A:A,1,0),"NOVO")</f>
        <v>47758</v>
      </c>
    </row>
    <row r="93" spans="1:4" hidden="1" x14ac:dyDescent="0.35">
      <c r="A93" s="1">
        <v>47757</v>
      </c>
      <c r="B93" s="2">
        <v>46318</v>
      </c>
      <c r="C93" s="1" t="s">
        <v>10</v>
      </c>
      <c r="D93" s="1">
        <f>IFERROR(VLOOKUP(RIT_FUSIONS[[#This Row],[ID]],RIT_ACUM!A:A,1,0),"NOVO")</f>
        <v>47757</v>
      </c>
    </row>
    <row r="94" spans="1:4" hidden="1" x14ac:dyDescent="0.35">
      <c r="A94" s="1">
        <v>47756</v>
      </c>
      <c r="B94" s="2">
        <v>46318</v>
      </c>
      <c r="C94" s="1" t="s">
        <v>10</v>
      </c>
      <c r="D94" s="1">
        <f>IFERROR(VLOOKUP(RIT_FUSIONS[[#This Row],[ID]],RIT_ACUM!A:A,1,0),"NOVO")</f>
        <v>47756</v>
      </c>
    </row>
    <row r="95" spans="1:4" hidden="1" x14ac:dyDescent="0.35">
      <c r="A95" s="1">
        <v>47755</v>
      </c>
      <c r="B95" s="2">
        <v>46318</v>
      </c>
      <c r="C95" s="1" t="s">
        <v>11</v>
      </c>
      <c r="D95" s="1">
        <f>IFERROR(VLOOKUP(RIT_FUSIONS[[#This Row],[ID]],RIT_ACUM!A:A,1,0),"NOVO")</f>
        <v>47755</v>
      </c>
    </row>
    <row r="96" spans="1:4" hidden="1" x14ac:dyDescent="0.35">
      <c r="A96" s="1">
        <v>47752</v>
      </c>
      <c r="B96" s="2">
        <v>46318</v>
      </c>
      <c r="C96" s="1" t="s">
        <v>4</v>
      </c>
      <c r="D96" s="1">
        <f>IFERROR(VLOOKUP(RIT_FUSIONS[[#This Row],[ID]],RIT_ACUM!A:A,1,0),"NOVO")</f>
        <v>47752</v>
      </c>
    </row>
    <row r="97" spans="1:4" hidden="1" x14ac:dyDescent="0.35">
      <c r="A97" s="1">
        <v>47751</v>
      </c>
      <c r="B97" s="2">
        <v>46318</v>
      </c>
      <c r="C97" s="1" t="s">
        <v>4</v>
      </c>
      <c r="D97" s="1">
        <f>IFERROR(VLOOKUP(RIT_FUSIONS[[#This Row],[ID]],RIT_ACUM!A:A,1,0),"NOVO")</f>
        <v>47751</v>
      </c>
    </row>
    <row r="98" spans="1:4" hidden="1" x14ac:dyDescent="0.35">
      <c r="A98" s="1">
        <v>47750</v>
      </c>
      <c r="B98" s="2">
        <v>46318</v>
      </c>
      <c r="C98" s="1" t="s">
        <v>4</v>
      </c>
      <c r="D98" s="1">
        <f>IFERROR(VLOOKUP(RIT_FUSIONS[[#This Row],[ID]],RIT_ACUM!A:A,1,0),"NOVO")</f>
        <v>47750</v>
      </c>
    </row>
    <row r="99" spans="1:4" hidden="1" x14ac:dyDescent="0.35">
      <c r="A99" s="1">
        <v>47749</v>
      </c>
      <c r="B99" s="2">
        <v>46318</v>
      </c>
      <c r="C99" s="1" t="s">
        <v>7</v>
      </c>
      <c r="D99" s="1">
        <f>IFERROR(VLOOKUP(RIT_FUSIONS[[#This Row],[ID]],RIT_ACUM!A:A,1,0),"NOVO")</f>
        <v>47749</v>
      </c>
    </row>
    <row r="100" spans="1:4" hidden="1" x14ac:dyDescent="0.35">
      <c r="A100" s="1">
        <v>47748</v>
      </c>
      <c r="B100" s="2">
        <v>46318</v>
      </c>
      <c r="C100" s="1" t="s">
        <v>7</v>
      </c>
      <c r="D100" s="1">
        <f>IFERROR(VLOOKUP(RIT_FUSIONS[[#This Row],[ID]],RIT_ACUM!A:A,1,0),"NOVO")</f>
        <v>47748</v>
      </c>
    </row>
    <row r="101" spans="1:4" hidden="1" x14ac:dyDescent="0.35">
      <c r="A101" s="1">
        <v>47741</v>
      </c>
      <c r="B101" s="2">
        <v>46318</v>
      </c>
      <c r="C101" s="1" t="s">
        <v>16</v>
      </c>
      <c r="D101" s="1">
        <f>IFERROR(VLOOKUP(RIT_FUSIONS[[#This Row],[ID]],RIT_ACUM!A:A,1,0),"NOVO")</f>
        <v>47741</v>
      </c>
    </row>
    <row r="102" spans="1:4" hidden="1" x14ac:dyDescent="0.35">
      <c r="A102" s="1">
        <v>47740</v>
      </c>
      <c r="B102" s="2">
        <v>46318</v>
      </c>
      <c r="C102" s="1" t="s">
        <v>16</v>
      </c>
      <c r="D102" s="1">
        <f>IFERROR(VLOOKUP(RIT_FUSIONS[[#This Row],[ID]],RIT_ACUM!A:A,1,0),"NOVO")</f>
        <v>47740</v>
      </c>
    </row>
    <row r="103" spans="1:4" hidden="1" x14ac:dyDescent="0.35">
      <c r="A103" s="1">
        <v>47739</v>
      </c>
      <c r="B103" s="2">
        <v>46318</v>
      </c>
      <c r="C103" s="1" t="s">
        <v>16</v>
      </c>
      <c r="D103" s="1">
        <f>IFERROR(VLOOKUP(RIT_FUSIONS[[#This Row],[ID]],RIT_ACUM!A:A,1,0),"NOVO")</f>
        <v>47739</v>
      </c>
    </row>
    <row r="104" spans="1:4" hidden="1" x14ac:dyDescent="0.35">
      <c r="A104" s="1">
        <v>47733</v>
      </c>
      <c r="B104" s="2">
        <v>46318</v>
      </c>
      <c r="C104" s="1" t="s">
        <v>3</v>
      </c>
      <c r="D104" s="1">
        <f>IFERROR(VLOOKUP(RIT_FUSIONS[[#This Row],[ID]],RIT_ACUM!A:A,1,0),"NOVO")</f>
        <v>47733</v>
      </c>
    </row>
    <row r="105" spans="1:4" hidden="1" x14ac:dyDescent="0.35">
      <c r="A105" s="1">
        <v>47732</v>
      </c>
      <c r="B105" s="2">
        <v>46317</v>
      </c>
      <c r="C105" s="1" t="s">
        <v>3</v>
      </c>
      <c r="D105" s="1">
        <f>IFERROR(VLOOKUP(RIT_FUSIONS[[#This Row],[ID]],RIT_ACUM!A:A,1,0),"NOVO")</f>
        <v>47732</v>
      </c>
    </row>
    <row r="106" spans="1:4" hidden="1" x14ac:dyDescent="0.35">
      <c r="A106" s="1">
        <v>47731</v>
      </c>
      <c r="B106" s="2">
        <v>46318</v>
      </c>
      <c r="C106" s="1" t="s">
        <v>3</v>
      </c>
      <c r="D106" s="1">
        <f>IFERROR(VLOOKUP(RIT_FUSIONS[[#This Row],[ID]],RIT_ACUM!A:A,1,0),"NOVO")</f>
        <v>47731</v>
      </c>
    </row>
    <row r="107" spans="1:4" hidden="1" x14ac:dyDescent="0.35">
      <c r="A107" s="1">
        <v>47727</v>
      </c>
      <c r="B107" s="2">
        <v>46318</v>
      </c>
      <c r="C107" s="1" t="s">
        <v>6</v>
      </c>
      <c r="D107" s="1">
        <f>IFERROR(VLOOKUP(RIT_FUSIONS[[#This Row],[ID]],RIT_ACUM!A:A,1,0),"NOVO")</f>
        <v>47727</v>
      </c>
    </row>
    <row r="108" spans="1:4" hidden="1" x14ac:dyDescent="0.35">
      <c r="A108" s="1">
        <v>47726</v>
      </c>
      <c r="B108" s="2">
        <v>46318</v>
      </c>
      <c r="C108" s="1" t="s">
        <v>6</v>
      </c>
      <c r="D108" s="1">
        <f>IFERROR(VLOOKUP(RIT_FUSIONS[[#This Row],[ID]],RIT_ACUM!A:A,1,0),"NOVO")</f>
        <v>47726</v>
      </c>
    </row>
    <row r="109" spans="1:4" hidden="1" x14ac:dyDescent="0.35">
      <c r="A109" s="1">
        <v>47725</v>
      </c>
      <c r="B109" s="2">
        <v>46318</v>
      </c>
      <c r="C109" s="1" t="s">
        <v>6</v>
      </c>
      <c r="D109" s="1">
        <f>IFERROR(VLOOKUP(RIT_FUSIONS[[#This Row],[ID]],RIT_ACUM!A:A,1,0),"NOVO")</f>
        <v>47725</v>
      </c>
    </row>
    <row r="110" spans="1:4" hidden="1" x14ac:dyDescent="0.35">
      <c r="A110" s="1">
        <v>47724</v>
      </c>
      <c r="B110" s="2">
        <v>46318</v>
      </c>
      <c r="C110" s="1" t="s">
        <v>6</v>
      </c>
      <c r="D110" s="1">
        <f>IFERROR(VLOOKUP(RIT_FUSIONS[[#This Row],[ID]],RIT_ACUM!A:A,1,0),"NOVO")</f>
        <v>47724</v>
      </c>
    </row>
    <row r="111" spans="1:4" hidden="1" x14ac:dyDescent="0.35">
      <c r="A111" s="1">
        <v>47718</v>
      </c>
      <c r="B111" s="2">
        <v>46318</v>
      </c>
      <c r="C111" s="1" t="s">
        <v>19</v>
      </c>
      <c r="D111" s="1">
        <f>IFERROR(VLOOKUP(RIT_FUSIONS[[#This Row],[ID]],RIT_ACUM!A:A,1,0),"NOVO")</f>
        <v>47718</v>
      </c>
    </row>
    <row r="112" spans="1:4" hidden="1" x14ac:dyDescent="0.35">
      <c r="A112" s="1">
        <v>47717</v>
      </c>
      <c r="B112" s="2">
        <v>46318</v>
      </c>
      <c r="C112" s="1" t="s">
        <v>19</v>
      </c>
      <c r="D112" s="1">
        <f>IFERROR(VLOOKUP(RIT_FUSIONS[[#This Row],[ID]],RIT_ACUM!A:A,1,0),"NOVO")</f>
        <v>47717</v>
      </c>
    </row>
    <row r="113" spans="1:4" hidden="1" x14ac:dyDescent="0.35">
      <c r="A113" s="1">
        <v>47709</v>
      </c>
      <c r="B113" s="2">
        <v>46317</v>
      </c>
      <c r="C113" s="1" t="s">
        <v>17</v>
      </c>
      <c r="D113" s="1">
        <f>IFERROR(VLOOKUP(RIT_FUSIONS[[#This Row],[ID]],RIT_ACUM!A:A,1,0),"NOVO")</f>
        <v>47709</v>
      </c>
    </row>
    <row r="114" spans="1:4" hidden="1" x14ac:dyDescent="0.35">
      <c r="A114" s="1">
        <v>47708</v>
      </c>
      <c r="B114" s="2">
        <v>46317</v>
      </c>
      <c r="C114" s="1" t="s">
        <v>17</v>
      </c>
      <c r="D114" s="1">
        <f>IFERROR(VLOOKUP(RIT_FUSIONS[[#This Row],[ID]],RIT_ACUM!A:A,1,0),"NOVO")</f>
        <v>47708</v>
      </c>
    </row>
    <row r="115" spans="1:4" hidden="1" x14ac:dyDescent="0.35">
      <c r="A115" s="1">
        <v>47705</v>
      </c>
      <c r="B115" s="2">
        <v>46317</v>
      </c>
      <c r="C115" s="1" t="s">
        <v>10</v>
      </c>
      <c r="D115" s="1">
        <f>IFERROR(VLOOKUP(RIT_FUSIONS[[#This Row],[ID]],RIT_ACUM!A:A,1,0),"NOVO")</f>
        <v>47705</v>
      </c>
    </row>
    <row r="116" spans="1:4" hidden="1" x14ac:dyDescent="0.35">
      <c r="A116" s="1">
        <v>47704</v>
      </c>
      <c r="B116" s="2">
        <v>46317</v>
      </c>
      <c r="C116" s="1" t="s">
        <v>10</v>
      </c>
      <c r="D116" s="1">
        <f>IFERROR(VLOOKUP(RIT_FUSIONS[[#This Row],[ID]],RIT_ACUM!A:A,1,0),"NOVO")</f>
        <v>47704</v>
      </c>
    </row>
    <row r="117" spans="1:4" hidden="1" x14ac:dyDescent="0.35">
      <c r="A117" s="1">
        <v>47703</v>
      </c>
      <c r="B117" s="2">
        <v>46317</v>
      </c>
      <c r="C117" s="1" t="s">
        <v>20</v>
      </c>
      <c r="D117" s="1">
        <f>IFERROR(VLOOKUP(RIT_FUSIONS[[#This Row],[ID]],RIT_ACUM!A:A,1,0),"NOVO")</f>
        <v>47703</v>
      </c>
    </row>
    <row r="118" spans="1:4" hidden="1" x14ac:dyDescent="0.35">
      <c r="A118" s="1">
        <v>47701</v>
      </c>
      <c r="B118" s="2">
        <v>46317</v>
      </c>
      <c r="C118" s="1" t="s">
        <v>103</v>
      </c>
      <c r="D118" s="1">
        <f>IFERROR(VLOOKUP(RIT_FUSIONS[[#This Row],[ID]],RIT_ACUM!A:A,1,0),"NOVO")</f>
        <v>47701</v>
      </c>
    </row>
    <row r="119" spans="1:4" hidden="1" x14ac:dyDescent="0.35">
      <c r="A119" s="1">
        <v>47699</v>
      </c>
      <c r="B119" s="2">
        <v>46317</v>
      </c>
      <c r="C119" s="1" t="s">
        <v>103</v>
      </c>
      <c r="D119" s="1">
        <f>IFERROR(VLOOKUP(RIT_FUSIONS[[#This Row],[ID]],RIT_ACUM!A:A,1,0),"NOVO")</f>
        <v>47699</v>
      </c>
    </row>
    <row r="120" spans="1:4" hidden="1" x14ac:dyDescent="0.35">
      <c r="A120" s="1">
        <v>47698</v>
      </c>
      <c r="B120" s="2">
        <v>46317</v>
      </c>
      <c r="C120" s="1" t="s">
        <v>103</v>
      </c>
      <c r="D120" s="1">
        <f>IFERROR(VLOOKUP(RIT_FUSIONS[[#This Row],[ID]],RIT_ACUM!A:A,1,0),"NOVO")</f>
        <v>47698</v>
      </c>
    </row>
    <row r="121" spans="1:4" hidden="1" x14ac:dyDescent="0.35">
      <c r="A121" s="1">
        <v>47697</v>
      </c>
      <c r="B121" s="2">
        <v>46317</v>
      </c>
      <c r="C121" s="1" t="s">
        <v>16</v>
      </c>
      <c r="D121" s="1">
        <f>IFERROR(VLOOKUP(RIT_FUSIONS[[#This Row],[ID]],RIT_ACUM!A:A,1,0),"NOVO")</f>
        <v>47697</v>
      </c>
    </row>
    <row r="122" spans="1:4" hidden="1" x14ac:dyDescent="0.35">
      <c r="A122" s="1">
        <v>47696</v>
      </c>
      <c r="B122" s="2">
        <v>46317</v>
      </c>
      <c r="C122" s="1" t="s">
        <v>16</v>
      </c>
      <c r="D122" s="1">
        <f>IFERROR(VLOOKUP(RIT_FUSIONS[[#This Row],[ID]],RIT_ACUM!A:A,1,0),"NOVO")</f>
        <v>47696</v>
      </c>
    </row>
    <row r="123" spans="1:4" hidden="1" x14ac:dyDescent="0.35">
      <c r="A123" s="1">
        <v>47695</v>
      </c>
      <c r="B123" s="2">
        <v>46317</v>
      </c>
      <c r="C123" s="1" t="s">
        <v>11</v>
      </c>
      <c r="D123" s="1">
        <f>IFERROR(VLOOKUP(RIT_FUSIONS[[#This Row],[ID]],RIT_ACUM!A:A,1,0),"NOVO")</f>
        <v>47695</v>
      </c>
    </row>
    <row r="124" spans="1:4" hidden="1" x14ac:dyDescent="0.35">
      <c r="A124" s="1">
        <v>47694</v>
      </c>
      <c r="B124" s="2">
        <v>46317</v>
      </c>
      <c r="C124" s="1" t="s">
        <v>11</v>
      </c>
      <c r="D124" s="1">
        <f>IFERROR(VLOOKUP(RIT_FUSIONS[[#This Row],[ID]],RIT_ACUM!A:A,1,0),"NOVO")</f>
        <v>47694</v>
      </c>
    </row>
    <row r="125" spans="1:4" hidden="1" x14ac:dyDescent="0.35">
      <c r="A125" s="1">
        <v>47693</v>
      </c>
      <c r="B125" s="2">
        <v>46317</v>
      </c>
      <c r="C125" s="1" t="s">
        <v>4</v>
      </c>
      <c r="D125" s="1">
        <f>IFERROR(VLOOKUP(RIT_FUSIONS[[#This Row],[ID]],RIT_ACUM!A:A,1,0),"NOVO")</f>
        <v>47693</v>
      </c>
    </row>
    <row r="126" spans="1:4" hidden="1" x14ac:dyDescent="0.35">
      <c r="A126" s="1">
        <v>47692</v>
      </c>
      <c r="B126" s="2">
        <v>46317</v>
      </c>
      <c r="C126" s="1" t="s">
        <v>4</v>
      </c>
      <c r="D126" s="1">
        <f>IFERROR(VLOOKUP(RIT_FUSIONS[[#This Row],[ID]],RIT_ACUM!A:A,1,0),"NOVO")</f>
        <v>47692</v>
      </c>
    </row>
    <row r="127" spans="1:4" hidden="1" x14ac:dyDescent="0.35">
      <c r="A127" s="1">
        <v>47691</v>
      </c>
      <c r="B127" s="2">
        <v>46317</v>
      </c>
      <c r="C127" s="1" t="s">
        <v>4</v>
      </c>
      <c r="D127" s="1">
        <f>IFERROR(VLOOKUP(RIT_FUSIONS[[#This Row],[ID]],RIT_ACUM!A:A,1,0),"NOVO")</f>
        <v>47691</v>
      </c>
    </row>
    <row r="128" spans="1:4" hidden="1" x14ac:dyDescent="0.35">
      <c r="A128" s="1">
        <v>47689</v>
      </c>
      <c r="B128" s="2">
        <v>46317</v>
      </c>
      <c r="C128" s="1" t="s">
        <v>21</v>
      </c>
      <c r="D128" s="1">
        <f>IFERROR(VLOOKUP(RIT_FUSIONS[[#This Row],[ID]],RIT_ACUM!A:A,1,0),"NOVO")</f>
        <v>47689</v>
      </c>
    </row>
    <row r="129" spans="1:4" hidden="1" x14ac:dyDescent="0.35">
      <c r="A129" s="1">
        <v>47682</v>
      </c>
      <c r="B129" s="2">
        <v>46317</v>
      </c>
      <c r="C129" s="1" t="s">
        <v>21</v>
      </c>
      <c r="D129" s="1">
        <f>IFERROR(VLOOKUP(RIT_FUSIONS[[#This Row],[ID]],RIT_ACUM!A:A,1,0),"NOVO")</f>
        <v>47682</v>
      </c>
    </row>
    <row r="130" spans="1:4" hidden="1" x14ac:dyDescent="0.35">
      <c r="A130" s="1">
        <v>47681</v>
      </c>
      <c r="B130" s="2">
        <v>46317</v>
      </c>
      <c r="C130" s="1" t="s">
        <v>21</v>
      </c>
      <c r="D130" s="1">
        <f>IFERROR(VLOOKUP(RIT_FUSIONS[[#This Row],[ID]],RIT_ACUM!A:A,1,0),"NOVO")</f>
        <v>47681</v>
      </c>
    </row>
    <row r="131" spans="1:4" hidden="1" x14ac:dyDescent="0.35">
      <c r="A131" s="1">
        <v>47678</v>
      </c>
      <c r="B131" s="2">
        <v>46317</v>
      </c>
      <c r="C131" s="1" t="s">
        <v>7</v>
      </c>
      <c r="D131" s="1">
        <f>IFERROR(VLOOKUP(RIT_FUSIONS[[#This Row],[ID]],RIT_ACUM!A:A,1,0),"NOVO")</f>
        <v>47678</v>
      </c>
    </row>
    <row r="132" spans="1:4" hidden="1" x14ac:dyDescent="0.35">
      <c r="A132" s="1">
        <v>47676</v>
      </c>
      <c r="B132" s="2">
        <v>46317</v>
      </c>
      <c r="C132" s="1" t="s">
        <v>22</v>
      </c>
      <c r="D132" s="1">
        <f>IFERROR(VLOOKUP(RIT_FUSIONS[[#This Row],[ID]],RIT_ACUM!A:A,1,0),"NOVO")</f>
        <v>47676</v>
      </c>
    </row>
    <row r="133" spans="1:4" hidden="1" x14ac:dyDescent="0.35">
      <c r="A133" s="1">
        <v>47674</v>
      </c>
      <c r="B133" s="2">
        <v>46317</v>
      </c>
      <c r="C133" s="1" t="s">
        <v>9</v>
      </c>
      <c r="D133" s="1">
        <f>IFERROR(VLOOKUP(RIT_FUSIONS[[#This Row],[ID]],RIT_ACUM!A:A,1,0),"NOVO")</f>
        <v>47674</v>
      </c>
    </row>
    <row r="134" spans="1:4" hidden="1" x14ac:dyDescent="0.35">
      <c r="A134" s="1">
        <v>47673</v>
      </c>
      <c r="B134" s="2">
        <v>46317</v>
      </c>
      <c r="C134" s="1" t="s">
        <v>3</v>
      </c>
      <c r="D134" s="1">
        <f>IFERROR(VLOOKUP(RIT_FUSIONS[[#This Row],[ID]],RIT_ACUM!A:A,1,0),"NOVO")</f>
        <v>47673</v>
      </c>
    </row>
    <row r="135" spans="1:4" hidden="1" x14ac:dyDescent="0.35">
      <c r="A135" s="1">
        <v>47665</v>
      </c>
      <c r="B135" s="2">
        <v>46317</v>
      </c>
      <c r="C135" s="1" t="s">
        <v>1029</v>
      </c>
      <c r="D135" s="1">
        <f>IFERROR(VLOOKUP(RIT_FUSIONS[[#This Row],[ID]],RIT_ACUM!A:A,1,0),"NOVO")</f>
        <v>47665</v>
      </c>
    </row>
    <row r="136" spans="1:4" hidden="1" x14ac:dyDescent="0.35">
      <c r="A136" s="1">
        <v>47664</v>
      </c>
      <c r="B136" s="2">
        <v>46317</v>
      </c>
      <c r="C136" s="1" t="s">
        <v>19</v>
      </c>
      <c r="D136" s="1">
        <f>IFERROR(VLOOKUP(RIT_FUSIONS[[#This Row],[ID]],RIT_ACUM!A:A,1,0),"NOVO")</f>
        <v>47664</v>
      </c>
    </row>
    <row r="137" spans="1:4" hidden="1" x14ac:dyDescent="0.35">
      <c r="A137" s="1">
        <v>47663</v>
      </c>
      <c r="B137" s="2">
        <v>46317</v>
      </c>
      <c r="C137" s="1" t="s">
        <v>9</v>
      </c>
      <c r="D137" s="1">
        <f>IFERROR(VLOOKUP(RIT_FUSIONS[[#This Row],[ID]],RIT_ACUM!A:A,1,0),"NOVO")</f>
        <v>47663</v>
      </c>
    </row>
    <row r="138" spans="1:4" hidden="1" x14ac:dyDescent="0.35">
      <c r="A138" s="1">
        <v>47662</v>
      </c>
      <c r="B138" s="2">
        <v>46316</v>
      </c>
      <c r="C138" s="1" t="s">
        <v>21</v>
      </c>
      <c r="D138" s="1">
        <f>IFERROR(VLOOKUP(RIT_FUSIONS[[#This Row],[ID]],RIT_ACUM!A:A,1,0),"NOVO")</f>
        <v>47662</v>
      </c>
    </row>
    <row r="139" spans="1:4" hidden="1" x14ac:dyDescent="0.35">
      <c r="A139" s="1">
        <v>47661</v>
      </c>
      <c r="B139" s="2">
        <v>46316</v>
      </c>
      <c r="C139" s="1" t="s">
        <v>21</v>
      </c>
      <c r="D139" s="1">
        <f>IFERROR(VLOOKUP(RIT_FUSIONS[[#This Row],[ID]],RIT_ACUM!A:A,1,0),"NOVO")</f>
        <v>47661</v>
      </c>
    </row>
    <row r="140" spans="1:4" hidden="1" x14ac:dyDescent="0.35">
      <c r="A140" s="1">
        <v>47660</v>
      </c>
      <c r="B140" s="2">
        <v>46315</v>
      </c>
      <c r="C140" s="1" t="s">
        <v>21</v>
      </c>
      <c r="D140" s="1">
        <f>IFERROR(VLOOKUP(RIT_FUSIONS[[#This Row],[ID]],RIT_ACUM!A:A,1,0),"NOVO")</f>
        <v>47660</v>
      </c>
    </row>
    <row r="141" spans="1:4" hidden="1" x14ac:dyDescent="0.35">
      <c r="A141" s="1">
        <v>47659</v>
      </c>
      <c r="B141" s="2">
        <v>46314</v>
      </c>
      <c r="C141" s="1" t="s">
        <v>21</v>
      </c>
      <c r="D141" s="1">
        <f>IFERROR(VLOOKUP(RIT_FUSIONS[[#This Row],[ID]],RIT_ACUM!A:A,1,0),"NOVO")</f>
        <v>47659</v>
      </c>
    </row>
    <row r="142" spans="1:4" hidden="1" x14ac:dyDescent="0.35">
      <c r="A142" s="1">
        <v>47658</v>
      </c>
      <c r="B142" s="2">
        <v>46314</v>
      </c>
      <c r="C142" s="1" t="s">
        <v>21</v>
      </c>
      <c r="D142" s="1">
        <f>IFERROR(VLOOKUP(RIT_FUSIONS[[#This Row],[ID]],RIT_ACUM!A:A,1,0),"NOVO")</f>
        <v>47658</v>
      </c>
    </row>
    <row r="143" spans="1:4" hidden="1" x14ac:dyDescent="0.35">
      <c r="A143" s="1">
        <v>47657</v>
      </c>
      <c r="B143" s="2">
        <v>46314</v>
      </c>
      <c r="C143" s="1" t="s">
        <v>21</v>
      </c>
      <c r="D143" s="1">
        <f>IFERROR(VLOOKUP(RIT_FUSIONS[[#This Row],[ID]],RIT_ACUM!A:A,1,0),"NOVO")</f>
        <v>47657</v>
      </c>
    </row>
    <row r="144" spans="1:4" hidden="1" x14ac:dyDescent="0.35">
      <c r="A144" s="1">
        <v>47655</v>
      </c>
      <c r="B144" s="2">
        <v>46314</v>
      </c>
      <c r="C144" s="1" t="s">
        <v>21</v>
      </c>
      <c r="D144" s="1">
        <f>IFERROR(VLOOKUP(RIT_FUSIONS[[#This Row],[ID]],RIT_ACUM!A:A,1,0),"NOVO")</f>
        <v>47655</v>
      </c>
    </row>
    <row r="145" spans="1:4" hidden="1" x14ac:dyDescent="0.35">
      <c r="A145" s="1">
        <v>47654</v>
      </c>
      <c r="B145" s="2">
        <v>46317</v>
      </c>
      <c r="C145" s="1" t="s">
        <v>21</v>
      </c>
      <c r="D145" s="1">
        <f>IFERROR(VLOOKUP(RIT_FUSIONS[[#This Row],[ID]],RIT_ACUM!A:A,1,0),"NOVO")</f>
        <v>47654</v>
      </c>
    </row>
    <row r="146" spans="1:4" hidden="1" x14ac:dyDescent="0.35">
      <c r="A146" s="1">
        <v>47653</v>
      </c>
      <c r="B146" s="2">
        <v>46314</v>
      </c>
      <c r="C146" s="1" t="s">
        <v>21</v>
      </c>
      <c r="D146" s="1">
        <f>IFERROR(VLOOKUP(RIT_FUSIONS[[#This Row],[ID]],RIT_ACUM!A:A,1,0),"NOVO")</f>
        <v>47653</v>
      </c>
    </row>
    <row r="147" spans="1:4" hidden="1" x14ac:dyDescent="0.35">
      <c r="A147" s="1">
        <v>47647</v>
      </c>
      <c r="B147" s="2">
        <v>46314</v>
      </c>
      <c r="C147" s="1" t="s">
        <v>21</v>
      </c>
      <c r="D147" s="1">
        <f>IFERROR(VLOOKUP(RIT_FUSIONS[[#This Row],[ID]],RIT_ACUM!A:A,1,0),"NOVO")</f>
        <v>47647</v>
      </c>
    </row>
    <row r="148" spans="1:4" hidden="1" x14ac:dyDescent="0.35">
      <c r="A148" s="1">
        <v>47646</v>
      </c>
      <c r="B148" s="2">
        <v>46314</v>
      </c>
      <c r="C148" s="1" t="s">
        <v>21</v>
      </c>
      <c r="D148" s="1">
        <f>IFERROR(VLOOKUP(RIT_FUSIONS[[#This Row],[ID]],RIT_ACUM!A:A,1,0),"NOVO")</f>
        <v>47646</v>
      </c>
    </row>
    <row r="149" spans="1:4" hidden="1" x14ac:dyDescent="0.35">
      <c r="A149" s="1">
        <v>47632</v>
      </c>
      <c r="B149" s="2">
        <v>46316</v>
      </c>
      <c r="C149" s="1" t="s">
        <v>10</v>
      </c>
      <c r="D149" s="1">
        <f>IFERROR(VLOOKUP(RIT_FUSIONS[[#This Row],[ID]],RIT_ACUM!A:A,1,0),"NOVO")</f>
        <v>47632</v>
      </c>
    </row>
    <row r="150" spans="1:4" hidden="1" x14ac:dyDescent="0.35">
      <c r="A150" s="1">
        <v>47630</v>
      </c>
      <c r="B150" s="2">
        <v>46316</v>
      </c>
      <c r="C150" s="1" t="s">
        <v>10</v>
      </c>
      <c r="D150" s="1">
        <f>IFERROR(VLOOKUP(RIT_FUSIONS[[#This Row],[ID]],RIT_ACUM!A:A,1,0),"NOVO")</f>
        <v>47630</v>
      </c>
    </row>
    <row r="151" spans="1:4" hidden="1" x14ac:dyDescent="0.35">
      <c r="A151" s="1">
        <v>47628</v>
      </c>
      <c r="B151" s="2">
        <v>46316</v>
      </c>
      <c r="C151" s="1" t="s">
        <v>15</v>
      </c>
      <c r="D151" s="1">
        <f>IFERROR(VLOOKUP(RIT_FUSIONS[[#This Row],[ID]],RIT_ACUM!A:A,1,0),"NOVO")</f>
        <v>47628</v>
      </c>
    </row>
    <row r="152" spans="1:4" hidden="1" x14ac:dyDescent="0.35">
      <c r="A152" s="1">
        <v>47627</v>
      </c>
      <c r="B152" s="2">
        <v>46316</v>
      </c>
      <c r="C152" s="1" t="s">
        <v>15</v>
      </c>
      <c r="D152" s="1">
        <f>IFERROR(VLOOKUP(RIT_FUSIONS[[#This Row],[ID]],RIT_ACUM!A:A,1,0),"NOVO")</f>
        <v>47627</v>
      </c>
    </row>
    <row r="153" spans="1:4" hidden="1" x14ac:dyDescent="0.35">
      <c r="A153" s="1">
        <v>47626</v>
      </c>
      <c r="B153" s="2">
        <v>46316</v>
      </c>
      <c r="C153" s="1" t="s">
        <v>17</v>
      </c>
      <c r="D153" s="1">
        <f>IFERROR(VLOOKUP(RIT_FUSIONS[[#This Row],[ID]],RIT_ACUM!A:A,1,0),"NOVO")</f>
        <v>47626</v>
      </c>
    </row>
    <row r="154" spans="1:4" hidden="1" x14ac:dyDescent="0.35">
      <c r="A154" s="1">
        <v>47625</v>
      </c>
      <c r="B154" s="2">
        <v>46316</v>
      </c>
      <c r="C154" s="1" t="s">
        <v>17</v>
      </c>
      <c r="D154" s="1">
        <f>IFERROR(VLOOKUP(RIT_FUSIONS[[#This Row],[ID]],RIT_ACUM!A:A,1,0),"NOVO")</f>
        <v>47625</v>
      </c>
    </row>
    <row r="155" spans="1:4" hidden="1" x14ac:dyDescent="0.35">
      <c r="A155" s="1">
        <v>47624</v>
      </c>
      <c r="B155" s="2">
        <v>46316</v>
      </c>
      <c r="C155" s="1" t="s">
        <v>17</v>
      </c>
      <c r="D155" s="1">
        <f>IFERROR(VLOOKUP(RIT_FUSIONS[[#This Row],[ID]],RIT_ACUM!A:A,1,0),"NOVO")</f>
        <v>47624</v>
      </c>
    </row>
    <row r="156" spans="1:4" hidden="1" x14ac:dyDescent="0.35">
      <c r="A156" s="1">
        <v>47623</v>
      </c>
      <c r="B156" s="2">
        <v>46316</v>
      </c>
      <c r="C156" s="1" t="s">
        <v>103</v>
      </c>
      <c r="D156" s="1">
        <f>IFERROR(VLOOKUP(RIT_FUSIONS[[#This Row],[ID]],RIT_ACUM!A:A,1,0),"NOVO")</f>
        <v>47623</v>
      </c>
    </row>
    <row r="157" spans="1:4" hidden="1" x14ac:dyDescent="0.35">
      <c r="A157" s="1">
        <v>47622</v>
      </c>
      <c r="B157" s="2">
        <v>46316</v>
      </c>
      <c r="C157" s="1" t="s">
        <v>3</v>
      </c>
      <c r="D157" s="1">
        <f>IFERROR(VLOOKUP(RIT_FUSIONS[[#This Row],[ID]],RIT_ACUM!A:A,1,0),"NOVO")</f>
        <v>47622</v>
      </c>
    </row>
    <row r="158" spans="1:4" hidden="1" x14ac:dyDescent="0.35">
      <c r="A158" s="1">
        <v>47620</v>
      </c>
      <c r="B158" s="2">
        <v>46316</v>
      </c>
      <c r="C158" s="1" t="s">
        <v>19</v>
      </c>
      <c r="D158" s="1">
        <f>IFERROR(VLOOKUP(RIT_FUSIONS[[#This Row],[ID]],RIT_ACUM!A:A,1,0),"NOVO")</f>
        <v>47620</v>
      </c>
    </row>
    <row r="159" spans="1:4" hidden="1" x14ac:dyDescent="0.35">
      <c r="A159" s="1">
        <v>47617</v>
      </c>
      <c r="B159" s="2">
        <v>46316</v>
      </c>
      <c r="C159" s="1" t="s">
        <v>9</v>
      </c>
      <c r="D159" s="1">
        <f>IFERROR(VLOOKUP(RIT_FUSIONS[[#This Row],[ID]],RIT_ACUM!A:A,1,0),"NOVO")</f>
        <v>47617</v>
      </c>
    </row>
    <row r="160" spans="1:4" hidden="1" x14ac:dyDescent="0.35">
      <c r="A160" s="1">
        <v>47616</v>
      </c>
      <c r="B160" s="2">
        <v>46316</v>
      </c>
      <c r="C160" s="1" t="s">
        <v>103</v>
      </c>
      <c r="D160" s="1">
        <f>IFERROR(VLOOKUP(RIT_FUSIONS[[#This Row],[ID]],RIT_ACUM!A:A,1,0),"NOVO")</f>
        <v>47616</v>
      </c>
    </row>
    <row r="161" spans="1:4" hidden="1" x14ac:dyDescent="0.35">
      <c r="A161" s="1">
        <v>47615</v>
      </c>
      <c r="B161" s="2">
        <v>46316</v>
      </c>
      <c r="C161" s="1" t="s">
        <v>103</v>
      </c>
      <c r="D161" s="1">
        <f>IFERROR(VLOOKUP(RIT_FUSIONS[[#This Row],[ID]],RIT_ACUM!A:A,1,0),"NOVO")</f>
        <v>47615</v>
      </c>
    </row>
    <row r="162" spans="1:4" hidden="1" x14ac:dyDescent="0.35">
      <c r="A162" s="1">
        <v>47612</v>
      </c>
      <c r="B162" s="2">
        <v>46316</v>
      </c>
      <c r="C162" s="1" t="s">
        <v>22</v>
      </c>
      <c r="D162" s="1">
        <f>IFERROR(VLOOKUP(RIT_FUSIONS[[#This Row],[ID]],RIT_ACUM!A:A,1,0),"NOVO")</f>
        <v>47612</v>
      </c>
    </row>
    <row r="163" spans="1:4" hidden="1" x14ac:dyDescent="0.35">
      <c r="A163" s="1">
        <v>47611</v>
      </c>
      <c r="B163" s="2">
        <v>46316</v>
      </c>
      <c r="C163" s="1" t="s">
        <v>22</v>
      </c>
      <c r="D163" s="1">
        <f>IFERROR(VLOOKUP(RIT_FUSIONS[[#This Row],[ID]],RIT_ACUM!A:A,1,0),"NOVO")</f>
        <v>47611</v>
      </c>
    </row>
    <row r="164" spans="1:4" hidden="1" x14ac:dyDescent="0.35">
      <c r="A164" s="1">
        <v>47610</v>
      </c>
      <c r="B164" s="2">
        <v>46316</v>
      </c>
      <c r="C164" s="1" t="s">
        <v>22</v>
      </c>
      <c r="D164" s="1">
        <f>IFERROR(VLOOKUP(RIT_FUSIONS[[#This Row],[ID]],RIT_ACUM!A:A,1,0),"NOVO")</f>
        <v>47610</v>
      </c>
    </row>
    <row r="165" spans="1:4" hidden="1" x14ac:dyDescent="0.35">
      <c r="A165" s="1">
        <v>47609</v>
      </c>
      <c r="B165" s="2">
        <v>46316</v>
      </c>
      <c r="C165" s="1" t="s">
        <v>3</v>
      </c>
      <c r="D165" s="1">
        <f>IFERROR(VLOOKUP(RIT_FUSIONS[[#This Row],[ID]],RIT_ACUM!A:A,1,0),"NOVO")</f>
        <v>47609</v>
      </c>
    </row>
    <row r="166" spans="1:4" hidden="1" x14ac:dyDescent="0.35">
      <c r="A166" s="1">
        <v>47608</v>
      </c>
      <c r="B166" s="2">
        <v>46316</v>
      </c>
      <c r="C166" s="1" t="s">
        <v>11</v>
      </c>
      <c r="D166" s="1">
        <f>IFERROR(VLOOKUP(RIT_FUSIONS[[#This Row],[ID]],RIT_ACUM!A:A,1,0),"NOVO")</f>
        <v>47608</v>
      </c>
    </row>
    <row r="167" spans="1:4" hidden="1" x14ac:dyDescent="0.35">
      <c r="A167" s="1">
        <v>47604</v>
      </c>
      <c r="B167" s="2">
        <v>46316</v>
      </c>
      <c r="C167" s="1" t="s">
        <v>19</v>
      </c>
      <c r="D167" s="1">
        <f>IFERROR(VLOOKUP(RIT_FUSIONS[[#This Row],[ID]],RIT_ACUM!A:A,1,0),"NOVO")</f>
        <v>47604</v>
      </c>
    </row>
    <row r="168" spans="1:4" hidden="1" x14ac:dyDescent="0.35">
      <c r="A168" s="1">
        <v>47602</v>
      </c>
      <c r="B168" s="2">
        <v>46316</v>
      </c>
      <c r="C168" s="1" t="s">
        <v>19</v>
      </c>
      <c r="D168" s="1">
        <f>IFERROR(VLOOKUP(RIT_FUSIONS[[#This Row],[ID]],RIT_ACUM!A:A,1,0),"NOVO")</f>
        <v>47602</v>
      </c>
    </row>
    <row r="169" spans="1:4" hidden="1" x14ac:dyDescent="0.35">
      <c r="A169" s="1">
        <v>47593</v>
      </c>
      <c r="B169" s="2">
        <v>46316</v>
      </c>
      <c r="C169" s="1" t="s">
        <v>9</v>
      </c>
      <c r="D169" s="1">
        <f>IFERROR(VLOOKUP(RIT_FUSIONS[[#This Row],[ID]],RIT_ACUM!A:A,1,0),"NOVO")</f>
        <v>47593</v>
      </c>
    </row>
    <row r="170" spans="1:4" hidden="1" x14ac:dyDescent="0.35">
      <c r="A170" s="1">
        <v>47591</v>
      </c>
      <c r="B170" s="2">
        <v>46316</v>
      </c>
      <c r="C170" s="1" t="s">
        <v>9</v>
      </c>
      <c r="D170" s="1">
        <f>IFERROR(VLOOKUP(RIT_FUSIONS[[#This Row],[ID]],RIT_ACUM!A:A,1,0),"NOVO")</f>
        <v>47591</v>
      </c>
    </row>
    <row r="171" spans="1:4" hidden="1" x14ac:dyDescent="0.35">
      <c r="A171" s="1">
        <v>47590</v>
      </c>
      <c r="B171" s="2">
        <v>46316</v>
      </c>
      <c r="C171" s="1" t="s">
        <v>7</v>
      </c>
      <c r="D171" s="1">
        <f>IFERROR(VLOOKUP(RIT_FUSIONS[[#This Row],[ID]],RIT_ACUM!A:A,1,0),"NOVO")</f>
        <v>47590</v>
      </c>
    </row>
    <row r="172" spans="1:4" hidden="1" x14ac:dyDescent="0.35">
      <c r="A172" s="1">
        <v>47589</v>
      </c>
      <c r="B172" s="2">
        <v>46316</v>
      </c>
      <c r="C172" s="1" t="s">
        <v>7</v>
      </c>
      <c r="D172" s="1">
        <f>IFERROR(VLOOKUP(RIT_FUSIONS[[#This Row],[ID]],RIT_ACUM!A:A,1,0),"NOVO")</f>
        <v>47589</v>
      </c>
    </row>
    <row r="173" spans="1:4" hidden="1" x14ac:dyDescent="0.35">
      <c r="A173" s="1">
        <v>47585</v>
      </c>
      <c r="B173" s="2">
        <v>46316</v>
      </c>
      <c r="C173" s="1" t="s">
        <v>6</v>
      </c>
      <c r="D173" s="1">
        <f>IFERROR(VLOOKUP(RIT_FUSIONS[[#This Row],[ID]],RIT_ACUM!A:A,1,0),"NOVO")</f>
        <v>47585</v>
      </c>
    </row>
    <row r="174" spans="1:4" hidden="1" x14ac:dyDescent="0.35">
      <c r="A174" s="1">
        <v>47584</v>
      </c>
      <c r="B174" s="2">
        <v>46316</v>
      </c>
      <c r="C174" s="1" t="s">
        <v>6</v>
      </c>
      <c r="D174" s="1">
        <f>IFERROR(VLOOKUP(RIT_FUSIONS[[#This Row],[ID]],RIT_ACUM!A:A,1,0),"NOVO")</f>
        <v>47584</v>
      </c>
    </row>
    <row r="175" spans="1:4" hidden="1" x14ac:dyDescent="0.35">
      <c r="A175" s="1">
        <v>47583</v>
      </c>
      <c r="B175" s="2">
        <v>46316</v>
      </c>
      <c r="C175" s="1" t="s">
        <v>6</v>
      </c>
      <c r="D175" s="1">
        <f>IFERROR(VLOOKUP(RIT_FUSIONS[[#This Row],[ID]],RIT_ACUM!A:A,1,0),"NOVO")</f>
        <v>47583</v>
      </c>
    </row>
    <row r="176" spans="1:4" hidden="1" x14ac:dyDescent="0.35">
      <c r="A176" s="1">
        <v>47582</v>
      </c>
      <c r="B176" s="2">
        <v>46316</v>
      </c>
      <c r="C176" s="1" t="s">
        <v>6</v>
      </c>
      <c r="D176" s="1">
        <f>IFERROR(VLOOKUP(RIT_FUSIONS[[#This Row],[ID]],RIT_ACUM!A:A,1,0),"NOVO")</f>
        <v>47582</v>
      </c>
    </row>
    <row r="177" spans="1:4" hidden="1" x14ac:dyDescent="0.35">
      <c r="A177" s="1">
        <v>47581</v>
      </c>
      <c r="B177" s="2">
        <v>46316</v>
      </c>
      <c r="C177" s="1" t="s">
        <v>6</v>
      </c>
      <c r="D177" s="1">
        <f>IFERROR(VLOOKUP(RIT_FUSIONS[[#This Row],[ID]],RIT_ACUM!A:A,1,0),"NOVO")</f>
        <v>47581</v>
      </c>
    </row>
    <row r="178" spans="1:4" hidden="1" x14ac:dyDescent="0.35">
      <c r="A178" s="1">
        <v>47580</v>
      </c>
      <c r="B178" s="2">
        <v>46316</v>
      </c>
      <c r="C178" s="1" t="s">
        <v>6</v>
      </c>
      <c r="D178" s="1">
        <f>IFERROR(VLOOKUP(RIT_FUSIONS[[#This Row],[ID]],RIT_ACUM!A:A,1,0),"NOVO")</f>
        <v>47580</v>
      </c>
    </row>
    <row r="179" spans="1:4" hidden="1" x14ac:dyDescent="0.35">
      <c r="A179" s="1">
        <v>47579</v>
      </c>
      <c r="B179" s="2">
        <v>46316</v>
      </c>
      <c r="C179" s="1" t="s">
        <v>6</v>
      </c>
      <c r="D179" s="1">
        <f>IFERROR(VLOOKUP(RIT_FUSIONS[[#This Row],[ID]],RIT_ACUM!A:A,1,0),"NOVO")</f>
        <v>47579</v>
      </c>
    </row>
    <row r="180" spans="1:4" hidden="1" x14ac:dyDescent="0.35">
      <c r="A180" s="1">
        <v>47578</v>
      </c>
      <c r="B180" s="2">
        <v>46316</v>
      </c>
      <c r="C180" s="1" t="s">
        <v>6</v>
      </c>
      <c r="D180" s="1">
        <f>IFERROR(VLOOKUP(RIT_FUSIONS[[#This Row],[ID]],RIT_ACUM!A:A,1,0),"NOVO")</f>
        <v>47578</v>
      </c>
    </row>
    <row r="181" spans="1:4" hidden="1" x14ac:dyDescent="0.35">
      <c r="A181" s="1">
        <v>47577</v>
      </c>
      <c r="B181" s="2">
        <v>46316</v>
      </c>
      <c r="C181" s="1" t="s">
        <v>6</v>
      </c>
      <c r="D181" s="1">
        <f>IFERROR(VLOOKUP(RIT_FUSIONS[[#This Row],[ID]],RIT_ACUM!A:A,1,0),"NOVO")</f>
        <v>47577</v>
      </c>
    </row>
    <row r="182" spans="1:4" hidden="1" x14ac:dyDescent="0.35">
      <c r="A182" s="1">
        <v>47576</v>
      </c>
      <c r="B182" s="2">
        <v>46316</v>
      </c>
      <c r="C182" s="1" t="s">
        <v>6</v>
      </c>
      <c r="D182" s="1">
        <f>IFERROR(VLOOKUP(RIT_FUSIONS[[#This Row],[ID]],RIT_ACUM!A:A,1,0),"NOVO")</f>
        <v>47576</v>
      </c>
    </row>
    <row r="183" spans="1:4" hidden="1" x14ac:dyDescent="0.35">
      <c r="A183" s="1">
        <v>47575</v>
      </c>
      <c r="B183" s="2">
        <v>46316</v>
      </c>
      <c r="C183" s="1" t="s">
        <v>6</v>
      </c>
      <c r="D183" s="1">
        <f>IFERROR(VLOOKUP(RIT_FUSIONS[[#This Row],[ID]],RIT_ACUM!A:A,1,0),"NOVO")</f>
        <v>47575</v>
      </c>
    </row>
    <row r="184" spans="1:4" hidden="1" x14ac:dyDescent="0.35">
      <c r="A184" s="1">
        <v>47574</v>
      </c>
      <c r="B184" s="2">
        <v>46316</v>
      </c>
      <c r="C184" s="1" t="s">
        <v>6</v>
      </c>
      <c r="D184" s="1">
        <f>IFERROR(VLOOKUP(RIT_FUSIONS[[#This Row],[ID]],RIT_ACUM!A:A,1,0),"NOVO")</f>
        <v>47574</v>
      </c>
    </row>
    <row r="185" spans="1:4" hidden="1" x14ac:dyDescent="0.35">
      <c r="A185" s="1">
        <v>47573</v>
      </c>
      <c r="B185" s="2">
        <v>46316</v>
      </c>
      <c r="C185" s="1" t="s">
        <v>6</v>
      </c>
      <c r="D185" s="1">
        <f>IFERROR(VLOOKUP(RIT_FUSIONS[[#This Row],[ID]],RIT_ACUM!A:A,1,0),"NOVO")</f>
        <v>47573</v>
      </c>
    </row>
    <row r="186" spans="1:4" hidden="1" x14ac:dyDescent="0.35">
      <c r="A186" s="1">
        <v>47572</v>
      </c>
      <c r="B186" s="2">
        <v>46316</v>
      </c>
      <c r="C186" s="1" t="s">
        <v>6</v>
      </c>
      <c r="D186" s="1">
        <f>IFERROR(VLOOKUP(RIT_FUSIONS[[#This Row],[ID]],RIT_ACUM!A:A,1,0),"NOVO")</f>
        <v>47572</v>
      </c>
    </row>
    <row r="187" spans="1:4" hidden="1" x14ac:dyDescent="0.35">
      <c r="A187" s="1">
        <v>47571</v>
      </c>
      <c r="B187" s="2">
        <v>46316</v>
      </c>
      <c r="C187" s="1" t="s">
        <v>6</v>
      </c>
      <c r="D187" s="1">
        <f>IFERROR(VLOOKUP(RIT_FUSIONS[[#This Row],[ID]],RIT_ACUM!A:A,1,0),"NOVO")</f>
        <v>47571</v>
      </c>
    </row>
    <row r="188" spans="1:4" hidden="1" x14ac:dyDescent="0.35">
      <c r="A188" s="1">
        <v>47569</v>
      </c>
      <c r="B188" s="2">
        <v>46316</v>
      </c>
      <c r="C188" s="1" t="s">
        <v>6</v>
      </c>
      <c r="D188" s="1">
        <f>IFERROR(VLOOKUP(RIT_FUSIONS[[#This Row],[ID]],RIT_ACUM!A:A,1,0),"NOVO")</f>
        <v>47569</v>
      </c>
    </row>
    <row r="189" spans="1:4" hidden="1" x14ac:dyDescent="0.35">
      <c r="A189" s="1">
        <v>47567</v>
      </c>
      <c r="B189" s="2">
        <v>46316</v>
      </c>
      <c r="C189" s="1" t="s">
        <v>3</v>
      </c>
      <c r="D189" s="1">
        <f>IFERROR(VLOOKUP(RIT_FUSIONS[[#This Row],[ID]],RIT_ACUM!A:A,1,0),"NOVO")</f>
        <v>47567</v>
      </c>
    </row>
    <row r="190" spans="1:4" hidden="1" x14ac:dyDescent="0.35">
      <c r="A190" s="1">
        <v>47566</v>
      </c>
      <c r="B190" s="2">
        <v>46316</v>
      </c>
      <c r="C190" s="1" t="s">
        <v>3</v>
      </c>
      <c r="D190" s="1">
        <f>IFERROR(VLOOKUP(RIT_FUSIONS[[#This Row],[ID]],RIT_ACUM!A:A,1,0),"NOVO")</f>
        <v>47566</v>
      </c>
    </row>
    <row r="191" spans="1:4" hidden="1" x14ac:dyDescent="0.35">
      <c r="A191" s="1">
        <v>47565</v>
      </c>
      <c r="B191" s="2">
        <v>46316</v>
      </c>
      <c r="C191" s="1" t="s">
        <v>3</v>
      </c>
      <c r="D191" s="1">
        <f>IFERROR(VLOOKUP(RIT_FUSIONS[[#This Row],[ID]],RIT_ACUM!A:A,1,0),"NOVO")</f>
        <v>47565</v>
      </c>
    </row>
    <row r="192" spans="1:4" hidden="1" x14ac:dyDescent="0.35">
      <c r="A192" s="1">
        <v>47561</v>
      </c>
      <c r="B192" s="2">
        <v>46316</v>
      </c>
      <c r="C192" s="1" t="s">
        <v>16</v>
      </c>
      <c r="D192" s="1">
        <f>IFERROR(VLOOKUP(RIT_FUSIONS[[#This Row],[ID]],RIT_ACUM!A:A,1,0),"NOVO")</f>
        <v>47561</v>
      </c>
    </row>
    <row r="193" spans="1:4" hidden="1" x14ac:dyDescent="0.35">
      <c r="A193" s="1">
        <v>47560</v>
      </c>
      <c r="B193" s="2">
        <v>46316</v>
      </c>
      <c r="C193" s="1" t="s">
        <v>16</v>
      </c>
      <c r="D193" s="1">
        <f>IFERROR(VLOOKUP(RIT_FUSIONS[[#This Row],[ID]],RIT_ACUM!A:A,1,0),"NOVO")</f>
        <v>47560</v>
      </c>
    </row>
    <row r="194" spans="1:4" hidden="1" x14ac:dyDescent="0.35">
      <c r="A194" s="1">
        <v>47559</v>
      </c>
      <c r="B194" s="2">
        <v>46316</v>
      </c>
      <c r="C194" s="1" t="s">
        <v>16</v>
      </c>
      <c r="D194" s="1">
        <f>IFERROR(VLOOKUP(RIT_FUSIONS[[#This Row],[ID]],RIT_ACUM!A:A,1,0),"NOVO")</f>
        <v>47559</v>
      </c>
    </row>
    <row r="195" spans="1:4" hidden="1" x14ac:dyDescent="0.35">
      <c r="A195" s="1">
        <v>47557</v>
      </c>
      <c r="B195" s="2">
        <v>46316</v>
      </c>
      <c r="C195" s="1" t="s">
        <v>16</v>
      </c>
      <c r="D195" s="1">
        <f>IFERROR(VLOOKUP(RIT_FUSIONS[[#This Row],[ID]],RIT_ACUM!A:A,1,0),"NOVO")</f>
        <v>47557</v>
      </c>
    </row>
    <row r="196" spans="1:4" hidden="1" x14ac:dyDescent="0.35">
      <c r="A196" s="1">
        <v>47556</v>
      </c>
      <c r="B196" s="2">
        <v>46315</v>
      </c>
      <c r="C196" s="1" t="s">
        <v>16</v>
      </c>
      <c r="D196" s="1">
        <f>IFERROR(VLOOKUP(RIT_FUSIONS[[#This Row],[ID]],RIT_ACUM!A:A,1,0),"NOVO")</f>
        <v>47556</v>
      </c>
    </row>
    <row r="197" spans="1:4" hidden="1" x14ac:dyDescent="0.35">
      <c r="A197" s="1">
        <v>47555</v>
      </c>
      <c r="B197" s="2">
        <v>46316</v>
      </c>
      <c r="C197" s="1" t="s">
        <v>19</v>
      </c>
      <c r="D197" s="1">
        <f>IFERROR(VLOOKUP(RIT_FUSIONS[[#This Row],[ID]],RIT_ACUM!A:A,1,0),"NOVO")</f>
        <v>47555</v>
      </c>
    </row>
    <row r="198" spans="1:4" hidden="1" x14ac:dyDescent="0.35">
      <c r="A198" s="1">
        <v>47554</v>
      </c>
      <c r="B198" s="2">
        <v>46316</v>
      </c>
      <c r="C198" s="1" t="s">
        <v>19</v>
      </c>
      <c r="D198" s="1">
        <f>IFERROR(VLOOKUP(RIT_FUSIONS[[#This Row],[ID]],RIT_ACUM!A:A,1,0),"NOVO")</f>
        <v>47554</v>
      </c>
    </row>
    <row r="199" spans="1:4" hidden="1" x14ac:dyDescent="0.35">
      <c r="A199" s="1">
        <v>47553</v>
      </c>
      <c r="B199" s="2">
        <v>46316</v>
      </c>
      <c r="C199" s="1" t="s">
        <v>4</v>
      </c>
      <c r="D199" s="1">
        <f>IFERROR(VLOOKUP(RIT_FUSIONS[[#This Row],[ID]],RIT_ACUM!A:A,1,0),"NOVO")</f>
        <v>47553</v>
      </c>
    </row>
    <row r="200" spans="1:4" hidden="1" x14ac:dyDescent="0.35">
      <c r="A200" s="1">
        <v>47552</v>
      </c>
      <c r="B200" s="2">
        <v>46316</v>
      </c>
      <c r="C200" s="1" t="s">
        <v>4</v>
      </c>
      <c r="D200" s="1">
        <f>IFERROR(VLOOKUP(RIT_FUSIONS[[#This Row],[ID]],RIT_ACUM!A:A,1,0),"NOVO")</f>
        <v>47552</v>
      </c>
    </row>
    <row r="201" spans="1:4" hidden="1" x14ac:dyDescent="0.35">
      <c r="A201" s="1">
        <v>47551</v>
      </c>
      <c r="B201" s="2">
        <v>46316</v>
      </c>
      <c r="C201" s="1" t="s">
        <v>4</v>
      </c>
      <c r="D201" s="1">
        <f>IFERROR(VLOOKUP(RIT_FUSIONS[[#This Row],[ID]],RIT_ACUM!A:A,1,0),"NOVO")</f>
        <v>47551</v>
      </c>
    </row>
    <row r="202" spans="1:4" hidden="1" x14ac:dyDescent="0.35">
      <c r="A202" s="1">
        <v>47550</v>
      </c>
      <c r="B202" s="2">
        <v>46316</v>
      </c>
      <c r="C202" s="1" t="s">
        <v>9</v>
      </c>
      <c r="D202" s="1">
        <f>IFERROR(VLOOKUP(RIT_FUSIONS[[#This Row],[ID]],RIT_ACUM!A:A,1,0),"NOVO")</f>
        <v>47550</v>
      </c>
    </row>
    <row r="203" spans="1:4" hidden="1" x14ac:dyDescent="0.35">
      <c r="A203" s="1">
        <v>47546</v>
      </c>
      <c r="B203" s="2">
        <v>46316</v>
      </c>
      <c r="C203" s="1" t="s">
        <v>19</v>
      </c>
      <c r="D203" s="1">
        <f>IFERROR(VLOOKUP(RIT_FUSIONS[[#This Row],[ID]],RIT_ACUM!A:A,1,0),"NOVO")</f>
        <v>47546</v>
      </c>
    </row>
    <row r="204" spans="1:4" hidden="1" x14ac:dyDescent="0.35">
      <c r="A204" s="1">
        <v>47538</v>
      </c>
      <c r="B204" s="2">
        <v>46316</v>
      </c>
      <c r="C204" s="1" t="s">
        <v>20</v>
      </c>
      <c r="D204" s="1">
        <f>IFERROR(VLOOKUP(RIT_FUSIONS[[#This Row],[ID]],RIT_ACUM!A:A,1,0),"NOVO")</f>
        <v>47538</v>
      </c>
    </row>
    <row r="205" spans="1:4" hidden="1" x14ac:dyDescent="0.35">
      <c r="A205" s="1">
        <v>47537</v>
      </c>
      <c r="B205" s="2">
        <v>46316</v>
      </c>
      <c r="C205" s="1" t="s">
        <v>20</v>
      </c>
      <c r="D205" s="1">
        <f>IFERROR(VLOOKUP(RIT_FUSIONS[[#This Row],[ID]],RIT_ACUM!A:A,1,0),"NOVO")</f>
        <v>47537</v>
      </c>
    </row>
    <row r="206" spans="1:4" hidden="1" x14ac:dyDescent="0.35">
      <c r="A206" s="1">
        <v>47536</v>
      </c>
      <c r="B206" s="2">
        <v>46316</v>
      </c>
      <c r="C206" s="1" t="s">
        <v>20</v>
      </c>
      <c r="D206" s="1">
        <f>IFERROR(VLOOKUP(RIT_FUSIONS[[#This Row],[ID]],RIT_ACUM!A:A,1,0),"NOVO")</f>
        <v>47536</v>
      </c>
    </row>
    <row r="207" spans="1:4" hidden="1" x14ac:dyDescent="0.35">
      <c r="A207" s="1">
        <v>47535</v>
      </c>
      <c r="B207" s="2">
        <v>46315</v>
      </c>
      <c r="C207" s="1" t="s">
        <v>10</v>
      </c>
      <c r="D207" s="1">
        <f>IFERROR(VLOOKUP(RIT_FUSIONS[[#This Row],[ID]],RIT_ACUM!A:A,1,0),"NOVO")</f>
        <v>47535</v>
      </c>
    </row>
    <row r="208" spans="1:4" hidden="1" x14ac:dyDescent="0.35">
      <c r="A208" s="1">
        <v>47534</v>
      </c>
      <c r="B208" s="2">
        <v>46315</v>
      </c>
      <c r="C208" s="1" t="s">
        <v>10</v>
      </c>
      <c r="D208" s="1">
        <f>IFERROR(VLOOKUP(RIT_FUSIONS[[#This Row],[ID]],RIT_ACUM!A:A,1,0),"NOVO")</f>
        <v>47534</v>
      </c>
    </row>
    <row r="209" spans="1:4" hidden="1" x14ac:dyDescent="0.35">
      <c r="A209" s="1">
        <v>47533</v>
      </c>
      <c r="B209" s="2">
        <v>46315</v>
      </c>
      <c r="C209" s="1" t="s">
        <v>103</v>
      </c>
      <c r="D209" s="1">
        <f>IFERROR(VLOOKUP(RIT_FUSIONS[[#This Row],[ID]],RIT_ACUM!A:A,1,0),"NOVO")</f>
        <v>47533</v>
      </c>
    </row>
    <row r="210" spans="1:4" hidden="1" x14ac:dyDescent="0.35">
      <c r="A210" s="1">
        <v>47532</v>
      </c>
      <c r="B210" s="2">
        <v>46315</v>
      </c>
      <c r="C210" s="1" t="s">
        <v>103</v>
      </c>
      <c r="D210" s="1">
        <f>IFERROR(VLOOKUP(RIT_FUSIONS[[#This Row],[ID]],RIT_ACUM!A:A,1,0),"NOVO")</f>
        <v>47532</v>
      </c>
    </row>
    <row r="211" spans="1:4" hidden="1" x14ac:dyDescent="0.35">
      <c r="A211" s="1">
        <v>47531</v>
      </c>
      <c r="B211" s="2">
        <v>46315</v>
      </c>
      <c r="C211" s="1" t="s">
        <v>103</v>
      </c>
      <c r="D211" s="1">
        <f>IFERROR(VLOOKUP(RIT_FUSIONS[[#This Row],[ID]],RIT_ACUM!A:A,1,0),"NOVO")</f>
        <v>47531</v>
      </c>
    </row>
    <row r="212" spans="1:4" hidden="1" x14ac:dyDescent="0.35">
      <c r="A212" s="1">
        <v>47526</v>
      </c>
      <c r="B212" s="2">
        <v>46314</v>
      </c>
      <c r="C212" s="1" t="s">
        <v>11</v>
      </c>
      <c r="D212" s="1">
        <f>IFERROR(VLOOKUP(RIT_FUSIONS[[#This Row],[ID]],RIT_ACUM!A:A,1,0),"NOVO")</f>
        <v>47526</v>
      </c>
    </row>
    <row r="213" spans="1:4" hidden="1" x14ac:dyDescent="0.35">
      <c r="A213" s="1">
        <v>47525</v>
      </c>
      <c r="B213" s="2">
        <v>46315</v>
      </c>
      <c r="C213" s="1" t="s">
        <v>4</v>
      </c>
      <c r="D213" s="1">
        <f>IFERROR(VLOOKUP(RIT_FUSIONS[[#This Row],[ID]],RIT_ACUM!A:A,1,0),"NOVO")</f>
        <v>47525</v>
      </c>
    </row>
    <row r="214" spans="1:4" hidden="1" x14ac:dyDescent="0.35">
      <c r="A214" s="1">
        <v>47524</v>
      </c>
      <c r="B214" s="2">
        <v>46315</v>
      </c>
      <c r="C214" s="1" t="s">
        <v>4</v>
      </c>
      <c r="D214" s="1">
        <f>IFERROR(VLOOKUP(RIT_FUSIONS[[#This Row],[ID]],RIT_ACUM!A:A,1,0),"NOVO")</f>
        <v>47524</v>
      </c>
    </row>
    <row r="215" spans="1:4" hidden="1" x14ac:dyDescent="0.35">
      <c r="A215" s="1">
        <v>47523</v>
      </c>
      <c r="B215" s="2">
        <v>46315</v>
      </c>
      <c r="C215" s="1" t="s">
        <v>9</v>
      </c>
      <c r="D215" s="1">
        <f>IFERROR(VLOOKUP(RIT_FUSIONS[[#This Row],[ID]],RIT_ACUM!A:A,1,0),"NOVO")</f>
        <v>47523</v>
      </c>
    </row>
    <row r="216" spans="1:4" hidden="1" x14ac:dyDescent="0.35">
      <c r="A216" s="1">
        <v>47522</v>
      </c>
      <c r="B216" s="2">
        <v>46315</v>
      </c>
      <c r="C216" s="1" t="s">
        <v>3</v>
      </c>
      <c r="D216" s="1">
        <f>IFERROR(VLOOKUP(RIT_FUSIONS[[#This Row],[ID]],RIT_ACUM!A:A,1,0),"NOVO")</f>
        <v>47522</v>
      </c>
    </row>
    <row r="217" spans="1:4" hidden="1" x14ac:dyDescent="0.35">
      <c r="A217" s="1">
        <v>47521</v>
      </c>
      <c r="B217" s="2">
        <v>46315</v>
      </c>
      <c r="C217" s="1" t="s">
        <v>9</v>
      </c>
      <c r="D217" s="1">
        <f>IFERROR(VLOOKUP(RIT_FUSIONS[[#This Row],[ID]],RIT_ACUM!A:A,1,0),"NOVO")</f>
        <v>47521</v>
      </c>
    </row>
    <row r="218" spans="1:4" hidden="1" x14ac:dyDescent="0.35">
      <c r="A218" s="1">
        <v>47520</v>
      </c>
      <c r="B218" s="2">
        <v>46315</v>
      </c>
      <c r="C218" s="1" t="s">
        <v>19</v>
      </c>
      <c r="D218" s="1">
        <f>IFERROR(VLOOKUP(RIT_FUSIONS[[#This Row],[ID]],RIT_ACUM!A:A,1,0),"NOVO")</f>
        <v>47520</v>
      </c>
    </row>
    <row r="219" spans="1:4" hidden="1" x14ac:dyDescent="0.35">
      <c r="A219" s="1">
        <v>47519</v>
      </c>
      <c r="B219" s="2">
        <v>46315</v>
      </c>
      <c r="C219" s="1" t="s">
        <v>22</v>
      </c>
      <c r="D219" s="1">
        <f>IFERROR(VLOOKUP(RIT_FUSIONS[[#This Row],[ID]],RIT_ACUM!A:A,1,0),"NOVO")</f>
        <v>47519</v>
      </c>
    </row>
    <row r="220" spans="1:4" hidden="1" x14ac:dyDescent="0.35">
      <c r="A220" s="1">
        <v>47518</v>
      </c>
      <c r="B220" s="2">
        <v>46315</v>
      </c>
      <c r="C220" s="1" t="s">
        <v>22</v>
      </c>
      <c r="D220" s="1">
        <f>IFERROR(VLOOKUP(RIT_FUSIONS[[#This Row],[ID]],RIT_ACUM!A:A,1,0),"NOVO")</f>
        <v>47518</v>
      </c>
    </row>
    <row r="221" spans="1:4" hidden="1" x14ac:dyDescent="0.35">
      <c r="A221" s="1">
        <v>47517</v>
      </c>
      <c r="B221" s="2">
        <v>46315</v>
      </c>
      <c r="C221" s="1" t="s">
        <v>22</v>
      </c>
      <c r="D221" s="1">
        <f>IFERROR(VLOOKUP(RIT_FUSIONS[[#This Row],[ID]],RIT_ACUM!A:A,1,0),"NOVO")</f>
        <v>47517</v>
      </c>
    </row>
    <row r="222" spans="1:4" hidden="1" x14ac:dyDescent="0.35">
      <c r="A222" s="1">
        <v>47516</v>
      </c>
      <c r="B222" s="2">
        <v>46315</v>
      </c>
      <c r="C222" s="1" t="s">
        <v>22</v>
      </c>
      <c r="D222" s="1">
        <f>IFERROR(VLOOKUP(RIT_FUSIONS[[#This Row],[ID]],RIT_ACUM!A:A,1,0),"NOVO")</f>
        <v>47516</v>
      </c>
    </row>
    <row r="223" spans="1:4" hidden="1" x14ac:dyDescent="0.35">
      <c r="A223" s="1">
        <v>47515</v>
      </c>
      <c r="B223" s="2">
        <v>46315</v>
      </c>
      <c r="C223" s="1" t="s">
        <v>6</v>
      </c>
      <c r="D223" s="1">
        <f>IFERROR(VLOOKUP(RIT_FUSIONS[[#This Row],[ID]],RIT_ACUM!A:A,1,0),"NOVO")</f>
        <v>47515</v>
      </c>
    </row>
    <row r="224" spans="1:4" hidden="1" x14ac:dyDescent="0.35">
      <c r="A224" s="1">
        <v>47514</v>
      </c>
      <c r="B224" s="2">
        <v>46315</v>
      </c>
      <c r="C224" s="1" t="s">
        <v>6</v>
      </c>
      <c r="D224" s="1">
        <f>IFERROR(VLOOKUP(RIT_FUSIONS[[#This Row],[ID]],RIT_ACUM!A:A,1,0),"NOVO")</f>
        <v>47514</v>
      </c>
    </row>
    <row r="225" spans="1:4" hidden="1" x14ac:dyDescent="0.35">
      <c r="A225" s="1">
        <v>47513</v>
      </c>
      <c r="B225" s="2">
        <v>46315</v>
      </c>
      <c r="C225" s="1" t="s">
        <v>3</v>
      </c>
      <c r="D225" s="1">
        <f>IFERROR(VLOOKUP(RIT_FUSIONS[[#This Row],[ID]],RIT_ACUM!A:A,1,0),"NOVO")</f>
        <v>47513</v>
      </c>
    </row>
    <row r="226" spans="1:4" hidden="1" x14ac:dyDescent="0.35">
      <c r="A226" s="1">
        <v>47512</v>
      </c>
      <c r="B226" s="2">
        <v>46315</v>
      </c>
      <c r="C226" s="1" t="s">
        <v>21</v>
      </c>
      <c r="D226" s="1">
        <f>IFERROR(VLOOKUP(RIT_FUSIONS[[#This Row],[ID]],RIT_ACUM!A:A,1,0),"NOVO")</f>
        <v>47512</v>
      </c>
    </row>
    <row r="227" spans="1:4" hidden="1" x14ac:dyDescent="0.35">
      <c r="A227" s="1">
        <v>47511</v>
      </c>
      <c r="B227" s="2">
        <v>46315</v>
      </c>
      <c r="C227" s="1" t="s">
        <v>7</v>
      </c>
      <c r="D227" s="1">
        <f>IFERROR(VLOOKUP(RIT_FUSIONS[[#This Row],[ID]],RIT_ACUM!A:A,1,0),"NOVO")</f>
        <v>47511</v>
      </c>
    </row>
    <row r="228" spans="1:4" hidden="1" x14ac:dyDescent="0.35">
      <c r="A228" s="1">
        <v>47510</v>
      </c>
      <c r="B228" s="2">
        <v>46315</v>
      </c>
      <c r="C228" s="1" t="s">
        <v>9</v>
      </c>
      <c r="D228" s="1">
        <f>IFERROR(VLOOKUP(RIT_FUSIONS[[#This Row],[ID]],RIT_ACUM!A:A,1,0),"NOVO")</f>
        <v>47510</v>
      </c>
    </row>
    <row r="229" spans="1:4" hidden="1" x14ac:dyDescent="0.35">
      <c r="A229" s="1">
        <v>47509</v>
      </c>
      <c r="B229" s="2">
        <v>46315</v>
      </c>
      <c r="C229" s="1" t="s">
        <v>9</v>
      </c>
      <c r="D229" s="1">
        <f>IFERROR(VLOOKUP(RIT_FUSIONS[[#This Row],[ID]],RIT_ACUM!A:A,1,0),"NOVO")</f>
        <v>47509</v>
      </c>
    </row>
    <row r="230" spans="1:4" hidden="1" x14ac:dyDescent="0.35">
      <c r="A230" s="1">
        <v>47508</v>
      </c>
      <c r="B230" s="2">
        <v>46315</v>
      </c>
      <c r="C230" s="1" t="s">
        <v>7</v>
      </c>
      <c r="D230" s="1">
        <f>IFERROR(VLOOKUP(RIT_FUSIONS[[#This Row],[ID]],RIT_ACUM!A:A,1,0),"NOVO")</f>
        <v>47508</v>
      </c>
    </row>
    <row r="231" spans="1:4" hidden="1" x14ac:dyDescent="0.35">
      <c r="A231" s="1">
        <v>47507</v>
      </c>
      <c r="B231" s="2">
        <v>46315</v>
      </c>
      <c r="C231" s="1" t="s">
        <v>3</v>
      </c>
      <c r="D231" s="1">
        <f>IFERROR(VLOOKUP(RIT_FUSIONS[[#This Row],[ID]],RIT_ACUM!A:A,1,0),"NOVO")</f>
        <v>47507</v>
      </c>
    </row>
    <row r="232" spans="1:4" hidden="1" x14ac:dyDescent="0.35">
      <c r="A232" s="1">
        <v>47506</v>
      </c>
      <c r="B232" s="2">
        <v>46314</v>
      </c>
      <c r="C232" s="1" t="s">
        <v>21</v>
      </c>
      <c r="D232" s="1">
        <f>IFERROR(VLOOKUP(RIT_FUSIONS[[#This Row],[ID]],RIT_ACUM!A:A,1,0),"NOVO")</f>
        <v>47506</v>
      </c>
    </row>
    <row r="233" spans="1:4" hidden="1" x14ac:dyDescent="0.35">
      <c r="A233" s="1">
        <v>47505</v>
      </c>
      <c r="B233" s="2">
        <v>46314</v>
      </c>
      <c r="C233" s="1" t="s">
        <v>21</v>
      </c>
      <c r="D233" s="1">
        <f>IFERROR(VLOOKUP(RIT_FUSIONS[[#This Row],[ID]],RIT_ACUM!A:A,1,0),"NOVO")</f>
        <v>47505</v>
      </c>
    </row>
    <row r="234" spans="1:4" hidden="1" x14ac:dyDescent="0.35">
      <c r="A234" s="1">
        <v>47504</v>
      </c>
      <c r="B234" s="2">
        <v>46314</v>
      </c>
      <c r="C234" s="1" t="s">
        <v>21</v>
      </c>
      <c r="D234" s="1">
        <f>IFERROR(VLOOKUP(RIT_FUSIONS[[#This Row],[ID]],RIT_ACUM!A:A,1,0),"NOVO")</f>
        <v>47504</v>
      </c>
    </row>
    <row r="235" spans="1:4" hidden="1" x14ac:dyDescent="0.35">
      <c r="A235" s="1">
        <v>47503</v>
      </c>
      <c r="B235" s="2">
        <v>46315</v>
      </c>
      <c r="C235" s="1" t="s">
        <v>21</v>
      </c>
      <c r="D235" s="1">
        <f>IFERROR(VLOOKUP(RIT_FUSIONS[[#This Row],[ID]],RIT_ACUM!A:A,1,0),"NOVO")</f>
        <v>47503</v>
      </c>
    </row>
    <row r="236" spans="1:4" hidden="1" x14ac:dyDescent="0.35">
      <c r="A236" s="1">
        <v>47502</v>
      </c>
      <c r="B236" s="2">
        <v>46314</v>
      </c>
      <c r="C236" s="1" t="s">
        <v>21</v>
      </c>
      <c r="D236" s="1">
        <f>IFERROR(VLOOKUP(RIT_FUSIONS[[#This Row],[ID]],RIT_ACUM!A:A,1,0),"NOVO")</f>
        <v>47502</v>
      </c>
    </row>
    <row r="237" spans="1:4" hidden="1" x14ac:dyDescent="0.35">
      <c r="A237" s="1">
        <v>47501</v>
      </c>
      <c r="B237" s="2">
        <v>46314</v>
      </c>
      <c r="C237" s="1" t="s">
        <v>21</v>
      </c>
      <c r="D237" s="1">
        <f>IFERROR(VLOOKUP(RIT_FUSIONS[[#This Row],[ID]],RIT_ACUM!A:A,1,0),"NOVO")</f>
        <v>47501</v>
      </c>
    </row>
    <row r="238" spans="1:4" hidden="1" x14ac:dyDescent="0.35">
      <c r="A238" s="1">
        <v>47500</v>
      </c>
      <c r="B238" s="2">
        <v>46315</v>
      </c>
      <c r="C238" s="1" t="s">
        <v>21</v>
      </c>
      <c r="D238" s="1">
        <f>IFERROR(VLOOKUP(RIT_FUSIONS[[#This Row],[ID]],RIT_ACUM!A:A,1,0),"NOVO")</f>
        <v>47500</v>
      </c>
    </row>
    <row r="239" spans="1:4" hidden="1" x14ac:dyDescent="0.35">
      <c r="A239" s="1">
        <v>47499</v>
      </c>
      <c r="B239" s="2">
        <v>46315</v>
      </c>
      <c r="C239" s="1" t="s">
        <v>3</v>
      </c>
      <c r="D239" s="1">
        <f>IFERROR(VLOOKUP(RIT_FUSIONS[[#This Row],[ID]],RIT_ACUM!A:A,1,0),"NOVO")</f>
        <v>47499</v>
      </c>
    </row>
    <row r="240" spans="1:4" hidden="1" x14ac:dyDescent="0.35">
      <c r="A240" s="1">
        <v>47498</v>
      </c>
      <c r="B240" s="2">
        <v>46315</v>
      </c>
      <c r="C240" s="1" t="s">
        <v>19</v>
      </c>
      <c r="D240" s="1">
        <f>IFERROR(VLOOKUP(RIT_FUSIONS[[#This Row],[ID]],RIT_ACUM!A:A,1,0),"NOVO")</f>
        <v>47498</v>
      </c>
    </row>
    <row r="241" spans="1:4" hidden="1" x14ac:dyDescent="0.35">
      <c r="A241" s="1">
        <v>47496</v>
      </c>
      <c r="B241" s="2">
        <v>46315</v>
      </c>
      <c r="C241" s="1" t="s">
        <v>6</v>
      </c>
      <c r="D241" s="1">
        <f>IFERROR(VLOOKUP(RIT_FUSIONS[[#This Row],[ID]],RIT_ACUM!A:A,1,0),"NOVO")</f>
        <v>47496</v>
      </c>
    </row>
    <row r="242" spans="1:4" hidden="1" x14ac:dyDescent="0.35">
      <c r="A242" s="1">
        <v>47495</v>
      </c>
      <c r="B242" s="2">
        <v>46315</v>
      </c>
      <c r="C242" s="1" t="s">
        <v>6</v>
      </c>
      <c r="D242" s="1">
        <f>IFERROR(VLOOKUP(RIT_FUSIONS[[#This Row],[ID]],RIT_ACUM!A:A,1,0),"NOVO")</f>
        <v>47495</v>
      </c>
    </row>
    <row r="243" spans="1:4" hidden="1" x14ac:dyDescent="0.35">
      <c r="A243" s="1">
        <v>47493</v>
      </c>
      <c r="B243" s="2">
        <v>46315</v>
      </c>
      <c r="C243" s="1" t="s">
        <v>3</v>
      </c>
      <c r="D243" s="1">
        <f>IFERROR(VLOOKUP(RIT_FUSIONS[[#This Row],[ID]],RIT_ACUM!A:A,1,0),"NOVO")</f>
        <v>47493</v>
      </c>
    </row>
    <row r="244" spans="1:4" hidden="1" x14ac:dyDescent="0.35">
      <c r="A244" s="1">
        <v>47490</v>
      </c>
      <c r="B244" s="2">
        <v>46315</v>
      </c>
      <c r="C244" s="1" t="s">
        <v>19</v>
      </c>
      <c r="D244" s="1">
        <f>IFERROR(VLOOKUP(RIT_FUSIONS[[#This Row],[ID]],RIT_ACUM!A:A,1,0),"NOVO")</f>
        <v>47490</v>
      </c>
    </row>
    <row r="245" spans="1:4" hidden="1" x14ac:dyDescent="0.35">
      <c r="A245" s="1">
        <v>47489</v>
      </c>
      <c r="B245" s="2">
        <v>46314</v>
      </c>
      <c r="C245" s="1" t="s">
        <v>3</v>
      </c>
      <c r="D245" s="1">
        <f>IFERROR(VLOOKUP(RIT_FUSIONS[[#This Row],[ID]],RIT_ACUM!A:A,1,0),"NOVO")</f>
        <v>47489</v>
      </c>
    </row>
    <row r="246" spans="1:4" hidden="1" x14ac:dyDescent="0.35">
      <c r="A246" s="1">
        <v>47476</v>
      </c>
      <c r="B246" s="2">
        <v>46314</v>
      </c>
      <c r="C246" s="1" t="s">
        <v>10</v>
      </c>
      <c r="D246" s="1">
        <f>IFERROR(VLOOKUP(RIT_FUSIONS[[#This Row],[ID]],RIT_ACUM!A:A,1,0),"NOVO")</f>
        <v>47476</v>
      </c>
    </row>
    <row r="247" spans="1:4" hidden="1" x14ac:dyDescent="0.35">
      <c r="A247" s="1">
        <v>47475</v>
      </c>
      <c r="B247" s="2">
        <v>46314</v>
      </c>
      <c r="C247" s="1" t="s">
        <v>10</v>
      </c>
      <c r="D247" s="1">
        <f>IFERROR(VLOOKUP(RIT_FUSIONS[[#This Row],[ID]],RIT_ACUM!A:A,1,0),"NOVO")</f>
        <v>47475</v>
      </c>
    </row>
    <row r="248" spans="1:4" hidden="1" x14ac:dyDescent="0.35">
      <c r="A248" s="1">
        <v>47470</v>
      </c>
      <c r="B248" s="2">
        <v>46314</v>
      </c>
      <c r="C248" s="1" t="s">
        <v>7</v>
      </c>
      <c r="D248" s="1">
        <f>IFERROR(VLOOKUP(RIT_FUSIONS[[#This Row],[ID]],RIT_ACUM!A:A,1,0),"NOVO")</f>
        <v>47470</v>
      </c>
    </row>
    <row r="249" spans="1:4" hidden="1" x14ac:dyDescent="0.35">
      <c r="A249" s="1">
        <v>47469</v>
      </c>
      <c r="B249" s="2">
        <v>46314</v>
      </c>
      <c r="C249" s="1" t="s">
        <v>22</v>
      </c>
      <c r="D249" s="1">
        <f>IFERROR(VLOOKUP(RIT_FUSIONS[[#This Row],[ID]],RIT_ACUM!A:A,1,0),"NOVO")</f>
        <v>47469</v>
      </c>
    </row>
    <row r="250" spans="1:4" hidden="1" x14ac:dyDescent="0.35">
      <c r="A250" s="1">
        <v>47468</v>
      </c>
      <c r="B250" s="2">
        <v>46314</v>
      </c>
      <c r="C250" s="1" t="s">
        <v>22</v>
      </c>
      <c r="D250" s="1">
        <f>IFERROR(VLOOKUP(RIT_FUSIONS[[#This Row],[ID]],RIT_ACUM!A:A,1,0),"NOVO")</f>
        <v>47468</v>
      </c>
    </row>
    <row r="251" spans="1:4" hidden="1" x14ac:dyDescent="0.35">
      <c r="A251" s="1">
        <v>47467</v>
      </c>
      <c r="B251" s="2">
        <v>46314</v>
      </c>
      <c r="C251" s="1" t="s">
        <v>9</v>
      </c>
      <c r="D251" s="1">
        <f>IFERROR(VLOOKUP(RIT_FUSIONS[[#This Row],[ID]],RIT_ACUM!A:A,1,0),"NOVO")</f>
        <v>47467</v>
      </c>
    </row>
    <row r="252" spans="1:4" hidden="1" x14ac:dyDescent="0.35">
      <c r="A252" s="1">
        <v>47466</v>
      </c>
      <c r="B252" s="2">
        <v>46314</v>
      </c>
      <c r="C252" s="1" t="s">
        <v>22</v>
      </c>
      <c r="D252" s="1">
        <f>IFERROR(VLOOKUP(RIT_FUSIONS[[#This Row],[ID]],RIT_ACUM!A:A,1,0),"NOVO")</f>
        <v>47466</v>
      </c>
    </row>
    <row r="253" spans="1:4" hidden="1" x14ac:dyDescent="0.35">
      <c r="A253" s="1">
        <v>47465</v>
      </c>
      <c r="B253" s="2">
        <v>46314</v>
      </c>
      <c r="C253" s="1" t="s">
        <v>9</v>
      </c>
      <c r="D253" s="1">
        <f>IFERROR(VLOOKUP(RIT_FUSIONS[[#This Row],[ID]],RIT_ACUM!A:A,1,0),"NOVO")</f>
        <v>47465</v>
      </c>
    </row>
    <row r="254" spans="1:4" hidden="1" x14ac:dyDescent="0.35">
      <c r="A254" s="1">
        <v>47464</v>
      </c>
      <c r="B254" s="2">
        <v>46314</v>
      </c>
      <c r="C254" s="1" t="s">
        <v>22</v>
      </c>
      <c r="D254" s="1">
        <f>IFERROR(VLOOKUP(RIT_FUSIONS[[#This Row],[ID]],RIT_ACUM!A:A,1,0),"NOVO")</f>
        <v>47464</v>
      </c>
    </row>
    <row r="255" spans="1:4" hidden="1" x14ac:dyDescent="0.35">
      <c r="A255" s="1">
        <v>47461</v>
      </c>
      <c r="B255" s="2">
        <v>46314</v>
      </c>
      <c r="C255" s="1" t="s">
        <v>3</v>
      </c>
      <c r="D255" s="1">
        <f>IFERROR(VLOOKUP(RIT_FUSIONS[[#This Row],[ID]],RIT_ACUM!A:A,1,0),"NOVO")</f>
        <v>47461</v>
      </c>
    </row>
    <row r="256" spans="1:4" hidden="1" x14ac:dyDescent="0.35">
      <c r="A256" s="1">
        <v>47460</v>
      </c>
      <c r="B256" s="2">
        <v>46314</v>
      </c>
      <c r="C256" s="1" t="s">
        <v>6</v>
      </c>
      <c r="D256" s="1">
        <f>IFERROR(VLOOKUP(RIT_FUSIONS[[#This Row],[ID]],RIT_ACUM!A:A,1,0),"NOVO")</f>
        <v>47460</v>
      </c>
    </row>
    <row r="257" spans="1:4" hidden="1" x14ac:dyDescent="0.35">
      <c r="A257" s="1">
        <v>47459</v>
      </c>
      <c r="B257" s="2">
        <v>46314</v>
      </c>
      <c r="C257" s="1" t="s">
        <v>6</v>
      </c>
      <c r="D257" s="1">
        <f>IFERROR(VLOOKUP(RIT_FUSIONS[[#This Row],[ID]],RIT_ACUM!A:A,1,0),"NOVO")</f>
        <v>47459</v>
      </c>
    </row>
    <row r="258" spans="1:4" hidden="1" x14ac:dyDescent="0.35">
      <c r="A258" s="1">
        <v>47457</v>
      </c>
      <c r="B258" s="2">
        <v>46314</v>
      </c>
      <c r="C258" s="1" t="s">
        <v>17</v>
      </c>
      <c r="D258" s="1">
        <f>IFERROR(VLOOKUP(RIT_FUSIONS[[#This Row],[ID]],RIT_ACUM!A:A,1,0),"NOVO")</f>
        <v>47457</v>
      </c>
    </row>
    <row r="259" spans="1:4" hidden="1" x14ac:dyDescent="0.35">
      <c r="A259" s="1">
        <v>47456</v>
      </c>
      <c r="B259" s="2">
        <v>46314</v>
      </c>
      <c r="C259" s="1" t="s">
        <v>17</v>
      </c>
      <c r="D259" s="1">
        <f>IFERROR(VLOOKUP(RIT_FUSIONS[[#This Row],[ID]],RIT_ACUM!A:A,1,0),"NOVO")</f>
        <v>47456</v>
      </c>
    </row>
    <row r="260" spans="1:4" hidden="1" x14ac:dyDescent="0.35">
      <c r="A260" s="1">
        <v>47455</v>
      </c>
      <c r="B260" s="2">
        <v>46314</v>
      </c>
      <c r="C260" s="1" t="s">
        <v>17</v>
      </c>
      <c r="D260" s="1">
        <f>IFERROR(VLOOKUP(RIT_FUSIONS[[#This Row],[ID]],RIT_ACUM!A:A,1,0),"NOVO")</f>
        <v>47455</v>
      </c>
    </row>
    <row r="261" spans="1:4" hidden="1" x14ac:dyDescent="0.35">
      <c r="A261" s="1">
        <v>47453</v>
      </c>
      <c r="B261" s="2">
        <v>46314</v>
      </c>
      <c r="C261" s="1" t="s">
        <v>3</v>
      </c>
      <c r="D261" s="1">
        <f>IFERROR(VLOOKUP(RIT_FUSIONS[[#This Row],[ID]],RIT_ACUM!A:A,1,0),"NOVO")</f>
        <v>47453</v>
      </c>
    </row>
    <row r="262" spans="1:4" hidden="1" x14ac:dyDescent="0.35">
      <c r="A262" s="1">
        <v>47452</v>
      </c>
      <c r="B262" s="2">
        <v>46314</v>
      </c>
      <c r="C262" s="1" t="s">
        <v>3</v>
      </c>
      <c r="D262" s="1">
        <f>IFERROR(VLOOKUP(RIT_FUSIONS[[#This Row],[ID]],RIT_ACUM!A:A,1,0),"NOVO")</f>
        <v>47452</v>
      </c>
    </row>
    <row r="263" spans="1:4" hidden="1" x14ac:dyDescent="0.35">
      <c r="A263" s="1">
        <v>47451</v>
      </c>
      <c r="B263" s="2">
        <v>46314</v>
      </c>
      <c r="C263" s="1" t="s">
        <v>9</v>
      </c>
      <c r="D263" s="1">
        <f>IFERROR(VLOOKUP(RIT_FUSIONS[[#This Row],[ID]],RIT_ACUM!A:A,1,0),"NOVO")</f>
        <v>47451</v>
      </c>
    </row>
    <row r="264" spans="1:4" hidden="1" x14ac:dyDescent="0.35">
      <c r="A264" s="1">
        <v>47448</v>
      </c>
      <c r="B264" s="2">
        <v>46314</v>
      </c>
      <c r="C264" s="1" t="s">
        <v>5</v>
      </c>
      <c r="D264" s="1">
        <f>IFERROR(VLOOKUP(RIT_FUSIONS[[#This Row],[ID]],RIT_ACUM!A:A,1,0),"NOVO")</f>
        <v>47448</v>
      </c>
    </row>
    <row r="265" spans="1:4" hidden="1" x14ac:dyDescent="0.35">
      <c r="A265" s="1">
        <v>47445</v>
      </c>
      <c r="B265" s="2">
        <v>46314</v>
      </c>
      <c r="C265" s="1" t="s">
        <v>9</v>
      </c>
      <c r="D265" s="1">
        <f>IFERROR(VLOOKUP(RIT_FUSIONS[[#This Row],[ID]],RIT_ACUM!A:A,1,0),"NOVO")</f>
        <v>47445</v>
      </c>
    </row>
    <row r="266" spans="1:4" hidden="1" x14ac:dyDescent="0.35">
      <c r="A266" s="1">
        <v>47424</v>
      </c>
      <c r="B266" s="2">
        <v>46312</v>
      </c>
      <c r="C266" s="1" t="s">
        <v>10</v>
      </c>
      <c r="D266" s="1">
        <f>IFERROR(VLOOKUP(RIT_FUSIONS[[#This Row],[ID]],RIT_ACUM!A:A,1,0),"NOVO")</f>
        <v>47424</v>
      </c>
    </row>
    <row r="267" spans="1:4" hidden="1" x14ac:dyDescent="0.35">
      <c r="A267" s="1">
        <v>47417</v>
      </c>
      <c r="B267" s="2">
        <v>46312</v>
      </c>
      <c r="C267" s="1" t="s">
        <v>10</v>
      </c>
      <c r="D267" s="1">
        <f>IFERROR(VLOOKUP(RIT_FUSIONS[[#This Row],[ID]],RIT_ACUM!A:A,1,0),"NOVO")</f>
        <v>47417</v>
      </c>
    </row>
    <row r="268" spans="1:4" hidden="1" x14ac:dyDescent="0.35">
      <c r="A268" s="1">
        <v>47414</v>
      </c>
      <c r="B268" s="2">
        <v>46312</v>
      </c>
      <c r="C268" s="1" t="s">
        <v>17</v>
      </c>
      <c r="D268" s="1">
        <f>IFERROR(VLOOKUP(RIT_FUSIONS[[#This Row],[ID]],RIT_ACUM!A:A,1,0),"NOVO")</f>
        <v>47414</v>
      </c>
    </row>
    <row r="269" spans="1:4" hidden="1" x14ac:dyDescent="0.35">
      <c r="A269" s="1">
        <v>47413</v>
      </c>
      <c r="B269" s="2">
        <v>46312</v>
      </c>
      <c r="C269" s="1" t="s">
        <v>17</v>
      </c>
      <c r="D269" s="1">
        <f>IFERROR(VLOOKUP(RIT_FUSIONS[[#This Row],[ID]],RIT_ACUM!A:A,1,0),"NOVO")</f>
        <v>47413</v>
      </c>
    </row>
    <row r="270" spans="1:4" hidden="1" x14ac:dyDescent="0.35">
      <c r="A270" s="1">
        <v>47412</v>
      </c>
      <c r="B270" s="2">
        <v>46312</v>
      </c>
      <c r="C270" s="1" t="s">
        <v>17</v>
      </c>
      <c r="D270" s="1">
        <f>IFERROR(VLOOKUP(RIT_FUSIONS[[#This Row],[ID]],RIT_ACUM!A:A,1,0),"NOVO")</f>
        <v>47412</v>
      </c>
    </row>
    <row r="271" spans="1:4" hidden="1" x14ac:dyDescent="0.35">
      <c r="A271" s="1">
        <v>47407</v>
      </c>
      <c r="B271" s="2">
        <v>46312</v>
      </c>
      <c r="C271" s="1" t="s">
        <v>10</v>
      </c>
      <c r="D271" s="1">
        <f>IFERROR(VLOOKUP(RIT_FUSIONS[[#This Row],[ID]],RIT_ACUM!A:A,1,0),"NOVO")</f>
        <v>47407</v>
      </c>
    </row>
    <row r="272" spans="1:4" hidden="1" x14ac:dyDescent="0.35">
      <c r="A272" s="1">
        <v>47405</v>
      </c>
      <c r="B272" s="2">
        <v>46311</v>
      </c>
      <c r="C272" s="1" t="s">
        <v>15</v>
      </c>
      <c r="D272" s="1">
        <f>IFERROR(VLOOKUP(RIT_FUSIONS[[#This Row],[ID]],RIT_ACUM!A:A,1,0),"NOVO")</f>
        <v>47405</v>
      </c>
    </row>
    <row r="273" spans="1:4" hidden="1" x14ac:dyDescent="0.35">
      <c r="A273" s="1">
        <v>47404</v>
      </c>
      <c r="B273" s="2">
        <v>46311</v>
      </c>
      <c r="C273" s="1" t="s">
        <v>15</v>
      </c>
      <c r="D273" s="1">
        <f>IFERROR(VLOOKUP(RIT_FUSIONS[[#This Row],[ID]],RIT_ACUM!A:A,1,0),"NOVO")</f>
        <v>47404</v>
      </c>
    </row>
    <row r="274" spans="1:4" hidden="1" x14ac:dyDescent="0.35">
      <c r="A274" s="1">
        <v>47403</v>
      </c>
      <c r="B274" s="2">
        <v>46311</v>
      </c>
      <c r="C274" s="1" t="s">
        <v>15</v>
      </c>
      <c r="D274" s="1">
        <f>IFERROR(VLOOKUP(RIT_FUSIONS[[#This Row],[ID]],RIT_ACUM!A:A,1,0),"NOVO")</f>
        <v>47403</v>
      </c>
    </row>
    <row r="275" spans="1:4" hidden="1" x14ac:dyDescent="0.35">
      <c r="A275" s="1">
        <v>47402</v>
      </c>
      <c r="B275" s="2">
        <v>46311</v>
      </c>
      <c r="C275" s="1" t="s">
        <v>10</v>
      </c>
      <c r="D275" s="1">
        <f>IFERROR(VLOOKUP(RIT_FUSIONS[[#This Row],[ID]],RIT_ACUM!A:A,1,0),"NOVO")</f>
        <v>47402</v>
      </c>
    </row>
    <row r="276" spans="1:4" hidden="1" x14ac:dyDescent="0.35">
      <c r="A276" s="1">
        <v>47401</v>
      </c>
      <c r="B276" s="2">
        <v>46311</v>
      </c>
      <c r="C276" s="1" t="s">
        <v>9</v>
      </c>
      <c r="D276" s="1">
        <f>IFERROR(VLOOKUP(RIT_FUSIONS[[#This Row],[ID]],RIT_ACUM!A:A,1,0),"NOVO")</f>
        <v>47401</v>
      </c>
    </row>
    <row r="277" spans="1:4" hidden="1" x14ac:dyDescent="0.35">
      <c r="A277" s="1">
        <v>47398</v>
      </c>
      <c r="B277" s="2">
        <v>46311</v>
      </c>
      <c r="C277" s="1" t="s">
        <v>21</v>
      </c>
      <c r="D277" s="1">
        <f>IFERROR(VLOOKUP(RIT_FUSIONS[[#This Row],[ID]],RIT_ACUM!A:A,1,0),"NOVO")</f>
        <v>47398</v>
      </c>
    </row>
    <row r="278" spans="1:4" hidden="1" x14ac:dyDescent="0.35">
      <c r="A278" s="1">
        <v>47395</v>
      </c>
      <c r="B278" s="2">
        <v>46311</v>
      </c>
      <c r="C278" s="1" t="s">
        <v>9</v>
      </c>
      <c r="D278" s="1">
        <f>IFERROR(VLOOKUP(RIT_FUSIONS[[#This Row],[ID]],RIT_ACUM!A:A,1,0),"NOVO")</f>
        <v>47395</v>
      </c>
    </row>
    <row r="279" spans="1:4" hidden="1" x14ac:dyDescent="0.35">
      <c r="A279" s="1">
        <v>47394</v>
      </c>
      <c r="B279" s="2">
        <v>46311</v>
      </c>
      <c r="C279" s="1" t="s">
        <v>9</v>
      </c>
      <c r="D279" s="1">
        <f>IFERROR(VLOOKUP(RIT_FUSIONS[[#This Row],[ID]],RIT_ACUM!A:A,1,0),"NOVO")</f>
        <v>47394</v>
      </c>
    </row>
    <row r="280" spans="1:4" hidden="1" x14ac:dyDescent="0.35">
      <c r="A280" s="1">
        <v>47391</v>
      </c>
      <c r="B280" s="2">
        <v>46311</v>
      </c>
      <c r="C280" s="1" t="s">
        <v>22</v>
      </c>
      <c r="D280" s="1">
        <f>IFERROR(VLOOKUP(RIT_FUSIONS[[#This Row],[ID]],RIT_ACUM!A:A,1,0),"NOVO")</f>
        <v>47391</v>
      </c>
    </row>
    <row r="281" spans="1:4" hidden="1" x14ac:dyDescent="0.35">
      <c r="A281" s="1">
        <v>47390</v>
      </c>
      <c r="B281" s="2">
        <v>46311</v>
      </c>
      <c r="C281" s="1" t="s">
        <v>22</v>
      </c>
      <c r="D281" s="1">
        <f>IFERROR(VLOOKUP(RIT_FUSIONS[[#This Row],[ID]],RIT_ACUM!A:A,1,0),"NOVO")</f>
        <v>47390</v>
      </c>
    </row>
    <row r="282" spans="1:4" hidden="1" x14ac:dyDescent="0.35">
      <c r="A282" s="1">
        <v>47389</v>
      </c>
      <c r="B282" s="2">
        <v>46311</v>
      </c>
      <c r="C282" s="1" t="s">
        <v>22</v>
      </c>
      <c r="D282" s="1">
        <f>IFERROR(VLOOKUP(RIT_FUSIONS[[#This Row],[ID]],RIT_ACUM!A:A,1,0),"NOVO")</f>
        <v>47389</v>
      </c>
    </row>
    <row r="283" spans="1:4" hidden="1" x14ac:dyDescent="0.35">
      <c r="A283" s="1">
        <v>47387</v>
      </c>
      <c r="B283" s="2">
        <v>46311</v>
      </c>
      <c r="C283" s="1" t="s">
        <v>22</v>
      </c>
      <c r="D283" s="1">
        <f>IFERROR(VLOOKUP(RIT_FUSIONS[[#This Row],[ID]],RIT_ACUM!A:A,1,0),"NOVO")</f>
        <v>47387</v>
      </c>
    </row>
    <row r="284" spans="1:4" hidden="1" x14ac:dyDescent="0.35">
      <c r="A284" s="1">
        <v>47386</v>
      </c>
      <c r="B284" s="2">
        <v>46311</v>
      </c>
      <c r="C284" s="1" t="s">
        <v>22</v>
      </c>
      <c r="D284" s="1">
        <f>IFERROR(VLOOKUP(RIT_FUSIONS[[#This Row],[ID]],RIT_ACUM!A:A,1,0),"NOVO")</f>
        <v>47386</v>
      </c>
    </row>
    <row r="285" spans="1:4" hidden="1" x14ac:dyDescent="0.35">
      <c r="A285" s="1">
        <v>47384</v>
      </c>
      <c r="B285" s="2">
        <v>46311</v>
      </c>
      <c r="C285" s="1" t="s">
        <v>22</v>
      </c>
      <c r="D285" s="1">
        <f>IFERROR(VLOOKUP(RIT_FUSIONS[[#This Row],[ID]],RIT_ACUM!A:A,1,0),"NOVO")</f>
        <v>47384</v>
      </c>
    </row>
    <row r="286" spans="1:4" hidden="1" x14ac:dyDescent="0.35">
      <c r="A286" s="1">
        <v>47382</v>
      </c>
      <c r="B286" s="2">
        <v>46311</v>
      </c>
      <c r="C286" s="1" t="s">
        <v>22</v>
      </c>
      <c r="D286" s="1">
        <f>IFERROR(VLOOKUP(RIT_FUSIONS[[#This Row],[ID]],RIT_ACUM!A:A,1,0),"NOVO")</f>
        <v>47382</v>
      </c>
    </row>
    <row r="287" spans="1:4" hidden="1" x14ac:dyDescent="0.35">
      <c r="A287" s="1">
        <v>47381</v>
      </c>
      <c r="B287" s="2">
        <v>46311</v>
      </c>
      <c r="C287" s="1" t="s">
        <v>22</v>
      </c>
      <c r="D287" s="1">
        <f>IFERROR(VLOOKUP(RIT_FUSIONS[[#This Row],[ID]],RIT_ACUM!A:A,1,0),"NOVO")</f>
        <v>47381</v>
      </c>
    </row>
    <row r="288" spans="1:4" hidden="1" x14ac:dyDescent="0.35">
      <c r="A288" s="1">
        <v>47379</v>
      </c>
      <c r="B288" s="2">
        <v>46311</v>
      </c>
      <c r="C288" s="1" t="s">
        <v>22</v>
      </c>
      <c r="D288" s="1">
        <f>IFERROR(VLOOKUP(RIT_FUSIONS[[#This Row],[ID]],RIT_ACUM!A:A,1,0),"NOVO")</f>
        <v>47379</v>
      </c>
    </row>
    <row r="289" spans="1:4" hidden="1" x14ac:dyDescent="0.35">
      <c r="A289" s="1">
        <v>47378</v>
      </c>
      <c r="B289" s="2">
        <v>46311</v>
      </c>
      <c r="C289" s="1" t="s">
        <v>22</v>
      </c>
      <c r="D289" s="1">
        <f>IFERROR(VLOOKUP(RIT_FUSIONS[[#This Row],[ID]],RIT_ACUM!A:A,1,0),"NOVO")</f>
        <v>47378</v>
      </c>
    </row>
    <row r="290" spans="1:4" hidden="1" x14ac:dyDescent="0.35">
      <c r="A290" s="1">
        <v>47376</v>
      </c>
      <c r="B290" s="2">
        <v>46311</v>
      </c>
      <c r="C290" s="1" t="s">
        <v>22</v>
      </c>
      <c r="D290" s="1">
        <f>IFERROR(VLOOKUP(RIT_FUSIONS[[#This Row],[ID]],RIT_ACUM!A:A,1,0),"NOVO")</f>
        <v>47376</v>
      </c>
    </row>
    <row r="291" spans="1:4" hidden="1" x14ac:dyDescent="0.35">
      <c r="A291" s="1">
        <v>47374</v>
      </c>
      <c r="B291" s="2">
        <v>46311</v>
      </c>
      <c r="C291" s="1" t="s">
        <v>22</v>
      </c>
      <c r="D291" s="1">
        <f>IFERROR(VLOOKUP(RIT_FUSIONS[[#This Row],[ID]],RIT_ACUM!A:A,1,0),"NOVO")</f>
        <v>47374</v>
      </c>
    </row>
    <row r="292" spans="1:4" hidden="1" x14ac:dyDescent="0.35">
      <c r="A292" s="1">
        <v>47372</v>
      </c>
      <c r="B292" s="2">
        <v>46311</v>
      </c>
      <c r="C292" s="1" t="s">
        <v>22</v>
      </c>
      <c r="D292" s="1">
        <f>IFERROR(VLOOKUP(RIT_FUSIONS[[#This Row],[ID]],RIT_ACUM!A:A,1,0),"NOVO")</f>
        <v>47372</v>
      </c>
    </row>
    <row r="293" spans="1:4" hidden="1" x14ac:dyDescent="0.35">
      <c r="A293" s="1">
        <v>47371</v>
      </c>
      <c r="B293" s="2">
        <v>46311</v>
      </c>
      <c r="C293" s="1" t="s">
        <v>22</v>
      </c>
      <c r="D293" s="1">
        <f>IFERROR(VLOOKUP(RIT_FUSIONS[[#This Row],[ID]],RIT_ACUM!A:A,1,0),"NOVO")</f>
        <v>47371</v>
      </c>
    </row>
    <row r="294" spans="1:4" hidden="1" x14ac:dyDescent="0.35">
      <c r="A294" s="1">
        <v>47365</v>
      </c>
      <c r="B294" s="2">
        <v>46311</v>
      </c>
      <c r="C294" s="1" t="s">
        <v>7</v>
      </c>
      <c r="D294" s="1">
        <f>IFERROR(VLOOKUP(RIT_FUSIONS[[#This Row],[ID]],RIT_ACUM!A:A,1,0),"NOVO")</f>
        <v>47365</v>
      </c>
    </row>
    <row r="295" spans="1:4" hidden="1" x14ac:dyDescent="0.35">
      <c r="A295" s="1">
        <v>47363</v>
      </c>
      <c r="B295" s="2">
        <v>46311</v>
      </c>
      <c r="C295" s="1" t="s">
        <v>7</v>
      </c>
      <c r="D295" s="1">
        <f>IFERROR(VLOOKUP(RIT_FUSIONS[[#This Row],[ID]],RIT_ACUM!A:A,1,0),"NOVO")</f>
        <v>47363</v>
      </c>
    </row>
    <row r="296" spans="1:4" hidden="1" x14ac:dyDescent="0.35">
      <c r="A296" s="1">
        <v>47360</v>
      </c>
      <c r="B296" s="2">
        <v>46311</v>
      </c>
      <c r="C296" s="1" t="s">
        <v>6</v>
      </c>
      <c r="D296" s="1">
        <f>IFERROR(VLOOKUP(RIT_FUSIONS[[#This Row],[ID]],RIT_ACUM!A:A,1,0),"NOVO")</f>
        <v>47360</v>
      </c>
    </row>
    <row r="297" spans="1:4" hidden="1" x14ac:dyDescent="0.35">
      <c r="A297" s="1">
        <v>47359</v>
      </c>
      <c r="B297" s="2">
        <v>46311</v>
      </c>
      <c r="C297" s="1" t="s">
        <v>6</v>
      </c>
      <c r="D297" s="1">
        <f>IFERROR(VLOOKUP(RIT_FUSIONS[[#This Row],[ID]],RIT_ACUM!A:A,1,0),"NOVO")</f>
        <v>47359</v>
      </c>
    </row>
    <row r="298" spans="1:4" hidden="1" x14ac:dyDescent="0.35">
      <c r="A298" s="1">
        <v>47354</v>
      </c>
      <c r="B298" s="2">
        <v>46311</v>
      </c>
      <c r="C298" s="1" t="s">
        <v>3</v>
      </c>
      <c r="D298" s="1">
        <f>IFERROR(VLOOKUP(RIT_FUSIONS[[#This Row],[ID]],RIT_ACUM!A:A,1,0),"NOVO")</f>
        <v>47354</v>
      </c>
    </row>
    <row r="299" spans="1:4" hidden="1" x14ac:dyDescent="0.35">
      <c r="A299" s="1">
        <v>47352</v>
      </c>
      <c r="B299" s="2">
        <v>46311</v>
      </c>
      <c r="C299" s="1" t="s">
        <v>3</v>
      </c>
      <c r="D299" s="1">
        <f>IFERROR(VLOOKUP(RIT_FUSIONS[[#This Row],[ID]],RIT_ACUM!A:A,1,0),"NOVO")</f>
        <v>47352</v>
      </c>
    </row>
    <row r="300" spans="1:4" hidden="1" x14ac:dyDescent="0.35">
      <c r="A300" s="1">
        <v>47350</v>
      </c>
      <c r="B300" s="2">
        <v>46311</v>
      </c>
      <c r="C300" s="1" t="s">
        <v>21</v>
      </c>
      <c r="D300" s="1">
        <f>IFERROR(VLOOKUP(RIT_FUSIONS[[#This Row],[ID]],RIT_ACUM!A:A,1,0),"NOVO")</f>
        <v>47350</v>
      </c>
    </row>
    <row r="301" spans="1:4" hidden="1" x14ac:dyDescent="0.35">
      <c r="A301" s="1">
        <v>47349</v>
      </c>
      <c r="B301" s="2">
        <v>46310</v>
      </c>
      <c r="C301" s="1" t="s">
        <v>11</v>
      </c>
      <c r="D301" s="1">
        <f>IFERROR(VLOOKUP(RIT_FUSIONS[[#This Row],[ID]],RIT_ACUM!A:A,1,0),"NOVO")</f>
        <v>47349</v>
      </c>
    </row>
    <row r="302" spans="1:4" hidden="1" x14ac:dyDescent="0.35">
      <c r="A302" s="1">
        <v>47348</v>
      </c>
      <c r="B302" s="2">
        <v>46311</v>
      </c>
      <c r="C302" s="1" t="s">
        <v>21</v>
      </c>
      <c r="D302" s="1">
        <f>IFERROR(VLOOKUP(RIT_FUSIONS[[#This Row],[ID]],RIT_ACUM!A:A,1,0),"NOVO")</f>
        <v>47348</v>
      </c>
    </row>
    <row r="303" spans="1:4" hidden="1" x14ac:dyDescent="0.35">
      <c r="A303" s="1">
        <v>47346</v>
      </c>
      <c r="B303" s="2">
        <v>46311</v>
      </c>
      <c r="C303" s="1" t="s">
        <v>9</v>
      </c>
      <c r="D303" s="1">
        <f>IFERROR(VLOOKUP(RIT_FUSIONS[[#This Row],[ID]],RIT_ACUM!A:A,1,0),"NOVO")</f>
        <v>47346</v>
      </c>
    </row>
    <row r="304" spans="1:4" hidden="1" x14ac:dyDescent="0.35">
      <c r="A304" s="1">
        <v>47345</v>
      </c>
      <c r="B304" s="2">
        <v>46311</v>
      </c>
      <c r="C304" s="1" t="s">
        <v>9</v>
      </c>
      <c r="D304" s="1">
        <f>IFERROR(VLOOKUP(RIT_FUSIONS[[#This Row],[ID]],RIT_ACUM!A:A,1,0),"NOVO")</f>
        <v>47345</v>
      </c>
    </row>
    <row r="305" spans="1:4" hidden="1" x14ac:dyDescent="0.35">
      <c r="A305" s="1">
        <v>47343</v>
      </c>
      <c r="B305" s="2">
        <v>46311</v>
      </c>
      <c r="C305" s="1" t="s">
        <v>9</v>
      </c>
      <c r="D305" s="1">
        <f>IFERROR(VLOOKUP(RIT_FUSIONS[[#This Row],[ID]],RIT_ACUM!A:A,1,0),"NOVO")</f>
        <v>47343</v>
      </c>
    </row>
    <row r="306" spans="1:4" hidden="1" x14ac:dyDescent="0.35">
      <c r="A306" s="1">
        <v>47340</v>
      </c>
      <c r="B306" s="2">
        <v>46311</v>
      </c>
      <c r="C306" s="1" t="s">
        <v>19</v>
      </c>
      <c r="D306" s="1">
        <f>IFERROR(VLOOKUP(RIT_FUSIONS[[#This Row],[ID]],RIT_ACUM!A:A,1,0),"NOVO")</f>
        <v>47340</v>
      </c>
    </row>
    <row r="307" spans="1:4" hidden="1" x14ac:dyDescent="0.35">
      <c r="A307" s="1">
        <v>47339</v>
      </c>
      <c r="B307" s="2">
        <v>46310</v>
      </c>
      <c r="C307" s="1" t="s">
        <v>21</v>
      </c>
      <c r="D307" s="1">
        <f>IFERROR(VLOOKUP(RIT_FUSIONS[[#This Row],[ID]],RIT_ACUM!A:A,1,0),"NOVO")</f>
        <v>47339</v>
      </c>
    </row>
    <row r="308" spans="1:4" hidden="1" x14ac:dyDescent="0.35">
      <c r="A308" s="1">
        <v>47338</v>
      </c>
      <c r="B308" s="2">
        <v>46310</v>
      </c>
      <c r="C308" s="1" t="s">
        <v>21</v>
      </c>
      <c r="D308" s="1">
        <f>IFERROR(VLOOKUP(RIT_FUSIONS[[#This Row],[ID]],RIT_ACUM!A:A,1,0),"NOVO")</f>
        <v>47338</v>
      </c>
    </row>
    <row r="309" spans="1:4" hidden="1" x14ac:dyDescent="0.35">
      <c r="A309" s="1">
        <v>47337</v>
      </c>
      <c r="B309" s="2">
        <v>46310</v>
      </c>
      <c r="C309" s="1" t="s">
        <v>21</v>
      </c>
      <c r="D309" s="1">
        <f>IFERROR(VLOOKUP(RIT_FUSIONS[[#This Row],[ID]],RIT_ACUM!A:A,1,0),"NOVO")</f>
        <v>47337</v>
      </c>
    </row>
    <row r="310" spans="1:4" hidden="1" x14ac:dyDescent="0.35">
      <c r="A310" s="1">
        <v>47336</v>
      </c>
      <c r="B310" s="2">
        <v>46310</v>
      </c>
      <c r="C310" s="1" t="s">
        <v>10</v>
      </c>
      <c r="D310" s="1">
        <f>IFERROR(VLOOKUP(RIT_FUSIONS[[#This Row],[ID]],RIT_ACUM!A:A,1,0),"NOVO")</f>
        <v>47336</v>
      </c>
    </row>
    <row r="311" spans="1:4" hidden="1" x14ac:dyDescent="0.35">
      <c r="A311" s="1">
        <v>47335</v>
      </c>
      <c r="B311" s="2">
        <v>46310</v>
      </c>
      <c r="C311" s="1" t="s">
        <v>10</v>
      </c>
      <c r="D311" s="1">
        <f>IFERROR(VLOOKUP(RIT_FUSIONS[[#This Row],[ID]],RIT_ACUM!A:A,1,0),"NOVO")</f>
        <v>47335</v>
      </c>
    </row>
    <row r="312" spans="1:4" hidden="1" x14ac:dyDescent="0.35">
      <c r="A312" s="1">
        <v>47332</v>
      </c>
      <c r="B312" s="2">
        <v>46310</v>
      </c>
      <c r="C312" s="1" t="s">
        <v>103</v>
      </c>
      <c r="D312" s="1">
        <f>IFERROR(VLOOKUP(RIT_FUSIONS[[#This Row],[ID]],RIT_ACUM!A:A,1,0),"NOVO")</f>
        <v>47332</v>
      </c>
    </row>
    <row r="313" spans="1:4" hidden="1" x14ac:dyDescent="0.35">
      <c r="A313" s="1">
        <v>47331</v>
      </c>
      <c r="B313" s="2">
        <v>46310</v>
      </c>
      <c r="C313" s="1" t="s">
        <v>103</v>
      </c>
      <c r="D313" s="1">
        <f>IFERROR(VLOOKUP(RIT_FUSIONS[[#This Row],[ID]],RIT_ACUM!A:A,1,0),"NOVO")</f>
        <v>47331</v>
      </c>
    </row>
    <row r="314" spans="1:4" hidden="1" x14ac:dyDescent="0.35">
      <c r="A314" s="1">
        <v>47328</v>
      </c>
      <c r="B314" s="2">
        <v>46310</v>
      </c>
      <c r="C314" s="1" t="s">
        <v>9</v>
      </c>
      <c r="D314" s="1">
        <f>IFERROR(VLOOKUP(RIT_FUSIONS[[#This Row],[ID]],RIT_ACUM!A:A,1,0),"NOVO")</f>
        <v>47328</v>
      </c>
    </row>
    <row r="315" spans="1:4" hidden="1" x14ac:dyDescent="0.35">
      <c r="A315" s="1">
        <v>47319</v>
      </c>
      <c r="B315" s="2">
        <v>46310</v>
      </c>
      <c r="C315" s="1" t="s">
        <v>17</v>
      </c>
      <c r="D315" s="1">
        <f>IFERROR(VLOOKUP(RIT_FUSIONS[[#This Row],[ID]],RIT_ACUM!A:A,1,0),"NOVO")</f>
        <v>47319</v>
      </c>
    </row>
    <row r="316" spans="1:4" hidden="1" x14ac:dyDescent="0.35">
      <c r="A316" s="1">
        <v>47318</v>
      </c>
      <c r="B316" s="2">
        <v>46310</v>
      </c>
      <c r="C316" s="1" t="s">
        <v>17</v>
      </c>
      <c r="D316" s="1">
        <f>IFERROR(VLOOKUP(RIT_FUSIONS[[#This Row],[ID]],RIT_ACUM!A:A,1,0),"NOVO")</f>
        <v>47318</v>
      </c>
    </row>
    <row r="317" spans="1:4" hidden="1" x14ac:dyDescent="0.35">
      <c r="A317" s="1">
        <v>47315</v>
      </c>
      <c r="B317" s="2">
        <v>46310</v>
      </c>
      <c r="C317" s="1" t="s">
        <v>9</v>
      </c>
      <c r="D317" s="1">
        <f>IFERROR(VLOOKUP(RIT_FUSIONS[[#This Row],[ID]],RIT_ACUM!A:A,1,0),"NOVO")</f>
        <v>47315</v>
      </c>
    </row>
    <row r="318" spans="1:4" hidden="1" x14ac:dyDescent="0.35">
      <c r="A318" s="1">
        <v>47312</v>
      </c>
      <c r="B318" s="2">
        <v>46310</v>
      </c>
      <c r="C318" s="1" t="s">
        <v>7</v>
      </c>
      <c r="D318" s="1">
        <f>IFERROR(VLOOKUP(RIT_FUSIONS[[#This Row],[ID]],RIT_ACUM!A:A,1,0),"NOVO")</f>
        <v>47312</v>
      </c>
    </row>
    <row r="319" spans="1:4" hidden="1" x14ac:dyDescent="0.35">
      <c r="A319" s="1">
        <v>47311</v>
      </c>
      <c r="B319" s="2">
        <v>46310</v>
      </c>
      <c r="C319" s="1" t="s">
        <v>9</v>
      </c>
      <c r="D319" s="1">
        <f>IFERROR(VLOOKUP(RIT_FUSIONS[[#This Row],[ID]],RIT_ACUM!A:A,1,0),"NOVO")</f>
        <v>47311</v>
      </c>
    </row>
    <row r="320" spans="1:4" hidden="1" x14ac:dyDescent="0.35">
      <c r="A320" s="1">
        <v>47310</v>
      </c>
      <c r="B320" s="2">
        <v>46310</v>
      </c>
      <c r="C320" s="1" t="s">
        <v>9</v>
      </c>
      <c r="D320" s="1">
        <f>IFERROR(VLOOKUP(RIT_FUSIONS[[#This Row],[ID]],RIT_ACUM!A:A,1,0),"NOVO")</f>
        <v>47310</v>
      </c>
    </row>
    <row r="321" spans="1:4" hidden="1" x14ac:dyDescent="0.35">
      <c r="A321" s="1">
        <v>47309</v>
      </c>
      <c r="B321" s="2">
        <v>46310</v>
      </c>
      <c r="C321" s="1" t="s">
        <v>9</v>
      </c>
      <c r="D321" s="1">
        <f>IFERROR(VLOOKUP(RIT_FUSIONS[[#This Row],[ID]],RIT_ACUM!A:A,1,0),"NOVO")</f>
        <v>47309</v>
      </c>
    </row>
    <row r="322" spans="1:4" hidden="1" x14ac:dyDescent="0.35">
      <c r="A322" s="1">
        <v>47308</v>
      </c>
      <c r="B322" s="2">
        <v>46310</v>
      </c>
      <c r="C322" s="1" t="s">
        <v>9</v>
      </c>
      <c r="D322" s="1">
        <f>IFERROR(VLOOKUP(RIT_FUSIONS[[#This Row],[ID]],RIT_ACUM!A:A,1,0),"NOVO")</f>
        <v>47308</v>
      </c>
    </row>
    <row r="323" spans="1:4" hidden="1" x14ac:dyDescent="0.35">
      <c r="A323" s="1">
        <v>47306</v>
      </c>
      <c r="B323" s="2">
        <v>46310</v>
      </c>
      <c r="C323" s="1" t="s">
        <v>9</v>
      </c>
      <c r="D323" s="1">
        <f>IFERROR(VLOOKUP(RIT_FUSIONS[[#This Row],[ID]],RIT_ACUM!A:A,1,0),"NOVO")</f>
        <v>47306</v>
      </c>
    </row>
    <row r="324" spans="1:4" hidden="1" x14ac:dyDescent="0.35">
      <c r="A324" s="1">
        <v>47305</v>
      </c>
      <c r="B324" s="2">
        <v>46310</v>
      </c>
      <c r="C324" s="1" t="s">
        <v>9</v>
      </c>
      <c r="D324" s="1">
        <f>IFERROR(VLOOKUP(RIT_FUSIONS[[#This Row],[ID]],RIT_ACUM!A:A,1,0),"NOVO")</f>
        <v>47305</v>
      </c>
    </row>
    <row r="325" spans="1:4" hidden="1" x14ac:dyDescent="0.35">
      <c r="A325" s="1">
        <v>47304</v>
      </c>
      <c r="B325" s="2">
        <v>46310</v>
      </c>
      <c r="C325" s="1" t="s">
        <v>3</v>
      </c>
      <c r="D325" s="1">
        <f>IFERROR(VLOOKUP(RIT_FUSIONS[[#This Row],[ID]],RIT_ACUM!A:A,1,0),"NOVO")</f>
        <v>47304</v>
      </c>
    </row>
    <row r="326" spans="1:4" hidden="1" x14ac:dyDescent="0.35">
      <c r="A326" s="1">
        <v>47303</v>
      </c>
      <c r="B326" s="2">
        <v>46310</v>
      </c>
      <c r="C326" s="1" t="s">
        <v>3</v>
      </c>
      <c r="D326" s="1">
        <f>IFERROR(VLOOKUP(RIT_FUSIONS[[#This Row],[ID]],RIT_ACUM!A:A,1,0),"NOVO")</f>
        <v>47303</v>
      </c>
    </row>
    <row r="327" spans="1:4" hidden="1" x14ac:dyDescent="0.35">
      <c r="A327" s="1">
        <v>47299</v>
      </c>
      <c r="B327" s="2">
        <v>46310</v>
      </c>
      <c r="C327" s="1" t="s">
        <v>9</v>
      </c>
      <c r="D327" s="1">
        <f>IFERROR(VLOOKUP(RIT_FUSIONS[[#This Row],[ID]],RIT_ACUM!A:A,1,0),"NOVO")</f>
        <v>47299</v>
      </c>
    </row>
    <row r="328" spans="1:4" hidden="1" x14ac:dyDescent="0.35">
      <c r="A328" s="1">
        <v>47298</v>
      </c>
      <c r="B328" s="2">
        <v>46310</v>
      </c>
      <c r="C328" s="1" t="s">
        <v>19</v>
      </c>
      <c r="D328" s="1">
        <f>IFERROR(VLOOKUP(RIT_FUSIONS[[#This Row],[ID]],RIT_ACUM!A:A,1,0),"NOVO")</f>
        <v>47298</v>
      </c>
    </row>
    <row r="329" spans="1:4" hidden="1" x14ac:dyDescent="0.35">
      <c r="A329" s="1">
        <v>47297</v>
      </c>
      <c r="B329" s="2">
        <v>46310</v>
      </c>
      <c r="C329" s="1" t="s">
        <v>19</v>
      </c>
      <c r="D329" s="1">
        <f>IFERROR(VLOOKUP(RIT_FUSIONS[[#This Row],[ID]],RIT_ACUM!A:A,1,0),"NOVO")</f>
        <v>47297</v>
      </c>
    </row>
    <row r="330" spans="1:4" hidden="1" x14ac:dyDescent="0.35">
      <c r="A330" s="1">
        <v>47294</v>
      </c>
      <c r="B330" s="2">
        <v>46310</v>
      </c>
      <c r="C330" s="1" t="s">
        <v>9</v>
      </c>
      <c r="D330" s="1">
        <f>IFERROR(VLOOKUP(RIT_FUSIONS[[#This Row],[ID]],RIT_ACUM!A:A,1,0),"NOVO")</f>
        <v>47294</v>
      </c>
    </row>
    <row r="331" spans="1:4" hidden="1" x14ac:dyDescent="0.35">
      <c r="A331" s="1">
        <v>47293</v>
      </c>
      <c r="B331" s="2">
        <v>46310</v>
      </c>
      <c r="C331" s="1" t="s">
        <v>21</v>
      </c>
      <c r="D331" s="1">
        <f>IFERROR(VLOOKUP(RIT_FUSIONS[[#This Row],[ID]],RIT_ACUM!A:A,1,0),"NOVO")</f>
        <v>47293</v>
      </c>
    </row>
    <row r="332" spans="1:4" hidden="1" x14ac:dyDescent="0.35">
      <c r="A332" s="1">
        <v>47292</v>
      </c>
      <c r="B332" s="2">
        <v>46310</v>
      </c>
      <c r="C332" s="1" t="s">
        <v>19</v>
      </c>
      <c r="D332" s="1">
        <f>IFERROR(VLOOKUP(RIT_FUSIONS[[#This Row],[ID]],RIT_ACUM!A:A,1,0),"NOVO")</f>
        <v>47292</v>
      </c>
    </row>
    <row r="333" spans="1:4" hidden="1" x14ac:dyDescent="0.35">
      <c r="A333" s="1">
        <v>47289</v>
      </c>
      <c r="B333" s="2">
        <v>46309</v>
      </c>
      <c r="C333" s="1" t="s">
        <v>3</v>
      </c>
      <c r="D333" s="1">
        <f>IFERROR(VLOOKUP(RIT_FUSIONS[[#This Row],[ID]],RIT_ACUM!A:A,1,0),"NOVO")</f>
        <v>47289</v>
      </c>
    </row>
    <row r="334" spans="1:4" hidden="1" x14ac:dyDescent="0.35">
      <c r="A334" s="1">
        <v>47281</v>
      </c>
      <c r="B334" s="2">
        <v>46309</v>
      </c>
      <c r="C334" s="1" t="s">
        <v>21</v>
      </c>
      <c r="D334" s="1">
        <f>IFERROR(VLOOKUP(RIT_FUSIONS[[#This Row],[ID]],RIT_ACUM!A:A,1,0),"NOVO")</f>
        <v>47281</v>
      </c>
    </row>
    <row r="335" spans="1:4" hidden="1" x14ac:dyDescent="0.35">
      <c r="A335" s="1">
        <v>47280</v>
      </c>
      <c r="B335" s="2">
        <v>46309</v>
      </c>
      <c r="C335" s="1" t="s">
        <v>21</v>
      </c>
      <c r="D335" s="1">
        <f>IFERROR(VLOOKUP(RIT_FUSIONS[[#This Row],[ID]],RIT_ACUM!A:A,1,0),"NOVO")</f>
        <v>47280</v>
      </c>
    </row>
    <row r="336" spans="1:4" hidden="1" x14ac:dyDescent="0.35">
      <c r="A336" s="1">
        <v>47277</v>
      </c>
      <c r="B336" s="2">
        <v>46309</v>
      </c>
      <c r="C336" s="1" t="s">
        <v>17</v>
      </c>
      <c r="D336" s="1">
        <f>IFERROR(VLOOKUP(RIT_FUSIONS[[#This Row],[ID]],RIT_ACUM!A:A,1,0),"NOVO")</f>
        <v>47277</v>
      </c>
    </row>
    <row r="337" spans="1:4" hidden="1" x14ac:dyDescent="0.35">
      <c r="A337" s="1">
        <v>47276</v>
      </c>
      <c r="B337" s="2">
        <v>46309</v>
      </c>
      <c r="C337" s="1" t="s">
        <v>17</v>
      </c>
      <c r="D337" s="1">
        <f>IFERROR(VLOOKUP(RIT_FUSIONS[[#This Row],[ID]],RIT_ACUM!A:A,1,0),"NOVO")</f>
        <v>47276</v>
      </c>
    </row>
    <row r="338" spans="1:4" hidden="1" x14ac:dyDescent="0.35">
      <c r="A338" s="1">
        <v>47275</v>
      </c>
      <c r="B338" s="2">
        <v>46309</v>
      </c>
      <c r="C338" s="1" t="s">
        <v>17</v>
      </c>
      <c r="D338" s="1">
        <f>IFERROR(VLOOKUP(RIT_FUSIONS[[#This Row],[ID]],RIT_ACUM!A:A,1,0),"NOVO")</f>
        <v>47275</v>
      </c>
    </row>
    <row r="339" spans="1:4" hidden="1" x14ac:dyDescent="0.35">
      <c r="A339" s="1">
        <v>47274</v>
      </c>
      <c r="B339" s="2">
        <v>46309</v>
      </c>
      <c r="C339" s="1" t="s">
        <v>7</v>
      </c>
      <c r="D339" s="1">
        <f>IFERROR(VLOOKUP(RIT_FUSIONS[[#This Row],[ID]],RIT_ACUM!A:A,1,0),"NOVO")</f>
        <v>47274</v>
      </c>
    </row>
    <row r="340" spans="1:4" hidden="1" x14ac:dyDescent="0.35">
      <c r="A340" s="1">
        <v>47273</v>
      </c>
      <c r="B340" s="2">
        <v>46309</v>
      </c>
      <c r="C340" s="1" t="s">
        <v>7</v>
      </c>
      <c r="D340" s="1">
        <f>IFERROR(VLOOKUP(RIT_FUSIONS[[#This Row],[ID]],RIT_ACUM!A:A,1,0),"NOVO")</f>
        <v>47273</v>
      </c>
    </row>
    <row r="341" spans="1:4" hidden="1" x14ac:dyDescent="0.35">
      <c r="A341" s="1">
        <v>47268</v>
      </c>
      <c r="B341" s="2">
        <v>46309</v>
      </c>
      <c r="C341" s="1" t="s">
        <v>6</v>
      </c>
      <c r="D341" s="1">
        <f>IFERROR(VLOOKUP(RIT_FUSIONS[[#This Row],[ID]],RIT_ACUM!A:A,1,0),"NOVO")</f>
        <v>47268</v>
      </c>
    </row>
    <row r="342" spans="1:4" hidden="1" x14ac:dyDescent="0.35">
      <c r="A342" s="1">
        <v>47267</v>
      </c>
      <c r="B342" s="2">
        <v>46309</v>
      </c>
      <c r="C342" s="1" t="s">
        <v>6</v>
      </c>
      <c r="D342" s="1">
        <f>IFERROR(VLOOKUP(RIT_FUSIONS[[#This Row],[ID]],RIT_ACUM!A:A,1,0),"NOVO")</f>
        <v>47267</v>
      </c>
    </row>
    <row r="343" spans="1:4" hidden="1" x14ac:dyDescent="0.35">
      <c r="A343" s="1">
        <v>47266</v>
      </c>
      <c r="B343" s="2">
        <v>46309</v>
      </c>
      <c r="C343" s="1" t="s">
        <v>21</v>
      </c>
      <c r="D343" s="1">
        <f>IFERROR(VLOOKUP(RIT_FUSIONS[[#This Row],[ID]],RIT_ACUM!A:A,1,0),"NOVO")</f>
        <v>47266</v>
      </c>
    </row>
    <row r="344" spans="1:4" hidden="1" x14ac:dyDescent="0.35">
      <c r="A344" s="1">
        <v>47265</v>
      </c>
      <c r="B344" s="2">
        <v>46309</v>
      </c>
      <c r="C344" s="1" t="s">
        <v>21</v>
      </c>
      <c r="D344" s="1">
        <f>IFERROR(VLOOKUP(RIT_FUSIONS[[#This Row],[ID]],RIT_ACUM!A:A,1,0),"NOVO")</f>
        <v>47265</v>
      </c>
    </row>
    <row r="345" spans="1:4" hidden="1" x14ac:dyDescent="0.35">
      <c r="A345" s="1">
        <v>47264</v>
      </c>
      <c r="B345" s="2">
        <v>46309</v>
      </c>
      <c r="C345" s="1" t="s">
        <v>10</v>
      </c>
      <c r="D345" s="1">
        <f>IFERROR(VLOOKUP(RIT_FUSIONS[[#This Row],[ID]],RIT_ACUM!A:A,1,0),"NOVO")</f>
        <v>47264</v>
      </c>
    </row>
    <row r="346" spans="1:4" hidden="1" x14ac:dyDescent="0.35">
      <c r="A346" s="1">
        <v>47263</v>
      </c>
      <c r="B346" s="2">
        <v>46309</v>
      </c>
      <c r="C346" s="1" t="s">
        <v>10</v>
      </c>
      <c r="D346" s="1">
        <f>IFERROR(VLOOKUP(RIT_FUSIONS[[#This Row],[ID]],RIT_ACUM!A:A,1,0),"NOVO")</f>
        <v>47263</v>
      </c>
    </row>
    <row r="347" spans="1:4" hidden="1" x14ac:dyDescent="0.35">
      <c r="A347" s="1">
        <v>47262</v>
      </c>
      <c r="B347" s="2">
        <v>46309</v>
      </c>
      <c r="C347" s="1" t="s">
        <v>3</v>
      </c>
      <c r="D347" s="1">
        <f>IFERROR(VLOOKUP(RIT_FUSIONS[[#This Row],[ID]],RIT_ACUM!A:A,1,0),"NOVO")</f>
        <v>47262</v>
      </c>
    </row>
    <row r="348" spans="1:4" hidden="1" x14ac:dyDescent="0.35">
      <c r="A348" s="1">
        <v>47261</v>
      </c>
      <c r="B348" s="2">
        <v>46309</v>
      </c>
      <c r="C348" s="1" t="s">
        <v>21</v>
      </c>
      <c r="D348" s="1">
        <f>IFERROR(VLOOKUP(RIT_FUSIONS[[#This Row],[ID]],RIT_ACUM!A:A,1,0),"NOVO")</f>
        <v>47261</v>
      </c>
    </row>
    <row r="349" spans="1:4" hidden="1" x14ac:dyDescent="0.35">
      <c r="A349" s="1">
        <v>47260</v>
      </c>
      <c r="B349" s="2">
        <v>46309</v>
      </c>
      <c r="C349" s="1" t="s">
        <v>21</v>
      </c>
      <c r="D349" s="1">
        <f>IFERROR(VLOOKUP(RIT_FUSIONS[[#This Row],[ID]],RIT_ACUM!A:A,1,0),"NOVO")</f>
        <v>47260</v>
      </c>
    </row>
    <row r="350" spans="1:4" hidden="1" x14ac:dyDescent="0.35">
      <c r="A350" s="1">
        <v>47255</v>
      </c>
      <c r="B350" s="2">
        <v>46309</v>
      </c>
      <c r="C350" s="1" t="s">
        <v>3</v>
      </c>
      <c r="D350" s="1">
        <f>IFERROR(VLOOKUP(RIT_FUSIONS[[#This Row],[ID]],RIT_ACUM!A:A,1,0),"NOVO")</f>
        <v>47255</v>
      </c>
    </row>
    <row r="351" spans="1:4" hidden="1" x14ac:dyDescent="0.35">
      <c r="A351" s="1">
        <v>47254</v>
      </c>
      <c r="B351" s="2">
        <v>46309</v>
      </c>
      <c r="C351" s="1" t="s">
        <v>3</v>
      </c>
      <c r="D351" s="1">
        <f>IFERROR(VLOOKUP(RIT_FUSIONS[[#This Row],[ID]],RIT_ACUM!A:A,1,0),"NOVO")</f>
        <v>47254</v>
      </c>
    </row>
    <row r="352" spans="1:4" hidden="1" x14ac:dyDescent="0.35">
      <c r="A352" s="1">
        <v>47246</v>
      </c>
      <c r="B352" s="2">
        <v>46308</v>
      </c>
      <c r="C352" s="1" t="s">
        <v>3</v>
      </c>
      <c r="D352" s="1">
        <f>IFERROR(VLOOKUP(RIT_FUSIONS[[#This Row],[ID]],RIT_ACUM!A:A,1,0),"NOVO")</f>
        <v>47246</v>
      </c>
    </row>
    <row r="353" spans="1:4" hidden="1" x14ac:dyDescent="0.35">
      <c r="A353" s="1">
        <v>47245</v>
      </c>
      <c r="B353" s="2">
        <v>46308</v>
      </c>
      <c r="C353" s="1" t="s">
        <v>10</v>
      </c>
      <c r="D353" s="1">
        <f>IFERROR(VLOOKUP(RIT_FUSIONS[[#This Row],[ID]],RIT_ACUM!A:A,1,0),"NOVO")</f>
        <v>47245</v>
      </c>
    </row>
    <row r="354" spans="1:4" hidden="1" x14ac:dyDescent="0.35">
      <c r="A354" s="1">
        <v>47244</v>
      </c>
      <c r="B354" s="2">
        <v>46308</v>
      </c>
      <c r="C354" s="1" t="s">
        <v>10</v>
      </c>
      <c r="D354" s="1">
        <f>IFERROR(VLOOKUP(RIT_FUSIONS[[#This Row],[ID]],RIT_ACUM!A:A,1,0),"NOVO")</f>
        <v>47244</v>
      </c>
    </row>
    <row r="355" spans="1:4" hidden="1" x14ac:dyDescent="0.35">
      <c r="A355" s="1">
        <v>47232</v>
      </c>
      <c r="B355" s="2">
        <v>46308</v>
      </c>
      <c r="C355" s="1" t="s">
        <v>22</v>
      </c>
      <c r="D355" s="1">
        <f>IFERROR(VLOOKUP(RIT_FUSIONS[[#This Row],[ID]],RIT_ACUM!A:A,1,0),"NOVO")</f>
        <v>47232</v>
      </c>
    </row>
    <row r="356" spans="1:4" hidden="1" x14ac:dyDescent="0.35">
      <c r="A356" s="1">
        <v>47231</v>
      </c>
      <c r="B356" s="2">
        <v>46308</v>
      </c>
      <c r="C356" s="1" t="s">
        <v>22</v>
      </c>
      <c r="D356" s="1">
        <f>IFERROR(VLOOKUP(RIT_FUSIONS[[#This Row],[ID]],RIT_ACUM!A:A,1,0),"NOVO")</f>
        <v>47231</v>
      </c>
    </row>
    <row r="357" spans="1:4" hidden="1" x14ac:dyDescent="0.35">
      <c r="A357" s="1">
        <v>47230</v>
      </c>
      <c r="B357" s="2">
        <v>46308</v>
      </c>
      <c r="C357" s="1" t="s">
        <v>22</v>
      </c>
      <c r="D357" s="1">
        <f>IFERROR(VLOOKUP(RIT_FUSIONS[[#This Row],[ID]],RIT_ACUM!A:A,1,0),"NOVO")</f>
        <v>47230</v>
      </c>
    </row>
    <row r="358" spans="1:4" hidden="1" x14ac:dyDescent="0.35">
      <c r="A358" s="1">
        <v>47229</v>
      </c>
      <c r="B358" s="2">
        <v>46308</v>
      </c>
      <c r="C358" s="1" t="s">
        <v>24</v>
      </c>
      <c r="D358" s="1">
        <f>IFERROR(VLOOKUP(RIT_FUSIONS[[#This Row],[ID]],RIT_ACUM!A:A,1,0),"NOVO")</f>
        <v>47229</v>
      </c>
    </row>
    <row r="359" spans="1:4" hidden="1" x14ac:dyDescent="0.35">
      <c r="A359" s="1">
        <v>47228</v>
      </c>
      <c r="B359" s="2">
        <v>46308</v>
      </c>
      <c r="C359" s="1" t="s">
        <v>24</v>
      </c>
      <c r="D359" s="1">
        <f>IFERROR(VLOOKUP(RIT_FUSIONS[[#This Row],[ID]],RIT_ACUM!A:A,1,0),"NOVO")</f>
        <v>47228</v>
      </c>
    </row>
    <row r="360" spans="1:4" hidden="1" x14ac:dyDescent="0.35">
      <c r="A360" s="1">
        <v>47227</v>
      </c>
      <c r="B360" s="2">
        <v>46308</v>
      </c>
      <c r="C360" s="1" t="s">
        <v>7</v>
      </c>
      <c r="D360" s="1">
        <f>IFERROR(VLOOKUP(RIT_FUSIONS[[#This Row],[ID]],RIT_ACUM!A:A,1,0),"NOVO")</f>
        <v>47227</v>
      </c>
    </row>
    <row r="361" spans="1:4" hidden="1" x14ac:dyDescent="0.35">
      <c r="A361" s="1">
        <v>47226</v>
      </c>
      <c r="B361" s="2">
        <v>46308</v>
      </c>
      <c r="C361" s="1" t="s">
        <v>24</v>
      </c>
      <c r="D361" s="1">
        <f>IFERROR(VLOOKUP(RIT_FUSIONS[[#This Row],[ID]],RIT_ACUM!A:A,1,0),"NOVO")</f>
        <v>47226</v>
      </c>
    </row>
    <row r="362" spans="1:4" hidden="1" x14ac:dyDescent="0.35">
      <c r="A362" s="1">
        <v>47225</v>
      </c>
      <c r="B362" s="2">
        <v>46308</v>
      </c>
      <c r="C362" s="1" t="s">
        <v>24</v>
      </c>
      <c r="D362" s="1">
        <f>IFERROR(VLOOKUP(RIT_FUSIONS[[#This Row],[ID]],RIT_ACUM!A:A,1,0),"NOVO")</f>
        <v>47225</v>
      </c>
    </row>
    <row r="363" spans="1:4" hidden="1" x14ac:dyDescent="0.35">
      <c r="A363" s="1">
        <v>47220</v>
      </c>
      <c r="B363" s="2">
        <v>46308</v>
      </c>
      <c r="C363" s="1" t="s">
        <v>28</v>
      </c>
      <c r="D363" s="1">
        <f>IFERROR(VLOOKUP(RIT_FUSIONS[[#This Row],[ID]],RIT_ACUM!A:A,1,0),"NOVO")</f>
        <v>47220</v>
      </c>
    </row>
    <row r="364" spans="1:4" hidden="1" x14ac:dyDescent="0.35">
      <c r="A364" s="1">
        <v>47219</v>
      </c>
      <c r="B364" s="2">
        <v>46308</v>
      </c>
      <c r="C364" s="1" t="s">
        <v>28</v>
      </c>
      <c r="D364" s="1">
        <f>IFERROR(VLOOKUP(RIT_FUSIONS[[#This Row],[ID]],RIT_ACUM!A:A,1,0),"NOVO")</f>
        <v>47219</v>
      </c>
    </row>
    <row r="365" spans="1:4" hidden="1" x14ac:dyDescent="0.35">
      <c r="A365" s="1">
        <v>47218</v>
      </c>
      <c r="B365" s="2">
        <v>46308</v>
      </c>
      <c r="C365" s="1" t="s">
        <v>28</v>
      </c>
      <c r="D365" s="1">
        <f>IFERROR(VLOOKUP(RIT_FUSIONS[[#This Row],[ID]],RIT_ACUM!A:A,1,0),"NOVO")</f>
        <v>47218</v>
      </c>
    </row>
    <row r="366" spans="1:4" hidden="1" x14ac:dyDescent="0.35">
      <c r="A366" s="1">
        <v>47216</v>
      </c>
      <c r="B366" s="2">
        <v>46308</v>
      </c>
      <c r="C366" s="1" t="s">
        <v>28</v>
      </c>
      <c r="D366" s="1">
        <f>IFERROR(VLOOKUP(RIT_FUSIONS[[#This Row],[ID]],RIT_ACUM!A:A,1,0),"NOVO")</f>
        <v>47216</v>
      </c>
    </row>
    <row r="367" spans="1:4" hidden="1" x14ac:dyDescent="0.35">
      <c r="A367" s="1">
        <v>47215</v>
      </c>
      <c r="B367" s="2">
        <v>46308</v>
      </c>
      <c r="C367" s="1" t="s">
        <v>28</v>
      </c>
      <c r="D367" s="1">
        <f>IFERROR(VLOOKUP(RIT_FUSIONS[[#This Row],[ID]],RIT_ACUM!A:A,1,0),"NOVO")</f>
        <v>47215</v>
      </c>
    </row>
    <row r="368" spans="1:4" hidden="1" x14ac:dyDescent="0.35">
      <c r="A368" s="1">
        <v>47214</v>
      </c>
      <c r="B368" s="2">
        <v>46308</v>
      </c>
      <c r="C368" s="1" t="s">
        <v>21</v>
      </c>
      <c r="D368" s="1">
        <f>IFERROR(VLOOKUP(RIT_FUSIONS[[#This Row],[ID]],RIT_ACUM!A:A,1,0),"NOVO")</f>
        <v>47214</v>
      </c>
    </row>
    <row r="369" spans="1:4" hidden="1" x14ac:dyDescent="0.35">
      <c r="A369" s="1">
        <v>47213</v>
      </c>
      <c r="B369" s="2">
        <v>46308</v>
      </c>
      <c r="C369" s="1" t="s">
        <v>17</v>
      </c>
      <c r="D369" s="1">
        <f>IFERROR(VLOOKUP(RIT_FUSIONS[[#This Row],[ID]],RIT_ACUM!A:A,1,0),"NOVO")</f>
        <v>47213</v>
      </c>
    </row>
    <row r="370" spans="1:4" hidden="1" x14ac:dyDescent="0.35">
      <c r="A370" s="1">
        <v>47212</v>
      </c>
      <c r="B370" s="2">
        <v>46308</v>
      </c>
      <c r="C370" s="1" t="s">
        <v>17</v>
      </c>
      <c r="D370" s="1">
        <f>IFERROR(VLOOKUP(RIT_FUSIONS[[#This Row],[ID]],RIT_ACUM!A:A,1,0),"NOVO")</f>
        <v>47212</v>
      </c>
    </row>
    <row r="371" spans="1:4" hidden="1" x14ac:dyDescent="0.35">
      <c r="A371" s="1">
        <v>47211</v>
      </c>
      <c r="B371" s="2">
        <v>46308</v>
      </c>
      <c r="C371" s="1" t="s">
        <v>17</v>
      </c>
      <c r="D371" s="1">
        <f>IFERROR(VLOOKUP(RIT_FUSIONS[[#This Row],[ID]],RIT_ACUM!A:A,1,0),"NOVO")</f>
        <v>47211</v>
      </c>
    </row>
    <row r="372" spans="1:4" hidden="1" x14ac:dyDescent="0.35">
      <c r="A372" s="1">
        <v>47210</v>
      </c>
      <c r="B372" s="2">
        <v>46308</v>
      </c>
      <c r="C372" s="1" t="s">
        <v>17</v>
      </c>
      <c r="D372" s="1">
        <f>IFERROR(VLOOKUP(RIT_FUSIONS[[#This Row],[ID]],RIT_ACUM!A:A,1,0),"NOVO")</f>
        <v>47210</v>
      </c>
    </row>
    <row r="373" spans="1:4" hidden="1" x14ac:dyDescent="0.35">
      <c r="A373" s="1">
        <v>47208</v>
      </c>
      <c r="B373" s="2">
        <v>46308</v>
      </c>
      <c r="C373" s="1" t="s">
        <v>19</v>
      </c>
      <c r="D373" s="1">
        <f>IFERROR(VLOOKUP(RIT_FUSIONS[[#This Row],[ID]],RIT_ACUM!A:A,1,0),"NOVO")</f>
        <v>47208</v>
      </c>
    </row>
    <row r="374" spans="1:4" hidden="1" x14ac:dyDescent="0.35">
      <c r="A374" s="1">
        <v>47206</v>
      </c>
      <c r="B374" s="2">
        <v>46308</v>
      </c>
      <c r="C374" s="1" t="s">
        <v>9</v>
      </c>
      <c r="D374" s="1">
        <f>IFERROR(VLOOKUP(RIT_FUSIONS[[#This Row],[ID]],RIT_ACUM!A:A,1,0),"NOVO")</f>
        <v>47206</v>
      </c>
    </row>
    <row r="375" spans="1:4" hidden="1" x14ac:dyDescent="0.35">
      <c r="A375" s="1">
        <v>47203</v>
      </c>
      <c r="B375" s="2">
        <v>46308</v>
      </c>
      <c r="C375" s="1" t="s">
        <v>103</v>
      </c>
      <c r="D375" s="1">
        <f>IFERROR(VLOOKUP(RIT_FUSIONS[[#This Row],[ID]],RIT_ACUM!A:A,1,0),"NOVO")</f>
        <v>47203</v>
      </c>
    </row>
    <row r="376" spans="1:4" hidden="1" x14ac:dyDescent="0.35">
      <c r="A376" s="1">
        <v>47202</v>
      </c>
      <c r="B376" s="2">
        <v>46308</v>
      </c>
      <c r="C376" s="1" t="s">
        <v>103</v>
      </c>
      <c r="D376" s="1">
        <f>IFERROR(VLOOKUP(RIT_FUSIONS[[#This Row],[ID]],RIT_ACUM!A:A,1,0),"NOVO")</f>
        <v>47202</v>
      </c>
    </row>
    <row r="377" spans="1:4" hidden="1" x14ac:dyDescent="0.35">
      <c r="A377" s="1">
        <v>47201</v>
      </c>
      <c r="B377" s="2">
        <v>46308</v>
      </c>
      <c r="C377" s="1" t="s">
        <v>7</v>
      </c>
      <c r="D377" s="1">
        <f>IFERROR(VLOOKUP(RIT_FUSIONS[[#This Row],[ID]],RIT_ACUM!A:A,1,0),"NOVO")</f>
        <v>47201</v>
      </c>
    </row>
    <row r="378" spans="1:4" hidden="1" x14ac:dyDescent="0.35">
      <c r="A378" s="1">
        <v>47200</v>
      </c>
      <c r="B378" s="2">
        <v>46308</v>
      </c>
      <c r="C378" s="1" t="s">
        <v>21</v>
      </c>
      <c r="D378" s="1">
        <f>IFERROR(VLOOKUP(RIT_FUSIONS[[#This Row],[ID]],RIT_ACUM!A:A,1,0),"NOVO")</f>
        <v>47200</v>
      </c>
    </row>
    <row r="379" spans="1:4" hidden="1" x14ac:dyDescent="0.35">
      <c r="A379" s="1">
        <v>47199</v>
      </c>
      <c r="B379" s="2">
        <v>46308</v>
      </c>
      <c r="C379" s="1" t="s">
        <v>21</v>
      </c>
      <c r="D379" s="1">
        <f>IFERROR(VLOOKUP(RIT_FUSIONS[[#This Row],[ID]],RIT_ACUM!A:A,1,0),"NOVO")</f>
        <v>47199</v>
      </c>
    </row>
    <row r="380" spans="1:4" hidden="1" x14ac:dyDescent="0.35">
      <c r="A380" s="1">
        <v>47198</v>
      </c>
      <c r="B380" s="2">
        <v>46308</v>
      </c>
      <c r="C380" s="1" t="s">
        <v>15</v>
      </c>
      <c r="D380" s="1">
        <f>IFERROR(VLOOKUP(RIT_FUSIONS[[#This Row],[ID]],RIT_ACUM!A:A,1,0),"NOVO")</f>
        <v>47198</v>
      </c>
    </row>
    <row r="381" spans="1:4" hidden="1" x14ac:dyDescent="0.35">
      <c r="A381" s="1">
        <v>47197</v>
      </c>
      <c r="B381" s="2">
        <v>46308</v>
      </c>
      <c r="C381" s="1" t="s">
        <v>6</v>
      </c>
      <c r="D381" s="1">
        <f>IFERROR(VLOOKUP(RIT_FUSIONS[[#This Row],[ID]],RIT_ACUM!A:A,1,0),"NOVO")</f>
        <v>47197</v>
      </c>
    </row>
    <row r="382" spans="1:4" hidden="1" x14ac:dyDescent="0.35">
      <c r="A382" s="1">
        <v>47196</v>
      </c>
      <c r="B382" s="2">
        <v>46308</v>
      </c>
      <c r="C382" s="1" t="s">
        <v>6</v>
      </c>
      <c r="D382" s="1">
        <f>IFERROR(VLOOKUP(RIT_FUSIONS[[#This Row],[ID]],RIT_ACUM!A:A,1,0),"NOVO")</f>
        <v>47196</v>
      </c>
    </row>
    <row r="383" spans="1:4" hidden="1" x14ac:dyDescent="0.35">
      <c r="A383" s="1">
        <v>47194</v>
      </c>
      <c r="B383" s="2">
        <v>46308</v>
      </c>
      <c r="C383" s="1" t="s">
        <v>9</v>
      </c>
      <c r="D383" s="1">
        <f>IFERROR(VLOOKUP(RIT_FUSIONS[[#This Row],[ID]],RIT_ACUM!A:A,1,0),"NOVO")</f>
        <v>47194</v>
      </c>
    </row>
    <row r="384" spans="1:4" hidden="1" x14ac:dyDescent="0.35">
      <c r="A384" s="1">
        <v>47193</v>
      </c>
      <c r="B384" s="2">
        <v>46308</v>
      </c>
      <c r="C384" s="1" t="s">
        <v>19</v>
      </c>
      <c r="D384" s="1">
        <f>IFERROR(VLOOKUP(RIT_FUSIONS[[#This Row],[ID]],RIT_ACUM!A:A,1,0),"NOVO")</f>
        <v>47193</v>
      </c>
    </row>
    <row r="385" spans="1:4" hidden="1" x14ac:dyDescent="0.35">
      <c r="A385" s="1">
        <v>47192</v>
      </c>
      <c r="B385" s="2">
        <v>46308</v>
      </c>
      <c r="C385" s="1" t="s">
        <v>21</v>
      </c>
      <c r="D385" s="1">
        <f>IFERROR(VLOOKUP(RIT_FUSIONS[[#This Row],[ID]],RIT_ACUM!A:A,1,0),"NOVO")</f>
        <v>47192</v>
      </c>
    </row>
    <row r="386" spans="1:4" hidden="1" x14ac:dyDescent="0.35">
      <c r="A386" s="1">
        <v>47191</v>
      </c>
      <c r="B386" s="2">
        <v>46308</v>
      </c>
      <c r="C386" s="1" t="s">
        <v>19</v>
      </c>
      <c r="D386" s="1">
        <f>IFERROR(VLOOKUP(RIT_FUSIONS[[#This Row],[ID]],RIT_ACUM!A:A,1,0),"NOVO")</f>
        <v>47191</v>
      </c>
    </row>
    <row r="387" spans="1:4" hidden="1" x14ac:dyDescent="0.35">
      <c r="A387" s="1">
        <v>47190</v>
      </c>
      <c r="B387" s="2">
        <v>46308</v>
      </c>
      <c r="C387" s="1" t="s">
        <v>9</v>
      </c>
      <c r="D387" s="1">
        <f>IFERROR(VLOOKUP(RIT_FUSIONS[[#This Row],[ID]],RIT_ACUM!A:A,1,0),"NOVO")</f>
        <v>47190</v>
      </c>
    </row>
    <row r="388" spans="1:4" hidden="1" x14ac:dyDescent="0.35">
      <c r="A388" s="1">
        <v>47189</v>
      </c>
      <c r="B388" s="2">
        <v>46308</v>
      </c>
      <c r="C388" s="1" t="s">
        <v>3</v>
      </c>
      <c r="D388" s="1">
        <f>IFERROR(VLOOKUP(RIT_FUSIONS[[#This Row],[ID]],RIT_ACUM!A:A,1,0),"NOVO")</f>
        <v>47189</v>
      </c>
    </row>
    <row r="389" spans="1:4" hidden="1" x14ac:dyDescent="0.35">
      <c r="A389" s="1">
        <v>47188</v>
      </c>
      <c r="B389" s="2">
        <v>46308</v>
      </c>
      <c r="C389" s="1" t="s">
        <v>3</v>
      </c>
      <c r="D389" s="1">
        <f>IFERROR(VLOOKUP(RIT_FUSIONS[[#This Row],[ID]],RIT_ACUM!A:A,1,0),"NOVO")</f>
        <v>47188</v>
      </c>
    </row>
    <row r="390" spans="1:4" hidden="1" x14ac:dyDescent="0.35">
      <c r="A390" s="1">
        <v>47187</v>
      </c>
      <c r="B390" s="2">
        <v>46308</v>
      </c>
      <c r="C390" s="1" t="s">
        <v>21</v>
      </c>
      <c r="D390" s="1">
        <f>IFERROR(VLOOKUP(RIT_FUSIONS[[#This Row],[ID]],RIT_ACUM!A:A,1,0),"NOVO")</f>
        <v>47187</v>
      </c>
    </row>
    <row r="391" spans="1:4" hidden="1" x14ac:dyDescent="0.35">
      <c r="A391" s="1">
        <v>47170</v>
      </c>
      <c r="B391" s="2">
        <v>46307</v>
      </c>
      <c r="C391" s="1" t="s">
        <v>10</v>
      </c>
      <c r="D391" s="1">
        <f>IFERROR(VLOOKUP(RIT_FUSIONS[[#This Row],[ID]],RIT_ACUM!A:A,1,0),"NOVO")</f>
        <v>47170</v>
      </c>
    </row>
    <row r="392" spans="1:4" hidden="1" x14ac:dyDescent="0.35">
      <c r="A392" s="1">
        <v>47169</v>
      </c>
      <c r="B392" s="2">
        <v>46307</v>
      </c>
      <c r="C392" s="1" t="s">
        <v>10</v>
      </c>
      <c r="D392" s="1">
        <f>IFERROR(VLOOKUP(RIT_FUSIONS[[#This Row],[ID]],RIT_ACUM!A:A,1,0),"NOVO")</f>
        <v>47169</v>
      </c>
    </row>
    <row r="393" spans="1:4" hidden="1" x14ac:dyDescent="0.35">
      <c r="A393" s="1">
        <v>47130</v>
      </c>
      <c r="B393" s="2">
        <v>46306</v>
      </c>
      <c r="C393" s="1" t="s">
        <v>17</v>
      </c>
      <c r="D393" s="1">
        <f>IFERROR(VLOOKUP(RIT_FUSIONS[[#This Row],[ID]],RIT_ACUM!A:A,1,0),"NOVO")</f>
        <v>47130</v>
      </c>
    </row>
    <row r="394" spans="1:4" hidden="1" x14ac:dyDescent="0.35">
      <c r="A394" s="1">
        <v>47129</v>
      </c>
      <c r="B394" s="2">
        <v>46306</v>
      </c>
      <c r="C394" s="1" t="s">
        <v>17</v>
      </c>
      <c r="D394" s="1">
        <f>IFERROR(VLOOKUP(RIT_FUSIONS[[#This Row],[ID]],RIT_ACUM!A:A,1,0),"NOVO")</f>
        <v>47129</v>
      </c>
    </row>
    <row r="395" spans="1:4" hidden="1" x14ac:dyDescent="0.35">
      <c r="A395" s="1">
        <v>47128</v>
      </c>
      <c r="B395" s="2">
        <v>46306</v>
      </c>
      <c r="C395" s="1" t="s">
        <v>17</v>
      </c>
      <c r="D395" s="1">
        <f>IFERROR(VLOOKUP(RIT_FUSIONS[[#This Row],[ID]],RIT_ACUM!A:A,1,0),"NOVO")</f>
        <v>47128</v>
      </c>
    </row>
    <row r="396" spans="1:4" hidden="1" x14ac:dyDescent="0.35">
      <c r="A396" s="1">
        <v>47127</v>
      </c>
      <c r="B396" s="2">
        <v>46306</v>
      </c>
      <c r="C396" s="1" t="s">
        <v>17</v>
      </c>
      <c r="D396" s="1">
        <f>IFERROR(VLOOKUP(RIT_FUSIONS[[#This Row],[ID]],RIT_ACUM!A:A,1,0),"NOVO")</f>
        <v>47127</v>
      </c>
    </row>
    <row r="397" spans="1:4" hidden="1" x14ac:dyDescent="0.35">
      <c r="A397" s="1">
        <v>47117</v>
      </c>
      <c r="B397" s="2">
        <v>46305</v>
      </c>
      <c r="C397" s="1" t="s">
        <v>10</v>
      </c>
      <c r="D397" s="1">
        <f>IFERROR(VLOOKUP(RIT_FUSIONS[[#This Row],[ID]],RIT_ACUM!A:A,1,0),"NOVO")</f>
        <v>47117</v>
      </c>
    </row>
    <row r="398" spans="1:4" hidden="1" x14ac:dyDescent="0.35">
      <c r="A398" s="1">
        <v>47107</v>
      </c>
      <c r="B398" s="2">
        <v>46305</v>
      </c>
      <c r="C398" s="1" t="s">
        <v>10</v>
      </c>
      <c r="D398" s="1">
        <f>IFERROR(VLOOKUP(RIT_FUSIONS[[#This Row],[ID]],RIT_ACUM!A:A,1,0),"NOVO")</f>
        <v>47107</v>
      </c>
    </row>
    <row r="399" spans="1:4" hidden="1" x14ac:dyDescent="0.35">
      <c r="A399" s="1">
        <v>47106</v>
      </c>
      <c r="B399" s="2">
        <v>46304</v>
      </c>
      <c r="C399" s="1" t="s">
        <v>10</v>
      </c>
      <c r="D399" s="1">
        <f>IFERROR(VLOOKUP(RIT_FUSIONS[[#This Row],[ID]],RIT_ACUM!A:A,1,0),"NOVO")</f>
        <v>47106</v>
      </c>
    </row>
    <row r="400" spans="1:4" hidden="1" x14ac:dyDescent="0.35">
      <c r="A400" s="1">
        <v>47105</v>
      </c>
      <c r="B400" s="2">
        <v>46304</v>
      </c>
      <c r="C400" s="1" t="s">
        <v>10</v>
      </c>
      <c r="D400" s="1">
        <f>IFERROR(VLOOKUP(RIT_FUSIONS[[#This Row],[ID]],RIT_ACUM!A:A,1,0),"NOVO")</f>
        <v>47105</v>
      </c>
    </row>
    <row r="401" spans="1:4" hidden="1" x14ac:dyDescent="0.35">
      <c r="A401" s="1">
        <v>47100</v>
      </c>
      <c r="B401" s="2">
        <v>46304</v>
      </c>
      <c r="C401" s="1" t="s">
        <v>24</v>
      </c>
      <c r="D401" s="1">
        <f>IFERROR(VLOOKUP(RIT_FUSIONS[[#This Row],[ID]],RIT_ACUM!A:A,1,0),"NOVO")</f>
        <v>47100</v>
      </c>
    </row>
    <row r="402" spans="1:4" hidden="1" x14ac:dyDescent="0.35">
      <c r="A402" s="1">
        <v>47099</v>
      </c>
      <c r="B402" s="2">
        <v>46304</v>
      </c>
      <c r="C402" s="1" t="s">
        <v>24</v>
      </c>
      <c r="D402" s="1">
        <f>IFERROR(VLOOKUP(RIT_FUSIONS[[#This Row],[ID]],RIT_ACUM!A:A,1,0),"NOVO")</f>
        <v>47099</v>
      </c>
    </row>
    <row r="403" spans="1:4" hidden="1" x14ac:dyDescent="0.35">
      <c r="A403" s="1">
        <v>47098</v>
      </c>
      <c r="B403" s="2">
        <v>46304</v>
      </c>
      <c r="C403" s="1" t="s">
        <v>24</v>
      </c>
      <c r="D403" s="1">
        <f>IFERROR(VLOOKUP(RIT_FUSIONS[[#This Row],[ID]],RIT_ACUM!A:A,1,0),"NOVO")</f>
        <v>47098</v>
      </c>
    </row>
    <row r="404" spans="1:4" hidden="1" x14ac:dyDescent="0.35">
      <c r="A404" s="1">
        <v>47097</v>
      </c>
      <c r="B404" s="2">
        <v>46304</v>
      </c>
      <c r="C404" s="1" t="s">
        <v>28</v>
      </c>
      <c r="D404" s="1">
        <f>IFERROR(VLOOKUP(RIT_FUSIONS[[#This Row],[ID]],RIT_ACUM!A:A,1,0),"NOVO")</f>
        <v>47097</v>
      </c>
    </row>
    <row r="405" spans="1:4" hidden="1" x14ac:dyDescent="0.35">
      <c r="A405" s="1">
        <v>47095</v>
      </c>
      <c r="B405" s="2">
        <v>46304</v>
      </c>
      <c r="C405" s="1" t="s">
        <v>3</v>
      </c>
      <c r="D405" s="1">
        <f>IFERROR(VLOOKUP(RIT_FUSIONS[[#This Row],[ID]],RIT_ACUM!A:A,1,0),"NOVO")</f>
        <v>47095</v>
      </c>
    </row>
    <row r="406" spans="1:4" hidden="1" x14ac:dyDescent="0.35">
      <c r="A406" s="1">
        <v>47094</v>
      </c>
      <c r="B406" s="2">
        <v>46304</v>
      </c>
      <c r="C406" s="1" t="s">
        <v>21</v>
      </c>
      <c r="D406" s="1">
        <f>IFERROR(VLOOKUP(RIT_FUSIONS[[#This Row],[ID]],RIT_ACUM!A:A,1,0),"NOVO")</f>
        <v>47094</v>
      </c>
    </row>
    <row r="407" spans="1:4" hidden="1" x14ac:dyDescent="0.35">
      <c r="A407" s="1">
        <v>47092</v>
      </c>
      <c r="B407" s="2">
        <v>46304</v>
      </c>
      <c r="C407" s="1" t="s">
        <v>7</v>
      </c>
      <c r="D407" s="1">
        <f>IFERROR(VLOOKUP(RIT_FUSIONS[[#This Row],[ID]],RIT_ACUM!A:A,1,0),"NOVO")</f>
        <v>47092</v>
      </c>
    </row>
    <row r="408" spans="1:4" hidden="1" x14ac:dyDescent="0.35">
      <c r="A408" s="1">
        <v>47091</v>
      </c>
      <c r="B408" s="2">
        <v>46304</v>
      </c>
      <c r="C408" s="1" t="s">
        <v>7</v>
      </c>
      <c r="D408" s="1">
        <f>IFERROR(VLOOKUP(RIT_FUSIONS[[#This Row],[ID]],RIT_ACUM!A:A,1,0),"NOVO")</f>
        <v>47091</v>
      </c>
    </row>
    <row r="409" spans="1:4" hidden="1" x14ac:dyDescent="0.35">
      <c r="A409" s="1">
        <v>47090</v>
      </c>
      <c r="B409" s="2">
        <v>46304</v>
      </c>
      <c r="C409" s="1" t="s">
        <v>28</v>
      </c>
      <c r="D409" s="1">
        <f>IFERROR(VLOOKUP(RIT_FUSIONS[[#This Row],[ID]],RIT_ACUM!A:A,1,0),"NOVO")</f>
        <v>47090</v>
      </c>
    </row>
    <row r="410" spans="1:4" hidden="1" x14ac:dyDescent="0.35">
      <c r="A410" s="1">
        <v>47089</v>
      </c>
      <c r="B410" s="2">
        <v>46304</v>
      </c>
      <c r="C410" s="1" t="s">
        <v>9</v>
      </c>
      <c r="D410" s="1">
        <f>IFERROR(VLOOKUP(RIT_FUSIONS[[#This Row],[ID]],RIT_ACUM!A:A,1,0),"NOVO")</f>
        <v>47089</v>
      </c>
    </row>
    <row r="411" spans="1:4" hidden="1" x14ac:dyDescent="0.35">
      <c r="A411" s="1">
        <v>47088</v>
      </c>
      <c r="B411" s="2">
        <v>46304</v>
      </c>
      <c r="C411" s="1" t="s">
        <v>9</v>
      </c>
      <c r="D411" s="1">
        <f>IFERROR(VLOOKUP(RIT_FUSIONS[[#This Row],[ID]],RIT_ACUM!A:A,1,0),"NOVO")</f>
        <v>47088</v>
      </c>
    </row>
    <row r="412" spans="1:4" hidden="1" x14ac:dyDescent="0.35">
      <c r="A412" s="1">
        <v>47087</v>
      </c>
      <c r="B412" s="2">
        <v>46304</v>
      </c>
      <c r="C412" s="1" t="s">
        <v>19</v>
      </c>
      <c r="D412" s="1">
        <f>IFERROR(VLOOKUP(RIT_FUSIONS[[#This Row],[ID]],RIT_ACUM!A:A,1,0),"NOVO")</f>
        <v>47087</v>
      </c>
    </row>
    <row r="413" spans="1:4" hidden="1" x14ac:dyDescent="0.35">
      <c r="A413" s="1">
        <v>47082</v>
      </c>
      <c r="B413" s="2">
        <v>46304</v>
      </c>
      <c r="C413" s="1" t="s">
        <v>28</v>
      </c>
      <c r="D413" s="1">
        <f>IFERROR(VLOOKUP(RIT_FUSIONS[[#This Row],[ID]],RIT_ACUM!A:A,1,0),"NOVO")</f>
        <v>47082</v>
      </c>
    </row>
    <row r="414" spans="1:4" hidden="1" x14ac:dyDescent="0.35">
      <c r="A414" s="1">
        <v>47078</v>
      </c>
      <c r="B414" s="2">
        <v>46304</v>
      </c>
      <c r="C414" s="1" t="s">
        <v>28</v>
      </c>
      <c r="D414" s="1">
        <f>IFERROR(VLOOKUP(RIT_FUSIONS[[#This Row],[ID]],RIT_ACUM!A:A,1,0),"NOVO")</f>
        <v>47078</v>
      </c>
    </row>
    <row r="415" spans="1:4" hidden="1" x14ac:dyDescent="0.35">
      <c r="A415" s="1">
        <v>47076</v>
      </c>
      <c r="B415" s="2">
        <v>46304</v>
      </c>
      <c r="C415" s="1" t="s">
        <v>24</v>
      </c>
      <c r="D415" s="1">
        <f>IFERROR(VLOOKUP(RIT_FUSIONS[[#This Row],[ID]],RIT_ACUM!A:A,1,0),"NOVO")</f>
        <v>47076</v>
      </c>
    </row>
    <row r="416" spans="1:4" hidden="1" x14ac:dyDescent="0.35">
      <c r="A416" s="1">
        <v>47075</v>
      </c>
      <c r="B416" s="2">
        <v>46304</v>
      </c>
      <c r="C416" s="1" t="s">
        <v>24</v>
      </c>
      <c r="D416" s="1">
        <f>IFERROR(VLOOKUP(RIT_FUSIONS[[#This Row],[ID]],RIT_ACUM!A:A,1,0),"NOVO")</f>
        <v>47075</v>
      </c>
    </row>
    <row r="417" spans="1:4" hidden="1" x14ac:dyDescent="0.35">
      <c r="A417" s="1">
        <v>47074</v>
      </c>
      <c r="B417" s="2">
        <v>46304</v>
      </c>
      <c r="C417" s="1" t="s">
        <v>24</v>
      </c>
      <c r="D417" s="1">
        <f>IFERROR(VLOOKUP(RIT_FUSIONS[[#This Row],[ID]],RIT_ACUM!A:A,1,0),"NOVO")</f>
        <v>47074</v>
      </c>
    </row>
    <row r="418" spans="1:4" hidden="1" x14ac:dyDescent="0.35">
      <c r="A418" s="1">
        <v>47073</v>
      </c>
      <c r="B418" s="2">
        <v>46304</v>
      </c>
      <c r="C418" s="1" t="s">
        <v>24</v>
      </c>
      <c r="D418" s="1">
        <f>IFERROR(VLOOKUP(RIT_FUSIONS[[#This Row],[ID]],RIT_ACUM!A:A,1,0),"NOVO")</f>
        <v>47073</v>
      </c>
    </row>
    <row r="419" spans="1:4" hidden="1" x14ac:dyDescent="0.35">
      <c r="A419" s="1">
        <v>47071</v>
      </c>
      <c r="B419" s="2">
        <v>46304</v>
      </c>
      <c r="C419" s="1" t="s">
        <v>21</v>
      </c>
      <c r="D419" s="1">
        <f>IFERROR(VLOOKUP(RIT_FUSIONS[[#This Row],[ID]],RIT_ACUM!A:A,1,0),"NOVO")</f>
        <v>47071</v>
      </c>
    </row>
    <row r="420" spans="1:4" hidden="1" x14ac:dyDescent="0.35">
      <c r="A420" s="1">
        <v>47070</v>
      </c>
      <c r="B420" s="2">
        <v>46304</v>
      </c>
      <c r="C420" s="1" t="s">
        <v>19</v>
      </c>
      <c r="D420" s="1">
        <f>IFERROR(VLOOKUP(RIT_FUSIONS[[#This Row],[ID]],RIT_ACUM!A:A,1,0),"NOVO")</f>
        <v>47070</v>
      </c>
    </row>
    <row r="421" spans="1:4" hidden="1" x14ac:dyDescent="0.35">
      <c r="A421" s="1">
        <v>47051</v>
      </c>
      <c r="B421" s="2">
        <v>46304</v>
      </c>
      <c r="C421" s="1" t="s">
        <v>19</v>
      </c>
      <c r="D421" s="1">
        <f>IFERROR(VLOOKUP(RIT_FUSIONS[[#This Row],[ID]],RIT_ACUM!A:A,1,0),"NOVO")</f>
        <v>47051</v>
      </c>
    </row>
    <row r="422" spans="1:4" hidden="1" x14ac:dyDescent="0.35">
      <c r="A422" s="1">
        <v>47049</v>
      </c>
      <c r="B422" s="2">
        <v>46304</v>
      </c>
      <c r="C422" s="1" t="s">
        <v>21</v>
      </c>
      <c r="D422" s="1">
        <f>IFERROR(VLOOKUP(RIT_FUSIONS[[#This Row],[ID]],RIT_ACUM!A:A,1,0),"NOVO")</f>
        <v>47049</v>
      </c>
    </row>
    <row r="423" spans="1:4" hidden="1" x14ac:dyDescent="0.35">
      <c r="A423" s="1">
        <v>47047</v>
      </c>
      <c r="B423" s="2">
        <v>46304</v>
      </c>
      <c r="C423" s="1" t="s">
        <v>3</v>
      </c>
      <c r="D423" s="1">
        <f>IFERROR(VLOOKUP(RIT_FUSIONS[[#This Row],[ID]],RIT_ACUM!A:A,1,0),"NOVO")</f>
        <v>47047</v>
      </c>
    </row>
    <row r="424" spans="1:4" hidden="1" x14ac:dyDescent="0.35">
      <c r="A424" s="1">
        <v>47044</v>
      </c>
      <c r="B424" s="2">
        <v>46304</v>
      </c>
      <c r="C424" s="1" t="s">
        <v>19</v>
      </c>
      <c r="D424" s="1">
        <f>IFERROR(VLOOKUP(RIT_FUSIONS[[#This Row],[ID]],RIT_ACUM!A:A,1,0),"NOVO")</f>
        <v>47044</v>
      </c>
    </row>
    <row r="425" spans="1:4" hidden="1" x14ac:dyDescent="0.35">
      <c r="A425" s="1">
        <v>47039</v>
      </c>
      <c r="B425" s="2">
        <v>46304</v>
      </c>
      <c r="C425" s="1" t="s">
        <v>21</v>
      </c>
      <c r="D425" s="1">
        <f>IFERROR(VLOOKUP(RIT_FUSIONS[[#This Row],[ID]],RIT_ACUM!A:A,1,0),"NOVO")</f>
        <v>47039</v>
      </c>
    </row>
    <row r="426" spans="1:4" hidden="1" x14ac:dyDescent="0.35">
      <c r="A426" s="1">
        <v>47038</v>
      </c>
      <c r="B426" s="2">
        <v>46304</v>
      </c>
      <c r="C426" s="1" t="s">
        <v>19</v>
      </c>
      <c r="D426" s="1">
        <f>IFERROR(VLOOKUP(RIT_FUSIONS[[#This Row],[ID]],RIT_ACUM!A:A,1,0),"NOVO")</f>
        <v>47038</v>
      </c>
    </row>
    <row r="427" spans="1:4" hidden="1" x14ac:dyDescent="0.35">
      <c r="A427" s="1">
        <v>47036</v>
      </c>
      <c r="B427" s="2">
        <v>46304</v>
      </c>
      <c r="C427" s="1" t="s">
        <v>9</v>
      </c>
      <c r="D427" s="1">
        <f>IFERROR(VLOOKUP(RIT_FUSIONS[[#This Row],[ID]],RIT_ACUM!A:A,1,0),"NOVO")</f>
        <v>47036</v>
      </c>
    </row>
    <row r="428" spans="1:4" hidden="1" x14ac:dyDescent="0.35">
      <c r="A428" s="1">
        <v>47033</v>
      </c>
      <c r="B428" s="2">
        <v>46303</v>
      </c>
      <c r="C428" s="1" t="s">
        <v>10</v>
      </c>
      <c r="D428" s="1">
        <f>IFERROR(VLOOKUP(RIT_FUSIONS[[#This Row],[ID]],RIT_ACUM!A:A,1,0),"NOVO")</f>
        <v>47033</v>
      </c>
    </row>
    <row r="429" spans="1:4" hidden="1" x14ac:dyDescent="0.35">
      <c r="A429" s="1">
        <v>47032</v>
      </c>
      <c r="B429" s="2">
        <v>46303</v>
      </c>
      <c r="C429" s="1" t="s">
        <v>10</v>
      </c>
      <c r="D429" s="1">
        <f>IFERROR(VLOOKUP(RIT_FUSIONS[[#This Row],[ID]],RIT_ACUM!A:A,1,0),"NOVO")</f>
        <v>47032</v>
      </c>
    </row>
    <row r="430" spans="1:4" hidden="1" x14ac:dyDescent="0.35">
      <c r="A430" s="1">
        <v>47018</v>
      </c>
      <c r="B430" s="2">
        <v>46303</v>
      </c>
      <c r="C430" s="1" t="s">
        <v>21</v>
      </c>
      <c r="D430" s="1">
        <f>IFERROR(VLOOKUP(RIT_FUSIONS[[#This Row],[ID]],RIT_ACUM!A:A,1,0),"NOVO")</f>
        <v>47018</v>
      </c>
    </row>
    <row r="431" spans="1:4" hidden="1" x14ac:dyDescent="0.35">
      <c r="A431" s="1">
        <v>47017</v>
      </c>
      <c r="B431" s="2">
        <v>46303</v>
      </c>
      <c r="C431" s="1" t="s">
        <v>21</v>
      </c>
      <c r="D431" s="1">
        <f>IFERROR(VLOOKUP(RIT_FUSIONS[[#This Row],[ID]],RIT_ACUM!A:A,1,0),"NOVO")</f>
        <v>47017</v>
      </c>
    </row>
    <row r="432" spans="1:4" hidden="1" x14ac:dyDescent="0.35">
      <c r="A432" s="1">
        <v>47016</v>
      </c>
      <c r="B432" s="2">
        <v>46303</v>
      </c>
      <c r="C432" s="1" t="s">
        <v>3</v>
      </c>
      <c r="D432" s="1">
        <f>IFERROR(VLOOKUP(RIT_FUSIONS[[#This Row],[ID]],RIT_ACUM!A:A,1,0),"NOVO")</f>
        <v>47016</v>
      </c>
    </row>
    <row r="433" spans="1:4" hidden="1" x14ac:dyDescent="0.35">
      <c r="A433" s="1">
        <v>47015</v>
      </c>
      <c r="B433" s="2">
        <v>46303</v>
      </c>
      <c r="C433" s="1" t="s">
        <v>3</v>
      </c>
      <c r="D433" s="1">
        <f>IFERROR(VLOOKUP(RIT_FUSIONS[[#This Row],[ID]],RIT_ACUM!A:A,1,0),"NOVO")</f>
        <v>47015</v>
      </c>
    </row>
    <row r="434" spans="1:4" hidden="1" x14ac:dyDescent="0.35">
      <c r="A434" s="1">
        <v>47009</v>
      </c>
      <c r="B434" s="2">
        <v>46303</v>
      </c>
      <c r="C434" s="1" t="s">
        <v>22</v>
      </c>
      <c r="D434" s="1">
        <f>IFERROR(VLOOKUP(RIT_FUSIONS[[#This Row],[ID]],RIT_ACUM!A:A,1,0),"NOVO")</f>
        <v>47009</v>
      </c>
    </row>
    <row r="435" spans="1:4" hidden="1" x14ac:dyDescent="0.35">
      <c r="A435" s="1">
        <v>47008</v>
      </c>
      <c r="B435" s="2">
        <v>46303</v>
      </c>
      <c r="C435" s="1" t="s">
        <v>22</v>
      </c>
      <c r="D435" s="1">
        <f>IFERROR(VLOOKUP(RIT_FUSIONS[[#This Row],[ID]],RIT_ACUM!A:A,1,0),"NOVO")</f>
        <v>47008</v>
      </c>
    </row>
    <row r="436" spans="1:4" hidden="1" x14ac:dyDescent="0.35">
      <c r="A436" s="1">
        <v>47007</v>
      </c>
      <c r="B436" s="2">
        <v>46303</v>
      </c>
      <c r="C436" s="1" t="s">
        <v>22</v>
      </c>
      <c r="D436" s="1">
        <f>IFERROR(VLOOKUP(RIT_FUSIONS[[#This Row],[ID]],RIT_ACUM!A:A,1,0),"NOVO")</f>
        <v>47007</v>
      </c>
    </row>
    <row r="437" spans="1:4" hidden="1" x14ac:dyDescent="0.35">
      <c r="A437" s="1">
        <v>47006</v>
      </c>
      <c r="B437" s="2">
        <v>46303</v>
      </c>
      <c r="C437" s="1" t="s">
        <v>22</v>
      </c>
      <c r="D437" s="1">
        <f>IFERROR(VLOOKUP(RIT_FUSIONS[[#This Row],[ID]],RIT_ACUM!A:A,1,0),"NOVO")</f>
        <v>47006</v>
      </c>
    </row>
    <row r="438" spans="1:4" hidden="1" x14ac:dyDescent="0.35">
      <c r="A438" s="1">
        <v>47005</v>
      </c>
      <c r="B438" s="2">
        <v>46303</v>
      </c>
      <c r="C438" s="1" t="s">
        <v>22</v>
      </c>
      <c r="D438" s="1">
        <f>IFERROR(VLOOKUP(RIT_FUSIONS[[#This Row],[ID]],RIT_ACUM!A:A,1,0),"NOVO")</f>
        <v>47005</v>
      </c>
    </row>
    <row r="439" spans="1:4" hidden="1" x14ac:dyDescent="0.35">
      <c r="A439" s="1">
        <v>47004</v>
      </c>
      <c r="B439" s="2">
        <v>46303</v>
      </c>
      <c r="C439" s="1" t="s">
        <v>22</v>
      </c>
      <c r="D439" s="1">
        <f>IFERROR(VLOOKUP(RIT_FUSIONS[[#This Row],[ID]],RIT_ACUM!A:A,1,0),"NOVO")</f>
        <v>47004</v>
      </c>
    </row>
    <row r="440" spans="1:4" hidden="1" x14ac:dyDescent="0.35">
      <c r="A440" s="1">
        <v>47003</v>
      </c>
      <c r="B440" s="2">
        <v>46303</v>
      </c>
      <c r="C440" s="1" t="s">
        <v>22</v>
      </c>
      <c r="D440" s="1">
        <f>IFERROR(VLOOKUP(RIT_FUSIONS[[#This Row],[ID]],RIT_ACUM!A:A,1,0),"NOVO")</f>
        <v>47003</v>
      </c>
    </row>
    <row r="441" spans="1:4" hidden="1" x14ac:dyDescent="0.35">
      <c r="A441" s="1">
        <v>47002</v>
      </c>
      <c r="B441" s="2">
        <v>46303</v>
      </c>
      <c r="C441" s="1" t="s">
        <v>22</v>
      </c>
      <c r="D441" s="1">
        <f>IFERROR(VLOOKUP(RIT_FUSIONS[[#This Row],[ID]],RIT_ACUM!A:A,1,0),"NOVO")</f>
        <v>47002</v>
      </c>
    </row>
    <row r="442" spans="1:4" hidden="1" x14ac:dyDescent="0.35">
      <c r="A442" s="1">
        <v>47001</v>
      </c>
      <c r="B442" s="2">
        <v>46303</v>
      </c>
      <c r="C442" s="1" t="s">
        <v>22</v>
      </c>
      <c r="D442" s="1">
        <f>IFERROR(VLOOKUP(RIT_FUSIONS[[#This Row],[ID]],RIT_ACUM!A:A,1,0),"NOVO")</f>
        <v>47001</v>
      </c>
    </row>
    <row r="443" spans="1:4" hidden="1" x14ac:dyDescent="0.35">
      <c r="A443" s="1">
        <v>47000</v>
      </c>
      <c r="B443" s="2">
        <v>46303</v>
      </c>
      <c r="C443" s="1" t="s">
        <v>22</v>
      </c>
      <c r="D443" s="1">
        <f>IFERROR(VLOOKUP(RIT_FUSIONS[[#This Row],[ID]],RIT_ACUM!A:A,1,0),"NOVO")</f>
        <v>47000</v>
      </c>
    </row>
    <row r="444" spans="1:4" hidden="1" x14ac:dyDescent="0.35">
      <c r="A444" s="1">
        <v>46992</v>
      </c>
      <c r="B444" s="2">
        <v>46303</v>
      </c>
      <c r="C444" s="1" t="s">
        <v>19</v>
      </c>
      <c r="D444" s="1">
        <f>IFERROR(VLOOKUP(RIT_FUSIONS[[#This Row],[ID]],RIT_ACUM!A:A,1,0),"NOVO")</f>
        <v>46992</v>
      </c>
    </row>
    <row r="445" spans="1:4" hidden="1" x14ac:dyDescent="0.35">
      <c r="A445" s="1">
        <v>46991</v>
      </c>
      <c r="B445" s="2">
        <v>46303</v>
      </c>
      <c r="C445" s="1" t="s">
        <v>9</v>
      </c>
      <c r="D445" s="1">
        <f>IFERROR(VLOOKUP(RIT_FUSIONS[[#This Row],[ID]],RIT_ACUM!A:A,1,0),"NOVO")</f>
        <v>46991</v>
      </c>
    </row>
    <row r="446" spans="1:4" hidden="1" x14ac:dyDescent="0.35">
      <c r="A446" s="1">
        <v>46989</v>
      </c>
      <c r="B446" s="2">
        <v>46303</v>
      </c>
      <c r="C446" s="1" t="s">
        <v>7</v>
      </c>
      <c r="D446" s="1">
        <f>IFERROR(VLOOKUP(RIT_FUSIONS[[#This Row],[ID]],RIT_ACUM!A:A,1,0),"NOVO")</f>
        <v>46989</v>
      </c>
    </row>
    <row r="447" spans="1:4" hidden="1" x14ac:dyDescent="0.35">
      <c r="A447" s="1">
        <v>46987</v>
      </c>
      <c r="B447" s="2">
        <v>46303</v>
      </c>
      <c r="C447" s="1" t="s">
        <v>21</v>
      </c>
      <c r="D447" s="1">
        <f>IFERROR(VLOOKUP(RIT_FUSIONS[[#This Row],[ID]],RIT_ACUM!A:A,1,0),"NOVO")</f>
        <v>46987</v>
      </c>
    </row>
    <row r="448" spans="1:4" hidden="1" x14ac:dyDescent="0.35">
      <c r="A448" s="1">
        <v>46985</v>
      </c>
      <c r="B448" s="2">
        <v>46303</v>
      </c>
      <c r="C448" s="1" t="s">
        <v>19</v>
      </c>
      <c r="D448" s="1">
        <f>IFERROR(VLOOKUP(RIT_FUSIONS[[#This Row],[ID]],RIT_ACUM!A:A,1,0),"NOVO")</f>
        <v>46985</v>
      </c>
    </row>
    <row r="449" spans="1:4" hidden="1" x14ac:dyDescent="0.35">
      <c r="A449" s="1">
        <v>46980</v>
      </c>
      <c r="B449" s="2">
        <v>46303</v>
      </c>
      <c r="C449" s="1" t="s">
        <v>9</v>
      </c>
      <c r="D449" s="1">
        <f>IFERROR(VLOOKUP(RIT_FUSIONS[[#This Row],[ID]],RIT_ACUM!A:A,1,0),"NOVO")</f>
        <v>46980</v>
      </c>
    </row>
    <row r="450" spans="1:4" hidden="1" x14ac:dyDescent="0.35">
      <c r="A450" s="1">
        <v>46979</v>
      </c>
      <c r="B450" s="2">
        <v>46303</v>
      </c>
      <c r="C450" s="1" t="s">
        <v>21</v>
      </c>
      <c r="D450" s="1">
        <f>IFERROR(VLOOKUP(RIT_FUSIONS[[#This Row],[ID]],RIT_ACUM!A:A,1,0),"NOVO")</f>
        <v>46979</v>
      </c>
    </row>
    <row r="451" spans="1:4" hidden="1" x14ac:dyDescent="0.35">
      <c r="A451" s="1">
        <v>46978</v>
      </c>
      <c r="B451" s="2">
        <v>46303</v>
      </c>
      <c r="C451" s="1" t="s">
        <v>28</v>
      </c>
      <c r="D451" s="1">
        <f>IFERROR(VLOOKUP(RIT_FUSIONS[[#This Row],[ID]],RIT_ACUM!A:A,1,0),"NOVO")</f>
        <v>46978</v>
      </c>
    </row>
    <row r="452" spans="1:4" hidden="1" x14ac:dyDescent="0.35">
      <c r="A452" s="1">
        <v>46977</v>
      </c>
      <c r="B452" s="2">
        <v>46303</v>
      </c>
      <c r="C452" s="1" t="s">
        <v>28</v>
      </c>
      <c r="D452" s="1">
        <f>IFERROR(VLOOKUP(RIT_FUSIONS[[#This Row],[ID]],RIT_ACUM!A:A,1,0),"NOVO")</f>
        <v>46977</v>
      </c>
    </row>
    <row r="453" spans="1:4" hidden="1" x14ac:dyDescent="0.35">
      <c r="A453" s="1">
        <v>46976</v>
      </c>
      <c r="B453" s="2">
        <v>46303</v>
      </c>
      <c r="C453" s="1" t="s">
        <v>28</v>
      </c>
      <c r="D453" s="1">
        <f>IFERROR(VLOOKUP(RIT_FUSIONS[[#This Row],[ID]],RIT_ACUM!A:A,1,0),"NOVO")</f>
        <v>46976</v>
      </c>
    </row>
    <row r="454" spans="1:4" hidden="1" x14ac:dyDescent="0.35">
      <c r="A454" s="1">
        <v>46975</v>
      </c>
      <c r="B454" s="2">
        <v>46303</v>
      </c>
      <c r="C454" s="1" t="s">
        <v>28</v>
      </c>
      <c r="D454" s="1">
        <f>IFERROR(VLOOKUP(RIT_FUSIONS[[#This Row],[ID]],RIT_ACUM!A:A,1,0),"NOVO")</f>
        <v>46975</v>
      </c>
    </row>
    <row r="455" spans="1:4" hidden="1" x14ac:dyDescent="0.35">
      <c r="A455" s="1">
        <v>46974</v>
      </c>
      <c r="B455" s="2">
        <v>46303</v>
      </c>
      <c r="C455" s="1" t="s">
        <v>28</v>
      </c>
      <c r="D455" s="1">
        <f>IFERROR(VLOOKUP(RIT_FUSIONS[[#This Row],[ID]],RIT_ACUM!A:A,1,0),"NOVO")</f>
        <v>46974</v>
      </c>
    </row>
    <row r="456" spans="1:4" hidden="1" x14ac:dyDescent="0.35">
      <c r="A456" s="1">
        <v>46973</v>
      </c>
      <c r="B456" s="2">
        <v>46303</v>
      </c>
      <c r="C456" s="1" t="s">
        <v>28</v>
      </c>
      <c r="D456" s="1">
        <f>IFERROR(VLOOKUP(RIT_FUSIONS[[#This Row],[ID]],RIT_ACUM!A:A,1,0),"NOVO")</f>
        <v>46973</v>
      </c>
    </row>
    <row r="457" spans="1:4" hidden="1" x14ac:dyDescent="0.35">
      <c r="A457" s="1">
        <v>46972</v>
      </c>
      <c r="B457" s="2">
        <v>46303</v>
      </c>
      <c r="C457" s="1" t="s">
        <v>21</v>
      </c>
      <c r="D457" s="1">
        <f>IFERROR(VLOOKUP(RIT_FUSIONS[[#This Row],[ID]],RIT_ACUM!A:A,1,0),"NOVO")</f>
        <v>46972</v>
      </c>
    </row>
    <row r="458" spans="1:4" hidden="1" x14ac:dyDescent="0.35">
      <c r="A458" s="1">
        <v>46971</v>
      </c>
      <c r="B458" s="2">
        <v>46303</v>
      </c>
      <c r="C458" s="1" t="s">
        <v>21</v>
      </c>
      <c r="D458" s="1">
        <f>IFERROR(VLOOKUP(RIT_FUSIONS[[#This Row],[ID]],RIT_ACUM!A:A,1,0),"NOVO")</f>
        <v>46971</v>
      </c>
    </row>
    <row r="459" spans="1:4" hidden="1" x14ac:dyDescent="0.35">
      <c r="A459" s="1">
        <v>46970</v>
      </c>
      <c r="B459" s="2">
        <v>46303</v>
      </c>
      <c r="C459" s="1" t="s">
        <v>21</v>
      </c>
      <c r="D459" s="1">
        <f>IFERROR(VLOOKUP(RIT_FUSIONS[[#This Row],[ID]],RIT_ACUM!A:A,1,0),"NOVO")</f>
        <v>46970</v>
      </c>
    </row>
    <row r="460" spans="1:4" hidden="1" x14ac:dyDescent="0.35">
      <c r="A460" s="1">
        <v>46969</v>
      </c>
      <c r="B460" s="2">
        <v>46303</v>
      </c>
      <c r="C460" s="1" t="s">
        <v>21</v>
      </c>
      <c r="D460" s="1">
        <f>IFERROR(VLOOKUP(RIT_FUSIONS[[#This Row],[ID]],RIT_ACUM!A:A,1,0),"NOVO")</f>
        <v>46969</v>
      </c>
    </row>
    <row r="461" spans="1:4" hidden="1" x14ac:dyDescent="0.35">
      <c r="A461" s="1">
        <v>46968</v>
      </c>
      <c r="B461" s="2">
        <v>46303</v>
      </c>
      <c r="C461" s="1" t="s">
        <v>24</v>
      </c>
      <c r="D461" s="1">
        <f>IFERROR(VLOOKUP(RIT_FUSIONS[[#This Row],[ID]],RIT_ACUM!A:A,1,0),"NOVO")</f>
        <v>46968</v>
      </c>
    </row>
    <row r="462" spans="1:4" hidden="1" x14ac:dyDescent="0.35">
      <c r="A462" s="1">
        <v>46967</v>
      </c>
      <c r="B462" s="2">
        <v>46303</v>
      </c>
      <c r="C462" s="1" t="s">
        <v>24</v>
      </c>
      <c r="D462" s="1">
        <f>IFERROR(VLOOKUP(RIT_FUSIONS[[#This Row],[ID]],RIT_ACUM!A:A,1,0),"NOVO")</f>
        <v>46967</v>
      </c>
    </row>
    <row r="463" spans="1:4" hidden="1" x14ac:dyDescent="0.35">
      <c r="A463" s="1">
        <v>46966</v>
      </c>
      <c r="B463" s="2">
        <v>46303</v>
      </c>
      <c r="C463" s="1" t="s">
        <v>24</v>
      </c>
      <c r="D463" s="1">
        <f>IFERROR(VLOOKUP(RIT_FUSIONS[[#This Row],[ID]],RIT_ACUM!A:A,1,0),"NOVO")</f>
        <v>46966</v>
      </c>
    </row>
    <row r="464" spans="1:4" hidden="1" x14ac:dyDescent="0.35">
      <c r="A464" s="1">
        <v>46965</v>
      </c>
      <c r="B464" s="2">
        <v>46303</v>
      </c>
      <c r="C464" s="1" t="s">
        <v>24</v>
      </c>
      <c r="D464" s="1">
        <f>IFERROR(VLOOKUP(RIT_FUSIONS[[#This Row],[ID]],RIT_ACUM!A:A,1,0),"NOVO")</f>
        <v>46965</v>
      </c>
    </row>
    <row r="465" spans="1:4" hidden="1" x14ac:dyDescent="0.35">
      <c r="A465" s="1">
        <v>46964</v>
      </c>
      <c r="B465" s="2">
        <v>46303</v>
      </c>
      <c r="C465" s="1" t="s">
        <v>24</v>
      </c>
      <c r="D465" s="1">
        <f>IFERROR(VLOOKUP(RIT_FUSIONS[[#This Row],[ID]],RIT_ACUM!A:A,1,0),"NOVO")</f>
        <v>46964</v>
      </c>
    </row>
    <row r="466" spans="1:4" hidden="1" x14ac:dyDescent="0.35">
      <c r="A466" s="1">
        <v>46963</v>
      </c>
      <c r="B466" s="2">
        <v>46303</v>
      </c>
      <c r="C466" s="1" t="s">
        <v>4</v>
      </c>
      <c r="D466" s="1">
        <f>IFERROR(VLOOKUP(RIT_FUSIONS[[#This Row],[ID]],RIT_ACUM!A:A,1,0),"NOVO")</f>
        <v>46963</v>
      </c>
    </row>
    <row r="467" spans="1:4" hidden="1" x14ac:dyDescent="0.35">
      <c r="A467" s="1">
        <v>46962</v>
      </c>
      <c r="B467" s="2">
        <v>46303</v>
      </c>
      <c r="C467" s="1" t="s">
        <v>4</v>
      </c>
      <c r="D467" s="1">
        <f>IFERROR(VLOOKUP(RIT_FUSIONS[[#This Row],[ID]],RIT_ACUM!A:A,1,0),"NOVO")</f>
        <v>46962</v>
      </c>
    </row>
    <row r="468" spans="1:4" hidden="1" x14ac:dyDescent="0.35">
      <c r="A468" s="1">
        <v>46961</v>
      </c>
      <c r="B468" s="2">
        <v>46302</v>
      </c>
      <c r="C468" s="1" t="s">
        <v>17</v>
      </c>
      <c r="D468" s="1">
        <f>IFERROR(VLOOKUP(RIT_FUSIONS[[#This Row],[ID]],RIT_ACUM!A:A,1,0),"NOVO")</f>
        <v>46961</v>
      </c>
    </row>
    <row r="469" spans="1:4" hidden="1" x14ac:dyDescent="0.35">
      <c r="A469" s="1">
        <v>46960</v>
      </c>
      <c r="B469" s="2">
        <v>46302</v>
      </c>
      <c r="C469" s="1" t="s">
        <v>17</v>
      </c>
      <c r="D469" s="1">
        <f>IFERROR(VLOOKUP(RIT_FUSIONS[[#This Row],[ID]],RIT_ACUM!A:A,1,0),"NOVO")</f>
        <v>46960</v>
      </c>
    </row>
    <row r="470" spans="1:4" hidden="1" x14ac:dyDescent="0.35">
      <c r="A470" s="1">
        <v>46956</v>
      </c>
      <c r="B470" s="2">
        <v>46302</v>
      </c>
      <c r="C470" s="1" t="s">
        <v>9</v>
      </c>
      <c r="D470" s="1">
        <f>IFERROR(VLOOKUP(RIT_FUSIONS[[#This Row],[ID]],RIT_ACUM!A:A,1,0),"NOVO")</f>
        <v>46956</v>
      </c>
    </row>
    <row r="471" spans="1:4" hidden="1" x14ac:dyDescent="0.35">
      <c r="A471" s="1">
        <v>46955</v>
      </c>
      <c r="B471" s="2">
        <v>46302</v>
      </c>
      <c r="C471" s="1" t="s">
        <v>3</v>
      </c>
      <c r="D471" s="1">
        <f>IFERROR(VLOOKUP(RIT_FUSIONS[[#This Row],[ID]],RIT_ACUM!A:A,1,0),"NOVO")</f>
        <v>46955</v>
      </c>
    </row>
    <row r="472" spans="1:4" hidden="1" x14ac:dyDescent="0.35">
      <c r="A472" s="1">
        <v>46954</v>
      </c>
      <c r="B472" s="2">
        <v>46302</v>
      </c>
      <c r="C472" s="1" t="s">
        <v>9</v>
      </c>
      <c r="D472" s="1">
        <f>IFERROR(VLOOKUP(RIT_FUSIONS[[#This Row],[ID]],RIT_ACUM!A:A,1,0),"NOVO")</f>
        <v>46954</v>
      </c>
    </row>
    <row r="473" spans="1:4" hidden="1" x14ac:dyDescent="0.35">
      <c r="A473" s="1">
        <v>46953</v>
      </c>
      <c r="B473" s="2">
        <v>46302</v>
      </c>
      <c r="C473" s="1" t="s">
        <v>9</v>
      </c>
      <c r="D473" s="1">
        <f>IFERROR(VLOOKUP(RIT_FUSIONS[[#This Row],[ID]],RIT_ACUM!A:A,1,0),"NOVO")</f>
        <v>46953</v>
      </c>
    </row>
    <row r="474" spans="1:4" hidden="1" x14ac:dyDescent="0.35">
      <c r="A474" s="1">
        <v>46952</v>
      </c>
      <c r="B474" s="2">
        <v>46302</v>
      </c>
      <c r="C474" s="1" t="s">
        <v>7</v>
      </c>
      <c r="D474" s="1">
        <f>IFERROR(VLOOKUP(RIT_FUSIONS[[#This Row],[ID]],RIT_ACUM!A:A,1,0),"NOVO")</f>
        <v>46952</v>
      </c>
    </row>
    <row r="475" spans="1:4" hidden="1" x14ac:dyDescent="0.35">
      <c r="A475" s="1">
        <v>46951</v>
      </c>
      <c r="B475" s="2">
        <v>46302</v>
      </c>
      <c r="C475" s="1" t="s">
        <v>7</v>
      </c>
      <c r="D475" s="1">
        <f>IFERROR(VLOOKUP(RIT_FUSIONS[[#This Row],[ID]],RIT_ACUM!A:A,1,0),"NOVO")</f>
        <v>46951</v>
      </c>
    </row>
    <row r="476" spans="1:4" hidden="1" x14ac:dyDescent="0.35">
      <c r="A476" s="1">
        <v>46950</v>
      </c>
      <c r="B476" s="2">
        <v>46302</v>
      </c>
      <c r="C476" s="1" t="s">
        <v>7</v>
      </c>
      <c r="D476" s="1">
        <f>IFERROR(VLOOKUP(RIT_FUSIONS[[#This Row],[ID]],RIT_ACUM!A:A,1,0),"NOVO")</f>
        <v>46950</v>
      </c>
    </row>
    <row r="477" spans="1:4" hidden="1" x14ac:dyDescent="0.35">
      <c r="A477" s="1">
        <v>46949</v>
      </c>
      <c r="B477" s="2">
        <v>46302</v>
      </c>
      <c r="C477" s="1" t="s">
        <v>3</v>
      </c>
      <c r="D477" s="1">
        <f>IFERROR(VLOOKUP(RIT_FUSIONS[[#This Row],[ID]],RIT_ACUM!A:A,1,0),"NOVO")</f>
        <v>46949</v>
      </c>
    </row>
    <row r="478" spans="1:4" hidden="1" x14ac:dyDescent="0.35">
      <c r="A478" s="1">
        <v>46947</v>
      </c>
      <c r="B478" s="2">
        <v>46302</v>
      </c>
      <c r="C478" s="1" t="s">
        <v>19</v>
      </c>
      <c r="D478" s="1">
        <f>IFERROR(VLOOKUP(RIT_FUSIONS[[#This Row],[ID]],RIT_ACUM!A:A,1,0),"NOVO")</f>
        <v>46947</v>
      </c>
    </row>
    <row r="479" spans="1:4" hidden="1" x14ac:dyDescent="0.35">
      <c r="A479" s="1">
        <v>46945</v>
      </c>
      <c r="B479" s="2">
        <v>46302</v>
      </c>
      <c r="C479" s="1" t="s">
        <v>6</v>
      </c>
      <c r="D479" s="1">
        <f>IFERROR(VLOOKUP(RIT_FUSIONS[[#This Row],[ID]],RIT_ACUM!A:A,1,0),"NOVO")</f>
        <v>46945</v>
      </c>
    </row>
    <row r="480" spans="1:4" hidden="1" x14ac:dyDescent="0.35">
      <c r="A480" s="1">
        <v>46944</v>
      </c>
      <c r="B480" s="2">
        <v>46302</v>
      </c>
      <c r="C480" s="1" t="s">
        <v>6</v>
      </c>
      <c r="D480" s="1">
        <f>IFERROR(VLOOKUP(RIT_FUSIONS[[#This Row],[ID]],RIT_ACUM!A:A,1,0),"NOVO")</f>
        <v>46944</v>
      </c>
    </row>
    <row r="481" spans="1:4" hidden="1" x14ac:dyDescent="0.35">
      <c r="A481" s="1">
        <v>46942</v>
      </c>
      <c r="B481" s="2">
        <v>46302</v>
      </c>
      <c r="C481" s="1" t="s">
        <v>3</v>
      </c>
      <c r="D481" s="1">
        <f>IFERROR(VLOOKUP(RIT_FUSIONS[[#This Row],[ID]],RIT_ACUM!A:A,1,0),"NOVO")</f>
        <v>46942</v>
      </c>
    </row>
    <row r="482" spans="1:4" hidden="1" x14ac:dyDescent="0.35">
      <c r="A482" s="1">
        <v>46913</v>
      </c>
      <c r="B482" s="2">
        <v>46301</v>
      </c>
      <c r="C482" s="1" t="s">
        <v>10</v>
      </c>
      <c r="D482" s="1">
        <f>IFERROR(VLOOKUP(RIT_FUSIONS[[#This Row],[ID]],RIT_ACUM!A:A,1,0),"NOVO")</f>
        <v>46913</v>
      </c>
    </row>
    <row r="483" spans="1:4" hidden="1" x14ac:dyDescent="0.35">
      <c r="A483" s="1">
        <v>46912</v>
      </c>
      <c r="B483" s="2">
        <v>46301</v>
      </c>
      <c r="C483" s="1" t="s">
        <v>10</v>
      </c>
      <c r="D483" s="1">
        <f>IFERROR(VLOOKUP(RIT_FUSIONS[[#This Row],[ID]],RIT_ACUM!A:A,1,0),"NOVO")</f>
        <v>46912</v>
      </c>
    </row>
    <row r="484" spans="1:4" hidden="1" x14ac:dyDescent="0.35">
      <c r="A484" s="1">
        <v>46903</v>
      </c>
      <c r="B484" s="2">
        <v>46301</v>
      </c>
      <c r="C484" s="1" t="s">
        <v>17</v>
      </c>
      <c r="D484" s="1">
        <f>IFERROR(VLOOKUP(RIT_FUSIONS[[#This Row],[ID]],RIT_ACUM!A:A,1,0),"NOVO")</f>
        <v>46903</v>
      </c>
    </row>
    <row r="485" spans="1:4" hidden="1" x14ac:dyDescent="0.35">
      <c r="A485" s="1">
        <v>46902</v>
      </c>
      <c r="B485" s="2">
        <v>46301</v>
      </c>
      <c r="C485" s="1" t="s">
        <v>17</v>
      </c>
      <c r="D485" s="1">
        <f>IFERROR(VLOOKUP(RIT_FUSIONS[[#This Row],[ID]],RIT_ACUM!A:A,1,0),"NOVO")</f>
        <v>46902</v>
      </c>
    </row>
    <row r="486" spans="1:4" hidden="1" x14ac:dyDescent="0.35">
      <c r="A486" s="1">
        <v>46901</v>
      </c>
      <c r="B486" s="2">
        <v>46301</v>
      </c>
      <c r="C486" s="1" t="s">
        <v>24</v>
      </c>
      <c r="D486" s="1">
        <f>IFERROR(VLOOKUP(RIT_FUSIONS[[#This Row],[ID]],RIT_ACUM!A:A,1,0),"NOVO")</f>
        <v>46901</v>
      </c>
    </row>
    <row r="487" spans="1:4" hidden="1" x14ac:dyDescent="0.35">
      <c r="A487" s="1">
        <v>46900</v>
      </c>
      <c r="B487" s="2">
        <v>46301</v>
      </c>
      <c r="C487" s="1" t="s">
        <v>21</v>
      </c>
      <c r="D487" s="1">
        <f>IFERROR(VLOOKUP(RIT_FUSIONS[[#This Row],[ID]],RIT_ACUM!A:A,1,0),"NOVO")</f>
        <v>46900</v>
      </c>
    </row>
    <row r="488" spans="1:4" hidden="1" x14ac:dyDescent="0.35">
      <c r="A488" s="1">
        <v>46899</v>
      </c>
      <c r="B488" s="2">
        <v>46301</v>
      </c>
      <c r="C488" s="1" t="s">
        <v>21</v>
      </c>
      <c r="D488" s="1">
        <f>IFERROR(VLOOKUP(RIT_FUSIONS[[#This Row],[ID]],RIT_ACUM!A:A,1,0),"NOVO")</f>
        <v>46899</v>
      </c>
    </row>
    <row r="489" spans="1:4" hidden="1" x14ac:dyDescent="0.35">
      <c r="A489" s="1">
        <v>46898</v>
      </c>
      <c r="B489" s="2">
        <v>46301</v>
      </c>
      <c r="C489" s="1" t="s">
        <v>21</v>
      </c>
      <c r="D489" s="1">
        <f>IFERROR(VLOOKUP(RIT_FUSIONS[[#This Row],[ID]],RIT_ACUM!A:A,1,0),"NOVO")</f>
        <v>46898</v>
      </c>
    </row>
    <row r="490" spans="1:4" hidden="1" x14ac:dyDescent="0.35">
      <c r="A490" s="1">
        <v>46897</v>
      </c>
      <c r="B490" s="2">
        <v>46301</v>
      </c>
      <c r="C490" s="1" t="s">
        <v>21</v>
      </c>
      <c r="D490" s="1">
        <f>IFERROR(VLOOKUP(RIT_FUSIONS[[#This Row],[ID]],RIT_ACUM!A:A,1,0),"NOVO")</f>
        <v>46897</v>
      </c>
    </row>
    <row r="491" spans="1:4" hidden="1" x14ac:dyDescent="0.35">
      <c r="A491" s="1">
        <v>46896</v>
      </c>
      <c r="B491" s="2">
        <v>46301</v>
      </c>
      <c r="C491" s="1" t="s">
        <v>3</v>
      </c>
      <c r="D491" s="1">
        <f>IFERROR(VLOOKUP(RIT_FUSIONS[[#This Row],[ID]],RIT_ACUM!A:A,1,0),"NOVO")</f>
        <v>46896</v>
      </c>
    </row>
    <row r="492" spans="1:4" hidden="1" x14ac:dyDescent="0.35">
      <c r="A492" s="1">
        <v>46895</v>
      </c>
      <c r="B492" s="2">
        <v>46301</v>
      </c>
      <c r="C492" s="1" t="s">
        <v>22</v>
      </c>
      <c r="D492" s="1">
        <f>IFERROR(VLOOKUP(RIT_FUSIONS[[#This Row],[ID]],RIT_ACUM!A:A,1,0),"NOVO")</f>
        <v>46895</v>
      </c>
    </row>
    <row r="493" spans="1:4" hidden="1" x14ac:dyDescent="0.35">
      <c r="A493" s="1">
        <v>46894</v>
      </c>
      <c r="B493" s="2">
        <v>46301</v>
      </c>
      <c r="C493" s="1" t="s">
        <v>22</v>
      </c>
      <c r="D493" s="1">
        <f>IFERROR(VLOOKUP(RIT_FUSIONS[[#This Row],[ID]],RIT_ACUM!A:A,1,0),"NOVO")</f>
        <v>46894</v>
      </c>
    </row>
    <row r="494" spans="1:4" hidden="1" x14ac:dyDescent="0.35">
      <c r="A494" s="1">
        <v>46893</v>
      </c>
      <c r="B494" s="2">
        <v>46301</v>
      </c>
      <c r="C494" s="1" t="s">
        <v>22</v>
      </c>
      <c r="D494" s="1">
        <f>IFERROR(VLOOKUP(RIT_FUSIONS[[#This Row],[ID]],RIT_ACUM!A:A,1,0),"NOVO")</f>
        <v>46893</v>
      </c>
    </row>
    <row r="495" spans="1:4" hidden="1" x14ac:dyDescent="0.35">
      <c r="A495" s="1">
        <v>46892</v>
      </c>
      <c r="B495" s="2">
        <v>46301</v>
      </c>
      <c r="C495" s="1" t="s">
        <v>3</v>
      </c>
      <c r="D495" s="1">
        <f>IFERROR(VLOOKUP(RIT_FUSIONS[[#This Row],[ID]],RIT_ACUM!A:A,1,0),"NOVO")</f>
        <v>46892</v>
      </c>
    </row>
    <row r="496" spans="1:4" hidden="1" x14ac:dyDescent="0.35">
      <c r="A496" s="1">
        <v>46890</v>
      </c>
      <c r="B496" s="2">
        <v>46301</v>
      </c>
      <c r="C496" s="1" t="s">
        <v>3</v>
      </c>
      <c r="D496" s="1">
        <f>IFERROR(VLOOKUP(RIT_FUSIONS[[#This Row],[ID]],RIT_ACUM!A:A,1,0),"NOVO")</f>
        <v>46890</v>
      </c>
    </row>
    <row r="497" spans="1:4" hidden="1" x14ac:dyDescent="0.35">
      <c r="A497" s="1">
        <v>46888</v>
      </c>
      <c r="B497" s="2">
        <v>46301</v>
      </c>
      <c r="C497" s="1" t="s">
        <v>21</v>
      </c>
      <c r="D497" s="1">
        <f>IFERROR(VLOOKUP(RIT_FUSIONS[[#This Row],[ID]],RIT_ACUM!A:A,1,0),"NOVO")</f>
        <v>46888</v>
      </c>
    </row>
    <row r="498" spans="1:4" hidden="1" x14ac:dyDescent="0.35">
      <c r="A498" s="1">
        <v>46882</v>
      </c>
      <c r="B498" s="2">
        <v>46301</v>
      </c>
      <c r="C498" s="1" t="s">
        <v>3</v>
      </c>
      <c r="D498" s="1">
        <f>IFERROR(VLOOKUP(RIT_FUSIONS[[#This Row],[ID]],RIT_ACUM!A:A,1,0),"NOVO")</f>
        <v>46882</v>
      </c>
    </row>
    <row r="499" spans="1:4" hidden="1" x14ac:dyDescent="0.35">
      <c r="A499" s="1">
        <v>46881</v>
      </c>
      <c r="B499" s="2">
        <v>46301</v>
      </c>
      <c r="C499" s="1" t="s">
        <v>21</v>
      </c>
      <c r="D499" s="1">
        <f>IFERROR(VLOOKUP(RIT_FUSIONS[[#This Row],[ID]],RIT_ACUM!A:A,1,0),"NOVO")</f>
        <v>46881</v>
      </c>
    </row>
    <row r="500" spans="1:4" hidden="1" x14ac:dyDescent="0.35">
      <c r="A500" s="1">
        <v>46879</v>
      </c>
      <c r="B500" s="2">
        <v>46301</v>
      </c>
      <c r="C500" s="1" t="s">
        <v>9</v>
      </c>
      <c r="D500" s="1">
        <f>IFERROR(VLOOKUP(RIT_FUSIONS[[#This Row],[ID]],RIT_ACUM!A:A,1,0),"NOVO")</f>
        <v>46879</v>
      </c>
    </row>
    <row r="501" spans="1:4" hidden="1" x14ac:dyDescent="0.35">
      <c r="A501" s="1">
        <v>46878</v>
      </c>
      <c r="B501" s="2">
        <v>46301</v>
      </c>
      <c r="C501" s="1" t="s">
        <v>9</v>
      </c>
      <c r="D501" s="1">
        <f>IFERROR(VLOOKUP(RIT_FUSIONS[[#This Row],[ID]],RIT_ACUM!A:A,1,0),"NOVO")</f>
        <v>46878</v>
      </c>
    </row>
    <row r="502" spans="1:4" hidden="1" x14ac:dyDescent="0.35">
      <c r="A502" s="1">
        <v>46877</v>
      </c>
      <c r="B502" s="2">
        <v>46301</v>
      </c>
      <c r="C502" s="1" t="s">
        <v>3</v>
      </c>
      <c r="D502" s="1">
        <f>IFERROR(VLOOKUP(RIT_FUSIONS[[#This Row],[ID]],RIT_ACUM!A:A,1,0),"NOVO")</f>
        <v>46877</v>
      </c>
    </row>
    <row r="503" spans="1:4" hidden="1" x14ac:dyDescent="0.35">
      <c r="A503" s="1">
        <v>46873</v>
      </c>
      <c r="B503" s="2">
        <v>46301</v>
      </c>
      <c r="C503" s="1" t="s">
        <v>21</v>
      </c>
      <c r="D503" s="1">
        <f>IFERROR(VLOOKUP(RIT_FUSIONS[[#This Row],[ID]],RIT_ACUM!A:A,1,0),"NOVO")</f>
        <v>46873</v>
      </c>
    </row>
    <row r="504" spans="1:4" hidden="1" x14ac:dyDescent="0.35">
      <c r="A504" s="1">
        <v>46871</v>
      </c>
      <c r="B504" s="2">
        <v>46301</v>
      </c>
      <c r="C504" s="1" t="s">
        <v>24</v>
      </c>
      <c r="D504" s="1">
        <f>IFERROR(VLOOKUP(RIT_FUSIONS[[#This Row],[ID]],RIT_ACUM!A:A,1,0),"NOVO")</f>
        <v>46871</v>
      </c>
    </row>
    <row r="505" spans="1:4" hidden="1" x14ac:dyDescent="0.35">
      <c r="A505" s="1">
        <v>46870</v>
      </c>
      <c r="B505" s="2">
        <v>46301</v>
      </c>
      <c r="C505" s="1" t="s">
        <v>24</v>
      </c>
      <c r="D505" s="1">
        <f>IFERROR(VLOOKUP(RIT_FUSIONS[[#This Row],[ID]],RIT_ACUM!A:A,1,0),"NOVO")</f>
        <v>46870</v>
      </c>
    </row>
    <row r="506" spans="1:4" hidden="1" x14ac:dyDescent="0.35">
      <c r="A506" s="1">
        <v>46869</v>
      </c>
      <c r="B506" s="2">
        <v>46301</v>
      </c>
      <c r="C506" s="1" t="s">
        <v>24</v>
      </c>
      <c r="D506" s="1">
        <f>IFERROR(VLOOKUP(RIT_FUSIONS[[#This Row],[ID]],RIT_ACUM!A:A,1,0),"NOVO")</f>
        <v>46869</v>
      </c>
    </row>
    <row r="507" spans="1:4" hidden="1" x14ac:dyDescent="0.35">
      <c r="A507" s="1">
        <v>46867</v>
      </c>
      <c r="B507" s="2">
        <v>46301</v>
      </c>
      <c r="C507" s="1" t="s">
        <v>19</v>
      </c>
      <c r="D507" s="1">
        <f>IFERROR(VLOOKUP(RIT_FUSIONS[[#This Row],[ID]],RIT_ACUM!A:A,1,0),"NOVO")</f>
        <v>46867</v>
      </c>
    </row>
    <row r="508" spans="1:4" hidden="1" x14ac:dyDescent="0.35">
      <c r="A508" s="1">
        <v>46865</v>
      </c>
      <c r="B508" s="2">
        <v>46301</v>
      </c>
      <c r="C508" s="1" t="s">
        <v>3</v>
      </c>
      <c r="D508" s="1">
        <f>IFERROR(VLOOKUP(RIT_FUSIONS[[#This Row],[ID]],RIT_ACUM!A:A,1,0),"NOVO")</f>
        <v>46865</v>
      </c>
    </row>
    <row r="509" spans="1:4" hidden="1" x14ac:dyDescent="0.35">
      <c r="A509" s="1">
        <v>46864</v>
      </c>
      <c r="B509" s="2">
        <v>46301</v>
      </c>
      <c r="C509" s="1" t="s">
        <v>3</v>
      </c>
      <c r="D509" s="1">
        <f>IFERROR(VLOOKUP(RIT_FUSIONS[[#This Row],[ID]],RIT_ACUM!A:A,1,0),"NOVO")</f>
        <v>46864</v>
      </c>
    </row>
    <row r="510" spans="1:4" hidden="1" x14ac:dyDescent="0.35">
      <c r="A510" s="1">
        <v>46863</v>
      </c>
      <c r="B510" s="2">
        <v>46301</v>
      </c>
      <c r="C510" s="1" t="s">
        <v>28</v>
      </c>
      <c r="D510" s="1">
        <f>IFERROR(VLOOKUP(RIT_FUSIONS[[#This Row],[ID]],RIT_ACUM!A:A,1,0),"NOVO")</f>
        <v>46863</v>
      </c>
    </row>
    <row r="511" spans="1:4" hidden="1" x14ac:dyDescent="0.35">
      <c r="A511" s="1">
        <v>46862</v>
      </c>
      <c r="B511" s="2">
        <v>46301</v>
      </c>
      <c r="C511" s="1" t="s">
        <v>28</v>
      </c>
      <c r="D511" s="1">
        <f>IFERROR(VLOOKUP(RIT_FUSIONS[[#This Row],[ID]],RIT_ACUM!A:A,1,0),"NOVO")</f>
        <v>46862</v>
      </c>
    </row>
    <row r="512" spans="1:4" hidden="1" x14ac:dyDescent="0.35">
      <c r="A512" s="1">
        <v>46861</v>
      </c>
      <c r="B512" s="2">
        <v>46301</v>
      </c>
      <c r="C512" s="1" t="s">
        <v>28</v>
      </c>
      <c r="D512" s="1">
        <f>IFERROR(VLOOKUP(RIT_FUSIONS[[#This Row],[ID]],RIT_ACUM!A:A,1,0),"NOVO")</f>
        <v>46861</v>
      </c>
    </row>
    <row r="513" spans="1:4" hidden="1" x14ac:dyDescent="0.35">
      <c r="A513" s="1">
        <v>46860</v>
      </c>
      <c r="B513" s="2">
        <v>46301</v>
      </c>
      <c r="C513" s="1" t="s">
        <v>28</v>
      </c>
      <c r="D513" s="1">
        <f>IFERROR(VLOOKUP(RIT_FUSIONS[[#This Row],[ID]],RIT_ACUM!A:A,1,0),"NOVO")</f>
        <v>46860</v>
      </c>
    </row>
    <row r="514" spans="1:4" hidden="1" x14ac:dyDescent="0.35">
      <c r="A514" s="1">
        <v>46854</v>
      </c>
      <c r="B514" s="2">
        <v>46301</v>
      </c>
      <c r="C514" s="1" t="s">
        <v>24</v>
      </c>
      <c r="D514" s="1">
        <f>IFERROR(VLOOKUP(RIT_FUSIONS[[#This Row],[ID]],RIT_ACUM!A:A,1,0),"NOVO")</f>
        <v>46854</v>
      </c>
    </row>
    <row r="515" spans="1:4" hidden="1" x14ac:dyDescent="0.35">
      <c r="A515" s="1">
        <v>46853</v>
      </c>
      <c r="B515" s="2">
        <v>46301</v>
      </c>
      <c r="C515" s="1" t="s">
        <v>24</v>
      </c>
      <c r="D515" s="1">
        <f>IFERROR(VLOOKUP(RIT_FUSIONS[[#This Row],[ID]],RIT_ACUM!A:A,1,0),"NOVO")</f>
        <v>46853</v>
      </c>
    </row>
    <row r="516" spans="1:4" hidden="1" x14ac:dyDescent="0.35">
      <c r="A516" s="1">
        <v>46852</v>
      </c>
      <c r="B516" s="2">
        <v>46301</v>
      </c>
      <c r="C516" s="1" t="s">
        <v>24</v>
      </c>
      <c r="D516" s="1">
        <f>IFERROR(VLOOKUP(RIT_FUSIONS[[#This Row],[ID]],RIT_ACUM!A:A,1,0),"NOVO")</f>
        <v>46852</v>
      </c>
    </row>
    <row r="517" spans="1:4" hidden="1" x14ac:dyDescent="0.35">
      <c r="A517" s="1">
        <v>46851</v>
      </c>
      <c r="B517" s="2">
        <v>46301</v>
      </c>
      <c r="C517" s="1" t="s">
        <v>24</v>
      </c>
      <c r="D517" s="1">
        <f>IFERROR(VLOOKUP(RIT_FUSIONS[[#This Row],[ID]],RIT_ACUM!A:A,1,0),"NOVO")</f>
        <v>46851</v>
      </c>
    </row>
    <row r="518" spans="1:4" hidden="1" x14ac:dyDescent="0.35">
      <c r="A518" s="1">
        <v>46850</v>
      </c>
      <c r="B518" s="2">
        <v>46301</v>
      </c>
      <c r="C518" s="1" t="s">
        <v>24</v>
      </c>
      <c r="D518" s="1">
        <f>IFERROR(VLOOKUP(RIT_FUSIONS[[#This Row],[ID]],RIT_ACUM!A:A,1,0),"NOVO")</f>
        <v>46850</v>
      </c>
    </row>
    <row r="519" spans="1:4" hidden="1" x14ac:dyDescent="0.35">
      <c r="A519" s="1">
        <v>46849</v>
      </c>
      <c r="B519" s="2">
        <v>46301</v>
      </c>
      <c r="C519" s="1" t="s">
        <v>3</v>
      </c>
      <c r="D519" s="1">
        <f>IFERROR(VLOOKUP(RIT_FUSIONS[[#This Row],[ID]],RIT_ACUM!A:A,1,0),"NOVO")</f>
        <v>46849</v>
      </c>
    </row>
    <row r="520" spans="1:4" hidden="1" x14ac:dyDescent="0.35">
      <c r="A520" s="1">
        <v>46848</v>
      </c>
      <c r="B520" s="2">
        <v>46301</v>
      </c>
      <c r="C520" s="1" t="s">
        <v>3</v>
      </c>
      <c r="D520" s="1">
        <f>IFERROR(VLOOKUP(RIT_FUSIONS[[#This Row],[ID]],RIT_ACUM!A:A,1,0),"NOVO")</f>
        <v>46848</v>
      </c>
    </row>
    <row r="521" spans="1:4" hidden="1" x14ac:dyDescent="0.35">
      <c r="A521" s="1">
        <v>46847</v>
      </c>
      <c r="B521" s="2">
        <v>46301</v>
      </c>
      <c r="C521" s="1" t="s">
        <v>9</v>
      </c>
      <c r="D521" s="1">
        <f>IFERROR(VLOOKUP(RIT_FUSIONS[[#This Row],[ID]],RIT_ACUM!A:A,1,0),"NOVO")</f>
        <v>46847</v>
      </c>
    </row>
    <row r="522" spans="1:4" hidden="1" x14ac:dyDescent="0.35">
      <c r="A522" s="1">
        <v>46846</v>
      </c>
      <c r="B522" s="2">
        <v>46301</v>
      </c>
      <c r="C522" s="1" t="s">
        <v>9</v>
      </c>
      <c r="D522" s="1">
        <f>IFERROR(VLOOKUP(RIT_FUSIONS[[#This Row],[ID]],RIT_ACUM!A:A,1,0),"NOVO")</f>
        <v>46846</v>
      </c>
    </row>
    <row r="523" spans="1:4" hidden="1" x14ac:dyDescent="0.35">
      <c r="A523" s="1">
        <v>46845</v>
      </c>
      <c r="B523" s="2">
        <v>46301</v>
      </c>
      <c r="C523" s="1" t="s">
        <v>9</v>
      </c>
      <c r="D523" s="1">
        <f>IFERROR(VLOOKUP(RIT_FUSIONS[[#This Row],[ID]],RIT_ACUM!A:A,1,0),"NOVO")</f>
        <v>46845</v>
      </c>
    </row>
    <row r="524" spans="1:4" hidden="1" x14ac:dyDescent="0.35">
      <c r="A524" s="1">
        <v>46844</v>
      </c>
      <c r="B524" s="2">
        <v>46301</v>
      </c>
      <c r="C524" s="1" t="s">
        <v>9</v>
      </c>
      <c r="D524" s="1">
        <f>IFERROR(VLOOKUP(RIT_FUSIONS[[#This Row],[ID]],RIT_ACUM!A:A,1,0),"NOVO")</f>
        <v>46844</v>
      </c>
    </row>
    <row r="525" spans="1:4" hidden="1" x14ac:dyDescent="0.35">
      <c r="A525" s="1">
        <v>46843</v>
      </c>
      <c r="B525" s="2">
        <v>46301</v>
      </c>
      <c r="C525" s="1" t="s">
        <v>9</v>
      </c>
      <c r="D525" s="1">
        <f>IFERROR(VLOOKUP(RIT_FUSIONS[[#This Row],[ID]],RIT_ACUM!A:A,1,0),"NOVO")</f>
        <v>46843</v>
      </c>
    </row>
    <row r="526" spans="1:4" hidden="1" x14ac:dyDescent="0.35">
      <c r="A526" s="1">
        <v>46842</v>
      </c>
      <c r="B526" s="2">
        <v>46301</v>
      </c>
      <c r="C526" s="1" t="s">
        <v>9</v>
      </c>
      <c r="D526" s="1">
        <f>IFERROR(VLOOKUP(RIT_FUSIONS[[#This Row],[ID]],RIT_ACUM!A:A,1,0),"NOVO")</f>
        <v>46842</v>
      </c>
    </row>
    <row r="527" spans="1:4" hidden="1" x14ac:dyDescent="0.35">
      <c r="A527" s="1">
        <v>46841</v>
      </c>
      <c r="B527" s="2">
        <v>46300</v>
      </c>
      <c r="C527" s="1" t="s">
        <v>3</v>
      </c>
      <c r="D527" s="1">
        <f>IFERROR(VLOOKUP(RIT_FUSIONS[[#This Row],[ID]],RIT_ACUM!A:A,1,0),"NOVO")</f>
        <v>46841</v>
      </c>
    </row>
    <row r="528" spans="1:4" hidden="1" x14ac:dyDescent="0.35">
      <c r="A528" s="1">
        <v>46840</v>
      </c>
      <c r="B528" s="2">
        <v>46300</v>
      </c>
      <c r="C528" s="1" t="s">
        <v>10</v>
      </c>
      <c r="D528" s="1">
        <f>IFERROR(VLOOKUP(RIT_FUSIONS[[#This Row],[ID]],RIT_ACUM!A:A,1,0),"NOVO")</f>
        <v>46840</v>
      </c>
    </row>
    <row r="529" spans="1:4" hidden="1" x14ac:dyDescent="0.35">
      <c r="A529" s="1">
        <v>46839</v>
      </c>
      <c r="B529" s="2">
        <v>46300</v>
      </c>
      <c r="C529" s="1" t="s">
        <v>10</v>
      </c>
      <c r="D529" s="1">
        <f>IFERROR(VLOOKUP(RIT_FUSIONS[[#This Row],[ID]],RIT_ACUM!A:A,1,0),"NOVO")</f>
        <v>46839</v>
      </c>
    </row>
    <row r="530" spans="1:4" hidden="1" x14ac:dyDescent="0.35">
      <c r="A530" s="1">
        <v>46838</v>
      </c>
      <c r="B530" s="2">
        <v>46300</v>
      </c>
      <c r="C530" s="1" t="s">
        <v>11</v>
      </c>
      <c r="D530" s="1">
        <f>IFERROR(VLOOKUP(RIT_FUSIONS[[#This Row],[ID]],RIT_ACUM!A:A,1,0),"NOVO")</f>
        <v>46838</v>
      </c>
    </row>
    <row r="531" spans="1:4" hidden="1" x14ac:dyDescent="0.35">
      <c r="A531" s="1">
        <v>46836</v>
      </c>
      <c r="B531" s="2">
        <v>46300</v>
      </c>
      <c r="C531" s="1" t="s">
        <v>17</v>
      </c>
      <c r="D531" s="1">
        <f>IFERROR(VLOOKUP(RIT_FUSIONS[[#This Row],[ID]],RIT_ACUM!A:A,1,0),"NOVO")</f>
        <v>46836</v>
      </c>
    </row>
    <row r="532" spans="1:4" hidden="1" x14ac:dyDescent="0.35">
      <c r="A532" s="1">
        <v>46835</v>
      </c>
      <c r="B532" s="2">
        <v>46299</v>
      </c>
      <c r="C532" s="1" t="s">
        <v>17</v>
      </c>
      <c r="D532" s="1">
        <f>IFERROR(VLOOKUP(RIT_FUSIONS[[#This Row],[ID]],RIT_ACUM!A:A,1,0),"NOVO")</f>
        <v>46835</v>
      </c>
    </row>
    <row r="533" spans="1:4" hidden="1" x14ac:dyDescent="0.35">
      <c r="A533" s="1">
        <v>46834</v>
      </c>
      <c r="B533" s="2">
        <v>46299</v>
      </c>
      <c r="C533" s="1" t="s">
        <v>17</v>
      </c>
      <c r="D533" s="1">
        <f>IFERROR(VLOOKUP(RIT_FUSIONS[[#This Row],[ID]],RIT_ACUM!A:A,1,0),"NOVO")</f>
        <v>46834</v>
      </c>
    </row>
    <row r="534" spans="1:4" hidden="1" x14ac:dyDescent="0.35">
      <c r="A534" s="1">
        <v>46828</v>
      </c>
      <c r="B534" s="2">
        <v>46298</v>
      </c>
      <c r="C534" s="1" t="s">
        <v>17</v>
      </c>
      <c r="D534" s="1">
        <f>IFERROR(VLOOKUP(RIT_FUSIONS[[#This Row],[ID]],RIT_ACUM!A:A,1,0),"NOVO")</f>
        <v>46828</v>
      </c>
    </row>
    <row r="535" spans="1:4" hidden="1" x14ac:dyDescent="0.35">
      <c r="A535" s="1">
        <v>46827</v>
      </c>
      <c r="B535" s="2">
        <v>46298</v>
      </c>
      <c r="C535" s="1" t="s">
        <v>17</v>
      </c>
      <c r="D535" s="1">
        <f>IFERROR(VLOOKUP(RIT_FUSIONS[[#This Row],[ID]],RIT_ACUM!A:A,1,0),"NOVO")</f>
        <v>46827</v>
      </c>
    </row>
    <row r="536" spans="1:4" hidden="1" x14ac:dyDescent="0.35">
      <c r="A536" s="1">
        <v>46826</v>
      </c>
      <c r="B536" s="2">
        <v>46298</v>
      </c>
      <c r="C536" s="1" t="s">
        <v>17</v>
      </c>
      <c r="D536" s="1">
        <f>IFERROR(VLOOKUP(RIT_FUSIONS[[#This Row],[ID]],RIT_ACUM!A:A,1,0),"NOVO")</f>
        <v>46826</v>
      </c>
    </row>
    <row r="537" spans="1:4" hidden="1" x14ac:dyDescent="0.35">
      <c r="A537" s="1">
        <v>46825</v>
      </c>
      <c r="B537" s="2">
        <v>46298</v>
      </c>
      <c r="C537" s="1" t="s">
        <v>17</v>
      </c>
      <c r="D537" s="1">
        <f>IFERROR(VLOOKUP(RIT_FUSIONS[[#This Row],[ID]],RIT_ACUM!A:A,1,0),"NOVO")</f>
        <v>46825</v>
      </c>
    </row>
    <row r="538" spans="1:4" hidden="1" x14ac:dyDescent="0.35">
      <c r="A538" s="1">
        <v>46824</v>
      </c>
      <c r="B538" s="2">
        <v>46298</v>
      </c>
      <c r="C538" s="1" t="s">
        <v>4</v>
      </c>
      <c r="D538" s="1">
        <f>IFERROR(VLOOKUP(RIT_FUSIONS[[#This Row],[ID]],RIT_ACUM!A:A,1,0),"NOVO")</f>
        <v>46824</v>
      </c>
    </row>
    <row r="539" spans="1:4" hidden="1" x14ac:dyDescent="0.35">
      <c r="A539" s="1">
        <v>46823</v>
      </c>
      <c r="B539" s="2">
        <v>46298</v>
      </c>
      <c r="C539" s="1" t="s">
        <v>4</v>
      </c>
      <c r="D539" s="1">
        <f>IFERROR(VLOOKUP(RIT_FUSIONS[[#This Row],[ID]],RIT_ACUM!A:A,1,0),"NOVO")</f>
        <v>46823</v>
      </c>
    </row>
    <row r="540" spans="1:4" hidden="1" x14ac:dyDescent="0.35">
      <c r="A540" s="1">
        <v>46822</v>
      </c>
      <c r="B540" s="2">
        <v>46297</v>
      </c>
      <c r="C540" s="1" t="s">
        <v>3</v>
      </c>
      <c r="D540" s="1">
        <f>IFERROR(VLOOKUP(RIT_FUSIONS[[#This Row],[ID]],RIT_ACUM!A:A,1,0),"NOVO")</f>
        <v>46822</v>
      </c>
    </row>
    <row r="541" spans="1:4" hidden="1" x14ac:dyDescent="0.35">
      <c r="A541" s="1">
        <v>46821</v>
      </c>
      <c r="B541" s="2">
        <v>46297</v>
      </c>
      <c r="C541" s="1" t="s">
        <v>28</v>
      </c>
      <c r="D541" s="1">
        <f>IFERROR(VLOOKUP(RIT_FUSIONS[[#This Row],[ID]],RIT_ACUM!A:A,1,0),"NOVO")</f>
        <v>46821</v>
      </c>
    </row>
    <row r="542" spans="1:4" hidden="1" x14ac:dyDescent="0.35">
      <c r="A542" s="1">
        <v>46820</v>
      </c>
      <c r="B542" s="2">
        <v>46297</v>
      </c>
      <c r="C542" s="1" t="s">
        <v>28</v>
      </c>
      <c r="D542" s="1">
        <f>IFERROR(VLOOKUP(RIT_FUSIONS[[#This Row],[ID]],RIT_ACUM!A:A,1,0),"NOVO")</f>
        <v>46820</v>
      </c>
    </row>
    <row r="543" spans="1:4" hidden="1" x14ac:dyDescent="0.35">
      <c r="A543" s="1">
        <v>46804</v>
      </c>
      <c r="B543" s="2">
        <v>46297</v>
      </c>
      <c r="C543" s="1" t="s">
        <v>22</v>
      </c>
      <c r="D543" s="1">
        <f>IFERROR(VLOOKUP(RIT_FUSIONS[[#This Row],[ID]],RIT_ACUM!A:A,1,0),"NOVO")</f>
        <v>46804</v>
      </c>
    </row>
    <row r="544" spans="1:4" hidden="1" x14ac:dyDescent="0.35">
      <c r="A544" s="1">
        <v>46803</v>
      </c>
      <c r="B544" s="2">
        <v>46297</v>
      </c>
      <c r="C544" s="1" t="s">
        <v>22</v>
      </c>
      <c r="D544" s="1">
        <f>IFERROR(VLOOKUP(RIT_FUSIONS[[#This Row],[ID]],RIT_ACUM!A:A,1,0),"NOVO")</f>
        <v>46803</v>
      </c>
    </row>
    <row r="545" spans="1:4" hidden="1" x14ac:dyDescent="0.35">
      <c r="A545" s="1">
        <v>46802</v>
      </c>
      <c r="B545" s="2">
        <v>46297</v>
      </c>
      <c r="C545" s="1" t="s">
        <v>22</v>
      </c>
      <c r="D545" s="1">
        <f>IFERROR(VLOOKUP(RIT_FUSIONS[[#This Row],[ID]],RIT_ACUM!A:A,1,0),"NOVO")</f>
        <v>46802</v>
      </c>
    </row>
    <row r="546" spans="1:4" hidden="1" x14ac:dyDescent="0.35">
      <c r="A546" s="1">
        <v>46801</v>
      </c>
      <c r="B546" s="2">
        <v>46297</v>
      </c>
      <c r="C546" s="1" t="s">
        <v>22</v>
      </c>
      <c r="D546" s="1">
        <f>IFERROR(VLOOKUP(RIT_FUSIONS[[#This Row],[ID]],RIT_ACUM!A:A,1,0),"NOVO")</f>
        <v>46801</v>
      </c>
    </row>
    <row r="547" spans="1:4" hidden="1" x14ac:dyDescent="0.35">
      <c r="A547" s="1">
        <v>46796</v>
      </c>
      <c r="B547" s="2">
        <v>46297</v>
      </c>
      <c r="C547" s="1" t="s">
        <v>3</v>
      </c>
      <c r="D547" s="1">
        <f>IFERROR(VLOOKUP(RIT_FUSIONS[[#This Row],[ID]],RIT_ACUM!A:A,1,0),"NOVO")</f>
        <v>46796</v>
      </c>
    </row>
    <row r="548" spans="1:4" hidden="1" x14ac:dyDescent="0.35">
      <c r="A548" s="1">
        <v>46794</v>
      </c>
      <c r="B548" s="2">
        <v>46297</v>
      </c>
      <c r="C548" s="1" t="s">
        <v>28</v>
      </c>
      <c r="D548" s="1">
        <f>IFERROR(VLOOKUP(RIT_FUSIONS[[#This Row],[ID]],RIT_ACUM!A:A,1,0),"NOVO")</f>
        <v>46794</v>
      </c>
    </row>
    <row r="549" spans="1:4" hidden="1" x14ac:dyDescent="0.35">
      <c r="A549" s="1">
        <v>46793</v>
      </c>
      <c r="B549" s="2">
        <v>46297</v>
      </c>
      <c r="C549" s="1" t="s">
        <v>28</v>
      </c>
      <c r="D549" s="1">
        <f>IFERROR(VLOOKUP(RIT_FUSIONS[[#This Row],[ID]],RIT_ACUM!A:A,1,0),"NOVO")</f>
        <v>46793</v>
      </c>
    </row>
    <row r="550" spans="1:4" hidden="1" x14ac:dyDescent="0.35">
      <c r="A550" s="1">
        <v>46792</v>
      </c>
      <c r="B550" s="2">
        <v>46297</v>
      </c>
      <c r="C550" s="1" t="s">
        <v>28</v>
      </c>
      <c r="D550" s="1">
        <f>IFERROR(VLOOKUP(RIT_FUSIONS[[#This Row],[ID]],RIT_ACUM!A:A,1,0),"NOVO")</f>
        <v>46792</v>
      </c>
    </row>
    <row r="551" spans="1:4" hidden="1" x14ac:dyDescent="0.35">
      <c r="A551" s="1">
        <v>46791</v>
      </c>
      <c r="B551" s="2">
        <v>46297</v>
      </c>
      <c r="C551" s="1" t="s">
        <v>3</v>
      </c>
      <c r="D551" s="1">
        <f>IFERROR(VLOOKUP(RIT_FUSIONS[[#This Row],[ID]],RIT_ACUM!A:A,1,0),"NOVO")</f>
        <v>46791</v>
      </c>
    </row>
    <row r="552" spans="1:4" hidden="1" x14ac:dyDescent="0.35">
      <c r="A552" s="1">
        <v>46790</v>
      </c>
      <c r="B552" s="2">
        <v>46297</v>
      </c>
      <c r="C552" s="1" t="s">
        <v>9</v>
      </c>
      <c r="D552" s="1">
        <f>IFERROR(VLOOKUP(RIT_FUSIONS[[#This Row],[ID]],RIT_ACUM!A:A,1,0),"NOVO")</f>
        <v>46790</v>
      </c>
    </row>
    <row r="553" spans="1:4" hidden="1" x14ac:dyDescent="0.35">
      <c r="A553" s="1">
        <v>46788</v>
      </c>
      <c r="B553" s="2">
        <v>46297</v>
      </c>
      <c r="C553" s="1" t="s">
        <v>9</v>
      </c>
      <c r="D553" s="1">
        <f>IFERROR(VLOOKUP(RIT_FUSIONS[[#This Row],[ID]],RIT_ACUM!A:A,1,0),"NOVO")</f>
        <v>46788</v>
      </c>
    </row>
    <row r="554" spans="1:4" hidden="1" x14ac:dyDescent="0.35">
      <c r="A554" s="1">
        <v>46787</v>
      </c>
      <c r="B554" s="2">
        <v>46297</v>
      </c>
      <c r="C554" s="1" t="s">
        <v>3</v>
      </c>
      <c r="D554" s="1">
        <f>IFERROR(VLOOKUP(RIT_FUSIONS[[#This Row],[ID]],RIT_ACUM!A:A,1,0),"NOVO")</f>
        <v>46787</v>
      </c>
    </row>
    <row r="555" spans="1:4" hidden="1" x14ac:dyDescent="0.35">
      <c r="A555" s="1">
        <v>46786</v>
      </c>
      <c r="B555" s="2">
        <v>46297</v>
      </c>
      <c r="C555" s="1" t="s">
        <v>3</v>
      </c>
      <c r="D555" s="1">
        <f>IFERROR(VLOOKUP(RIT_FUSIONS[[#This Row],[ID]],RIT_ACUM!A:A,1,0),"NOVO")</f>
        <v>46786</v>
      </c>
    </row>
    <row r="556" spans="1:4" hidden="1" x14ac:dyDescent="0.35">
      <c r="A556" s="1">
        <v>46785</v>
      </c>
      <c r="B556" s="2">
        <v>46297</v>
      </c>
      <c r="C556" s="1" t="s">
        <v>3</v>
      </c>
      <c r="D556" s="1">
        <f>IFERROR(VLOOKUP(RIT_FUSIONS[[#This Row],[ID]],RIT_ACUM!A:A,1,0),"NOVO")</f>
        <v>46785</v>
      </c>
    </row>
    <row r="557" spans="1:4" hidden="1" x14ac:dyDescent="0.35">
      <c r="A557" s="1">
        <v>46781</v>
      </c>
      <c r="B557" s="2">
        <v>46296</v>
      </c>
      <c r="C557" s="1" t="s">
        <v>11</v>
      </c>
      <c r="D557" s="1">
        <f>IFERROR(VLOOKUP(RIT_FUSIONS[[#This Row],[ID]],RIT_ACUM!A:A,1,0),"NOVO")</f>
        <v>46781</v>
      </c>
    </row>
    <row r="558" spans="1:4" hidden="1" x14ac:dyDescent="0.35">
      <c r="A558" s="1">
        <v>46779</v>
      </c>
      <c r="B558" s="2">
        <v>46296</v>
      </c>
      <c r="C558" s="1" t="s">
        <v>22</v>
      </c>
      <c r="D558" s="1">
        <f>IFERROR(VLOOKUP(RIT_FUSIONS[[#This Row],[ID]],RIT_ACUM!A:A,1,0),"NOVO")</f>
        <v>46779</v>
      </c>
    </row>
    <row r="559" spans="1:4" hidden="1" x14ac:dyDescent="0.35">
      <c r="A559" s="1">
        <v>46778</v>
      </c>
      <c r="B559" s="2">
        <v>46296</v>
      </c>
      <c r="C559" s="1" t="s">
        <v>4</v>
      </c>
      <c r="D559" s="1">
        <f>IFERROR(VLOOKUP(RIT_FUSIONS[[#This Row],[ID]],RIT_ACUM!A:A,1,0),"NOVO")</f>
        <v>46778</v>
      </c>
    </row>
    <row r="560" spans="1:4" hidden="1" x14ac:dyDescent="0.35">
      <c r="A560" s="1">
        <v>46777</v>
      </c>
      <c r="B560" s="2">
        <v>46296</v>
      </c>
      <c r="C560" s="1" t="s">
        <v>4</v>
      </c>
      <c r="D560" s="1">
        <f>IFERROR(VLOOKUP(RIT_FUSIONS[[#This Row],[ID]],RIT_ACUM!A:A,1,0),"NOVO")</f>
        <v>46777</v>
      </c>
    </row>
    <row r="561" spans="1:4" hidden="1" x14ac:dyDescent="0.35">
      <c r="A561" s="1">
        <v>46774</v>
      </c>
      <c r="B561" s="2">
        <v>46296</v>
      </c>
      <c r="C561" s="1" t="s">
        <v>9</v>
      </c>
      <c r="D561" s="1">
        <f>IFERROR(VLOOKUP(RIT_FUSIONS[[#This Row],[ID]],RIT_ACUM!A:A,1,0),"NOVO")</f>
        <v>46774</v>
      </c>
    </row>
    <row r="562" spans="1:4" hidden="1" x14ac:dyDescent="0.35">
      <c r="A562" s="1">
        <v>46772</v>
      </c>
      <c r="B562" s="2">
        <v>46296</v>
      </c>
      <c r="C562" s="1" t="s">
        <v>9</v>
      </c>
      <c r="D562" s="1">
        <f>IFERROR(VLOOKUP(RIT_FUSIONS[[#This Row],[ID]],RIT_ACUM!A:A,1,0),"NOVO")</f>
        <v>46772</v>
      </c>
    </row>
    <row r="563" spans="1:4" hidden="1" x14ac:dyDescent="0.35">
      <c r="A563" s="1">
        <v>46771</v>
      </c>
      <c r="B563" s="2">
        <v>46296</v>
      </c>
      <c r="C563" s="1" t="s">
        <v>24</v>
      </c>
      <c r="D563" s="1">
        <f>IFERROR(VLOOKUP(RIT_FUSIONS[[#This Row],[ID]],RIT_ACUM!A:A,1,0),"NOVO")</f>
        <v>46771</v>
      </c>
    </row>
    <row r="564" spans="1:4" hidden="1" x14ac:dyDescent="0.35">
      <c r="A564" s="1">
        <v>46770</v>
      </c>
      <c r="B564" s="2">
        <v>46296</v>
      </c>
      <c r="C564" s="1" t="s">
        <v>24</v>
      </c>
      <c r="D564" s="1">
        <f>IFERROR(VLOOKUP(RIT_FUSIONS[[#This Row],[ID]],RIT_ACUM!A:A,1,0),"NOVO")</f>
        <v>46770</v>
      </c>
    </row>
    <row r="565" spans="1:4" hidden="1" x14ac:dyDescent="0.35">
      <c r="A565" s="1">
        <v>46769</v>
      </c>
      <c r="B565" s="2">
        <v>46296</v>
      </c>
      <c r="C565" s="1" t="s">
        <v>24</v>
      </c>
      <c r="D565" s="1">
        <f>IFERROR(VLOOKUP(RIT_FUSIONS[[#This Row],[ID]],RIT_ACUM!A:A,1,0),"NOVO")</f>
        <v>46769</v>
      </c>
    </row>
    <row r="566" spans="1:4" hidden="1" x14ac:dyDescent="0.35">
      <c r="A566" s="1">
        <v>46768</v>
      </c>
      <c r="B566" s="2">
        <v>46296</v>
      </c>
      <c r="C566" s="1" t="s">
        <v>24</v>
      </c>
      <c r="D566" s="1">
        <f>IFERROR(VLOOKUP(RIT_FUSIONS[[#This Row],[ID]],RIT_ACUM!A:A,1,0),"NOVO")</f>
        <v>46768</v>
      </c>
    </row>
    <row r="567" spans="1:4" hidden="1" x14ac:dyDescent="0.35">
      <c r="A567" s="1">
        <v>46767</v>
      </c>
      <c r="B567" s="2">
        <v>46296</v>
      </c>
      <c r="C567" s="1" t="s">
        <v>24</v>
      </c>
      <c r="D567" s="1">
        <f>IFERROR(VLOOKUP(RIT_FUSIONS[[#This Row],[ID]],RIT_ACUM!A:A,1,0),"NOVO")</f>
        <v>46767</v>
      </c>
    </row>
    <row r="568" spans="1:4" hidden="1" x14ac:dyDescent="0.35">
      <c r="A568" s="1">
        <v>46765</v>
      </c>
      <c r="B568" s="2">
        <v>46296</v>
      </c>
      <c r="C568" s="1" t="s">
        <v>7</v>
      </c>
      <c r="D568" s="1">
        <f>IFERROR(VLOOKUP(RIT_FUSIONS[[#This Row],[ID]],RIT_ACUM!A:A,1,0),"NOVO")</f>
        <v>46765</v>
      </c>
    </row>
    <row r="569" spans="1:4" hidden="1" x14ac:dyDescent="0.35">
      <c r="A569" s="1">
        <v>46764</v>
      </c>
      <c r="B569" s="2">
        <v>46296</v>
      </c>
      <c r="C569" s="1" t="s">
        <v>10</v>
      </c>
      <c r="D569" s="1">
        <f>IFERROR(VLOOKUP(RIT_FUSIONS[[#This Row],[ID]],RIT_ACUM!A:A,1,0),"NOVO")</f>
        <v>46764</v>
      </c>
    </row>
    <row r="570" spans="1:4" hidden="1" x14ac:dyDescent="0.35">
      <c r="A570" s="1">
        <v>46763</v>
      </c>
      <c r="B570" s="2">
        <v>46296</v>
      </c>
      <c r="C570" s="1" t="s">
        <v>10</v>
      </c>
      <c r="D570" s="1">
        <f>IFERROR(VLOOKUP(RIT_FUSIONS[[#This Row],[ID]],RIT_ACUM!A:A,1,0),"NOVO")</f>
        <v>46763</v>
      </c>
    </row>
    <row r="571" spans="1:4" hidden="1" x14ac:dyDescent="0.35">
      <c r="A571" s="1">
        <v>46762</v>
      </c>
      <c r="B571" s="2">
        <v>46296</v>
      </c>
      <c r="C571" s="1" t="s">
        <v>19</v>
      </c>
      <c r="D571" s="1">
        <f>IFERROR(VLOOKUP(RIT_FUSIONS[[#This Row],[ID]],RIT_ACUM!A:A,1,0),"NOVO")</f>
        <v>46762</v>
      </c>
    </row>
    <row r="572" spans="1:4" hidden="1" x14ac:dyDescent="0.35">
      <c r="A572" s="1">
        <v>46760</v>
      </c>
      <c r="B572" s="2">
        <v>46296</v>
      </c>
      <c r="C572" s="1" t="s">
        <v>7</v>
      </c>
      <c r="D572" s="1">
        <f>IFERROR(VLOOKUP(RIT_FUSIONS[[#This Row],[ID]],RIT_ACUM!A:A,1,0),"NOVO")</f>
        <v>46760</v>
      </c>
    </row>
    <row r="573" spans="1:4" hidden="1" x14ac:dyDescent="0.35">
      <c r="A573" s="1">
        <v>46759</v>
      </c>
      <c r="B573" s="2">
        <v>46296</v>
      </c>
      <c r="C573" s="1" t="s">
        <v>9</v>
      </c>
      <c r="D573" s="1">
        <f>IFERROR(VLOOKUP(RIT_FUSIONS[[#This Row],[ID]],RIT_ACUM!A:A,1,0),"NOVO")</f>
        <v>46759</v>
      </c>
    </row>
    <row r="574" spans="1:4" hidden="1" x14ac:dyDescent="0.35">
      <c r="A574" s="1">
        <v>46758</v>
      </c>
      <c r="B574" s="2">
        <v>46296</v>
      </c>
      <c r="C574" s="1" t="s">
        <v>19</v>
      </c>
      <c r="D574" s="1">
        <f>IFERROR(VLOOKUP(RIT_FUSIONS[[#This Row],[ID]],RIT_ACUM!A:A,1,0),"NOVO")</f>
        <v>46758</v>
      </c>
    </row>
    <row r="575" spans="1:4" hidden="1" x14ac:dyDescent="0.35">
      <c r="A575" s="1">
        <v>46757</v>
      </c>
      <c r="B575" s="2">
        <v>46296</v>
      </c>
      <c r="C575" s="1" t="s">
        <v>19</v>
      </c>
      <c r="D575" s="1">
        <f>IFERROR(VLOOKUP(RIT_FUSIONS[[#This Row],[ID]],RIT_ACUM!A:A,1,0),"NOVO")</f>
        <v>46757</v>
      </c>
    </row>
    <row r="576" spans="1:4" hidden="1" x14ac:dyDescent="0.35">
      <c r="A576" s="1">
        <v>46755</v>
      </c>
      <c r="B576" s="2">
        <v>46296</v>
      </c>
      <c r="C576" s="1" t="s">
        <v>8</v>
      </c>
      <c r="D576" s="1">
        <f>IFERROR(VLOOKUP(RIT_FUSIONS[[#This Row],[ID]],RIT_ACUM!A:A,1,0),"NOVO")</f>
        <v>46755</v>
      </c>
    </row>
    <row r="577" spans="1:4" hidden="1" x14ac:dyDescent="0.35">
      <c r="A577" s="1">
        <v>46754</v>
      </c>
      <c r="B577" s="2">
        <v>46296</v>
      </c>
      <c r="C577" s="1" t="s">
        <v>8</v>
      </c>
      <c r="D577" s="1">
        <f>IFERROR(VLOOKUP(RIT_FUSIONS[[#This Row],[ID]],RIT_ACUM!A:A,1,0),"NOVO")</f>
        <v>46754</v>
      </c>
    </row>
    <row r="578" spans="1:4" hidden="1" x14ac:dyDescent="0.35">
      <c r="A578" s="1">
        <v>46752</v>
      </c>
      <c r="B578" s="2">
        <v>46295</v>
      </c>
      <c r="C578" s="1" t="s">
        <v>10</v>
      </c>
      <c r="D578" s="1">
        <f>IFERROR(VLOOKUP(RIT_FUSIONS[[#This Row],[ID]],RIT_ACUM!A:A,1,0),"NOVO")</f>
        <v>46752</v>
      </c>
    </row>
    <row r="579" spans="1:4" hidden="1" x14ac:dyDescent="0.35">
      <c r="A579" s="1">
        <v>46751</v>
      </c>
      <c r="B579" s="2">
        <v>46295</v>
      </c>
      <c r="C579" s="1" t="s">
        <v>10</v>
      </c>
      <c r="D579" s="1">
        <f>IFERROR(VLOOKUP(RIT_FUSIONS[[#This Row],[ID]],RIT_ACUM!A:A,1,0),"NOVO")</f>
        <v>46751</v>
      </c>
    </row>
    <row r="580" spans="1:4" hidden="1" x14ac:dyDescent="0.35">
      <c r="A580" s="1">
        <v>46747</v>
      </c>
      <c r="B580" s="2">
        <v>46295</v>
      </c>
      <c r="C580" s="1" t="s">
        <v>7</v>
      </c>
      <c r="D580" s="1">
        <f>IFERROR(VLOOKUP(RIT_FUSIONS[[#This Row],[ID]],RIT_ACUM!A:A,1,0),"NOVO")</f>
        <v>46747</v>
      </c>
    </row>
    <row r="581" spans="1:4" hidden="1" x14ac:dyDescent="0.35">
      <c r="A581" s="1">
        <v>46735</v>
      </c>
      <c r="B581" s="2">
        <v>46295</v>
      </c>
      <c r="C581" s="1" t="s">
        <v>19</v>
      </c>
      <c r="D581" s="1">
        <f>IFERROR(VLOOKUP(RIT_FUSIONS[[#This Row],[ID]],RIT_ACUM!A:A,1,0),"NOVO")</f>
        <v>46735</v>
      </c>
    </row>
    <row r="582" spans="1:4" hidden="1" x14ac:dyDescent="0.35">
      <c r="A582" s="1">
        <v>46734</v>
      </c>
      <c r="B582" s="2">
        <v>46295</v>
      </c>
      <c r="C582" s="1" t="s">
        <v>3</v>
      </c>
      <c r="D582" s="1">
        <f>IFERROR(VLOOKUP(RIT_FUSIONS[[#This Row],[ID]],RIT_ACUM!A:A,1,0),"NOVO")</f>
        <v>46734</v>
      </c>
    </row>
    <row r="583" spans="1:4" hidden="1" x14ac:dyDescent="0.35">
      <c r="A583" s="1">
        <v>46732</v>
      </c>
      <c r="B583" s="2">
        <v>46295</v>
      </c>
      <c r="C583" s="1" t="s">
        <v>6</v>
      </c>
      <c r="D583" s="1">
        <f>IFERROR(VLOOKUP(RIT_FUSIONS[[#This Row],[ID]],RIT_ACUM!A:A,1,0),"NOVO")</f>
        <v>46732</v>
      </c>
    </row>
    <row r="584" spans="1:4" hidden="1" x14ac:dyDescent="0.35">
      <c r="A584" s="1">
        <v>46731</v>
      </c>
      <c r="B584" s="2">
        <v>46295</v>
      </c>
      <c r="C584" s="1" t="s">
        <v>6</v>
      </c>
      <c r="D584" s="1">
        <f>IFERROR(VLOOKUP(RIT_FUSIONS[[#This Row],[ID]],RIT_ACUM!A:A,1,0),"NOVO")</f>
        <v>46731</v>
      </c>
    </row>
    <row r="585" spans="1:4" hidden="1" x14ac:dyDescent="0.35">
      <c r="A585" s="1">
        <v>46730</v>
      </c>
      <c r="B585" s="2">
        <v>46295</v>
      </c>
      <c r="C585" s="1" t="s">
        <v>7</v>
      </c>
      <c r="D585" s="1">
        <f>IFERROR(VLOOKUP(RIT_FUSIONS[[#This Row],[ID]],RIT_ACUM!A:A,1,0),"NOVO")</f>
        <v>46730</v>
      </c>
    </row>
    <row r="586" spans="1:4" hidden="1" x14ac:dyDescent="0.35">
      <c r="A586" s="1">
        <v>46729</v>
      </c>
      <c r="B586" s="2">
        <v>46295</v>
      </c>
      <c r="C586" s="1" t="s">
        <v>22</v>
      </c>
      <c r="D586" s="1">
        <f>IFERROR(VLOOKUP(RIT_FUSIONS[[#This Row],[ID]],RIT_ACUM!A:A,1,0),"NOVO")</f>
        <v>46729</v>
      </c>
    </row>
    <row r="587" spans="1:4" hidden="1" x14ac:dyDescent="0.35">
      <c r="A587" s="1">
        <v>46728</v>
      </c>
      <c r="B587" s="2">
        <v>46295</v>
      </c>
      <c r="C587" s="1" t="s">
        <v>22</v>
      </c>
      <c r="D587" s="1">
        <f>IFERROR(VLOOKUP(RIT_FUSIONS[[#This Row],[ID]],RIT_ACUM!A:A,1,0),"NOVO")</f>
        <v>46728</v>
      </c>
    </row>
    <row r="588" spans="1:4" hidden="1" x14ac:dyDescent="0.35">
      <c r="A588" s="1">
        <v>46727</v>
      </c>
      <c r="B588" s="2">
        <v>46295</v>
      </c>
      <c r="C588" s="1" t="s">
        <v>22</v>
      </c>
      <c r="D588" s="1">
        <f>IFERROR(VLOOKUP(RIT_FUSIONS[[#This Row],[ID]],RIT_ACUM!A:A,1,0),"NOVO")</f>
        <v>46727</v>
      </c>
    </row>
    <row r="589" spans="1:4" hidden="1" x14ac:dyDescent="0.35">
      <c r="A589" s="1">
        <v>46726</v>
      </c>
      <c r="B589" s="2">
        <v>46295</v>
      </c>
      <c r="C589" s="1" t="s">
        <v>22</v>
      </c>
      <c r="D589" s="1">
        <f>IFERROR(VLOOKUP(RIT_FUSIONS[[#This Row],[ID]],RIT_ACUM!A:A,1,0),"NOVO")</f>
        <v>46726</v>
      </c>
    </row>
    <row r="590" spans="1:4" hidden="1" x14ac:dyDescent="0.35">
      <c r="A590" s="1">
        <v>46725</v>
      </c>
      <c r="B590" s="2">
        <v>46295</v>
      </c>
      <c r="C590" s="1" t="s">
        <v>22</v>
      </c>
      <c r="D590" s="1">
        <f>IFERROR(VLOOKUP(RIT_FUSIONS[[#This Row],[ID]],RIT_ACUM!A:A,1,0),"NOVO")</f>
        <v>46725</v>
      </c>
    </row>
    <row r="591" spans="1:4" hidden="1" x14ac:dyDescent="0.35">
      <c r="A591" s="1">
        <v>46724</v>
      </c>
      <c r="B591" s="2">
        <v>46295</v>
      </c>
      <c r="C591" s="1" t="s">
        <v>22</v>
      </c>
      <c r="D591" s="1">
        <f>IFERROR(VLOOKUP(RIT_FUSIONS[[#This Row],[ID]],RIT_ACUM!A:A,1,0),"NOVO")</f>
        <v>46724</v>
      </c>
    </row>
    <row r="592" spans="1:4" hidden="1" x14ac:dyDescent="0.35">
      <c r="A592" s="1">
        <v>46723</v>
      </c>
      <c r="B592" s="2">
        <v>46295</v>
      </c>
      <c r="C592" s="1" t="s">
        <v>22</v>
      </c>
      <c r="D592" s="1">
        <f>IFERROR(VLOOKUP(RIT_FUSIONS[[#This Row],[ID]],RIT_ACUM!A:A,1,0),"NOVO")</f>
        <v>46723</v>
      </c>
    </row>
    <row r="593" spans="1:4" hidden="1" x14ac:dyDescent="0.35">
      <c r="A593" s="1">
        <v>46722</v>
      </c>
      <c r="B593" s="2">
        <v>46295</v>
      </c>
      <c r="C593" s="1" t="s">
        <v>22</v>
      </c>
      <c r="D593" s="1">
        <f>IFERROR(VLOOKUP(RIT_FUSIONS[[#This Row],[ID]],RIT_ACUM!A:A,1,0),"NOVO")</f>
        <v>46722</v>
      </c>
    </row>
    <row r="594" spans="1:4" hidden="1" x14ac:dyDescent="0.35">
      <c r="A594" s="1">
        <v>46720</v>
      </c>
      <c r="B594" s="2">
        <v>46295</v>
      </c>
      <c r="C594" s="1" t="s">
        <v>8</v>
      </c>
      <c r="D594" s="1">
        <f>IFERROR(VLOOKUP(RIT_FUSIONS[[#This Row],[ID]],RIT_ACUM!A:A,1,0),"NOVO")</f>
        <v>46720</v>
      </c>
    </row>
    <row r="595" spans="1:4" hidden="1" x14ac:dyDescent="0.35">
      <c r="A595" s="1">
        <v>46719</v>
      </c>
      <c r="B595" s="2">
        <v>46295</v>
      </c>
      <c r="C595" s="1" t="s">
        <v>8</v>
      </c>
      <c r="D595" s="1">
        <f>IFERROR(VLOOKUP(RIT_FUSIONS[[#This Row],[ID]],RIT_ACUM!A:A,1,0),"NOVO")</f>
        <v>46719</v>
      </c>
    </row>
    <row r="596" spans="1:4" hidden="1" x14ac:dyDescent="0.35">
      <c r="A596" s="1">
        <v>46718</v>
      </c>
      <c r="B596" s="2">
        <v>46295</v>
      </c>
      <c r="C596" s="1" t="s">
        <v>19</v>
      </c>
      <c r="D596" s="1">
        <f>IFERROR(VLOOKUP(RIT_FUSIONS[[#This Row],[ID]],RIT_ACUM!A:A,1,0),"NOVO")</f>
        <v>46718</v>
      </c>
    </row>
    <row r="597" spans="1:4" hidden="1" x14ac:dyDescent="0.35">
      <c r="A597" s="1">
        <v>46717</v>
      </c>
      <c r="B597" s="2">
        <v>46295</v>
      </c>
      <c r="C597" s="1" t="s">
        <v>19</v>
      </c>
      <c r="D597" s="1">
        <f>IFERROR(VLOOKUP(RIT_FUSIONS[[#This Row],[ID]],RIT_ACUM!A:A,1,0),"NOVO")</f>
        <v>46717</v>
      </c>
    </row>
    <row r="598" spans="1:4" hidden="1" x14ac:dyDescent="0.35">
      <c r="A598" s="1">
        <v>46715</v>
      </c>
      <c r="B598" s="2">
        <v>46294</v>
      </c>
      <c r="C598" s="1" t="s">
        <v>9</v>
      </c>
      <c r="D598" s="1">
        <f>IFERROR(VLOOKUP(RIT_FUSIONS[[#This Row],[ID]],RIT_ACUM!A:A,1,0),"NOVO")</f>
        <v>46715</v>
      </c>
    </row>
    <row r="599" spans="1:4" hidden="1" x14ac:dyDescent="0.35">
      <c r="A599" s="1">
        <v>46714</v>
      </c>
      <c r="B599" s="2">
        <v>46294</v>
      </c>
      <c r="C599" s="1" t="s">
        <v>9</v>
      </c>
      <c r="D599" s="1">
        <f>IFERROR(VLOOKUP(RIT_FUSIONS[[#This Row],[ID]],RIT_ACUM!A:A,1,0),"NOVO")</f>
        <v>46714</v>
      </c>
    </row>
    <row r="600" spans="1:4" hidden="1" x14ac:dyDescent="0.35">
      <c r="A600" s="1">
        <v>46713</v>
      </c>
      <c r="B600" s="2">
        <v>46294</v>
      </c>
      <c r="C600" s="1" t="s">
        <v>9</v>
      </c>
      <c r="D600" s="1">
        <f>IFERROR(VLOOKUP(RIT_FUSIONS[[#This Row],[ID]],RIT_ACUM!A:A,1,0),"NOVO")</f>
        <v>46713</v>
      </c>
    </row>
    <row r="601" spans="1:4" hidden="1" x14ac:dyDescent="0.35">
      <c r="A601" s="1">
        <v>46712</v>
      </c>
      <c r="B601" s="2">
        <v>46294</v>
      </c>
      <c r="C601" s="1" t="s">
        <v>10</v>
      </c>
      <c r="D601" s="1">
        <f>IFERROR(VLOOKUP(RIT_FUSIONS[[#This Row],[ID]],RIT_ACUM!A:A,1,0),"NOVO")</f>
        <v>46712</v>
      </c>
    </row>
    <row r="602" spans="1:4" hidden="1" x14ac:dyDescent="0.35">
      <c r="A602" s="1">
        <v>46711</v>
      </c>
      <c r="B602" s="2">
        <v>46294</v>
      </c>
      <c r="C602" s="1" t="s">
        <v>10</v>
      </c>
      <c r="D602" s="1">
        <f>IFERROR(VLOOKUP(RIT_FUSIONS[[#This Row],[ID]],RIT_ACUM!A:A,1,0),"NOVO")</f>
        <v>46711</v>
      </c>
    </row>
    <row r="603" spans="1:4" hidden="1" x14ac:dyDescent="0.35">
      <c r="A603" s="1">
        <v>46710</v>
      </c>
      <c r="B603" s="2">
        <v>46294</v>
      </c>
      <c r="C603" s="1" t="s">
        <v>103</v>
      </c>
      <c r="D603" s="1">
        <f>IFERROR(VLOOKUP(RIT_FUSIONS[[#This Row],[ID]],RIT_ACUM!A:A,1,0),"NOVO")</f>
        <v>46710</v>
      </c>
    </row>
    <row r="604" spans="1:4" hidden="1" x14ac:dyDescent="0.35">
      <c r="A604" s="1">
        <v>46709</v>
      </c>
      <c r="B604" s="2">
        <v>46294</v>
      </c>
      <c r="C604" s="1" t="s">
        <v>103</v>
      </c>
      <c r="D604" s="1">
        <f>IFERROR(VLOOKUP(RIT_FUSIONS[[#This Row],[ID]],RIT_ACUM!A:A,1,0),"NOVO")</f>
        <v>46709</v>
      </c>
    </row>
    <row r="605" spans="1:4" hidden="1" x14ac:dyDescent="0.35">
      <c r="A605" s="1">
        <v>46708</v>
      </c>
      <c r="B605" s="2">
        <v>46294</v>
      </c>
      <c r="C605" s="1" t="s">
        <v>3</v>
      </c>
      <c r="D605" s="1">
        <f>IFERROR(VLOOKUP(RIT_FUSIONS[[#This Row],[ID]],RIT_ACUM!A:A,1,0),"NOVO")</f>
        <v>46708</v>
      </c>
    </row>
    <row r="606" spans="1:4" hidden="1" x14ac:dyDescent="0.35">
      <c r="A606" s="1">
        <v>46707</v>
      </c>
      <c r="B606" s="2">
        <v>46294</v>
      </c>
      <c r="C606" s="1" t="s">
        <v>3</v>
      </c>
      <c r="D606" s="1">
        <f>IFERROR(VLOOKUP(RIT_FUSIONS[[#This Row],[ID]],RIT_ACUM!A:A,1,0),"NOVO")</f>
        <v>46707</v>
      </c>
    </row>
    <row r="607" spans="1:4" hidden="1" x14ac:dyDescent="0.35">
      <c r="A607" s="1">
        <v>46706</v>
      </c>
      <c r="B607" s="2">
        <v>46294</v>
      </c>
      <c r="C607" s="1" t="s">
        <v>3</v>
      </c>
      <c r="D607" s="1">
        <f>IFERROR(VLOOKUP(RIT_FUSIONS[[#This Row],[ID]],RIT_ACUM!A:A,1,0),"NOVO")</f>
        <v>46706</v>
      </c>
    </row>
    <row r="608" spans="1:4" hidden="1" x14ac:dyDescent="0.35">
      <c r="A608" s="1">
        <v>46700</v>
      </c>
      <c r="B608" s="2">
        <v>46294</v>
      </c>
      <c r="C608" s="1" t="s">
        <v>7</v>
      </c>
      <c r="D608" s="1">
        <f>IFERROR(VLOOKUP(RIT_FUSIONS[[#This Row],[ID]],RIT_ACUM!A:A,1,0),"NOVO")</f>
        <v>46700</v>
      </c>
    </row>
    <row r="609" spans="1:4" hidden="1" x14ac:dyDescent="0.35">
      <c r="A609" s="1">
        <v>46697</v>
      </c>
      <c r="B609" s="2">
        <v>46294</v>
      </c>
      <c r="C609" s="1" t="s">
        <v>7</v>
      </c>
      <c r="D609" s="1">
        <f>IFERROR(VLOOKUP(RIT_FUSIONS[[#This Row],[ID]],RIT_ACUM!A:A,1,0),"NOVO")</f>
        <v>46697</v>
      </c>
    </row>
    <row r="610" spans="1:4" hidden="1" x14ac:dyDescent="0.35">
      <c r="A610" s="1">
        <v>46696</v>
      </c>
      <c r="B610" s="2">
        <v>46294</v>
      </c>
      <c r="C610" s="1" t="s">
        <v>3</v>
      </c>
      <c r="D610" s="1">
        <f>IFERROR(VLOOKUP(RIT_FUSIONS[[#This Row],[ID]],RIT_ACUM!A:A,1,0),"NOVO")</f>
        <v>46696</v>
      </c>
    </row>
    <row r="611" spans="1:4" hidden="1" x14ac:dyDescent="0.35">
      <c r="A611" s="1">
        <v>46694</v>
      </c>
      <c r="B611" s="2">
        <v>46294</v>
      </c>
      <c r="C611" s="1" t="s">
        <v>3</v>
      </c>
      <c r="D611" s="1">
        <f>IFERROR(VLOOKUP(RIT_FUSIONS[[#This Row],[ID]],RIT_ACUM!A:A,1,0),"NOVO")</f>
        <v>46694</v>
      </c>
    </row>
    <row r="612" spans="1:4" hidden="1" x14ac:dyDescent="0.35">
      <c r="A612" s="1">
        <v>46693</v>
      </c>
      <c r="B612" s="2">
        <v>46294</v>
      </c>
      <c r="C612" s="1" t="s">
        <v>3</v>
      </c>
      <c r="D612" s="1">
        <f>IFERROR(VLOOKUP(RIT_FUSIONS[[#This Row],[ID]],RIT_ACUM!A:A,1,0),"NOVO")</f>
        <v>46693</v>
      </c>
    </row>
    <row r="613" spans="1:4" hidden="1" x14ac:dyDescent="0.35">
      <c r="A613" s="1">
        <v>46692</v>
      </c>
      <c r="B613" s="2">
        <v>46294</v>
      </c>
      <c r="C613" s="1" t="s">
        <v>3</v>
      </c>
      <c r="D613" s="1">
        <f>IFERROR(VLOOKUP(RIT_FUSIONS[[#This Row],[ID]],RIT_ACUM!A:A,1,0),"NOVO")</f>
        <v>46692</v>
      </c>
    </row>
    <row r="614" spans="1:4" hidden="1" x14ac:dyDescent="0.35">
      <c r="A614" s="1">
        <v>46691</v>
      </c>
      <c r="B614" s="2">
        <v>46294</v>
      </c>
      <c r="C614" s="1" t="s">
        <v>8</v>
      </c>
      <c r="D614" s="1">
        <f>IFERROR(VLOOKUP(RIT_FUSIONS[[#This Row],[ID]],RIT_ACUM!A:A,1,0),"NOVO")</f>
        <v>46691</v>
      </c>
    </row>
    <row r="615" spans="1:4" hidden="1" x14ac:dyDescent="0.35">
      <c r="A615" s="1">
        <v>46690</v>
      </c>
      <c r="B615" s="2">
        <v>46294</v>
      </c>
      <c r="C615" s="1" t="s">
        <v>8</v>
      </c>
      <c r="D615" s="1">
        <f>IFERROR(VLOOKUP(RIT_FUSIONS[[#This Row],[ID]],RIT_ACUM!A:A,1,0),"NOVO")</f>
        <v>46690</v>
      </c>
    </row>
    <row r="616" spans="1:4" hidden="1" x14ac:dyDescent="0.35">
      <c r="A616" s="1">
        <v>46689</v>
      </c>
      <c r="B616" s="2">
        <v>46294</v>
      </c>
      <c r="C616" s="1" t="s">
        <v>3</v>
      </c>
      <c r="D616" s="1">
        <f>IFERROR(VLOOKUP(RIT_FUSIONS[[#This Row],[ID]],RIT_ACUM!A:A,1,0),"NOVO")</f>
        <v>46689</v>
      </c>
    </row>
    <row r="617" spans="1:4" hidden="1" x14ac:dyDescent="0.35">
      <c r="A617" s="1">
        <v>46688</v>
      </c>
      <c r="B617" s="2">
        <v>46293</v>
      </c>
      <c r="C617" s="1" t="s">
        <v>10</v>
      </c>
      <c r="D617" s="1">
        <f>IFERROR(VLOOKUP(RIT_FUSIONS[[#This Row],[ID]],RIT_ACUM!A:A,1,0),"NOVO")</f>
        <v>46688</v>
      </c>
    </row>
    <row r="618" spans="1:4" hidden="1" x14ac:dyDescent="0.35">
      <c r="A618" s="1">
        <v>46687</v>
      </c>
      <c r="B618" s="2">
        <v>46293</v>
      </c>
      <c r="C618" s="1" t="s">
        <v>10</v>
      </c>
      <c r="D618" s="1">
        <f>IFERROR(VLOOKUP(RIT_FUSIONS[[#This Row],[ID]],RIT_ACUM!A:A,1,0),"NOVO")</f>
        <v>46687</v>
      </c>
    </row>
    <row r="619" spans="1:4" hidden="1" x14ac:dyDescent="0.35">
      <c r="A619" s="1">
        <v>46676</v>
      </c>
      <c r="B619" s="2">
        <v>46293</v>
      </c>
      <c r="C619" s="1" t="s">
        <v>9</v>
      </c>
      <c r="D619" s="1">
        <f>IFERROR(VLOOKUP(RIT_FUSIONS[[#This Row],[ID]],RIT_ACUM!A:A,1,0),"NOVO")</f>
        <v>46676</v>
      </c>
    </row>
    <row r="620" spans="1:4" hidden="1" x14ac:dyDescent="0.35">
      <c r="A620" s="1">
        <v>46675</v>
      </c>
      <c r="B620" s="2">
        <v>46293</v>
      </c>
      <c r="C620" s="1" t="s">
        <v>9</v>
      </c>
      <c r="D620" s="1">
        <f>IFERROR(VLOOKUP(RIT_FUSIONS[[#This Row],[ID]],RIT_ACUM!A:A,1,0),"NOVO")</f>
        <v>46675</v>
      </c>
    </row>
    <row r="621" spans="1:4" hidden="1" x14ac:dyDescent="0.35">
      <c r="A621" s="1">
        <v>46674</v>
      </c>
      <c r="B621" s="2">
        <v>46293</v>
      </c>
      <c r="C621" s="1" t="s">
        <v>19</v>
      </c>
      <c r="D621" s="1">
        <f>IFERROR(VLOOKUP(RIT_FUSIONS[[#This Row],[ID]],RIT_ACUM!A:A,1,0),"NOVO")</f>
        <v>46674</v>
      </c>
    </row>
    <row r="622" spans="1:4" hidden="1" x14ac:dyDescent="0.35">
      <c r="A622" s="1">
        <v>46673</v>
      </c>
      <c r="B622" s="2">
        <v>46293</v>
      </c>
      <c r="C622" s="1" t="s">
        <v>19</v>
      </c>
      <c r="D622" s="1">
        <f>IFERROR(VLOOKUP(RIT_FUSIONS[[#This Row],[ID]],RIT_ACUM!A:A,1,0),"NOVO")</f>
        <v>46673</v>
      </c>
    </row>
    <row r="623" spans="1:4" hidden="1" x14ac:dyDescent="0.35">
      <c r="A623" s="1">
        <v>46672</v>
      </c>
      <c r="B623" s="2">
        <v>46293</v>
      </c>
      <c r="C623" s="1" t="s">
        <v>19</v>
      </c>
      <c r="D623" s="1">
        <f>IFERROR(VLOOKUP(RIT_FUSIONS[[#This Row],[ID]],RIT_ACUM!A:A,1,0),"NOVO")</f>
        <v>46672</v>
      </c>
    </row>
    <row r="624" spans="1:4" hidden="1" x14ac:dyDescent="0.35">
      <c r="A624" s="1">
        <v>46671</v>
      </c>
      <c r="B624" s="2">
        <v>46293</v>
      </c>
      <c r="C624" s="1" t="s">
        <v>19</v>
      </c>
      <c r="D624" s="1">
        <f>IFERROR(VLOOKUP(RIT_FUSIONS[[#This Row],[ID]],RIT_ACUM!A:A,1,0),"NOVO")</f>
        <v>46671</v>
      </c>
    </row>
    <row r="625" spans="1:4" hidden="1" x14ac:dyDescent="0.35">
      <c r="A625" s="1">
        <v>46665</v>
      </c>
      <c r="B625" s="2">
        <v>46293</v>
      </c>
      <c r="C625" s="1" t="s">
        <v>23</v>
      </c>
      <c r="D625" s="1">
        <f>IFERROR(VLOOKUP(RIT_FUSIONS[[#This Row],[ID]],RIT_ACUM!A:A,1,0),"NOVO")</f>
        <v>46665</v>
      </c>
    </row>
    <row r="626" spans="1:4" hidden="1" x14ac:dyDescent="0.35">
      <c r="A626" s="1">
        <v>46664</v>
      </c>
      <c r="B626" s="2">
        <v>46293</v>
      </c>
      <c r="C626" s="1" t="s">
        <v>23</v>
      </c>
      <c r="D626" s="1">
        <f>IFERROR(VLOOKUP(RIT_FUSIONS[[#This Row],[ID]],RIT_ACUM!A:A,1,0),"NOVO")</f>
        <v>46664</v>
      </c>
    </row>
    <row r="627" spans="1:4" hidden="1" x14ac:dyDescent="0.35">
      <c r="A627" s="1">
        <v>46663</v>
      </c>
      <c r="B627" s="2">
        <v>46293</v>
      </c>
      <c r="C627" s="1" t="s">
        <v>24</v>
      </c>
      <c r="D627" s="1">
        <f>IFERROR(VLOOKUP(RIT_FUSIONS[[#This Row],[ID]],RIT_ACUM!A:A,1,0),"NOVO")</f>
        <v>46663</v>
      </c>
    </row>
    <row r="628" spans="1:4" hidden="1" x14ac:dyDescent="0.35">
      <c r="A628" s="1">
        <v>46662</v>
      </c>
      <c r="B628" s="2">
        <v>46293</v>
      </c>
      <c r="C628" s="1" t="s">
        <v>24</v>
      </c>
      <c r="D628" s="1">
        <f>IFERROR(VLOOKUP(RIT_FUSIONS[[#This Row],[ID]],RIT_ACUM!A:A,1,0),"NOVO")</f>
        <v>46662</v>
      </c>
    </row>
    <row r="629" spans="1:4" hidden="1" x14ac:dyDescent="0.35">
      <c r="A629" s="1">
        <v>46661</v>
      </c>
      <c r="B629" s="2">
        <v>46293</v>
      </c>
      <c r="C629" s="1" t="s">
        <v>9</v>
      </c>
      <c r="D629" s="1">
        <f>IFERROR(VLOOKUP(RIT_FUSIONS[[#This Row],[ID]],RIT_ACUM!A:A,1,0),"NOVO")</f>
        <v>46661</v>
      </c>
    </row>
    <row r="630" spans="1:4" hidden="1" x14ac:dyDescent="0.35">
      <c r="A630" s="1">
        <v>46660</v>
      </c>
      <c r="B630" s="2">
        <v>46293</v>
      </c>
      <c r="C630" s="1" t="s">
        <v>24</v>
      </c>
      <c r="D630" s="1">
        <f>IFERROR(VLOOKUP(RIT_FUSIONS[[#This Row],[ID]],RIT_ACUM!A:A,1,0),"NOVO")</f>
        <v>46660</v>
      </c>
    </row>
    <row r="631" spans="1:4" hidden="1" x14ac:dyDescent="0.35">
      <c r="A631" s="1">
        <v>46659</v>
      </c>
      <c r="B631" s="2">
        <v>46293</v>
      </c>
      <c r="C631" s="1" t="s">
        <v>24</v>
      </c>
      <c r="D631" s="1">
        <f>IFERROR(VLOOKUP(RIT_FUSIONS[[#This Row],[ID]],RIT_ACUM!A:A,1,0),"NOVO")</f>
        <v>46659</v>
      </c>
    </row>
    <row r="632" spans="1:4" hidden="1" x14ac:dyDescent="0.35">
      <c r="A632" s="1">
        <v>46658</v>
      </c>
      <c r="B632" s="2">
        <v>46293</v>
      </c>
      <c r="C632" s="1" t="s">
        <v>24</v>
      </c>
      <c r="D632" s="1">
        <f>IFERROR(VLOOKUP(RIT_FUSIONS[[#This Row],[ID]],RIT_ACUM!A:A,1,0),"NOVO")</f>
        <v>46658</v>
      </c>
    </row>
    <row r="633" spans="1:4" hidden="1" x14ac:dyDescent="0.35">
      <c r="A633" s="1">
        <v>46657</v>
      </c>
      <c r="B633" s="2">
        <v>46293</v>
      </c>
      <c r="C633" s="1" t="s">
        <v>24</v>
      </c>
      <c r="D633" s="1">
        <f>IFERROR(VLOOKUP(RIT_FUSIONS[[#This Row],[ID]],RIT_ACUM!A:A,1,0),"NOVO")</f>
        <v>46657</v>
      </c>
    </row>
    <row r="634" spans="1:4" hidden="1" x14ac:dyDescent="0.35">
      <c r="A634" s="1">
        <v>46656</v>
      </c>
      <c r="B634" s="2">
        <v>46293</v>
      </c>
      <c r="C634" s="1" t="s">
        <v>103</v>
      </c>
      <c r="D634" s="1">
        <f>IFERROR(VLOOKUP(RIT_FUSIONS[[#This Row],[ID]],RIT_ACUM!A:A,1,0),"NOVO")</f>
        <v>46656</v>
      </c>
    </row>
    <row r="635" spans="1:4" hidden="1" x14ac:dyDescent="0.35">
      <c r="A635" s="1">
        <v>46655</v>
      </c>
      <c r="B635" s="2">
        <v>46293</v>
      </c>
      <c r="C635" s="1" t="s">
        <v>3</v>
      </c>
      <c r="D635" s="1">
        <f>IFERROR(VLOOKUP(RIT_FUSIONS[[#This Row],[ID]],RIT_ACUM!A:A,1,0),"NOVO")</f>
        <v>46655</v>
      </c>
    </row>
    <row r="636" spans="1:4" hidden="1" x14ac:dyDescent="0.35">
      <c r="A636" s="1">
        <v>46654</v>
      </c>
      <c r="B636" s="2">
        <v>46293</v>
      </c>
      <c r="C636" s="1" t="s">
        <v>103</v>
      </c>
      <c r="D636" s="1">
        <f>IFERROR(VLOOKUP(RIT_FUSIONS[[#This Row],[ID]],RIT_ACUM!A:A,1,0),"NOVO")</f>
        <v>46654</v>
      </c>
    </row>
    <row r="637" spans="1:4" hidden="1" x14ac:dyDescent="0.35">
      <c r="A637" s="1">
        <v>46653</v>
      </c>
      <c r="B637" s="2">
        <v>46293</v>
      </c>
      <c r="C637" s="1" t="s">
        <v>3</v>
      </c>
      <c r="D637" s="1">
        <f>IFERROR(VLOOKUP(RIT_FUSIONS[[#This Row],[ID]],RIT_ACUM!A:A,1,0),"NOVO")</f>
        <v>46653</v>
      </c>
    </row>
    <row r="638" spans="1:4" hidden="1" x14ac:dyDescent="0.35">
      <c r="A638" s="1">
        <v>46651</v>
      </c>
      <c r="B638" s="2">
        <v>46293</v>
      </c>
      <c r="C638" s="1" t="s">
        <v>3</v>
      </c>
      <c r="D638" s="1">
        <f>IFERROR(VLOOKUP(RIT_FUSIONS[[#This Row],[ID]],RIT_ACUM!A:A,1,0),"NOVO")</f>
        <v>46651</v>
      </c>
    </row>
    <row r="639" spans="1:4" hidden="1" x14ac:dyDescent="0.35">
      <c r="A639" s="1">
        <v>46650</v>
      </c>
      <c r="B639" s="2">
        <v>46293</v>
      </c>
      <c r="C639" s="1" t="s">
        <v>3</v>
      </c>
      <c r="D639" s="1">
        <f>IFERROR(VLOOKUP(RIT_FUSIONS[[#This Row],[ID]],RIT_ACUM!A:A,1,0),"NOVO")</f>
        <v>46650</v>
      </c>
    </row>
    <row r="640" spans="1:4" hidden="1" x14ac:dyDescent="0.35">
      <c r="A640" s="1">
        <v>46647</v>
      </c>
      <c r="B640" s="2">
        <v>46293</v>
      </c>
      <c r="C640" s="1" t="s">
        <v>7</v>
      </c>
      <c r="D640" s="1">
        <f>IFERROR(VLOOKUP(RIT_FUSIONS[[#This Row],[ID]],RIT_ACUM!A:A,1,0),"NOVO")</f>
        <v>46647</v>
      </c>
    </row>
    <row r="641" spans="1:4" hidden="1" x14ac:dyDescent="0.35">
      <c r="A641" s="1">
        <v>46646</v>
      </c>
      <c r="B641" s="2">
        <v>46293</v>
      </c>
      <c r="C641" s="1" t="s">
        <v>6</v>
      </c>
      <c r="D641" s="1">
        <f>IFERROR(VLOOKUP(RIT_FUSIONS[[#This Row],[ID]],RIT_ACUM!A:A,1,0),"NOVO")</f>
        <v>46646</v>
      </c>
    </row>
    <row r="642" spans="1:4" hidden="1" x14ac:dyDescent="0.35">
      <c r="A642" s="1">
        <v>46645</v>
      </c>
      <c r="B642" s="2">
        <v>46293</v>
      </c>
      <c r="C642" s="1" t="s">
        <v>6</v>
      </c>
      <c r="D642" s="1">
        <f>IFERROR(VLOOKUP(RIT_FUSIONS[[#This Row],[ID]],RIT_ACUM!A:A,1,0),"NOVO")</f>
        <v>46645</v>
      </c>
    </row>
    <row r="643" spans="1:4" hidden="1" x14ac:dyDescent="0.35">
      <c r="A643" s="1">
        <v>46639</v>
      </c>
      <c r="B643" s="2">
        <v>46293</v>
      </c>
      <c r="C643" s="1" t="s">
        <v>8</v>
      </c>
      <c r="D643" s="1">
        <f>IFERROR(VLOOKUP(RIT_FUSIONS[[#This Row],[ID]],RIT_ACUM!A:A,1,0),"NOVO")</f>
        <v>46639</v>
      </c>
    </row>
    <row r="644" spans="1:4" hidden="1" x14ac:dyDescent="0.35">
      <c r="A644" s="1">
        <v>46638</v>
      </c>
      <c r="B644" s="2">
        <v>46293</v>
      </c>
      <c r="C644" s="1" t="s">
        <v>8</v>
      </c>
      <c r="D644" s="1">
        <f>IFERROR(VLOOKUP(RIT_FUSIONS[[#This Row],[ID]],RIT_ACUM!A:A,1,0),"NOVO")</f>
        <v>46638</v>
      </c>
    </row>
    <row r="645" spans="1:4" hidden="1" x14ac:dyDescent="0.35">
      <c r="A645" s="1">
        <v>46637</v>
      </c>
      <c r="B645" s="2">
        <v>46292</v>
      </c>
      <c r="C645" s="1" t="s">
        <v>17</v>
      </c>
      <c r="D645" s="1">
        <f>IFERROR(VLOOKUP(RIT_FUSIONS[[#This Row],[ID]],RIT_ACUM!A:A,1,0),"NOVO")</f>
        <v>46637</v>
      </c>
    </row>
    <row r="646" spans="1:4" hidden="1" x14ac:dyDescent="0.35">
      <c r="A646" s="1">
        <v>46636</v>
      </c>
      <c r="B646" s="2">
        <v>46292</v>
      </c>
      <c r="C646" s="1" t="s">
        <v>17</v>
      </c>
      <c r="D646" s="1">
        <f>IFERROR(VLOOKUP(RIT_FUSIONS[[#This Row],[ID]],RIT_ACUM!A:A,1,0),"NOVO")</f>
        <v>46636</v>
      </c>
    </row>
    <row r="647" spans="1:4" hidden="1" x14ac:dyDescent="0.35">
      <c r="A647" s="1">
        <v>46635</v>
      </c>
      <c r="B647" s="2">
        <v>46291</v>
      </c>
      <c r="C647" s="1" t="s">
        <v>10</v>
      </c>
      <c r="D647" s="1">
        <f>IFERROR(VLOOKUP(RIT_FUSIONS[[#This Row],[ID]],RIT_ACUM!A:A,1,0),"NOVO")</f>
        <v>46635</v>
      </c>
    </row>
    <row r="648" spans="1:4" hidden="1" x14ac:dyDescent="0.35">
      <c r="A648" s="1">
        <v>46634</v>
      </c>
      <c r="B648" s="2">
        <v>46291</v>
      </c>
      <c r="C648" s="1" t="s">
        <v>10</v>
      </c>
      <c r="D648" s="1">
        <f>IFERROR(VLOOKUP(RIT_FUSIONS[[#This Row],[ID]],RIT_ACUM!A:A,1,0),"NOVO")</f>
        <v>46634</v>
      </c>
    </row>
    <row r="649" spans="1:4" hidden="1" x14ac:dyDescent="0.35">
      <c r="A649" s="1">
        <v>46633</v>
      </c>
      <c r="B649" s="2">
        <v>46291</v>
      </c>
      <c r="C649" s="1" t="s">
        <v>6</v>
      </c>
      <c r="D649" s="1">
        <f>IFERROR(VLOOKUP(RIT_FUSIONS[[#This Row],[ID]],RIT_ACUM!A:A,1,0),"NOVO")</f>
        <v>46633</v>
      </c>
    </row>
    <row r="650" spans="1:4" hidden="1" x14ac:dyDescent="0.35">
      <c r="A650" s="1">
        <v>46632</v>
      </c>
      <c r="B650" s="2">
        <v>46291</v>
      </c>
      <c r="C650" s="1" t="s">
        <v>6</v>
      </c>
      <c r="D650" s="1">
        <f>IFERROR(VLOOKUP(RIT_FUSIONS[[#This Row],[ID]],RIT_ACUM!A:A,1,0),"NOVO")</f>
        <v>46632</v>
      </c>
    </row>
    <row r="651" spans="1:4" hidden="1" x14ac:dyDescent="0.35">
      <c r="A651" s="1">
        <v>46630</v>
      </c>
      <c r="B651" s="2">
        <v>46291</v>
      </c>
      <c r="C651" s="1" t="s">
        <v>8</v>
      </c>
      <c r="D651" s="1">
        <f>IFERROR(VLOOKUP(RIT_FUSIONS[[#This Row],[ID]],RIT_ACUM!A:A,1,0),"NOVO")</f>
        <v>46630</v>
      </c>
    </row>
    <row r="652" spans="1:4" hidden="1" x14ac:dyDescent="0.35">
      <c r="A652" s="1">
        <v>46629</v>
      </c>
      <c r="B652" s="2">
        <v>46291</v>
      </c>
      <c r="C652" s="1" t="s">
        <v>8</v>
      </c>
      <c r="D652" s="1">
        <f>IFERROR(VLOOKUP(RIT_FUSIONS[[#This Row],[ID]],RIT_ACUM!A:A,1,0),"NOVO")</f>
        <v>46629</v>
      </c>
    </row>
    <row r="653" spans="1:4" hidden="1" x14ac:dyDescent="0.35">
      <c r="A653" s="1">
        <v>46628</v>
      </c>
      <c r="B653" s="2">
        <v>46290</v>
      </c>
      <c r="C653" s="1" t="s">
        <v>17</v>
      </c>
      <c r="D653" s="1">
        <f>IFERROR(VLOOKUP(RIT_FUSIONS[[#This Row],[ID]],RIT_ACUM!A:A,1,0),"NOVO")</f>
        <v>46628</v>
      </c>
    </row>
    <row r="654" spans="1:4" hidden="1" x14ac:dyDescent="0.35">
      <c r="A654" s="1">
        <v>46627</v>
      </c>
      <c r="B654" s="2">
        <v>46290</v>
      </c>
      <c r="C654" s="1" t="s">
        <v>17</v>
      </c>
      <c r="D654" s="1">
        <f>IFERROR(VLOOKUP(RIT_FUSIONS[[#This Row],[ID]],RIT_ACUM!A:A,1,0),"NOVO")</f>
        <v>46627</v>
      </c>
    </row>
    <row r="655" spans="1:4" hidden="1" x14ac:dyDescent="0.35">
      <c r="A655" s="1">
        <v>46619</v>
      </c>
      <c r="B655" s="2">
        <v>46290</v>
      </c>
      <c r="C655" s="1" t="s">
        <v>10</v>
      </c>
      <c r="D655" s="1">
        <f>IFERROR(VLOOKUP(RIT_FUSIONS[[#This Row],[ID]],RIT_ACUM!A:A,1,0),"NOVO")</f>
        <v>46619</v>
      </c>
    </row>
    <row r="656" spans="1:4" hidden="1" x14ac:dyDescent="0.35">
      <c r="A656" s="1">
        <v>46618</v>
      </c>
      <c r="B656" s="2">
        <v>46290</v>
      </c>
      <c r="C656" s="1" t="s">
        <v>10</v>
      </c>
      <c r="D656" s="1">
        <f>IFERROR(VLOOKUP(RIT_FUSIONS[[#This Row],[ID]],RIT_ACUM!A:A,1,0),"NOVO")</f>
        <v>46618</v>
      </c>
    </row>
    <row r="657" spans="1:4" hidden="1" x14ac:dyDescent="0.35">
      <c r="A657" s="1">
        <v>46617</v>
      </c>
      <c r="B657" s="2">
        <v>46290</v>
      </c>
      <c r="C657" s="1" t="s">
        <v>6</v>
      </c>
      <c r="D657" s="1">
        <f>IFERROR(VLOOKUP(RIT_FUSIONS[[#This Row],[ID]],RIT_ACUM!A:A,1,0),"NOVO")</f>
        <v>46617</v>
      </c>
    </row>
    <row r="658" spans="1:4" hidden="1" x14ac:dyDescent="0.35">
      <c r="A658" s="1">
        <v>46616</v>
      </c>
      <c r="B658" s="2">
        <v>46290</v>
      </c>
      <c r="C658" s="1" t="s">
        <v>6</v>
      </c>
      <c r="D658" s="1">
        <f>IFERROR(VLOOKUP(RIT_FUSIONS[[#This Row],[ID]],RIT_ACUM!A:A,1,0),"NOVO")</f>
        <v>46616</v>
      </c>
    </row>
    <row r="659" spans="1:4" hidden="1" x14ac:dyDescent="0.35">
      <c r="A659" s="1">
        <v>46611</v>
      </c>
      <c r="B659" s="2">
        <v>46290</v>
      </c>
      <c r="C659" s="1" t="s">
        <v>5</v>
      </c>
      <c r="D659" s="1">
        <f>IFERROR(VLOOKUP(RIT_FUSIONS[[#This Row],[ID]],RIT_ACUM!A:A,1,0),"NOVO")</f>
        <v>46611</v>
      </c>
    </row>
    <row r="660" spans="1:4" hidden="1" x14ac:dyDescent="0.35">
      <c r="A660" s="1">
        <v>46610</v>
      </c>
      <c r="B660" s="2">
        <v>46290</v>
      </c>
      <c r="C660" s="1" t="s">
        <v>5</v>
      </c>
      <c r="D660" s="1">
        <f>IFERROR(VLOOKUP(RIT_FUSIONS[[#This Row],[ID]],RIT_ACUM!A:A,1,0),"NOVO")</f>
        <v>46610</v>
      </c>
    </row>
    <row r="661" spans="1:4" hidden="1" x14ac:dyDescent="0.35">
      <c r="A661" s="1">
        <v>46609</v>
      </c>
      <c r="B661" s="2">
        <v>46290</v>
      </c>
      <c r="C661" s="1" t="s">
        <v>5</v>
      </c>
      <c r="D661" s="1">
        <f>IFERROR(VLOOKUP(RIT_FUSIONS[[#This Row],[ID]],RIT_ACUM!A:A,1,0),"NOVO")</f>
        <v>46609</v>
      </c>
    </row>
    <row r="662" spans="1:4" hidden="1" x14ac:dyDescent="0.35">
      <c r="A662" s="1">
        <v>46607</v>
      </c>
      <c r="B662" s="2">
        <v>46290</v>
      </c>
      <c r="C662" s="1" t="s">
        <v>4</v>
      </c>
      <c r="D662" s="1">
        <f>IFERROR(VLOOKUP(RIT_FUSIONS[[#This Row],[ID]],RIT_ACUM!A:A,1,0),"NOVO")</f>
        <v>46607</v>
      </c>
    </row>
    <row r="663" spans="1:4" hidden="1" x14ac:dyDescent="0.35">
      <c r="A663" s="1">
        <v>46606</v>
      </c>
      <c r="B663" s="2">
        <v>46290</v>
      </c>
      <c r="C663" s="1" t="s">
        <v>4</v>
      </c>
      <c r="D663" s="1">
        <f>IFERROR(VLOOKUP(RIT_FUSIONS[[#This Row],[ID]],RIT_ACUM!A:A,1,0),"NOVO")</f>
        <v>46606</v>
      </c>
    </row>
    <row r="664" spans="1:4" hidden="1" x14ac:dyDescent="0.35">
      <c r="A664" s="1">
        <v>46604</v>
      </c>
      <c r="B664" s="2">
        <v>46290</v>
      </c>
      <c r="C664" s="1" t="s">
        <v>7</v>
      </c>
      <c r="D664" s="1">
        <f>IFERROR(VLOOKUP(RIT_FUSIONS[[#This Row],[ID]],RIT_ACUM!A:A,1,0),"NOVO")</f>
        <v>46604</v>
      </c>
    </row>
    <row r="665" spans="1:4" hidden="1" x14ac:dyDescent="0.35">
      <c r="A665" s="1">
        <v>46603</v>
      </c>
      <c r="B665" s="2">
        <v>46290</v>
      </c>
      <c r="C665" s="1" t="s">
        <v>7</v>
      </c>
      <c r="D665" s="1">
        <f>IFERROR(VLOOKUP(RIT_FUSIONS[[#This Row],[ID]],RIT_ACUM!A:A,1,0),"NOVO")</f>
        <v>46603</v>
      </c>
    </row>
    <row r="666" spans="1:4" hidden="1" x14ac:dyDescent="0.35">
      <c r="A666" s="1">
        <v>46602</v>
      </c>
      <c r="B666" s="2">
        <v>46290</v>
      </c>
      <c r="C666" s="1" t="s">
        <v>19</v>
      </c>
      <c r="D666" s="1">
        <f>IFERROR(VLOOKUP(RIT_FUSIONS[[#This Row],[ID]],RIT_ACUM!A:A,1,0),"NOVO")</f>
        <v>46602</v>
      </c>
    </row>
    <row r="667" spans="1:4" hidden="1" x14ac:dyDescent="0.35">
      <c r="A667" s="1">
        <v>46600</v>
      </c>
      <c r="B667" s="2">
        <v>46290</v>
      </c>
      <c r="C667" s="1" t="s">
        <v>9</v>
      </c>
      <c r="D667" s="1">
        <f>IFERROR(VLOOKUP(RIT_FUSIONS[[#This Row],[ID]],RIT_ACUM!A:A,1,0),"NOVO")</f>
        <v>46600</v>
      </c>
    </row>
    <row r="668" spans="1:4" hidden="1" x14ac:dyDescent="0.35">
      <c r="A668" s="1">
        <v>46599</v>
      </c>
      <c r="B668" s="2">
        <v>46290</v>
      </c>
      <c r="C668" s="1" t="s">
        <v>9</v>
      </c>
      <c r="D668" s="1">
        <f>IFERROR(VLOOKUP(RIT_FUSIONS[[#This Row],[ID]],RIT_ACUM!A:A,1,0),"NOVO")</f>
        <v>46599</v>
      </c>
    </row>
    <row r="669" spans="1:4" hidden="1" x14ac:dyDescent="0.35">
      <c r="A669" s="1">
        <v>46597</v>
      </c>
      <c r="B669" s="2">
        <v>46290</v>
      </c>
      <c r="C669" s="1" t="s">
        <v>24</v>
      </c>
      <c r="D669" s="1">
        <f>IFERROR(VLOOKUP(RIT_FUSIONS[[#This Row],[ID]],RIT_ACUM!A:A,1,0),"NOVO")</f>
        <v>46597</v>
      </c>
    </row>
    <row r="670" spans="1:4" hidden="1" x14ac:dyDescent="0.35">
      <c r="A670" s="1">
        <v>46596</v>
      </c>
      <c r="B670" s="2">
        <v>46290</v>
      </c>
      <c r="C670" s="1" t="s">
        <v>24</v>
      </c>
      <c r="D670" s="1">
        <f>IFERROR(VLOOKUP(RIT_FUSIONS[[#This Row],[ID]],RIT_ACUM!A:A,1,0),"NOVO")</f>
        <v>46596</v>
      </c>
    </row>
    <row r="671" spans="1:4" hidden="1" x14ac:dyDescent="0.35">
      <c r="A671" s="1">
        <v>46595</v>
      </c>
      <c r="B671" s="2">
        <v>46290</v>
      </c>
      <c r="C671" s="1" t="s">
        <v>24</v>
      </c>
      <c r="D671" s="1">
        <f>IFERROR(VLOOKUP(RIT_FUSIONS[[#This Row],[ID]],RIT_ACUM!A:A,1,0),"NOVO")</f>
        <v>46595</v>
      </c>
    </row>
    <row r="672" spans="1:4" hidden="1" x14ac:dyDescent="0.35">
      <c r="A672" s="1">
        <v>46594</v>
      </c>
      <c r="B672" s="2">
        <v>46290</v>
      </c>
      <c r="C672" s="1" t="s">
        <v>24</v>
      </c>
      <c r="D672" s="1">
        <f>IFERROR(VLOOKUP(RIT_FUSIONS[[#This Row],[ID]],RIT_ACUM!A:A,1,0),"NOVO")</f>
        <v>46594</v>
      </c>
    </row>
    <row r="673" spans="1:4" hidden="1" x14ac:dyDescent="0.35">
      <c r="A673" s="1">
        <v>46593</v>
      </c>
      <c r="B673" s="2">
        <v>46290</v>
      </c>
      <c r="C673" s="1" t="s">
        <v>24</v>
      </c>
      <c r="D673" s="1">
        <f>IFERROR(VLOOKUP(RIT_FUSIONS[[#This Row],[ID]],RIT_ACUM!A:A,1,0),"NOVO")</f>
        <v>46593</v>
      </c>
    </row>
    <row r="674" spans="1:4" hidden="1" x14ac:dyDescent="0.35">
      <c r="A674" s="1">
        <v>46592</v>
      </c>
      <c r="B674" s="2">
        <v>46290</v>
      </c>
      <c r="C674" s="1" t="s">
        <v>24</v>
      </c>
      <c r="D674" s="1">
        <f>IFERROR(VLOOKUP(RIT_FUSIONS[[#This Row],[ID]],RIT_ACUM!A:A,1,0),"NOVO")</f>
        <v>46592</v>
      </c>
    </row>
    <row r="675" spans="1:4" hidden="1" x14ac:dyDescent="0.35">
      <c r="A675" s="1">
        <v>46591</v>
      </c>
      <c r="B675" s="2">
        <v>46290</v>
      </c>
      <c r="C675" s="1" t="s">
        <v>24</v>
      </c>
      <c r="D675" s="1">
        <f>IFERROR(VLOOKUP(RIT_FUSIONS[[#This Row],[ID]],RIT_ACUM!A:A,1,0),"NOVO")</f>
        <v>46591</v>
      </c>
    </row>
    <row r="676" spans="1:4" hidden="1" x14ac:dyDescent="0.35">
      <c r="A676" s="1">
        <v>46590</v>
      </c>
      <c r="B676" s="2">
        <v>46290</v>
      </c>
      <c r="C676" s="1" t="s">
        <v>24</v>
      </c>
      <c r="D676" s="1">
        <f>IFERROR(VLOOKUP(RIT_FUSIONS[[#This Row],[ID]],RIT_ACUM!A:A,1,0),"NOVO")</f>
        <v>46590</v>
      </c>
    </row>
    <row r="677" spans="1:4" hidden="1" x14ac:dyDescent="0.35">
      <c r="A677" s="1">
        <v>46589</v>
      </c>
      <c r="B677" s="2">
        <v>46290</v>
      </c>
      <c r="C677" s="1" t="s">
        <v>24</v>
      </c>
      <c r="D677" s="1">
        <f>IFERROR(VLOOKUP(RIT_FUSIONS[[#This Row],[ID]],RIT_ACUM!A:A,1,0),"NOVO")</f>
        <v>46589</v>
      </c>
    </row>
    <row r="678" spans="1:4" hidden="1" x14ac:dyDescent="0.35">
      <c r="A678" s="1">
        <v>46588</v>
      </c>
      <c r="B678" s="2">
        <v>46290</v>
      </c>
      <c r="C678" s="1" t="s">
        <v>24</v>
      </c>
      <c r="D678" s="1">
        <f>IFERROR(VLOOKUP(RIT_FUSIONS[[#This Row],[ID]],RIT_ACUM!A:A,1,0),"NOVO")</f>
        <v>46588</v>
      </c>
    </row>
    <row r="679" spans="1:4" hidden="1" x14ac:dyDescent="0.35">
      <c r="A679" s="1">
        <v>46587</v>
      </c>
      <c r="B679" s="2">
        <v>46290</v>
      </c>
      <c r="C679" s="1" t="s">
        <v>24</v>
      </c>
      <c r="D679" s="1">
        <f>IFERROR(VLOOKUP(RIT_FUSIONS[[#This Row],[ID]],RIT_ACUM!A:A,1,0),"NOVO")</f>
        <v>46587</v>
      </c>
    </row>
    <row r="680" spans="1:4" hidden="1" x14ac:dyDescent="0.35">
      <c r="A680" s="1">
        <v>46586</v>
      </c>
      <c r="B680" s="2">
        <v>46290</v>
      </c>
      <c r="C680" s="1" t="s">
        <v>24</v>
      </c>
      <c r="D680" s="1">
        <f>IFERROR(VLOOKUP(RIT_FUSIONS[[#This Row],[ID]],RIT_ACUM!A:A,1,0),"NOVO")</f>
        <v>46586</v>
      </c>
    </row>
    <row r="681" spans="1:4" hidden="1" x14ac:dyDescent="0.35">
      <c r="A681" s="1">
        <v>46585</v>
      </c>
      <c r="B681" s="2">
        <v>46290</v>
      </c>
      <c r="C681" s="1" t="s">
        <v>24</v>
      </c>
      <c r="D681" s="1">
        <f>IFERROR(VLOOKUP(RIT_FUSIONS[[#This Row],[ID]],RIT_ACUM!A:A,1,0),"NOVO")</f>
        <v>46585</v>
      </c>
    </row>
    <row r="682" spans="1:4" hidden="1" x14ac:dyDescent="0.35">
      <c r="A682" s="1">
        <v>46584</v>
      </c>
      <c r="B682" s="2">
        <v>46290</v>
      </c>
      <c r="C682" s="1" t="s">
        <v>24</v>
      </c>
      <c r="D682" s="1">
        <f>IFERROR(VLOOKUP(RIT_FUSIONS[[#This Row],[ID]],RIT_ACUM!A:A,1,0),"NOVO")</f>
        <v>46584</v>
      </c>
    </row>
    <row r="683" spans="1:4" hidden="1" x14ac:dyDescent="0.35">
      <c r="A683" s="1">
        <v>46583</v>
      </c>
      <c r="B683" s="2">
        <v>46290</v>
      </c>
      <c r="C683" s="1" t="s">
        <v>24</v>
      </c>
      <c r="D683" s="1">
        <f>IFERROR(VLOOKUP(RIT_FUSIONS[[#This Row],[ID]],RIT_ACUM!A:A,1,0),"NOVO")</f>
        <v>46583</v>
      </c>
    </row>
    <row r="684" spans="1:4" hidden="1" x14ac:dyDescent="0.35">
      <c r="A684" s="1">
        <v>46582</v>
      </c>
      <c r="B684" s="2">
        <v>46290</v>
      </c>
      <c r="C684" s="1" t="s">
        <v>8</v>
      </c>
      <c r="D684" s="1">
        <f>IFERROR(VLOOKUP(RIT_FUSIONS[[#This Row],[ID]],RIT_ACUM!A:A,1,0),"NOVO")</f>
        <v>46582</v>
      </c>
    </row>
    <row r="685" spans="1:4" hidden="1" x14ac:dyDescent="0.35">
      <c r="A685" s="1">
        <v>46581</v>
      </c>
      <c r="B685" s="2">
        <v>46290</v>
      </c>
      <c r="C685" s="1" t="s">
        <v>8</v>
      </c>
      <c r="D685" s="1">
        <f>IFERROR(VLOOKUP(RIT_FUSIONS[[#This Row],[ID]],RIT_ACUM!A:A,1,0),"NOVO")</f>
        <v>46581</v>
      </c>
    </row>
    <row r="686" spans="1:4" hidden="1" x14ac:dyDescent="0.35">
      <c r="A686" s="1">
        <v>46580</v>
      </c>
      <c r="B686" s="2">
        <v>46289</v>
      </c>
      <c r="C686" s="1" t="s">
        <v>17</v>
      </c>
      <c r="D686" s="1">
        <f>IFERROR(VLOOKUP(RIT_FUSIONS[[#This Row],[ID]],RIT_ACUM!A:A,1,0),"NOVO")</f>
        <v>46580</v>
      </c>
    </row>
    <row r="687" spans="1:4" hidden="1" x14ac:dyDescent="0.35">
      <c r="A687" s="1">
        <v>46579</v>
      </c>
      <c r="B687" s="2">
        <v>46289</v>
      </c>
      <c r="C687" s="1" t="s">
        <v>17</v>
      </c>
      <c r="D687" s="1">
        <f>IFERROR(VLOOKUP(RIT_FUSIONS[[#This Row],[ID]],RIT_ACUM!A:A,1,0),"NOVO")</f>
        <v>46579</v>
      </c>
    </row>
    <row r="688" spans="1:4" hidden="1" x14ac:dyDescent="0.35">
      <c r="A688" s="1">
        <v>46578</v>
      </c>
      <c r="B688" s="2">
        <v>46289</v>
      </c>
      <c r="C688" s="1" t="s">
        <v>23</v>
      </c>
      <c r="D688" s="1">
        <f>IFERROR(VLOOKUP(RIT_FUSIONS[[#This Row],[ID]],RIT_ACUM!A:A,1,0),"NOVO")</f>
        <v>46578</v>
      </c>
    </row>
    <row r="689" spans="1:4" hidden="1" x14ac:dyDescent="0.35">
      <c r="A689" s="1">
        <v>46577</v>
      </c>
      <c r="B689" s="2">
        <v>46289</v>
      </c>
      <c r="C689" s="1" t="s">
        <v>23</v>
      </c>
      <c r="D689" s="1">
        <f>IFERROR(VLOOKUP(RIT_FUSIONS[[#This Row],[ID]],RIT_ACUM!A:A,1,0),"NOVO")</f>
        <v>46577</v>
      </c>
    </row>
    <row r="690" spans="1:4" hidden="1" x14ac:dyDescent="0.35">
      <c r="A690" s="1">
        <v>46576</v>
      </c>
      <c r="B690" s="2">
        <v>46289</v>
      </c>
      <c r="C690" s="1" t="s">
        <v>9</v>
      </c>
      <c r="D690" s="1">
        <f>IFERROR(VLOOKUP(RIT_FUSIONS[[#This Row],[ID]],RIT_ACUM!A:A,1,0),"NOVO")</f>
        <v>46576</v>
      </c>
    </row>
    <row r="691" spans="1:4" hidden="1" x14ac:dyDescent="0.35">
      <c r="A691" s="1">
        <v>46575</v>
      </c>
      <c r="B691" s="2">
        <v>46289</v>
      </c>
      <c r="C691" s="1" t="s">
        <v>17</v>
      </c>
      <c r="D691" s="1">
        <f>IFERROR(VLOOKUP(RIT_FUSIONS[[#This Row],[ID]],RIT_ACUM!A:A,1,0),"NOVO")</f>
        <v>46575</v>
      </c>
    </row>
    <row r="692" spans="1:4" hidden="1" x14ac:dyDescent="0.35">
      <c r="A692" s="1">
        <v>46574</v>
      </c>
      <c r="B692" s="2">
        <v>46289</v>
      </c>
      <c r="C692" s="1" t="s">
        <v>9</v>
      </c>
      <c r="D692" s="1">
        <f>IFERROR(VLOOKUP(RIT_FUSIONS[[#This Row],[ID]],RIT_ACUM!A:A,1,0),"NOVO")</f>
        <v>46574</v>
      </c>
    </row>
    <row r="693" spans="1:4" hidden="1" x14ac:dyDescent="0.35">
      <c r="A693" s="1">
        <v>46573</v>
      </c>
      <c r="B693" s="2">
        <v>46289</v>
      </c>
      <c r="C693" s="1" t="s">
        <v>9</v>
      </c>
      <c r="D693" s="1">
        <f>IFERROR(VLOOKUP(RIT_FUSIONS[[#This Row],[ID]],RIT_ACUM!A:A,1,0),"NOVO")</f>
        <v>46573</v>
      </c>
    </row>
    <row r="694" spans="1:4" hidden="1" x14ac:dyDescent="0.35">
      <c r="A694" s="1">
        <v>46571</v>
      </c>
      <c r="B694" s="2">
        <v>46289</v>
      </c>
      <c r="C694" s="1" t="s">
        <v>7</v>
      </c>
      <c r="D694" s="1">
        <f>IFERROR(VLOOKUP(RIT_FUSIONS[[#This Row],[ID]],RIT_ACUM!A:A,1,0),"NOVO")</f>
        <v>46571</v>
      </c>
    </row>
    <row r="695" spans="1:4" hidden="1" x14ac:dyDescent="0.35">
      <c r="A695" s="1">
        <v>46570</v>
      </c>
      <c r="B695" s="2">
        <v>46289</v>
      </c>
      <c r="C695" s="1" t="s">
        <v>4</v>
      </c>
      <c r="D695" s="1">
        <f>IFERROR(VLOOKUP(RIT_FUSIONS[[#This Row],[ID]],RIT_ACUM!A:A,1,0),"NOVO")</f>
        <v>46570</v>
      </c>
    </row>
    <row r="696" spans="1:4" hidden="1" x14ac:dyDescent="0.35">
      <c r="A696" s="1">
        <v>46569</v>
      </c>
      <c r="B696" s="2">
        <v>46289</v>
      </c>
      <c r="C696" s="1" t="s">
        <v>6</v>
      </c>
      <c r="D696" s="1">
        <f>IFERROR(VLOOKUP(RIT_FUSIONS[[#This Row],[ID]],RIT_ACUM!A:A,1,0),"NOVO")</f>
        <v>46569</v>
      </c>
    </row>
    <row r="697" spans="1:4" hidden="1" x14ac:dyDescent="0.35">
      <c r="A697" s="1">
        <v>46568</v>
      </c>
      <c r="B697" s="2">
        <v>46289</v>
      </c>
      <c r="C697" s="1" t="s">
        <v>6</v>
      </c>
      <c r="D697" s="1">
        <f>IFERROR(VLOOKUP(RIT_FUSIONS[[#This Row],[ID]],RIT_ACUM!A:A,1,0),"NOVO")</f>
        <v>46568</v>
      </c>
    </row>
    <row r="698" spans="1:4" hidden="1" x14ac:dyDescent="0.35">
      <c r="A698" s="1">
        <v>46567</v>
      </c>
      <c r="B698" s="2">
        <v>46289</v>
      </c>
      <c r="C698" s="1" t="s">
        <v>4</v>
      </c>
      <c r="D698" s="1">
        <f>IFERROR(VLOOKUP(RIT_FUSIONS[[#This Row],[ID]],RIT_ACUM!A:A,1,0),"NOVO")</f>
        <v>46567</v>
      </c>
    </row>
    <row r="699" spans="1:4" hidden="1" x14ac:dyDescent="0.35">
      <c r="A699" s="1">
        <v>46566</v>
      </c>
      <c r="B699" s="2">
        <v>46289</v>
      </c>
      <c r="C699" s="1" t="s">
        <v>10</v>
      </c>
      <c r="D699" s="1">
        <f>IFERROR(VLOOKUP(RIT_FUSIONS[[#This Row],[ID]],RIT_ACUM!A:A,1,0),"NOVO")</f>
        <v>46566</v>
      </c>
    </row>
    <row r="700" spans="1:4" hidden="1" x14ac:dyDescent="0.35">
      <c r="A700" s="1">
        <v>46565</v>
      </c>
      <c r="B700" s="2">
        <v>46289</v>
      </c>
      <c r="C700" s="1" t="s">
        <v>10</v>
      </c>
      <c r="D700" s="1">
        <f>IFERROR(VLOOKUP(RIT_FUSIONS[[#This Row],[ID]],RIT_ACUM!A:A,1,0),"NOVO")</f>
        <v>46565</v>
      </c>
    </row>
    <row r="701" spans="1:4" hidden="1" x14ac:dyDescent="0.35">
      <c r="A701" s="1">
        <v>46564</v>
      </c>
      <c r="B701" s="2">
        <v>46289</v>
      </c>
      <c r="C701" s="1" t="s">
        <v>3</v>
      </c>
      <c r="D701" s="1">
        <f>IFERROR(VLOOKUP(RIT_FUSIONS[[#This Row],[ID]],RIT_ACUM!A:A,1,0),"NOVO")</f>
        <v>46564</v>
      </c>
    </row>
    <row r="702" spans="1:4" hidden="1" x14ac:dyDescent="0.35">
      <c r="A702" s="1">
        <v>46563</v>
      </c>
      <c r="B702" s="2">
        <v>46289</v>
      </c>
      <c r="C702" s="1" t="s">
        <v>3</v>
      </c>
      <c r="D702" s="1">
        <f>IFERROR(VLOOKUP(RIT_FUSIONS[[#This Row],[ID]],RIT_ACUM!A:A,1,0),"NOVO")</f>
        <v>46563</v>
      </c>
    </row>
    <row r="703" spans="1:4" hidden="1" x14ac:dyDescent="0.35">
      <c r="A703" s="1">
        <v>46562</v>
      </c>
      <c r="B703" s="2">
        <v>46289</v>
      </c>
      <c r="C703" s="1" t="s">
        <v>3</v>
      </c>
      <c r="D703" s="1">
        <f>IFERROR(VLOOKUP(RIT_FUSIONS[[#This Row],[ID]],RIT_ACUM!A:A,1,0),"NOVO")</f>
        <v>46562</v>
      </c>
    </row>
    <row r="704" spans="1:4" hidden="1" x14ac:dyDescent="0.35">
      <c r="A704" s="1">
        <v>46561</v>
      </c>
      <c r="B704" s="2">
        <v>46289</v>
      </c>
      <c r="C704" s="1" t="s">
        <v>3</v>
      </c>
      <c r="D704" s="1">
        <f>IFERROR(VLOOKUP(RIT_FUSIONS[[#This Row],[ID]],RIT_ACUM!A:A,1,0),"NOVO")</f>
        <v>46561</v>
      </c>
    </row>
    <row r="705" spans="1:4" hidden="1" x14ac:dyDescent="0.35">
      <c r="A705" s="1">
        <v>46560</v>
      </c>
      <c r="B705" s="2">
        <v>46289</v>
      </c>
      <c r="C705" s="1" t="s">
        <v>3</v>
      </c>
      <c r="D705" s="1">
        <f>IFERROR(VLOOKUP(RIT_FUSIONS[[#This Row],[ID]],RIT_ACUM!A:A,1,0),"NOVO")</f>
        <v>46560</v>
      </c>
    </row>
    <row r="706" spans="1:4" hidden="1" x14ac:dyDescent="0.35">
      <c r="A706" s="1">
        <v>46559</v>
      </c>
      <c r="B706" s="2">
        <v>46289</v>
      </c>
      <c r="C706" s="1" t="s">
        <v>19</v>
      </c>
      <c r="D706" s="1">
        <f>IFERROR(VLOOKUP(RIT_FUSIONS[[#This Row],[ID]],RIT_ACUM!A:A,1,0),"NOVO")</f>
        <v>46559</v>
      </c>
    </row>
    <row r="707" spans="1:4" hidden="1" x14ac:dyDescent="0.35">
      <c r="A707" s="1">
        <v>46558</v>
      </c>
      <c r="B707" s="2">
        <v>46289</v>
      </c>
      <c r="C707" s="1" t="s">
        <v>19</v>
      </c>
      <c r="D707" s="1">
        <f>IFERROR(VLOOKUP(RIT_FUSIONS[[#This Row],[ID]],RIT_ACUM!A:A,1,0),"NOVO")</f>
        <v>46558</v>
      </c>
    </row>
    <row r="708" spans="1:4" hidden="1" x14ac:dyDescent="0.35">
      <c r="A708" s="1">
        <v>46557</v>
      </c>
      <c r="B708" s="2">
        <v>46289</v>
      </c>
      <c r="C708" s="1" t="s">
        <v>9</v>
      </c>
      <c r="D708" s="1">
        <f>IFERROR(VLOOKUP(RIT_FUSIONS[[#This Row],[ID]],RIT_ACUM!A:A,1,0),"NOVO")</f>
        <v>46557</v>
      </c>
    </row>
    <row r="709" spans="1:4" hidden="1" x14ac:dyDescent="0.35">
      <c r="A709" s="1">
        <v>46556</v>
      </c>
      <c r="B709" s="2">
        <v>46289</v>
      </c>
      <c r="C709" s="1" t="s">
        <v>9</v>
      </c>
      <c r="D709" s="1">
        <f>IFERROR(VLOOKUP(RIT_FUSIONS[[#This Row],[ID]],RIT_ACUM!A:A,1,0),"NOVO")</f>
        <v>46556</v>
      </c>
    </row>
    <row r="710" spans="1:4" hidden="1" x14ac:dyDescent="0.35">
      <c r="A710" s="1">
        <v>46555</v>
      </c>
      <c r="B710" s="2">
        <v>46289</v>
      </c>
      <c r="C710" s="1" t="s">
        <v>7</v>
      </c>
      <c r="D710" s="1">
        <f>IFERROR(VLOOKUP(RIT_FUSIONS[[#This Row],[ID]],RIT_ACUM!A:A,1,0),"NOVO")</f>
        <v>46555</v>
      </c>
    </row>
    <row r="711" spans="1:4" hidden="1" x14ac:dyDescent="0.35">
      <c r="A711" s="1">
        <v>46551</v>
      </c>
      <c r="B711" s="2">
        <v>46288</v>
      </c>
      <c r="C711" s="1" t="s">
        <v>10</v>
      </c>
      <c r="D711" s="1">
        <f>IFERROR(VLOOKUP(RIT_FUSIONS[[#This Row],[ID]],RIT_ACUM!A:A,1,0),"NOVO")</f>
        <v>46551</v>
      </c>
    </row>
    <row r="712" spans="1:4" hidden="1" x14ac:dyDescent="0.35">
      <c r="A712" s="1">
        <v>46550</v>
      </c>
      <c r="B712" s="2">
        <v>46288</v>
      </c>
      <c r="C712" s="1" t="s">
        <v>10</v>
      </c>
      <c r="D712" s="1">
        <f>IFERROR(VLOOKUP(RIT_FUSIONS[[#This Row],[ID]],RIT_ACUM!A:A,1,0),"NOVO")</f>
        <v>46550</v>
      </c>
    </row>
    <row r="713" spans="1:4" hidden="1" x14ac:dyDescent="0.35">
      <c r="A713" s="1">
        <v>46549</v>
      </c>
      <c r="B713" s="2">
        <v>46288</v>
      </c>
      <c r="C713" s="1" t="s">
        <v>11</v>
      </c>
      <c r="D713" s="1">
        <f>IFERROR(VLOOKUP(RIT_FUSIONS[[#This Row],[ID]],RIT_ACUM!A:A,1,0),"NOVO")</f>
        <v>46549</v>
      </c>
    </row>
    <row r="714" spans="1:4" hidden="1" x14ac:dyDescent="0.35">
      <c r="A714" s="1">
        <v>46548</v>
      </c>
      <c r="B714" s="2">
        <v>46288</v>
      </c>
      <c r="C714" s="1" t="s">
        <v>6</v>
      </c>
      <c r="D714" s="1">
        <f>IFERROR(VLOOKUP(RIT_FUSIONS[[#This Row],[ID]],RIT_ACUM!A:A,1,0),"NOVO")</f>
        <v>46548</v>
      </c>
    </row>
    <row r="715" spans="1:4" hidden="1" x14ac:dyDescent="0.35">
      <c r="A715" s="1">
        <v>46547</v>
      </c>
      <c r="B715" s="2">
        <v>46288</v>
      </c>
      <c r="C715" s="1" t="s">
        <v>6</v>
      </c>
      <c r="D715" s="1">
        <f>IFERROR(VLOOKUP(RIT_FUSIONS[[#This Row],[ID]],RIT_ACUM!A:A,1,0),"NOVO")</f>
        <v>46547</v>
      </c>
    </row>
    <row r="716" spans="1:4" hidden="1" x14ac:dyDescent="0.35">
      <c r="A716" s="1">
        <v>46546</v>
      </c>
      <c r="B716" s="2">
        <v>46288</v>
      </c>
      <c r="C716" s="1" t="s">
        <v>23</v>
      </c>
      <c r="D716" s="1">
        <f>IFERROR(VLOOKUP(RIT_FUSIONS[[#This Row],[ID]],RIT_ACUM!A:A,1,0),"NOVO")</f>
        <v>46546</v>
      </c>
    </row>
    <row r="717" spans="1:4" hidden="1" x14ac:dyDescent="0.35">
      <c r="A717" s="1">
        <v>46545</v>
      </c>
      <c r="B717" s="2">
        <v>46288</v>
      </c>
      <c r="C717" s="1" t="s">
        <v>23</v>
      </c>
      <c r="D717" s="1">
        <f>IFERROR(VLOOKUP(RIT_FUSIONS[[#This Row],[ID]],RIT_ACUM!A:A,1,0),"NOVO")</f>
        <v>46545</v>
      </c>
    </row>
    <row r="718" spans="1:4" hidden="1" x14ac:dyDescent="0.35">
      <c r="A718" s="1">
        <v>46544</v>
      </c>
      <c r="B718" s="2">
        <v>46288</v>
      </c>
      <c r="C718" s="1" t="s">
        <v>4</v>
      </c>
      <c r="D718" s="1">
        <f>IFERROR(VLOOKUP(RIT_FUSIONS[[#This Row],[ID]],RIT_ACUM!A:A,1,0),"NOVO")</f>
        <v>46544</v>
      </c>
    </row>
    <row r="719" spans="1:4" hidden="1" x14ac:dyDescent="0.35">
      <c r="A719" s="1">
        <v>46543</v>
      </c>
      <c r="B719" s="2">
        <v>46288</v>
      </c>
      <c r="C719" s="1" t="s">
        <v>4</v>
      </c>
      <c r="D719" s="1">
        <f>IFERROR(VLOOKUP(RIT_FUSIONS[[#This Row],[ID]],RIT_ACUM!A:A,1,0),"NOVO")</f>
        <v>46543</v>
      </c>
    </row>
    <row r="720" spans="1:4" hidden="1" x14ac:dyDescent="0.35">
      <c r="A720" s="1">
        <v>46542</v>
      </c>
      <c r="B720" s="2">
        <v>46288</v>
      </c>
      <c r="C720" s="1" t="s">
        <v>4</v>
      </c>
      <c r="D720" s="1">
        <f>IFERROR(VLOOKUP(RIT_FUSIONS[[#This Row],[ID]],RIT_ACUM!A:A,1,0),"NOVO")</f>
        <v>46542</v>
      </c>
    </row>
    <row r="721" spans="1:4" hidden="1" x14ac:dyDescent="0.35">
      <c r="A721" s="1">
        <v>46541</v>
      </c>
      <c r="B721" s="2">
        <v>46288</v>
      </c>
      <c r="C721" s="1" t="s">
        <v>17</v>
      </c>
      <c r="D721" s="1">
        <f>IFERROR(VLOOKUP(RIT_FUSIONS[[#This Row],[ID]],RIT_ACUM!A:A,1,0),"NOVO")</f>
        <v>46541</v>
      </c>
    </row>
    <row r="722" spans="1:4" hidden="1" x14ac:dyDescent="0.35">
      <c r="A722" s="1">
        <v>46540</v>
      </c>
      <c r="B722" s="2">
        <v>46288</v>
      </c>
      <c r="C722" s="1" t="s">
        <v>17</v>
      </c>
      <c r="D722" s="1">
        <f>IFERROR(VLOOKUP(RIT_FUSIONS[[#This Row],[ID]],RIT_ACUM!A:A,1,0),"NOVO")</f>
        <v>46540</v>
      </c>
    </row>
    <row r="723" spans="1:4" hidden="1" x14ac:dyDescent="0.35">
      <c r="A723" s="1">
        <v>46533</v>
      </c>
      <c r="B723" s="2">
        <v>46288</v>
      </c>
      <c r="C723" s="1" t="s">
        <v>3</v>
      </c>
      <c r="D723" s="1">
        <f>IFERROR(VLOOKUP(RIT_FUSIONS[[#This Row],[ID]],RIT_ACUM!A:A,1,0),"NOVO")</f>
        <v>46533</v>
      </c>
    </row>
    <row r="724" spans="1:4" hidden="1" x14ac:dyDescent="0.35">
      <c r="A724" s="1">
        <v>46531</v>
      </c>
      <c r="B724" s="2">
        <v>46288</v>
      </c>
      <c r="C724" s="1" t="s">
        <v>28</v>
      </c>
      <c r="D724" s="1">
        <f>IFERROR(VLOOKUP(RIT_FUSIONS[[#This Row],[ID]],RIT_ACUM!A:A,1,0),"NOVO")</f>
        <v>46531</v>
      </c>
    </row>
    <row r="725" spans="1:4" hidden="1" x14ac:dyDescent="0.35">
      <c r="A725" s="1">
        <v>46529</v>
      </c>
      <c r="B725" s="2">
        <v>46288</v>
      </c>
      <c r="C725" s="1" t="s">
        <v>3</v>
      </c>
      <c r="D725" s="1">
        <f>IFERROR(VLOOKUP(RIT_FUSIONS[[#This Row],[ID]],RIT_ACUM!A:A,1,0),"NOVO")</f>
        <v>46529</v>
      </c>
    </row>
    <row r="726" spans="1:4" hidden="1" x14ac:dyDescent="0.35">
      <c r="A726" s="1">
        <v>46528</v>
      </c>
      <c r="B726" s="2">
        <v>46288</v>
      </c>
      <c r="C726" s="1" t="s">
        <v>28</v>
      </c>
      <c r="D726" s="1">
        <f>IFERROR(VLOOKUP(RIT_FUSIONS[[#This Row],[ID]],RIT_ACUM!A:A,1,0),"NOVO")</f>
        <v>46528</v>
      </c>
    </row>
    <row r="727" spans="1:4" hidden="1" x14ac:dyDescent="0.35">
      <c r="A727" s="1">
        <v>46527</v>
      </c>
      <c r="B727" s="2">
        <v>46288</v>
      </c>
      <c r="C727" s="1" t="s">
        <v>28</v>
      </c>
      <c r="D727" s="1">
        <f>IFERROR(VLOOKUP(RIT_FUSIONS[[#This Row],[ID]],RIT_ACUM!A:A,1,0),"NOVO")</f>
        <v>46527</v>
      </c>
    </row>
    <row r="728" spans="1:4" hidden="1" x14ac:dyDescent="0.35">
      <c r="A728" s="1">
        <v>46526</v>
      </c>
      <c r="B728" s="2">
        <v>46288</v>
      </c>
      <c r="C728" s="1" t="s">
        <v>28</v>
      </c>
      <c r="D728" s="1">
        <f>IFERROR(VLOOKUP(RIT_FUSIONS[[#This Row],[ID]],RIT_ACUM!A:A,1,0),"NOVO")</f>
        <v>46526</v>
      </c>
    </row>
    <row r="729" spans="1:4" hidden="1" x14ac:dyDescent="0.35">
      <c r="A729" s="1">
        <v>46525</v>
      </c>
      <c r="B729" s="2">
        <v>46288</v>
      </c>
      <c r="C729" s="1" t="s">
        <v>28</v>
      </c>
      <c r="D729" s="1">
        <f>IFERROR(VLOOKUP(RIT_FUSIONS[[#This Row],[ID]],RIT_ACUM!A:A,1,0),"NOVO")</f>
        <v>46525</v>
      </c>
    </row>
    <row r="730" spans="1:4" hidden="1" x14ac:dyDescent="0.35">
      <c r="A730" s="1">
        <v>46524</v>
      </c>
      <c r="B730" s="2">
        <v>46288</v>
      </c>
      <c r="C730" s="1" t="s">
        <v>9</v>
      </c>
      <c r="D730" s="1">
        <f>IFERROR(VLOOKUP(RIT_FUSIONS[[#This Row],[ID]],RIT_ACUM!A:A,1,0),"NOVO")</f>
        <v>46524</v>
      </c>
    </row>
    <row r="731" spans="1:4" hidden="1" x14ac:dyDescent="0.35">
      <c r="A731" s="1">
        <v>46523</v>
      </c>
      <c r="B731" s="2">
        <v>46288</v>
      </c>
      <c r="C731" s="1" t="s">
        <v>9</v>
      </c>
      <c r="D731" s="1">
        <f>IFERROR(VLOOKUP(RIT_FUSIONS[[#This Row],[ID]],RIT_ACUM!A:A,1,0),"NOVO")</f>
        <v>46523</v>
      </c>
    </row>
    <row r="732" spans="1:4" hidden="1" x14ac:dyDescent="0.35">
      <c r="A732" s="1">
        <v>46522</v>
      </c>
      <c r="B732" s="2">
        <v>46288</v>
      </c>
      <c r="C732" s="1" t="s">
        <v>21</v>
      </c>
      <c r="D732" s="1">
        <f>IFERROR(VLOOKUP(RIT_FUSIONS[[#This Row],[ID]],RIT_ACUM!A:A,1,0),"NOVO")</f>
        <v>46522</v>
      </c>
    </row>
    <row r="733" spans="1:4" hidden="1" x14ac:dyDescent="0.35">
      <c r="A733" s="1">
        <v>46521</v>
      </c>
      <c r="B733" s="2">
        <v>46288</v>
      </c>
      <c r="C733" s="1" t="s">
        <v>21</v>
      </c>
      <c r="D733" s="1">
        <f>IFERROR(VLOOKUP(RIT_FUSIONS[[#This Row],[ID]],RIT_ACUM!A:A,1,0),"NOVO")</f>
        <v>46521</v>
      </c>
    </row>
    <row r="734" spans="1:4" hidden="1" x14ac:dyDescent="0.35">
      <c r="A734" s="1">
        <v>46519</v>
      </c>
      <c r="B734" s="2">
        <v>46288</v>
      </c>
      <c r="C734" s="1" t="s">
        <v>9</v>
      </c>
      <c r="D734" s="1">
        <f>IFERROR(VLOOKUP(RIT_FUSIONS[[#This Row],[ID]],RIT_ACUM!A:A,1,0),"NOVO")</f>
        <v>46519</v>
      </c>
    </row>
    <row r="735" spans="1:4" hidden="1" x14ac:dyDescent="0.35">
      <c r="A735" s="1">
        <v>46517</v>
      </c>
      <c r="B735" s="2">
        <v>46288</v>
      </c>
      <c r="C735" s="1" t="s">
        <v>19</v>
      </c>
      <c r="D735" s="1">
        <f>IFERROR(VLOOKUP(RIT_FUSIONS[[#This Row],[ID]],RIT_ACUM!A:A,1,0),"NOVO")</f>
        <v>46517</v>
      </c>
    </row>
    <row r="736" spans="1:4" hidden="1" x14ac:dyDescent="0.35">
      <c r="A736" s="1">
        <v>46516</v>
      </c>
      <c r="B736" s="2">
        <v>46288</v>
      </c>
      <c r="C736" s="1" t="s">
        <v>3</v>
      </c>
      <c r="D736" s="1">
        <f>IFERROR(VLOOKUP(RIT_FUSIONS[[#This Row],[ID]],RIT_ACUM!A:A,1,0),"NOVO")</f>
        <v>46516</v>
      </c>
    </row>
    <row r="737" spans="1:4" hidden="1" x14ac:dyDescent="0.35">
      <c r="A737" s="1">
        <v>46515</v>
      </c>
      <c r="B737" s="2">
        <v>46288</v>
      </c>
      <c r="C737" s="1" t="s">
        <v>21</v>
      </c>
      <c r="D737" s="1">
        <f>IFERROR(VLOOKUP(RIT_FUSIONS[[#This Row],[ID]],RIT_ACUM!A:A,1,0),"NOVO")</f>
        <v>46515</v>
      </c>
    </row>
    <row r="738" spans="1:4" hidden="1" x14ac:dyDescent="0.35">
      <c r="A738" s="1">
        <v>46514</v>
      </c>
      <c r="B738" s="2">
        <v>46288</v>
      </c>
      <c r="C738" s="1" t="s">
        <v>21</v>
      </c>
      <c r="D738" s="1">
        <f>IFERROR(VLOOKUP(RIT_FUSIONS[[#This Row],[ID]],RIT_ACUM!A:A,1,0),"NOVO")</f>
        <v>46514</v>
      </c>
    </row>
    <row r="739" spans="1:4" hidden="1" x14ac:dyDescent="0.35">
      <c r="A739" s="1">
        <v>46513</v>
      </c>
      <c r="B739" s="2">
        <v>46288</v>
      </c>
      <c r="C739" s="1" t="s">
        <v>3</v>
      </c>
      <c r="D739" s="1">
        <f>IFERROR(VLOOKUP(RIT_FUSIONS[[#This Row],[ID]],RIT_ACUM!A:A,1,0),"NOVO")</f>
        <v>46513</v>
      </c>
    </row>
    <row r="740" spans="1:4" hidden="1" x14ac:dyDescent="0.35">
      <c r="A740" s="1">
        <v>46512</v>
      </c>
      <c r="B740" s="2">
        <v>46288</v>
      </c>
      <c r="C740" s="1" t="s">
        <v>21</v>
      </c>
      <c r="D740" s="1">
        <f>IFERROR(VLOOKUP(RIT_FUSIONS[[#This Row],[ID]],RIT_ACUM!A:A,1,0),"NOVO")</f>
        <v>46512</v>
      </c>
    </row>
    <row r="741" spans="1:4" hidden="1" x14ac:dyDescent="0.35">
      <c r="A741" s="1">
        <v>46510</v>
      </c>
      <c r="B741" s="2">
        <v>46288</v>
      </c>
      <c r="C741" s="1" t="s">
        <v>8</v>
      </c>
      <c r="D741" s="1">
        <f>IFERROR(VLOOKUP(RIT_FUSIONS[[#This Row],[ID]],RIT_ACUM!A:A,1,0),"NOVO")</f>
        <v>46510</v>
      </c>
    </row>
    <row r="742" spans="1:4" hidden="1" x14ac:dyDescent="0.35">
      <c r="A742" s="1">
        <v>46509</v>
      </c>
      <c r="B742" s="2">
        <v>46288</v>
      </c>
      <c r="C742" s="1" t="s">
        <v>8</v>
      </c>
      <c r="D742" s="1">
        <f>IFERROR(VLOOKUP(RIT_FUSIONS[[#This Row],[ID]],RIT_ACUM!A:A,1,0),"NOVO")</f>
        <v>46509</v>
      </c>
    </row>
    <row r="743" spans="1:4" hidden="1" x14ac:dyDescent="0.35">
      <c r="A743" s="1">
        <v>46508</v>
      </c>
      <c r="B743" s="2">
        <v>46288</v>
      </c>
      <c r="C743" s="1" t="s">
        <v>19</v>
      </c>
      <c r="D743" s="1">
        <f>IFERROR(VLOOKUP(RIT_FUSIONS[[#This Row],[ID]],RIT_ACUM!A:A,1,0),"NOVO")</f>
        <v>46508</v>
      </c>
    </row>
    <row r="744" spans="1:4" hidden="1" x14ac:dyDescent="0.35">
      <c r="A744" s="1">
        <v>46503</v>
      </c>
      <c r="B744" s="2">
        <v>46287</v>
      </c>
      <c r="C744" s="1" t="s">
        <v>28</v>
      </c>
      <c r="D744" s="1">
        <f>IFERROR(VLOOKUP(RIT_FUSIONS[[#This Row],[ID]],RIT_ACUM!A:A,1,0),"NOVO")</f>
        <v>46503</v>
      </c>
    </row>
    <row r="745" spans="1:4" hidden="1" x14ac:dyDescent="0.35">
      <c r="A745" s="1">
        <v>46502</v>
      </c>
      <c r="B745" s="2">
        <v>46287</v>
      </c>
      <c r="C745" s="1" t="s">
        <v>28</v>
      </c>
      <c r="D745" s="1">
        <f>IFERROR(VLOOKUP(RIT_FUSIONS[[#This Row],[ID]],RIT_ACUM!A:A,1,0),"NOVO")</f>
        <v>46502</v>
      </c>
    </row>
    <row r="746" spans="1:4" hidden="1" x14ac:dyDescent="0.35">
      <c r="A746" s="1">
        <v>46501</v>
      </c>
      <c r="B746" s="2">
        <v>46287</v>
      </c>
      <c r="C746" s="1" t="s">
        <v>28</v>
      </c>
      <c r="D746" s="1">
        <f>IFERROR(VLOOKUP(RIT_FUSIONS[[#This Row],[ID]],RIT_ACUM!A:A,1,0),"NOVO")</f>
        <v>46501</v>
      </c>
    </row>
    <row r="747" spans="1:4" hidden="1" x14ac:dyDescent="0.35">
      <c r="A747" s="1">
        <v>46500</v>
      </c>
      <c r="B747" s="2">
        <v>46287</v>
      </c>
      <c r="C747" s="1" t="s">
        <v>28</v>
      </c>
      <c r="D747" s="1">
        <f>IFERROR(VLOOKUP(RIT_FUSIONS[[#This Row],[ID]],RIT_ACUM!A:A,1,0),"NOVO")</f>
        <v>46500</v>
      </c>
    </row>
    <row r="748" spans="1:4" hidden="1" x14ac:dyDescent="0.35">
      <c r="A748" s="1">
        <v>46499</v>
      </c>
      <c r="B748" s="2">
        <v>46287</v>
      </c>
      <c r="C748" s="1" t="s">
        <v>28</v>
      </c>
      <c r="D748" s="1">
        <f>IFERROR(VLOOKUP(RIT_FUSIONS[[#This Row],[ID]],RIT_ACUM!A:A,1,0),"NOVO")</f>
        <v>46499</v>
      </c>
    </row>
    <row r="749" spans="1:4" hidden="1" x14ac:dyDescent="0.35">
      <c r="A749" s="1">
        <v>46498</v>
      </c>
      <c r="B749" s="2">
        <v>46287</v>
      </c>
      <c r="C749" s="1" t="s">
        <v>28</v>
      </c>
      <c r="D749" s="1">
        <f>IFERROR(VLOOKUP(RIT_FUSIONS[[#This Row],[ID]],RIT_ACUM!A:A,1,0),"NOVO")</f>
        <v>46498</v>
      </c>
    </row>
    <row r="750" spans="1:4" hidden="1" x14ac:dyDescent="0.35">
      <c r="A750" s="1">
        <v>46497</v>
      </c>
      <c r="B750" s="2">
        <v>46287</v>
      </c>
      <c r="C750" s="1" t="s">
        <v>28</v>
      </c>
      <c r="D750" s="1">
        <f>IFERROR(VLOOKUP(RIT_FUSIONS[[#This Row],[ID]],RIT_ACUM!A:A,1,0),"NOVO")</f>
        <v>46497</v>
      </c>
    </row>
    <row r="751" spans="1:4" hidden="1" x14ac:dyDescent="0.35">
      <c r="A751" s="1">
        <v>46496</v>
      </c>
      <c r="B751" s="2">
        <v>46287</v>
      </c>
      <c r="C751" s="1" t="s">
        <v>28</v>
      </c>
      <c r="D751" s="1">
        <f>IFERROR(VLOOKUP(RIT_FUSIONS[[#This Row],[ID]],RIT_ACUM!A:A,1,0),"NOVO")</f>
        <v>46496</v>
      </c>
    </row>
    <row r="752" spans="1:4" hidden="1" x14ac:dyDescent="0.35">
      <c r="A752" s="1">
        <v>46495</v>
      </c>
      <c r="B752" s="2">
        <v>46287</v>
      </c>
      <c r="C752" s="1" t="s">
        <v>28</v>
      </c>
      <c r="D752" s="1">
        <f>IFERROR(VLOOKUP(RIT_FUSIONS[[#This Row],[ID]],RIT_ACUM!A:A,1,0),"NOVO")</f>
        <v>46495</v>
      </c>
    </row>
    <row r="753" spans="1:4" hidden="1" x14ac:dyDescent="0.35">
      <c r="A753" s="1">
        <v>46494</v>
      </c>
      <c r="B753" s="2">
        <v>46287</v>
      </c>
      <c r="C753" s="1" t="s">
        <v>28</v>
      </c>
      <c r="D753" s="1">
        <f>IFERROR(VLOOKUP(RIT_FUSIONS[[#This Row],[ID]],RIT_ACUM!A:A,1,0),"NOVO")</f>
        <v>46494</v>
      </c>
    </row>
    <row r="754" spans="1:4" hidden="1" x14ac:dyDescent="0.35">
      <c r="A754" s="1">
        <v>46493</v>
      </c>
      <c r="B754" s="2">
        <v>46287</v>
      </c>
      <c r="C754" s="1" t="s">
        <v>28</v>
      </c>
      <c r="D754" s="1">
        <f>IFERROR(VLOOKUP(RIT_FUSIONS[[#This Row],[ID]],RIT_ACUM!A:A,1,0),"NOVO")</f>
        <v>46493</v>
      </c>
    </row>
    <row r="755" spans="1:4" hidden="1" x14ac:dyDescent="0.35">
      <c r="A755" s="1">
        <v>46492</v>
      </c>
      <c r="B755" s="2">
        <v>46287</v>
      </c>
      <c r="C755" s="1" t="s">
        <v>28</v>
      </c>
      <c r="D755" s="1">
        <f>IFERROR(VLOOKUP(RIT_FUSIONS[[#This Row],[ID]],RIT_ACUM!A:A,1,0),"NOVO")</f>
        <v>46492</v>
      </c>
    </row>
    <row r="756" spans="1:4" hidden="1" x14ac:dyDescent="0.35">
      <c r="A756" s="1">
        <v>46491</v>
      </c>
      <c r="B756" s="2">
        <v>46287</v>
      </c>
      <c r="C756" s="1" t="s">
        <v>28</v>
      </c>
      <c r="D756" s="1">
        <f>IFERROR(VLOOKUP(RIT_FUSIONS[[#This Row],[ID]],RIT_ACUM!A:A,1,0),"NOVO")</f>
        <v>46491</v>
      </c>
    </row>
    <row r="757" spans="1:4" hidden="1" x14ac:dyDescent="0.35">
      <c r="A757" s="1">
        <v>46487</v>
      </c>
      <c r="B757" s="2">
        <v>46287</v>
      </c>
      <c r="C757" s="1" t="s">
        <v>23</v>
      </c>
      <c r="D757" s="1">
        <f>IFERROR(VLOOKUP(RIT_FUSIONS[[#This Row],[ID]],RIT_ACUM!A:A,1,0),"NOVO")</f>
        <v>46487</v>
      </c>
    </row>
    <row r="758" spans="1:4" hidden="1" x14ac:dyDescent="0.35">
      <c r="A758" s="1">
        <v>46486</v>
      </c>
      <c r="B758" s="2">
        <v>46287</v>
      </c>
      <c r="C758" s="1" t="s">
        <v>23</v>
      </c>
      <c r="D758" s="1">
        <f>IFERROR(VLOOKUP(RIT_FUSIONS[[#This Row],[ID]],RIT_ACUM!A:A,1,0),"NOVO")</f>
        <v>46486</v>
      </c>
    </row>
    <row r="759" spans="1:4" hidden="1" x14ac:dyDescent="0.35">
      <c r="A759" s="1">
        <v>46484</v>
      </c>
      <c r="B759" s="2">
        <v>46287</v>
      </c>
      <c r="C759" s="1" t="s">
        <v>9</v>
      </c>
      <c r="D759" s="1">
        <f>IFERROR(VLOOKUP(RIT_FUSIONS[[#This Row],[ID]],RIT_ACUM!A:A,1,0),"NOVO")</f>
        <v>46484</v>
      </c>
    </row>
    <row r="760" spans="1:4" hidden="1" x14ac:dyDescent="0.35">
      <c r="A760" s="1">
        <v>46483</v>
      </c>
      <c r="B760" s="2">
        <v>46287</v>
      </c>
      <c r="C760" s="1" t="s">
        <v>22</v>
      </c>
      <c r="D760" s="1">
        <f>IFERROR(VLOOKUP(RIT_FUSIONS[[#This Row],[ID]],RIT_ACUM!A:A,1,0),"NOVO")</f>
        <v>46483</v>
      </c>
    </row>
    <row r="761" spans="1:4" hidden="1" x14ac:dyDescent="0.35">
      <c r="A761" s="1">
        <v>46482</v>
      </c>
      <c r="B761" s="2">
        <v>46287</v>
      </c>
      <c r="C761" s="1" t="s">
        <v>22</v>
      </c>
      <c r="D761" s="1">
        <f>IFERROR(VLOOKUP(RIT_FUSIONS[[#This Row],[ID]],RIT_ACUM!A:A,1,0),"NOVO")</f>
        <v>46482</v>
      </c>
    </row>
    <row r="762" spans="1:4" hidden="1" x14ac:dyDescent="0.35">
      <c r="A762" s="1">
        <v>46481</v>
      </c>
      <c r="B762" s="2">
        <v>46287</v>
      </c>
      <c r="C762" s="1" t="s">
        <v>9</v>
      </c>
      <c r="D762" s="1">
        <f>IFERROR(VLOOKUP(RIT_FUSIONS[[#This Row],[ID]],RIT_ACUM!A:A,1,0),"NOVO")</f>
        <v>46481</v>
      </c>
    </row>
    <row r="763" spans="1:4" hidden="1" x14ac:dyDescent="0.35">
      <c r="A763" s="1">
        <v>46480</v>
      </c>
      <c r="B763" s="2">
        <v>46287</v>
      </c>
      <c r="C763" s="1" t="s">
        <v>3</v>
      </c>
      <c r="D763" s="1">
        <f>IFERROR(VLOOKUP(RIT_FUSIONS[[#This Row],[ID]],RIT_ACUM!A:A,1,0),"NOVO")</f>
        <v>46480</v>
      </c>
    </row>
    <row r="764" spans="1:4" hidden="1" x14ac:dyDescent="0.35">
      <c r="A764" s="1">
        <v>46479</v>
      </c>
      <c r="B764" s="2">
        <v>46287</v>
      </c>
      <c r="C764" s="1" t="s">
        <v>22</v>
      </c>
      <c r="D764" s="1">
        <f>IFERROR(VLOOKUP(RIT_FUSIONS[[#This Row],[ID]],RIT_ACUM!A:A,1,0),"NOVO")</f>
        <v>46479</v>
      </c>
    </row>
    <row r="765" spans="1:4" hidden="1" x14ac:dyDescent="0.35">
      <c r="A765" s="1">
        <v>46478</v>
      </c>
      <c r="B765" s="2">
        <v>46287</v>
      </c>
      <c r="C765" s="1" t="s">
        <v>3</v>
      </c>
      <c r="D765" s="1">
        <f>IFERROR(VLOOKUP(RIT_FUSIONS[[#This Row],[ID]],RIT_ACUM!A:A,1,0),"NOVO")</f>
        <v>46478</v>
      </c>
    </row>
    <row r="766" spans="1:4" hidden="1" x14ac:dyDescent="0.35">
      <c r="A766" s="1">
        <v>46477</v>
      </c>
      <c r="B766" s="2">
        <v>46287</v>
      </c>
      <c r="C766" s="1" t="s">
        <v>9</v>
      </c>
      <c r="D766" s="1">
        <f>IFERROR(VLOOKUP(RIT_FUSIONS[[#This Row],[ID]],RIT_ACUM!A:A,1,0),"NOVO")</f>
        <v>46477</v>
      </c>
    </row>
    <row r="767" spans="1:4" hidden="1" x14ac:dyDescent="0.35">
      <c r="A767" s="1">
        <v>46476</v>
      </c>
      <c r="B767" s="2">
        <v>46287</v>
      </c>
      <c r="C767" s="1" t="s">
        <v>22</v>
      </c>
      <c r="D767" s="1">
        <f>IFERROR(VLOOKUP(RIT_FUSIONS[[#This Row],[ID]],RIT_ACUM!A:A,1,0),"NOVO")</f>
        <v>46476</v>
      </c>
    </row>
    <row r="768" spans="1:4" hidden="1" x14ac:dyDescent="0.35">
      <c r="A768" s="1">
        <v>46475</v>
      </c>
      <c r="B768" s="2">
        <v>46287</v>
      </c>
      <c r="C768" s="1" t="s">
        <v>22</v>
      </c>
      <c r="D768" s="1">
        <f>IFERROR(VLOOKUP(RIT_FUSIONS[[#This Row],[ID]],RIT_ACUM!A:A,1,0),"NOVO")</f>
        <v>46475</v>
      </c>
    </row>
    <row r="769" spans="1:4" hidden="1" x14ac:dyDescent="0.35">
      <c r="A769" s="1">
        <v>46474</v>
      </c>
      <c r="B769" s="2">
        <v>46287</v>
      </c>
      <c r="C769" s="1" t="s">
        <v>22</v>
      </c>
      <c r="D769" s="1">
        <f>IFERROR(VLOOKUP(RIT_FUSIONS[[#This Row],[ID]],RIT_ACUM!A:A,1,0),"NOVO")</f>
        <v>46474</v>
      </c>
    </row>
    <row r="770" spans="1:4" hidden="1" x14ac:dyDescent="0.35">
      <c r="A770" s="1">
        <v>46473</v>
      </c>
      <c r="B770" s="2">
        <v>46287</v>
      </c>
      <c r="C770" s="1" t="s">
        <v>22</v>
      </c>
      <c r="D770" s="1">
        <f>IFERROR(VLOOKUP(RIT_FUSIONS[[#This Row],[ID]],RIT_ACUM!A:A,1,0),"NOVO")</f>
        <v>46473</v>
      </c>
    </row>
    <row r="771" spans="1:4" hidden="1" x14ac:dyDescent="0.35">
      <c r="A771" s="1">
        <v>46472</v>
      </c>
      <c r="B771" s="2">
        <v>46287</v>
      </c>
      <c r="C771" s="1" t="s">
        <v>22</v>
      </c>
      <c r="D771" s="1">
        <f>IFERROR(VLOOKUP(RIT_FUSIONS[[#This Row],[ID]],RIT_ACUM!A:A,1,0),"NOVO")</f>
        <v>46472</v>
      </c>
    </row>
    <row r="772" spans="1:4" hidden="1" x14ac:dyDescent="0.35">
      <c r="A772" s="1">
        <v>46471</v>
      </c>
      <c r="B772" s="2">
        <v>46287</v>
      </c>
      <c r="C772" s="1" t="s">
        <v>22</v>
      </c>
      <c r="D772" s="1">
        <f>IFERROR(VLOOKUP(RIT_FUSIONS[[#This Row],[ID]],RIT_ACUM!A:A,1,0),"NOVO")</f>
        <v>46471</v>
      </c>
    </row>
    <row r="773" spans="1:4" hidden="1" x14ac:dyDescent="0.35">
      <c r="A773" s="1">
        <v>46470</v>
      </c>
      <c r="B773" s="2">
        <v>46287</v>
      </c>
      <c r="C773" s="1" t="s">
        <v>22</v>
      </c>
      <c r="D773" s="1">
        <f>IFERROR(VLOOKUP(RIT_FUSIONS[[#This Row],[ID]],RIT_ACUM!A:A,1,0),"NOVO")</f>
        <v>46470</v>
      </c>
    </row>
    <row r="774" spans="1:4" hidden="1" x14ac:dyDescent="0.35">
      <c r="A774" s="1">
        <v>46469</v>
      </c>
      <c r="B774" s="2">
        <v>46287</v>
      </c>
      <c r="C774" s="1" t="s">
        <v>22</v>
      </c>
      <c r="D774" s="1">
        <f>IFERROR(VLOOKUP(RIT_FUSIONS[[#This Row],[ID]],RIT_ACUM!A:A,1,0),"NOVO")</f>
        <v>46469</v>
      </c>
    </row>
    <row r="775" spans="1:4" hidden="1" x14ac:dyDescent="0.35">
      <c r="A775" s="1">
        <v>46468</v>
      </c>
      <c r="B775" s="2">
        <v>46287</v>
      </c>
      <c r="C775" s="1" t="s">
        <v>22</v>
      </c>
      <c r="D775" s="1">
        <f>IFERROR(VLOOKUP(RIT_FUSIONS[[#This Row],[ID]],RIT_ACUM!A:A,1,0),"NOVO")</f>
        <v>46468</v>
      </c>
    </row>
    <row r="776" spans="1:4" hidden="1" x14ac:dyDescent="0.35">
      <c r="A776" s="1">
        <v>46467</v>
      </c>
      <c r="B776" s="2">
        <v>46287</v>
      </c>
      <c r="C776" s="1" t="s">
        <v>22</v>
      </c>
      <c r="D776" s="1">
        <f>IFERROR(VLOOKUP(RIT_FUSIONS[[#This Row],[ID]],RIT_ACUM!A:A,1,0),"NOVO")</f>
        <v>46467</v>
      </c>
    </row>
    <row r="777" spans="1:4" hidden="1" x14ac:dyDescent="0.35">
      <c r="A777" s="1">
        <v>46466</v>
      </c>
      <c r="B777" s="2">
        <v>46287</v>
      </c>
      <c r="C777" s="1" t="s">
        <v>22</v>
      </c>
      <c r="D777" s="1">
        <f>IFERROR(VLOOKUP(RIT_FUSIONS[[#This Row],[ID]],RIT_ACUM!A:A,1,0),"NOVO")</f>
        <v>46466</v>
      </c>
    </row>
    <row r="778" spans="1:4" hidden="1" x14ac:dyDescent="0.35">
      <c r="A778" s="1">
        <v>46464</v>
      </c>
      <c r="B778" s="2">
        <v>46287</v>
      </c>
      <c r="C778" s="1" t="s">
        <v>22</v>
      </c>
      <c r="D778" s="1">
        <f>IFERROR(VLOOKUP(RIT_FUSIONS[[#This Row],[ID]],RIT_ACUM!A:A,1,0),"NOVO")</f>
        <v>46464</v>
      </c>
    </row>
    <row r="779" spans="1:4" hidden="1" x14ac:dyDescent="0.35">
      <c r="A779" s="1">
        <v>46463</v>
      </c>
      <c r="B779" s="2">
        <v>46287</v>
      </c>
      <c r="C779" s="1" t="s">
        <v>22</v>
      </c>
      <c r="D779" s="1">
        <f>IFERROR(VLOOKUP(RIT_FUSIONS[[#This Row],[ID]],RIT_ACUM!A:A,1,0),"NOVO")</f>
        <v>46463</v>
      </c>
    </row>
    <row r="780" spans="1:4" hidden="1" x14ac:dyDescent="0.35">
      <c r="A780" s="1">
        <v>46462</v>
      </c>
      <c r="B780" s="2">
        <v>46287</v>
      </c>
      <c r="C780" s="1" t="s">
        <v>22</v>
      </c>
      <c r="D780" s="1">
        <f>IFERROR(VLOOKUP(RIT_FUSIONS[[#This Row],[ID]],RIT_ACUM!A:A,1,0),"NOVO")</f>
        <v>46462</v>
      </c>
    </row>
    <row r="781" spans="1:4" hidden="1" x14ac:dyDescent="0.35">
      <c r="A781" s="1">
        <v>46461</v>
      </c>
      <c r="B781" s="2">
        <v>46287</v>
      </c>
      <c r="C781" s="1" t="s">
        <v>22</v>
      </c>
      <c r="D781" s="1">
        <f>IFERROR(VLOOKUP(RIT_FUSIONS[[#This Row],[ID]],RIT_ACUM!A:A,1,0),"NOVO")</f>
        <v>46461</v>
      </c>
    </row>
    <row r="782" spans="1:4" hidden="1" x14ac:dyDescent="0.35">
      <c r="A782" s="1">
        <v>46460</v>
      </c>
      <c r="B782" s="2">
        <v>46287</v>
      </c>
      <c r="C782" s="1" t="s">
        <v>22</v>
      </c>
      <c r="D782" s="1">
        <f>IFERROR(VLOOKUP(RIT_FUSIONS[[#This Row],[ID]],RIT_ACUM!A:A,1,0),"NOVO")</f>
        <v>46460</v>
      </c>
    </row>
    <row r="783" spans="1:4" hidden="1" x14ac:dyDescent="0.35">
      <c r="A783" s="1">
        <v>46459</v>
      </c>
      <c r="B783" s="2">
        <v>46287</v>
      </c>
      <c r="C783" s="1" t="s">
        <v>22</v>
      </c>
      <c r="D783" s="1">
        <f>IFERROR(VLOOKUP(RIT_FUSIONS[[#This Row],[ID]],RIT_ACUM!A:A,1,0),"NOVO")</f>
        <v>46459</v>
      </c>
    </row>
    <row r="784" spans="1:4" hidden="1" x14ac:dyDescent="0.35">
      <c r="A784" s="1">
        <v>46458</v>
      </c>
      <c r="B784" s="2">
        <v>46287</v>
      </c>
      <c r="C784" s="1" t="s">
        <v>22</v>
      </c>
      <c r="D784" s="1">
        <f>IFERROR(VLOOKUP(RIT_FUSIONS[[#This Row],[ID]],RIT_ACUM!A:A,1,0),"NOVO")</f>
        <v>46458</v>
      </c>
    </row>
    <row r="785" spans="1:4" hidden="1" x14ac:dyDescent="0.35">
      <c r="A785" s="1">
        <v>46457</v>
      </c>
      <c r="B785" s="2">
        <v>46287</v>
      </c>
      <c r="C785" s="1" t="s">
        <v>22</v>
      </c>
      <c r="D785" s="1">
        <f>IFERROR(VLOOKUP(RIT_FUSIONS[[#This Row],[ID]],RIT_ACUM!A:A,1,0),"NOVO")</f>
        <v>46457</v>
      </c>
    </row>
    <row r="786" spans="1:4" hidden="1" x14ac:dyDescent="0.35">
      <c r="A786" s="1">
        <v>46456</v>
      </c>
      <c r="B786" s="2">
        <v>46287</v>
      </c>
      <c r="C786" s="1" t="s">
        <v>22</v>
      </c>
      <c r="D786" s="1">
        <f>IFERROR(VLOOKUP(RIT_FUSIONS[[#This Row],[ID]],RIT_ACUM!A:A,1,0),"NOVO")</f>
        <v>46456</v>
      </c>
    </row>
    <row r="787" spans="1:4" hidden="1" x14ac:dyDescent="0.35">
      <c r="A787" s="1">
        <v>46452</v>
      </c>
      <c r="B787" s="2">
        <v>46287</v>
      </c>
      <c r="C787" s="1" t="s">
        <v>7</v>
      </c>
      <c r="D787" s="1">
        <f>IFERROR(VLOOKUP(RIT_FUSIONS[[#This Row],[ID]],RIT_ACUM!A:A,1,0),"NOVO")</f>
        <v>46452</v>
      </c>
    </row>
    <row r="788" spans="1:4" hidden="1" x14ac:dyDescent="0.35">
      <c r="A788" s="1">
        <v>46446</v>
      </c>
      <c r="B788" s="2">
        <v>46287</v>
      </c>
      <c r="C788" s="1" t="s">
        <v>10</v>
      </c>
      <c r="D788" s="1">
        <f>IFERROR(VLOOKUP(RIT_FUSIONS[[#This Row],[ID]],RIT_ACUM!A:A,1,0),"NOVO")</f>
        <v>46446</v>
      </c>
    </row>
    <row r="789" spans="1:4" hidden="1" x14ac:dyDescent="0.35">
      <c r="A789" s="1">
        <v>46445</v>
      </c>
      <c r="B789" s="2">
        <v>46287</v>
      </c>
      <c r="C789" s="1" t="s">
        <v>10</v>
      </c>
      <c r="D789" s="1">
        <f>IFERROR(VLOOKUP(RIT_FUSIONS[[#This Row],[ID]],RIT_ACUM!A:A,1,0),"NOVO")</f>
        <v>46445</v>
      </c>
    </row>
    <row r="790" spans="1:4" hidden="1" x14ac:dyDescent="0.35">
      <c r="A790" s="1">
        <v>46443</v>
      </c>
      <c r="B790" s="2">
        <v>46287</v>
      </c>
      <c r="C790" s="1" t="s">
        <v>3</v>
      </c>
      <c r="D790" s="1">
        <f>IFERROR(VLOOKUP(RIT_FUSIONS[[#This Row],[ID]],RIT_ACUM!A:A,1,0),"NOVO")</f>
        <v>46443</v>
      </c>
    </row>
    <row r="791" spans="1:4" hidden="1" x14ac:dyDescent="0.35">
      <c r="A791" s="1">
        <v>46438</v>
      </c>
      <c r="B791" s="2">
        <v>46287</v>
      </c>
      <c r="C791" s="1" t="s">
        <v>6</v>
      </c>
      <c r="D791" s="1">
        <f>IFERROR(VLOOKUP(RIT_FUSIONS[[#This Row],[ID]],RIT_ACUM!A:A,1,0),"NOVO")</f>
        <v>46438</v>
      </c>
    </row>
    <row r="792" spans="1:4" hidden="1" x14ac:dyDescent="0.35">
      <c r="A792" s="1">
        <v>46437</v>
      </c>
      <c r="B792" s="2">
        <v>46287</v>
      </c>
      <c r="C792" s="1" t="s">
        <v>6</v>
      </c>
      <c r="D792" s="1">
        <f>IFERROR(VLOOKUP(RIT_FUSIONS[[#This Row],[ID]],RIT_ACUM!A:A,1,0),"NOVO")</f>
        <v>46437</v>
      </c>
    </row>
    <row r="793" spans="1:4" hidden="1" x14ac:dyDescent="0.35">
      <c r="A793" s="1">
        <v>46435</v>
      </c>
      <c r="B793" s="2">
        <v>46287</v>
      </c>
      <c r="C793" s="1" t="s">
        <v>3</v>
      </c>
      <c r="D793" s="1">
        <f>IFERROR(VLOOKUP(RIT_FUSIONS[[#This Row],[ID]],RIT_ACUM!A:A,1,0),"NOVO")</f>
        <v>46435</v>
      </c>
    </row>
    <row r="794" spans="1:4" hidden="1" x14ac:dyDescent="0.35">
      <c r="A794" s="1">
        <v>46433</v>
      </c>
      <c r="B794" s="2">
        <v>46287</v>
      </c>
      <c r="C794" s="1" t="s">
        <v>8</v>
      </c>
      <c r="D794" s="1">
        <f>IFERROR(VLOOKUP(RIT_FUSIONS[[#This Row],[ID]],RIT_ACUM!A:A,1,0),"NOVO")</f>
        <v>46433</v>
      </c>
    </row>
    <row r="795" spans="1:4" hidden="1" x14ac:dyDescent="0.35">
      <c r="A795" s="1">
        <v>46432</v>
      </c>
      <c r="B795" s="2">
        <v>46287</v>
      </c>
      <c r="C795" s="1" t="s">
        <v>19</v>
      </c>
      <c r="D795" s="1">
        <f>IFERROR(VLOOKUP(RIT_FUSIONS[[#This Row],[ID]],RIT_ACUM!A:A,1,0),"NOVO")</f>
        <v>46432</v>
      </c>
    </row>
    <row r="796" spans="1:4" hidden="1" x14ac:dyDescent="0.35">
      <c r="A796" s="1">
        <v>46431</v>
      </c>
      <c r="B796" s="2">
        <v>46287</v>
      </c>
      <c r="C796" s="1" t="s">
        <v>8</v>
      </c>
      <c r="D796" s="1">
        <f>IFERROR(VLOOKUP(RIT_FUSIONS[[#This Row],[ID]],RIT_ACUM!A:A,1,0),"NOVO")</f>
        <v>46431</v>
      </c>
    </row>
    <row r="797" spans="1:4" hidden="1" x14ac:dyDescent="0.35">
      <c r="A797" s="1">
        <v>46429</v>
      </c>
      <c r="B797" s="2">
        <v>46287</v>
      </c>
      <c r="C797" s="1" t="s">
        <v>3</v>
      </c>
      <c r="D797" s="1">
        <f>IFERROR(VLOOKUP(RIT_FUSIONS[[#This Row],[ID]],RIT_ACUM!A:A,1,0),"NOVO")</f>
        <v>46429</v>
      </c>
    </row>
    <row r="798" spans="1:4" hidden="1" x14ac:dyDescent="0.35">
      <c r="A798" s="1">
        <v>46428</v>
      </c>
      <c r="B798" s="2">
        <v>46287</v>
      </c>
      <c r="C798" s="1" t="s">
        <v>9</v>
      </c>
      <c r="D798" s="1">
        <f>IFERROR(VLOOKUP(RIT_FUSIONS[[#This Row],[ID]],RIT_ACUM!A:A,1,0),"NOVO")</f>
        <v>46428</v>
      </c>
    </row>
    <row r="799" spans="1:4" hidden="1" x14ac:dyDescent="0.35">
      <c r="A799" s="1">
        <v>46427</v>
      </c>
      <c r="B799" s="2">
        <v>46287</v>
      </c>
      <c r="C799" s="1" t="s">
        <v>4</v>
      </c>
      <c r="D799" s="1">
        <f>IFERROR(VLOOKUP(RIT_FUSIONS[[#This Row],[ID]],RIT_ACUM!A:A,1,0),"NOVO")</f>
        <v>46427</v>
      </c>
    </row>
    <row r="800" spans="1:4" hidden="1" x14ac:dyDescent="0.35">
      <c r="A800" s="1">
        <v>46426</v>
      </c>
      <c r="B800" s="2">
        <v>46287</v>
      </c>
      <c r="C800" s="1" t="s">
        <v>19</v>
      </c>
      <c r="D800" s="1">
        <f>IFERROR(VLOOKUP(RIT_FUSIONS[[#This Row],[ID]],RIT_ACUM!A:A,1,0),"NOVO")</f>
        <v>46426</v>
      </c>
    </row>
    <row r="801" spans="1:4" hidden="1" x14ac:dyDescent="0.35">
      <c r="A801" s="1">
        <v>46425</v>
      </c>
      <c r="B801" s="2">
        <v>46287</v>
      </c>
      <c r="C801" s="1" t="s">
        <v>19</v>
      </c>
      <c r="D801" s="1">
        <f>IFERROR(VLOOKUP(RIT_FUSIONS[[#This Row],[ID]],RIT_ACUM!A:A,1,0),"NOVO")</f>
        <v>46425</v>
      </c>
    </row>
    <row r="802" spans="1:4" hidden="1" x14ac:dyDescent="0.35">
      <c r="A802" s="1">
        <v>46424</v>
      </c>
      <c r="B802" s="2">
        <v>46287</v>
      </c>
      <c r="C802" s="1" t="s">
        <v>9</v>
      </c>
      <c r="D802" s="1">
        <f>IFERROR(VLOOKUP(RIT_FUSIONS[[#This Row],[ID]],RIT_ACUM!A:A,1,0),"NOVO")</f>
        <v>46424</v>
      </c>
    </row>
    <row r="803" spans="1:4" hidden="1" x14ac:dyDescent="0.35">
      <c r="A803" s="1">
        <v>46423</v>
      </c>
      <c r="B803" s="2">
        <v>46287</v>
      </c>
      <c r="C803" s="1" t="s">
        <v>4</v>
      </c>
      <c r="D803" s="1">
        <f>IFERROR(VLOOKUP(RIT_FUSIONS[[#This Row],[ID]],RIT_ACUM!A:A,1,0),"NOVO")</f>
        <v>46423</v>
      </c>
    </row>
    <row r="804" spans="1:4" hidden="1" x14ac:dyDescent="0.35">
      <c r="A804" s="1">
        <v>46421</v>
      </c>
      <c r="B804" s="2">
        <v>46287</v>
      </c>
      <c r="C804" s="1" t="s">
        <v>19</v>
      </c>
      <c r="D804" s="1">
        <f>IFERROR(VLOOKUP(RIT_FUSIONS[[#This Row],[ID]],RIT_ACUM!A:A,1,0),"NOVO")</f>
        <v>46421</v>
      </c>
    </row>
    <row r="805" spans="1:4" hidden="1" x14ac:dyDescent="0.35">
      <c r="A805" s="1">
        <v>46420</v>
      </c>
      <c r="B805" s="2">
        <v>46287</v>
      </c>
      <c r="C805" s="1" t="s">
        <v>3</v>
      </c>
      <c r="D805" s="1">
        <f>IFERROR(VLOOKUP(RIT_FUSIONS[[#This Row],[ID]],RIT_ACUM!A:A,1,0),"NOVO")</f>
        <v>46420</v>
      </c>
    </row>
    <row r="806" spans="1:4" hidden="1" x14ac:dyDescent="0.35">
      <c r="A806" s="1">
        <v>46419</v>
      </c>
      <c r="B806" s="2">
        <v>46286</v>
      </c>
      <c r="C806" s="1" t="s">
        <v>10</v>
      </c>
      <c r="D806" s="1">
        <f>IFERROR(VLOOKUP(RIT_FUSIONS[[#This Row],[ID]],RIT_ACUM!A:A,1,0),"NOVO")</f>
        <v>46419</v>
      </c>
    </row>
    <row r="807" spans="1:4" hidden="1" x14ac:dyDescent="0.35">
      <c r="A807" s="1">
        <v>46418</v>
      </c>
      <c r="B807" s="2">
        <v>46286</v>
      </c>
      <c r="C807" s="1" t="s">
        <v>10</v>
      </c>
      <c r="D807" s="1">
        <f>IFERROR(VLOOKUP(RIT_FUSIONS[[#This Row],[ID]],RIT_ACUM!A:A,1,0),"NOVO")</f>
        <v>46418</v>
      </c>
    </row>
    <row r="808" spans="1:4" hidden="1" x14ac:dyDescent="0.35">
      <c r="A808" s="1">
        <v>46417</v>
      </c>
      <c r="B808" s="2">
        <v>46286</v>
      </c>
      <c r="C808" s="1" t="s">
        <v>11</v>
      </c>
      <c r="D808" s="1">
        <f>IFERROR(VLOOKUP(RIT_FUSIONS[[#This Row],[ID]],RIT_ACUM!A:A,1,0),"NOVO")</f>
        <v>46417</v>
      </c>
    </row>
    <row r="809" spans="1:4" hidden="1" x14ac:dyDescent="0.35">
      <c r="A809" s="1">
        <v>46416</v>
      </c>
      <c r="B809" s="2">
        <v>46286</v>
      </c>
      <c r="C809" s="1" t="s">
        <v>11</v>
      </c>
      <c r="D809" s="1">
        <f>IFERROR(VLOOKUP(RIT_FUSIONS[[#This Row],[ID]],RIT_ACUM!A:A,1,0),"NOVO")</f>
        <v>46416</v>
      </c>
    </row>
    <row r="810" spans="1:4" hidden="1" x14ac:dyDescent="0.35">
      <c r="A810" s="1">
        <v>46408</v>
      </c>
      <c r="B810" s="2">
        <v>46286</v>
      </c>
      <c r="C810" s="1" t="s">
        <v>23</v>
      </c>
      <c r="D810" s="1">
        <f>IFERROR(VLOOKUP(RIT_FUSIONS[[#This Row],[ID]],RIT_ACUM!A:A,1,0),"NOVO")</f>
        <v>46408</v>
      </c>
    </row>
    <row r="811" spans="1:4" hidden="1" x14ac:dyDescent="0.35">
      <c r="A811" s="1">
        <v>46407</v>
      </c>
      <c r="B811" s="2">
        <v>46286</v>
      </c>
      <c r="C811" s="1" t="s">
        <v>23</v>
      </c>
      <c r="D811" s="1">
        <f>IFERROR(VLOOKUP(RIT_FUSIONS[[#This Row],[ID]],RIT_ACUM!A:A,1,0),"NOVO")</f>
        <v>46407</v>
      </c>
    </row>
    <row r="812" spans="1:4" hidden="1" x14ac:dyDescent="0.35">
      <c r="A812" s="1">
        <v>46406</v>
      </c>
      <c r="B812" s="2">
        <v>46286</v>
      </c>
      <c r="C812" s="1" t="s">
        <v>6</v>
      </c>
      <c r="D812" s="1">
        <f>IFERROR(VLOOKUP(RIT_FUSIONS[[#This Row],[ID]],RIT_ACUM!A:A,1,0),"NOVO")</f>
        <v>46406</v>
      </c>
    </row>
    <row r="813" spans="1:4" hidden="1" x14ac:dyDescent="0.35">
      <c r="A813" s="1">
        <v>46405</v>
      </c>
      <c r="B813" s="2">
        <v>46286</v>
      </c>
      <c r="C813" s="1" t="s">
        <v>6</v>
      </c>
      <c r="D813" s="1">
        <f>IFERROR(VLOOKUP(RIT_FUSIONS[[#This Row],[ID]],RIT_ACUM!A:A,1,0),"NOVO")</f>
        <v>46405</v>
      </c>
    </row>
    <row r="814" spans="1:4" hidden="1" x14ac:dyDescent="0.35">
      <c r="A814" s="1">
        <v>46404</v>
      </c>
      <c r="B814" s="2">
        <v>46286</v>
      </c>
      <c r="C814" s="1" t="s">
        <v>9</v>
      </c>
      <c r="D814" s="1">
        <f>IFERROR(VLOOKUP(RIT_FUSIONS[[#This Row],[ID]],RIT_ACUM!A:A,1,0),"NOVO")</f>
        <v>46404</v>
      </c>
    </row>
    <row r="815" spans="1:4" hidden="1" x14ac:dyDescent="0.35">
      <c r="A815" s="1">
        <v>46403</v>
      </c>
      <c r="B815" s="2">
        <v>46286</v>
      </c>
      <c r="C815" s="1" t="s">
        <v>9</v>
      </c>
      <c r="D815" s="1">
        <f>IFERROR(VLOOKUP(RIT_FUSIONS[[#This Row],[ID]],RIT_ACUM!A:A,1,0),"NOVO")</f>
        <v>46403</v>
      </c>
    </row>
    <row r="816" spans="1:4" hidden="1" x14ac:dyDescent="0.35">
      <c r="A816" s="1">
        <v>46402</v>
      </c>
      <c r="B816" s="2">
        <v>46286</v>
      </c>
      <c r="C816" s="1" t="s">
        <v>9</v>
      </c>
      <c r="D816" s="1">
        <f>IFERROR(VLOOKUP(RIT_FUSIONS[[#This Row],[ID]],RIT_ACUM!A:A,1,0),"NOVO")</f>
        <v>46402</v>
      </c>
    </row>
    <row r="817" spans="1:4" hidden="1" x14ac:dyDescent="0.35">
      <c r="A817" s="1">
        <v>46401</v>
      </c>
      <c r="B817" s="2">
        <v>46286</v>
      </c>
      <c r="C817" s="1" t="s">
        <v>3</v>
      </c>
      <c r="D817" s="1">
        <f>IFERROR(VLOOKUP(RIT_FUSIONS[[#This Row],[ID]],RIT_ACUM!A:A,1,0),"NOVO")</f>
        <v>46401</v>
      </c>
    </row>
    <row r="818" spans="1:4" hidden="1" x14ac:dyDescent="0.35">
      <c r="A818" s="1">
        <v>46399</v>
      </c>
      <c r="B818" s="2">
        <v>46286</v>
      </c>
      <c r="C818" s="1" t="s">
        <v>3</v>
      </c>
      <c r="D818" s="1">
        <f>IFERROR(VLOOKUP(RIT_FUSIONS[[#This Row],[ID]],RIT_ACUM!A:A,1,0),"NOVO")</f>
        <v>46399</v>
      </c>
    </row>
    <row r="819" spans="1:4" hidden="1" x14ac:dyDescent="0.35">
      <c r="A819" s="1">
        <v>46398</v>
      </c>
      <c r="B819" s="2">
        <v>46286</v>
      </c>
      <c r="C819" s="1" t="s">
        <v>3</v>
      </c>
      <c r="D819" s="1">
        <f>IFERROR(VLOOKUP(RIT_FUSIONS[[#This Row],[ID]],RIT_ACUM!A:A,1,0),"NOVO")</f>
        <v>46398</v>
      </c>
    </row>
    <row r="820" spans="1:4" hidden="1" x14ac:dyDescent="0.35">
      <c r="A820" s="1">
        <v>46395</v>
      </c>
      <c r="B820" s="2">
        <v>46286</v>
      </c>
      <c r="C820" s="1" t="s">
        <v>7</v>
      </c>
      <c r="D820" s="1">
        <f>IFERROR(VLOOKUP(RIT_FUSIONS[[#This Row],[ID]],RIT_ACUM!A:A,1,0),"NOVO")</f>
        <v>46395</v>
      </c>
    </row>
    <row r="821" spans="1:4" hidden="1" x14ac:dyDescent="0.35">
      <c r="A821" s="1">
        <v>46393</v>
      </c>
      <c r="B821" s="2">
        <v>46286</v>
      </c>
      <c r="C821" s="1" t="s">
        <v>21</v>
      </c>
      <c r="D821" s="1">
        <f>IFERROR(VLOOKUP(RIT_FUSIONS[[#This Row],[ID]],RIT_ACUM!A:A,1,0),"NOVO")</f>
        <v>46393</v>
      </c>
    </row>
    <row r="822" spans="1:4" hidden="1" x14ac:dyDescent="0.35">
      <c r="A822" s="1">
        <v>46391</v>
      </c>
      <c r="B822" s="2">
        <v>46286</v>
      </c>
      <c r="C822" s="1" t="s">
        <v>21</v>
      </c>
      <c r="D822" s="1">
        <f>IFERROR(VLOOKUP(RIT_FUSIONS[[#This Row],[ID]],RIT_ACUM!A:A,1,0),"NOVO")</f>
        <v>46391</v>
      </c>
    </row>
    <row r="823" spans="1:4" hidden="1" x14ac:dyDescent="0.35">
      <c r="A823" s="1">
        <v>46390</v>
      </c>
      <c r="B823" s="2">
        <v>46286</v>
      </c>
      <c r="C823" s="1" t="s">
        <v>20</v>
      </c>
      <c r="D823" s="1">
        <f>IFERROR(VLOOKUP(RIT_FUSIONS[[#This Row],[ID]],RIT_ACUM!A:A,1,0),"NOVO")</f>
        <v>46390</v>
      </c>
    </row>
    <row r="824" spans="1:4" hidden="1" x14ac:dyDescent="0.35">
      <c r="A824" s="1">
        <v>46389</v>
      </c>
      <c r="B824" s="2">
        <v>46286</v>
      </c>
      <c r="C824" s="1" t="s">
        <v>20</v>
      </c>
      <c r="D824" s="1">
        <f>IFERROR(VLOOKUP(RIT_FUSIONS[[#This Row],[ID]],RIT_ACUM!A:A,1,0),"NOVO")</f>
        <v>46389</v>
      </c>
    </row>
    <row r="825" spans="1:4" hidden="1" x14ac:dyDescent="0.35">
      <c r="A825" s="1">
        <v>46388</v>
      </c>
      <c r="B825" s="2">
        <v>46286</v>
      </c>
      <c r="C825" s="1" t="s">
        <v>8</v>
      </c>
      <c r="D825" s="1">
        <f>IFERROR(VLOOKUP(RIT_FUSIONS[[#This Row],[ID]],RIT_ACUM!A:A,1,0),"NOVO")</f>
        <v>46388</v>
      </c>
    </row>
    <row r="826" spans="1:4" hidden="1" x14ac:dyDescent="0.35">
      <c r="A826" s="1">
        <v>46387</v>
      </c>
      <c r="B826" s="2">
        <v>46286</v>
      </c>
      <c r="C826" s="1" t="s">
        <v>8</v>
      </c>
      <c r="D826" s="1">
        <f>IFERROR(VLOOKUP(RIT_FUSIONS[[#This Row],[ID]],RIT_ACUM!A:A,1,0),"NOVO")</f>
        <v>46387</v>
      </c>
    </row>
    <row r="827" spans="1:4" hidden="1" x14ac:dyDescent="0.35">
      <c r="A827" s="1">
        <v>46386</v>
      </c>
      <c r="B827" s="2">
        <v>46285</v>
      </c>
      <c r="C827" s="1" t="s">
        <v>17</v>
      </c>
      <c r="D827" s="1">
        <f>IFERROR(VLOOKUP(RIT_FUSIONS[[#This Row],[ID]],RIT_ACUM!A:A,1,0),"NOVO")</f>
        <v>46386</v>
      </c>
    </row>
    <row r="828" spans="1:4" hidden="1" x14ac:dyDescent="0.35">
      <c r="A828" s="1">
        <v>46385</v>
      </c>
      <c r="B828" s="2">
        <v>46285</v>
      </c>
      <c r="C828" s="1" t="s">
        <v>17</v>
      </c>
      <c r="D828" s="1">
        <f>IFERROR(VLOOKUP(RIT_FUSIONS[[#This Row],[ID]],RIT_ACUM!A:A,1,0),"NOVO")</f>
        <v>46385</v>
      </c>
    </row>
    <row r="829" spans="1:4" hidden="1" x14ac:dyDescent="0.35">
      <c r="A829" s="1">
        <v>46384</v>
      </c>
      <c r="B829" s="2">
        <v>46284</v>
      </c>
      <c r="C829" s="1" t="s">
        <v>23</v>
      </c>
      <c r="D829" s="1">
        <f>IFERROR(VLOOKUP(RIT_FUSIONS[[#This Row],[ID]],RIT_ACUM!A:A,1,0),"NOVO")</f>
        <v>46384</v>
      </c>
    </row>
    <row r="830" spans="1:4" hidden="1" x14ac:dyDescent="0.35">
      <c r="A830" s="1">
        <v>46382</v>
      </c>
      <c r="B830" s="2">
        <v>46284</v>
      </c>
      <c r="C830" s="1" t="s">
        <v>10</v>
      </c>
      <c r="D830" s="1">
        <f>IFERROR(VLOOKUP(RIT_FUSIONS[[#This Row],[ID]],RIT_ACUM!A:A,1,0),"NOVO")</f>
        <v>46382</v>
      </c>
    </row>
    <row r="831" spans="1:4" hidden="1" x14ac:dyDescent="0.35">
      <c r="A831" s="1">
        <v>46381</v>
      </c>
      <c r="B831" s="2">
        <v>46284</v>
      </c>
      <c r="C831" s="1" t="s">
        <v>10</v>
      </c>
      <c r="D831" s="1">
        <f>IFERROR(VLOOKUP(RIT_FUSIONS[[#This Row],[ID]],RIT_ACUM!A:A,1,0),"NOVO")</f>
        <v>46381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0C3DD-9345-4C00-A172-C7397AD8D5AB}">
  <dimension ref="A1:D2306"/>
  <sheetViews>
    <sheetView showGridLines="0" topLeftCell="A2288" zoomScaleNormal="100" workbookViewId="0">
      <selection activeCell="A2306" sqref="A2306"/>
    </sheetView>
  </sheetViews>
  <sheetFormatPr defaultRowHeight="10.5" x14ac:dyDescent="0.35"/>
  <cols>
    <col min="1" max="1" width="6.453125" style="1" bestFit="1" customWidth="1"/>
    <col min="2" max="2" width="8.453125" style="2" customWidth="1"/>
    <col min="3" max="3" width="26.453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42775</v>
      </c>
      <c r="B2" s="2">
        <v>46204</v>
      </c>
      <c r="C2" s="1" t="s">
        <v>3</v>
      </c>
      <c r="D2" s="1">
        <f t="shared" ref="D2:D65" si="0">MONTH(B2)</f>
        <v>7</v>
      </c>
    </row>
    <row r="3" spans="1:4" x14ac:dyDescent="0.35">
      <c r="A3" s="1">
        <v>42772</v>
      </c>
      <c r="B3" s="2">
        <v>46204</v>
      </c>
      <c r="C3" s="1" t="s">
        <v>4</v>
      </c>
      <c r="D3" s="1">
        <f t="shared" si="0"/>
        <v>7</v>
      </c>
    </row>
    <row r="4" spans="1:4" x14ac:dyDescent="0.35">
      <c r="A4" s="1">
        <v>42771</v>
      </c>
      <c r="B4" s="2">
        <v>46204</v>
      </c>
      <c r="C4" s="1" t="s">
        <v>4</v>
      </c>
      <c r="D4" s="1">
        <f t="shared" si="0"/>
        <v>7</v>
      </c>
    </row>
    <row r="5" spans="1:4" x14ac:dyDescent="0.35">
      <c r="A5" s="1">
        <v>42770</v>
      </c>
      <c r="B5" s="2">
        <v>46204</v>
      </c>
      <c r="C5" s="1" t="s">
        <v>5</v>
      </c>
      <c r="D5" s="1">
        <f t="shared" si="0"/>
        <v>7</v>
      </c>
    </row>
    <row r="6" spans="1:4" x14ac:dyDescent="0.35">
      <c r="A6" s="1">
        <v>42769</v>
      </c>
      <c r="B6" s="2">
        <v>46204</v>
      </c>
      <c r="C6" s="1" t="s">
        <v>6</v>
      </c>
      <c r="D6" s="1">
        <f t="shared" si="0"/>
        <v>7</v>
      </c>
    </row>
    <row r="7" spans="1:4" x14ac:dyDescent="0.35">
      <c r="A7" s="1">
        <v>42768</v>
      </c>
      <c r="B7" s="2">
        <v>46204</v>
      </c>
      <c r="C7" s="1" t="s">
        <v>6</v>
      </c>
      <c r="D7" s="1">
        <f t="shared" si="0"/>
        <v>7</v>
      </c>
    </row>
    <row r="8" spans="1:4" x14ac:dyDescent="0.35">
      <c r="A8" s="1">
        <v>42766</v>
      </c>
      <c r="B8" s="2">
        <v>46204</v>
      </c>
      <c r="C8" s="1" t="s">
        <v>5</v>
      </c>
      <c r="D8" s="1">
        <f t="shared" si="0"/>
        <v>7</v>
      </c>
    </row>
    <row r="9" spans="1:4" x14ac:dyDescent="0.35">
      <c r="A9" s="1">
        <v>42765</v>
      </c>
      <c r="B9" s="2">
        <v>46204</v>
      </c>
      <c r="C9" s="1" t="s">
        <v>5</v>
      </c>
      <c r="D9" s="1">
        <f t="shared" si="0"/>
        <v>7</v>
      </c>
    </row>
    <row r="10" spans="1:4" x14ac:dyDescent="0.35">
      <c r="A10" s="1">
        <v>42762</v>
      </c>
      <c r="B10" s="2">
        <v>46204</v>
      </c>
      <c r="C10" s="1" t="s">
        <v>7</v>
      </c>
      <c r="D10" s="1">
        <f t="shared" si="0"/>
        <v>7</v>
      </c>
    </row>
    <row r="11" spans="1:4" x14ac:dyDescent="0.35">
      <c r="A11" s="1">
        <v>42761</v>
      </c>
      <c r="B11" s="2">
        <v>46204</v>
      </c>
      <c r="C11" s="1" t="s">
        <v>7</v>
      </c>
      <c r="D11" s="1">
        <f t="shared" si="0"/>
        <v>7</v>
      </c>
    </row>
    <row r="12" spans="1:4" x14ac:dyDescent="0.35">
      <c r="A12" s="1">
        <v>42746</v>
      </c>
      <c r="B12" s="2">
        <v>46204</v>
      </c>
      <c r="C12" s="1" t="s">
        <v>5</v>
      </c>
      <c r="D12" s="1">
        <f t="shared" si="0"/>
        <v>7</v>
      </c>
    </row>
    <row r="13" spans="1:4" x14ac:dyDescent="0.35">
      <c r="A13" s="1">
        <v>42745</v>
      </c>
      <c r="B13" s="2">
        <v>46204</v>
      </c>
      <c r="C13" s="1" t="s">
        <v>8</v>
      </c>
      <c r="D13" s="1">
        <f t="shared" si="0"/>
        <v>7</v>
      </c>
    </row>
    <row r="14" spans="1:4" x14ac:dyDescent="0.35">
      <c r="A14" s="1">
        <v>42744</v>
      </c>
      <c r="B14" s="2">
        <v>46204</v>
      </c>
      <c r="C14" s="1" t="s">
        <v>5</v>
      </c>
      <c r="D14" s="1">
        <f t="shared" si="0"/>
        <v>7</v>
      </c>
    </row>
    <row r="15" spans="1:4" x14ac:dyDescent="0.35">
      <c r="A15" s="1">
        <v>42743</v>
      </c>
      <c r="B15" s="2">
        <v>46204</v>
      </c>
      <c r="C15" s="1" t="s">
        <v>8</v>
      </c>
      <c r="D15" s="1">
        <f t="shared" si="0"/>
        <v>7</v>
      </c>
    </row>
    <row r="16" spans="1:4" x14ac:dyDescent="0.35">
      <c r="A16" s="1">
        <v>42742</v>
      </c>
      <c r="B16" s="2">
        <v>46204</v>
      </c>
      <c r="C16" s="1" t="s">
        <v>5</v>
      </c>
      <c r="D16" s="1">
        <f t="shared" si="0"/>
        <v>7</v>
      </c>
    </row>
    <row r="17" spans="1:4" x14ac:dyDescent="0.35">
      <c r="A17" s="1">
        <v>42741</v>
      </c>
      <c r="B17" s="2">
        <v>46204</v>
      </c>
      <c r="C17" s="1" t="s">
        <v>5</v>
      </c>
      <c r="D17" s="1">
        <f t="shared" si="0"/>
        <v>7</v>
      </c>
    </row>
    <row r="18" spans="1:4" x14ac:dyDescent="0.35">
      <c r="A18" s="1">
        <v>42740</v>
      </c>
      <c r="B18" s="2">
        <v>46204</v>
      </c>
      <c r="C18" s="1" t="s">
        <v>5</v>
      </c>
      <c r="D18" s="1">
        <f t="shared" si="0"/>
        <v>7</v>
      </c>
    </row>
    <row r="19" spans="1:4" x14ac:dyDescent="0.35">
      <c r="A19" s="1">
        <v>42739</v>
      </c>
      <c r="B19" s="2">
        <v>46204</v>
      </c>
      <c r="C19" s="1" t="s">
        <v>5</v>
      </c>
      <c r="D19" s="1">
        <f t="shared" si="0"/>
        <v>7</v>
      </c>
    </row>
    <row r="20" spans="1:4" x14ac:dyDescent="0.35">
      <c r="A20" s="1">
        <v>42738</v>
      </c>
      <c r="B20" s="2">
        <v>46204</v>
      </c>
      <c r="C20" s="1" t="s">
        <v>5</v>
      </c>
      <c r="D20" s="1">
        <f t="shared" si="0"/>
        <v>7</v>
      </c>
    </row>
    <row r="21" spans="1:4" x14ac:dyDescent="0.35">
      <c r="A21" s="1">
        <v>42805</v>
      </c>
      <c r="B21" s="2">
        <v>46205</v>
      </c>
      <c r="C21" s="1" t="s">
        <v>9</v>
      </c>
      <c r="D21" s="1">
        <f t="shared" si="0"/>
        <v>7</v>
      </c>
    </row>
    <row r="22" spans="1:4" x14ac:dyDescent="0.35">
      <c r="A22" s="1">
        <v>42790</v>
      </c>
      <c r="B22" s="2">
        <v>46205</v>
      </c>
      <c r="C22" s="1" t="s">
        <v>9</v>
      </c>
      <c r="D22" s="1">
        <f t="shared" si="0"/>
        <v>7</v>
      </c>
    </row>
    <row r="23" spans="1:4" x14ac:dyDescent="0.35">
      <c r="A23" s="1">
        <v>42789</v>
      </c>
      <c r="B23" s="2">
        <v>46205</v>
      </c>
      <c r="C23" s="1" t="s">
        <v>9</v>
      </c>
      <c r="D23" s="1">
        <f t="shared" si="0"/>
        <v>7</v>
      </c>
    </row>
    <row r="24" spans="1:4" x14ac:dyDescent="0.35">
      <c r="A24" s="1">
        <v>42788</v>
      </c>
      <c r="B24" s="2">
        <v>46205</v>
      </c>
      <c r="C24" s="1" t="s">
        <v>8</v>
      </c>
      <c r="D24" s="1">
        <f t="shared" si="0"/>
        <v>7</v>
      </c>
    </row>
    <row r="25" spans="1:4" x14ac:dyDescent="0.35">
      <c r="A25" s="1">
        <v>42787</v>
      </c>
      <c r="B25" s="2">
        <v>46205</v>
      </c>
      <c r="C25" s="1" t="s">
        <v>8</v>
      </c>
      <c r="D25" s="1">
        <f t="shared" si="0"/>
        <v>7</v>
      </c>
    </row>
    <row r="26" spans="1:4" x14ac:dyDescent="0.35">
      <c r="A26" s="1">
        <v>42815</v>
      </c>
      <c r="B26" s="2">
        <v>46205</v>
      </c>
      <c r="C26" s="1" t="s">
        <v>9</v>
      </c>
      <c r="D26" s="1">
        <f t="shared" si="0"/>
        <v>7</v>
      </c>
    </row>
    <row r="27" spans="1:4" x14ac:dyDescent="0.35">
      <c r="A27" s="1">
        <v>42814</v>
      </c>
      <c r="B27" s="2">
        <v>46205</v>
      </c>
      <c r="C27" s="1" t="s">
        <v>9</v>
      </c>
      <c r="D27" s="1">
        <f t="shared" si="0"/>
        <v>7</v>
      </c>
    </row>
    <row r="28" spans="1:4" x14ac:dyDescent="0.35">
      <c r="A28" s="1">
        <v>42811</v>
      </c>
      <c r="B28" s="2">
        <v>46205</v>
      </c>
      <c r="C28" s="1" t="s">
        <v>5</v>
      </c>
      <c r="D28" s="1">
        <f t="shared" si="0"/>
        <v>7</v>
      </c>
    </row>
    <row r="29" spans="1:4" x14ac:dyDescent="0.35">
      <c r="A29" s="1">
        <v>42810</v>
      </c>
      <c r="B29" s="2">
        <v>46205</v>
      </c>
      <c r="C29" s="1" t="s">
        <v>5</v>
      </c>
      <c r="D29" s="1">
        <f t="shared" si="0"/>
        <v>7</v>
      </c>
    </row>
    <row r="30" spans="1:4" x14ac:dyDescent="0.35">
      <c r="A30" s="1">
        <v>42809</v>
      </c>
      <c r="B30" s="2">
        <v>46205</v>
      </c>
      <c r="C30" s="1" t="s">
        <v>5</v>
      </c>
      <c r="D30" s="1">
        <f t="shared" si="0"/>
        <v>7</v>
      </c>
    </row>
    <row r="31" spans="1:4" x14ac:dyDescent="0.35">
      <c r="A31" s="1">
        <v>42808</v>
      </c>
      <c r="B31" s="2">
        <v>46205</v>
      </c>
      <c r="C31" s="1" t="s">
        <v>5</v>
      </c>
      <c r="D31" s="1">
        <f t="shared" si="0"/>
        <v>7</v>
      </c>
    </row>
    <row r="32" spans="1:4" x14ac:dyDescent="0.35">
      <c r="A32" s="1">
        <v>42807</v>
      </c>
      <c r="B32" s="2">
        <v>46205</v>
      </c>
      <c r="C32" s="1" t="s">
        <v>5</v>
      </c>
      <c r="D32" s="1">
        <f t="shared" si="0"/>
        <v>7</v>
      </c>
    </row>
    <row r="33" spans="1:4" x14ac:dyDescent="0.35">
      <c r="A33" s="1">
        <v>42806</v>
      </c>
      <c r="B33" s="2">
        <v>46205</v>
      </c>
      <c r="C33" s="1" t="s">
        <v>5</v>
      </c>
      <c r="D33" s="1">
        <f t="shared" si="0"/>
        <v>7</v>
      </c>
    </row>
    <row r="34" spans="1:4" x14ac:dyDescent="0.35">
      <c r="A34" s="1">
        <v>42852</v>
      </c>
      <c r="B34" s="2">
        <v>46206</v>
      </c>
      <c r="C34" s="1" t="s">
        <v>10</v>
      </c>
      <c r="D34" s="1">
        <f t="shared" si="0"/>
        <v>7</v>
      </c>
    </row>
    <row r="35" spans="1:4" x14ac:dyDescent="0.35">
      <c r="A35" s="1">
        <v>42851</v>
      </c>
      <c r="B35" s="2">
        <v>46206</v>
      </c>
      <c r="C35" s="1" t="s">
        <v>10</v>
      </c>
      <c r="D35" s="1">
        <f t="shared" si="0"/>
        <v>7</v>
      </c>
    </row>
    <row r="36" spans="1:4" x14ac:dyDescent="0.35">
      <c r="A36" s="1">
        <v>42846</v>
      </c>
      <c r="B36" s="2">
        <v>46206</v>
      </c>
      <c r="C36" s="1" t="s">
        <v>3</v>
      </c>
      <c r="D36" s="1">
        <f t="shared" si="0"/>
        <v>7</v>
      </c>
    </row>
    <row r="37" spans="1:4" x14ac:dyDescent="0.35">
      <c r="A37" s="1">
        <v>42838</v>
      </c>
      <c r="B37" s="2">
        <v>46206</v>
      </c>
      <c r="C37" s="1" t="s">
        <v>9</v>
      </c>
      <c r="D37" s="1">
        <f t="shared" si="0"/>
        <v>7</v>
      </c>
    </row>
    <row r="38" spans="1:4" x14ac:dyDescent="0.35">
      <c r="A38" s="1">
        <v>42828</v>
      </c>
      <c r="B38" s="2">
        <v>46206</v>
      </c>
      <c r="C38" s="1" t="s">
        <v>9</v>
      </c>
      <c r="D38" s="1">
        <f t="shared" si="0"/>
        <v>7</v>
      </c>
    </row>
    <row r="39" spans="1:4" x14ac:dyDescent="0.35">
      <c r="A39" s="1">
        <v>42826</v>
      </c>
      <c r="B39" s="2">
        <v>46206</v>
      </c>
      <c r="C39" s="1" t="s">
        <v>6</v>
      </c>
      <c r="D39" s="1">
        <f t="shared" si="0"/>
        <v>7</v>
      </c>
    </row>
    <row r="40" spans="1:4" x14ac:dyDescent="0.35">
      <c r="A40" s="1">
        <v>42825</v>
      </c>
      <c r="B40" s="2">
        <v>46206</v>
      </c>
      <c r="C40" s="1" t="s">
        <v>6</v>
      </c>
      <c r="D40" s="1">
        <f t="shared" si="0"/>
        <v>7</v>
      </c>
    </row>
    <row r="41" spans="1:4" x14ac:dyDescent="0.35">
      <c r="A41" s="1">
        <v>42824</v>
      </c>
      <c r="B41" s="2">
        <v>46206</v>
      </c>
      <c r="C41" s="1" t="s">
        <v>8</v>
      </c>
      <c r="D41" s="1">
        <f t="shared" si="0"/>
        <v>7</v>
      </c>
    </row>
    <row r="42" spans="1:4" x14ac:dyDescent="0.35">
      <c r="A42" s="1">
        <v>42823</v>
      </c>
      <c r="B42" s="2">
        <v>46206</v>
      </c>
      <c r="C42" s="1" t="s">
        <v>8</v>
      </c>
      <c r="D42" s="1">
        <f t="shared" si="0"/>
        <v>7</v>
      </c>
    </row>
    <row r="43" spans="1:4" x14ac:dyDescent="0.35">
      <c r="A43" s="1">
        <v>42860</v>
      </c>
      <c r="B43" s="2">
        <v>46207</v>
      </c>
      <c r="C43" s="1" t="s">
        <v>8</v>
      </c>
      <c r="D43" s="1">
        <f t="shared" si="0"/>
        <v>7</v>
      </c>
    </row>
    <row r="44" spans="1:4" x14ac:dyDescent="0.35">
      <c r="A44" s="1">
        <v>42859</v>
      </c>
      <c r="B44" s="2">
        <v>46207</v>
      </c>
      <c r="C44" s="1" t="s">
        <v>8</v>
      </c>
      <c r="D44" s="1">
        <f t="shared" si="0"/>
        <v>7</v>
      </c>
    </row>
    <row r="45" spans="1:4" x14ac:dyDescent="0.35">
      <c r="A45" s="1">
        <v>42902</v>
      </c>
      <c r="B45" s="2">
        <v>46209</v>
      </c>
      <c r="C45" s="1" t="s">
        <v>8</v>
      </c>
      <c r="D45" s="1">
        <f t="shared" si="0"/>
        <v>7</v>
      </c>
    </row>
    <row r="46" spans="1:4" x14ac:dyDescent="0.35">
      <c r="A46" s="1">
        <v>42901</v>
      </c>
      <c r="B46" s="2">
        <v>46209</v>
      </c>
      <c r="C46" s="1" t="s">
        <v>8</v>
      </c>
      <c r="D46" s="1">
        <f t="shared" si="0"/>
        <v>7</v>
      </c>
    </row>
    <row r="47" spans="1:4" x14ac:dyDescent="0.35">
      <c r="A47" s="1">
        <v>42900</v>
      </c>
      <c r="B47" s="2">
        <v>46209</v>
      </c>
      <c r="C47" s="1" t="s">
        <v>9</v>
      </c>
      <c r="D47" s="1">
        <f t="shared" si="0"/>
        <v>7</v>
      </c>
    </row>
    <row r="48" spans="1:4" x14ac:dyDescent="0.35">
      <c r="A48" s="1">
        <v>42899</v>
      </c>
      <c r="B48" s="2">
        <v>46209</v>
      </c>
      <c r="C48" s="1" t="s">
        <v>9</v>
      </c>
      <c r="D48" s="1">
        <f t="shared" si="0"/>
        <v>7</v>
      </c>
    </row>
    <row r="49" spans="1:4" x14ac:dyDescent="0.35">
      <c r="A49" s="1">
        <v>42895</v>
      </c>
      <c r="B49" s="2">
        <v>46209</v>
      </c>
      <c r="C49" s="1" t="s">
        <v>4</v>
      </c>
      <c r="D49" s="1">
        <f t="shared" si="0"/>
        <v>7</v>
      </c>
    </row>
    <row r="50" spans="1:4" x14ac:dyDescent="0.35">
      <c r="A50" s="1">
        <v>42894</v>
      </c>
      <c r="B50" s="2">
        <v>46209</v>
      </c>
      <c r="C50" s="1" t="s">
        <v>4</v>
      </c>
      <c r="D50" s="1">
        <f t="shared" si="0"/>
        <v>7</v>
      </c>
    </row>
    <row r="51" spans="1:4" x14ac:dyDescent="0.35">
      <c r="A51" s="1">
        <v>42893</v>
      </c>
      <c r="B51" s="2">
        <v>46209</v>
      </c>
      <c r="C51" s="1" t="s">
        <v>4</v>
      </c>
      <c r="D51" s="1">
        <f t="shared" si="0"/>
        <v>7</v>
      </c>
    </row>
    <row r="52" spans="1:4" x14ac:dyDescent="0.35">
      <c r="A52" s="1">
        <v>42925</v>
      </c>
      <c r="B52" s="2">
        <v>46209</v>
      </c>
      <c r="C52" s="1" t="s">
        <v>10</v>
      </c>
      <c r="D52" s="1">
        <f t="shared" si="0"/>
        <v>7</v>
      </c>
    </row>
    <row r="53" spans="1:4" x14ac:dyDescent="0.35">
      <c r="A53" s="1">
        <v>42924</v>
      </c>
      <c r="B53" s="2">
        <v>46209</v>
      </c>
      <c r="C53" s="1" t="s">
        <v>10</v>
      </c>
      <c r="D53" s="1">
        <f t="shared" si="0"/>
        <v>7</v>
      </c>
    </row>
    <row r="54" spans="1:4" x14ac:dyDescent="0.35">
      <c r="A54" s="1">
        <v>42923</v>
      </c>
      <c r="B54" s="2">
        <v>46209</v>
      </c>
      <c r="C54" s="1" t="s">
        <v>5</v>
      </c>
      <c r="D54" s="1">
        <f t="shared" si="0"/>
        <v>7</v>
      </c>
    </row>
    <row r="55" spans="1:4" x14ac:dyDescent="0.35">
      <c r="A55" s="1">
        <v>42922</v>
      </c>
      <c r="B55" s="2">
        <v>46209</v>
      </c>
      <c r="C55" s="1" t="s">
        <v>5</v>
      </c>
      <c r="D55" s="1">
        <f t="shared" si="0"/>
        <v>7</v>
      </c>
    </row>
    <row r="56" spans="1:4" x14ac:dyDescent="0.35">
      <c r="A56" s="1">
        <v>42921</v>
      </c>
      <c r="B56" s="2">
        <v>46209</v>
      </c>
      <c r="C56" s="1" t="s">
        <v>5</v>
      </c>
      <c r="D56" s="1">
        <f t="shared" si="0"/>
        <v>7</v>
      </c>
    </row>
    <row r="57" spans="1:4" x14ac:dyDescent="0.35">
      <c r="A57" s="1">
        <v>42920</v>
      </c>
      <c r="B57" s="2">
        <v>46209</v>
      </c>
      <c r="C57" s="1" t="s">
        <v>5</v>
      </c>
      <c r="D57" s="1">
        <f t="shared" si="0"/>
        <v>7</v>
      </c>
    </row>
    <row r="58" spans="1:4" x14ac:dyDescent="0.35">
      <c r="A58" s="1">
        <v>42919</v>
      </c>
      <c r="B58" s="2">
        <v>46209</v>
      </c>
      <c r="C58" s="1" t="s">
        <v>5</v>
      </c>
      <c r="D58" s="1">
        <f t="shared" si="0"/>
        <v>7</v>
      </c>
    </row>
    <row r="59" spans="1:4" x14ac:dyDescent="0.35">
      <c r="A59" s="1">
        <v>42918</v>
      </c>
      <c r="B59" s="2">
        <v>46209</v>
      </c>
      <c r="C59" s="1" t="s">
        <v>5</v>
      </c>
      <c r="D59" s="1">
        <f t="shared" si="0"/>
        <v>7</v>
      </c>
    </row>
    <row r="60" spans="1:4" x14ac:dyDescent="0.35">
      <c r="A60" s="1">
        <v>42917</v>
      </c>
      <c r="B60" s="2">
        <v>46209</v>
      </c>
      <c r="C60" s="1" t="s">
        <v>9</v>
      </c>
      <c r="D60" s="1">
        <f t="shared" si="0"/>
        <v>7</v>
      </c>
    </row>
    <row r="61" spans="1:4" x14ac:dyDescent="0.35">
      <c r="A61" s="1">
        <v>42916</v>
      </c>
      <c r="B61" s="2">
        <v>46209</v>
      </c>
      <c r="C61" s="1" t="s">
        <v>5</v>
      </c>
      <c r="D61" s="1">
        <f t="shared" si="0"/>
        <v>7</v>
      </c>
    </row>
    <row r="62" spans="1:4" x14ac:dyDescent="0.35">
      <c r="A62" s="1">
        <v>42915</v>
      </c>
      <c r="B62" s="2">
        <v>46209</v>
      </c>
      <c r="C62" s="1" t="s">
        <v>9</v>
      </c>
      <c r="D62" s="1">
        <f t="shared" si="0"/>
        <v>7</v>
      </c>
    </row>
    <row r="63" spans="1:4" x14ac:dyDescent="0.35">
      <c r="A63" s="1">
        <v>42914</v>
      </c>
      <c r="B63" s="2">
        <v>46209</v>
      </c>
      <c r="C63" s="1" t="s">
        <v>9</v>
      </c>
      <c r="D63" s="1">
        <f t="shared" si="0"/>
        <v>7</v>
      </c>
    </row>
    <row r="64" spans="1:4" x14ac:dyDescent="0.35">
      <c r="A64" s="1">
        <v>42932</v>
      </c>
      <c r="B64" s="2">
        <v>46210</v>
      </c>
      <c r="C64" s="1" t="s">
        <v>8</v>
      </c>
      <c r="D64" s="1">
        <f t="shared" si="0"/>
        <v>7</v>
      </c>
    </row>
    <row r="65" spans="1:4" x14ac:dyDescent="0.35">
      <c r="A65" s="1">
        <v>42931</v>
      </c>
      <c r="B65" s="2">
        <v>46210</v>
      </c>
      <c r="C65" s="1" t="s">
        <v>8</v>
      </c>
      <c r="D65" s="1">
        <f t="shared" si="0"/>
        <v>7</v>
      </c>
    </row>
    <row r="66" spans="1:4" x14ac:dyDescent="0.35">
      <c r="A66" s="1">
        <v>43004</v>
      </c>
      <c r="B66" s="2">
        <v>46210</v>
      </c>
      <c r="C66" s="1" t="s">
        <v>10</v>
      </c>
      <c r="D66" s="1">
        <f t="shared" ref="D66:D129" si="1">MONTH(B66)</f>
        <v>7</v>
      </c>
    </row>
    <row r="67" spans="1:4" x14ac:dyDescent="0.35">
      <c r="A67" s="1">
        <v>43003</v>
      </c>
      <c r="B67" s="2">
        <v>46210</v>
      </c>
      <c r="C67" s="1" t="s">
        <v>10</v>
      </c>
      <c r="D67" s="1">
        <f t="shared" si="1"/>
        <v>7</v>
      </c>
    </row>
    <row r="68" spans="1:4" x14ac:dyDescent="0.35">
      <c r="A68" s="1">
        <v>42965</v>
      </c>
      <c r="B68" s="2">
        <v>46210</v>
      </c>
      <c r="C68" s="1" t="s">
        <v>5</v>
      </c>
      <c r="D68" s="1">
        <f t="shared" si="1"/>
        <v>7</v>
      </c>
    </row>
    <row r="69" spans="1:4" x14ac:dyDescent="0.35">
      <c r="A69" s="1">
        <v>42964</v>
      </c>
      <c r="B69" s="2">
        <v>46210</v>
      </c>
      <c r="C69" s="1" t="s">
        <v>5</v>
      </c>
      <c r="D69" s="1">
        <f t="shared" si="1"/>
        <v>7</v>
      </c>
    </row>
    <row r="70" spans="1:4" x14ac:dyDescent="0.35">
      <c r="A70" s="1">
        <v>42960</v>
      </c>
      <c r="B70" s="2">
        <v>46210</v>
      </c>
      <c r="C70" s="1" t="s">
        <v>5</v>
      </c>
      <c r="D70" s="1">
        <f t="shared" si="1"/>
        <v>7</v>
      </c>
    </row>
    <row r="71" spans="1:4" x14ac:dyDescent="0.35">
      <c r="A71" s="1">
        <v>43060</v>
      </c>
      <c r="B71" s="2">
        <v>46211</v>
      </c>
      <c r="C71" s="1" t="s">
        <v>10</v>
      </c>
      <c r="D71" s="1">
        <f t="shared" si="1"/>
        <v>7</v>
      </c>
    </row>
    <row r="72" spans="1:4" x14ac:dyDescent="0.35">
      <c r="A72" s="1">
        <v>43059</v>
      </c>
      <c r="B72" s="2">
        <v>46211</v>
      </c>
      <c r="C72" s="1" t="s">
        <v>10</v>
      </c>
      <c r="D72" s="1">
        <f t="shared" si="1"/>
        <v>7</v>
      </c>
    </row>
    <row r="73" spans="1:4" x14ac:dyDescent="0.35">
      <c r="A73" s="1">
        <v>43036</v>
      </c>
      <c r="B73" s="2">
        <v>46211</v>
      </c>
      <c r="C73" s="1" t="s">
        <v>9</v>
      </c>
      <c r="D73" s="1">
        <f t="shared" si="1"/>
        <v>7</v>
      </c>
    </row>
    <row r="74" spans="1:4" x14ac:dyDescent="0.35">
      <c r="A74" s="1">
        <v>43035</v>
      </c>
      <c r="B74" s="2">
        <v>46211</v>
      </c>
      <c r="C74" s="1" t="s">
        <v>9</v>
      </c>
      <c r="D74" s="1">
        <f t="shared" si="1"/>
        <v>7</v>
      </c>
    </row>
    <row r="75" spans="1:4" x14ac:dyDescent="0.35">
      <c r="A75" s="1">
        <v>43034</v>
      </c>
      <c r="B75" s="2">
        <v>46211</v>
      </c>
      <c r="C75" s="1" t="s">
        <v>9</v>
      </c>
      <c r="D75" s="1">
        <f t="shared" si="1"/>
        <v>7</v>
      </c>
    </row>
    <row r="76" spans="1:4" x14ac:dyDescent="0.35">
      <c r="A76" s="1">
        <v>43033</v>
      </c>
      <c r="B76" s="2">
        <v>46211</v>
      </c>
      <c r="C76" s="1" t="s">
        <v>3</v>
      </c>
      <c r="D76" s="1">
        <f t="shared" si="1"/>
        <v>7</v>
      </c>
    </row>
    <row r="77" spans="1:4" x14ac:dyDescent="0.35">
      <c r="A77" s="1">
        <v>43021</v>
      </c>
      <c r="B77" s="2">
        <v>46211</v>
      </c>
      <c r="C77" s="1" t="s">
        <v>9</v>
      </c>
      <c r="D77" s="1">
        <f t="shared" si="1"/>
        <v>7</v>
      </c>
    </row>
    <row r="78" spans="1:4" x14ac:dyDescent="0.35">
      <c r="A78" s="1">
        <v>43119</v>
      </c>
      <c r="B78" s="2">
        <v>46212</v>
      </c>
      <c r="C78" s="1" t="s">
        <v>10</v>
      </c>
      <c r="D78" s="1">
        <f t="shared" si="1"/>
        <v>7</v>
      </c>
    </row>
    <row r="79" spans="1:4" x14ac:dyDescent="0.35">
      <c r="A79" s="1">
        <v>43118</v>
      </c>
      <c r="B79" s="2">
        <v>46212</v>
      </c>
      <c r="C79" s="1" t="s">
        <v>10</v>
      </c>
      <c r="D79" s="1">
        <f t="shared" si="1"/>
        <v>7</v>
      </c>
    </row>
    <row r="80" spans="1:4" x14ac:dyDescent="0.35">
      <c r="A80" s="1">
        <v>43067</v>
      </c>
      <c r="B80" s="2">
        <v>46212</v>
      </c>
      <c r="C80" s="1" t="s">
        <v>8</v>
      </c>
      <c r="D80" s="1">
        <f t="shared" si="1"/>
        <v>7</v>
      </c>
    </row>
    <row r="81" spans="1:4" x14ac:dyDescent="0.35">
      <c r="A81" s="1">
        <v>43066</v>
      </c>
      <c r="B81" s="2">
        <v>46212</v>
      </c>
      <c r="C81" s="1" t="s">
        <v>8</v>
      </c>
      <c r="D81" s="1">
        <f t="shared" si="1"/>
        <v>7</v>
      </c>
    </row>
    <row r="82" spans="1:4" x14ac:dyDescent="0.35">
      <c r="A82" s="1">
        <v>43172</v>
      </c>
      <c r="B82" s="2">
        <v>46213</v>
      </c>
      <c r="C82" s="1" t="s">
        <v>10</v>
      </c>
      <c r="D82" s="1">
        <f t="shared" si="1"/>
        <v>7</v>
      </c>
    </row>
    <row r="83" spans="1:4" x14ac:dyDescent="0.35">
      <c r="A83" s="1">
        <v>43171</v>
      </c>
      <c r="B83" s="2">
        <v>46213</v>
      </c>
      <c r="C83" s="1" t="s">
        <v>10</v>
      </c>
      <c r="D83" s="1">
        <f t="shared" si="1"/>
        <v>7</v>
      </c>
    </row>
    <row r="84" spans="1:4" x14ac:dyDescent="0.35">
      <c r="A84" s="1">
        <v>43200</v>
      </c>
      <c r="B84" s="2">
        <v>46214</v>
      </c>
      <c r="C84" s="1" t="s">
        <v>10</v>
      </c>
      <c r="D84" s="1">
        <f t="shared" si="1"/>
        <v>7</v>
      </c>
    </row>
    <row r="85" spans="1:4" x14ac:dyDescent="0.35">
      <c r="A85" s="1">
        <v>43199</v>
      </c>
      <c r="B85" s="2">
        <v>46214</v>
      </c>
      <c r="C85" s="1" t="s">
        <v>10</v>
      </c>
      <c r="D85" s="1">
        <f t="shared" si="1"/>
        <v>7</v>
      </c>
    </row>
    <row r="86" spans="1:4" x14ac:dyDescent="0.35">
      <c r="A86" s="1">
        <v>43258</v>
      </c>
      <c r="B86" s="2">
        <v>46216</v>
      </c>
      <c r="C86" s="1" t="s">
        <v>9</v>
      </c>
      <c r="D86" s="1">
        <f t="shared" si="1"/>
        <v>7</v>
      </c>
    </row>
    <row r="87" spans="1:4" x14ac:dyDescent="0.35">
      <c r="A87" s="1">
        <v>43254</v>
      </c>
      <c r="B87" s="2">
        <v>46216</v>
      </c>
      <c r="C87" s="1" t="s">
        <v>4</v>
      </c>
      <c r="D87" s="1">
        <f t="shared" si="1"/>
        <v>7</v>
      </c>
    </row>
    <row r="88" spans="1:4" x14ac:dyDescent="0.35">
      <c r="A88" s="1">
        <v>43244</v>
      </c>
      <c r="B88" s="2">
        <v>46216</v>
      </c>
      <c r="C88" s="1" t="s">
        <v>9</v>
      </c>
      <c r="D88" s="1">
        <f t="shared" si="1"/>
        <v>7</v>
      </c>
    </row>
    <row r="89" spans="1:4" x14ac:dyDescent="0.35">
      <c r="A89" s="1">
        <v>43243</v>
      </c>
      <c r="B89" s="2">
        <v>46216</v>
      </c>
      <c r="C89" s="1" t="s">
        <v>4</v>
      </c>
      <c r="D89" s="1">
        <f t="shared" si="1"/>
        <v>7</v>
      </c>
    </row>
    <row r="90" spans="1:4" x14ac:dyDescent="0.35">
      <c r="A90" s="1">
        <v>43242</v>
      </c>
      <c r="B90" s="2">
        <v>46216</v>
      </c>
      <c r="C90" s="1" t="s">
        <v>4</v>
      </c>
      <c r="D90" s="1">
        <f t="shared" si="1"/>
        <v>7</v>
      </c>
    </row>
    <row r="91" spans="1:4" x14ac:dyDescent="0.35">
      <c r="A91" s="1">
        <v>43238</v>
      </c>
      <c r="B91" s="2">
        <v>46216</v>
      </c>
      <c r="C91" s="1" t="s">
        <v>9</v>
      </c>
      <c r="D91" s="1">
        <f t="shared" si="1"/>
        <v>7</v>
      </c>
    </row>
    <row r="92" spans="1:4" x14ac:dyDescent="0.35">
      <c r="A92" s="1">
        <v>43224</v>
      </c>
      <c r="B92" s="2">
        <v>46216</v>
      </c>
      <c r="C92" s="1" t="s">
        <v>8</v>
      </c>
      <c r="D92" s="1">
        <f t="shared" si="1"/>
        <v>7</v>
      </c>
    </row>
    <row r="93" spans="1:4" x14ac:dyDescent="0.35">
      <c r="A93" s="1">
        <v>43223</v>
      </c>
      <c r="B93" s="2">
        <v>46216</v>
      </c>
      <c r="C93" s="1" t="s">
        <v>8</v>
      </c>
      <c r="D93" s="1">
        <f t="shared" si="1"/>
        <v>7</v>
      </c>
    </row>
    <row r="94" spans="1:4" x14ac:dyDescent="0.35">
      <c r="A94" s="1">
        <v>43269</v>
      </c>
      <c r="B94" s="2">
        <v>46217</v>
      </c>
      <c r="C94" s="1" t="s">
        <v>9</v>
      </c>
      <c r="D94" s="1">
        <f t="shared" si="1"/>
        <v>7</v>
      </c>
    </row>
    <row r="95" spans="1:4" x14ac:dyDescent="0.35">
      <c r="A95" s="1">
        <v>43268</v>
      </c>
      <c r="B95" s="2">
        <v>46217</v>
      </c>
      <c r="C95" s="1" t="s">
        <v>8</v>
      </c>
      <c r="D95" s="1">
        <f t="shared" si="1"/>
        <v>7</v>
      </c>
    </row>
    <row r="96" spans="1:4" x14ac:dyDescent="0.35">
      <c r="A96" s="1">
        <v>43267</v>
      </c>
      <c r="B96" s="2">
        <v>46217</v>
      </c>
      <c r="C96" s="1" t="s">
        <v>8</v>
      </c>
      <c r="D96" s="1">
        <f t="shared" si="1"/>
        <v>7</v>
      </c>
    </row>
    <row r="97" spans="1:4" x14ac:dyDescent="0.35">
      <c r="A97" s="1">
        <v>43306</v>
      </c>
      <c r="B97" s="2">
        <v>46217</v>
      </c>
      <c r="C97" s="1" t="s">
        <v>11</v>
      </c>
      <c r="D97" s="1">
        <f t="shared" si="1"/>
        <v>7</v>
      </c>
    </row>
    <row r="98" spans="1:4" x14ac:dyDescent="0.35">
      <c r="A98" s="1">
        <v>43305</v>
      </c>
      <c r="B98" s="2">
        <v>46217</v>
      </c>
      <c r="C98" s="1" t="s">
        <v>11</v>
      </c>
      <c r="D98" s="1">
        <f t="shared" si="1"/>
        <v>7</v>
      </c>
    </row>
    <row r="99" spans="1:4" x14ac:dyDescent="0.35">
      <c r="A99" s="1">
        <v>43287</v>
      </c>
      <c r="B99" s="2">
        <v>46217</v>
      </c>
      <c r="C99" s="1" t="s">
        <v>9</v>
      </c>
      <c r="D99" s="1">
        <f t="shared" si="1"/>
        <v>7</v>
      </c>
    </row>
    <row r="100" spans="1:4" x14ac:dyDescent="0.35">
      <c r="A100" s="1">
        <v>43286</v>
      </c>
      <c r="B100" s="2">
        <v>46217</v>
      </c>
      <c r="C100" s="1" t="s">
        <v>9</v>
      </c>
      <c r="D100" s="1">
        <f t="shared" si="1"/>
        <v>7</v>
      </c>
    </row>
    <row r="101" spans="1:4" x14ac:dyDescent="0.35">
      <c r="A101" s="1">
        <v>43284</v>
      </c>
      <c r="B101" s="2">
        <v>46217</v>
      </c>
      <c r="C101" s="1" t="s">
        <v>6</v>
      </c>
      <c r="D101" s="1">
        <f t="shared" si="1"/>
        <v>7</v>
      </c>
    </row>
    <row r="102" spans="1:4" x14ac:dyDescent="0.35">
      <c r="A102" s="1">
        <v>43283</v>
      </c>
      <c r="B102" s="2">
        <v>46217</v>
      </c>
      <c r="C102" s="1" t="s">
        <v>6</v>
      </c>
      <c r="D102" s="1">
        <f t="shared" si="1"/>
        <v>7</v>
      </c>
    </row>
    <row r="103" spans="1:4" x14ac:dyDescent="0.35">
      <c r="A103" s="1">
        <v>43275</v>
      </c>
      <c r="B103" s="2">
        <v>46217</v>
      </c>
      <c r="C103" s="1" t="s">
        <v>4</v>
      </c>
      <c r="D103" s="1">
        <f t="shared" si="1"/>
        <v>7</v>
      </c>
    </row>
    <row r="104" spans="1:4" x14ac:dyDescent="0.35">
      <c r="A104" s="1">
        <v>43274</v>
      </c>
      <c r="B104" s="2">
        <v>46217</v>
      </c>
      <c r="C104" s="1" t="s">
        <v>4</v>
      </c>
      <c r="D104" s="1">
        <f t="shared" si="1"/>
        <v>7</v>
      </c>
    </row>
    <row r="105" spans="1:4" x14ac:dyDescent="0.35">
      <c r="A105" s="1">
        <v>43273</v>
      </c>
      <c r="B105" s="2">
        <v>46217</v>
      </c>
      <c r="C105" s="1" t="s">
        <v>4</v>
      </c>
      <c r="D105" s="1">
        <f t="shared" si="1"/>
        <v>7</v>
      </c>
    </row>
    <row r="106" spans="1:4" x14ac:dyDescent="0.35">
      <c r="A106" s="1">
        <v>43271</v>
      </c>
      <c r="B106" s="2">
        <v>46217</v>
      </c>
      <c r="C106" s="1" t="s">
        <v>9</v>
      </c>
      <c r="D106" s="1">
        <f t="shared" si="1"/>
        <v>7</v>
      </c>
    </row>
    <row r="107" spans="1:4" x14ac:dyDescent="0.35">
      <c r="A107" s="1">
        <v>43282</v>
      </c>
      <c r="B107" s="2">
        <v>46217</v>
      </c>
      <c r="C107" s="1" t="s">
        <v>12</v>
      </c>
      <c r="D107" s="1">
        <f t="shared" si="1"/>
        <v>7</v>
      </c>
    </row>
    <row r="108" spans="1:4" x14ac:dyDescent="0.35">
      <c r="A108" s="1">
        <v>43281</v>
      </c>
      <c r="B108" s="2">
        <v>46217</v>
      </c>
      <c r="C108" s="1" t="s">
        <v>12</v>
      </c>
      <c r="D108" s="1">
        <f t="shared" si="1"/>
        <v>7</v>
      </c>
    </row>
    <row r="109" spans="1:4" x14ac:dyDescent="0.35">
      <c r="A109" s="1">
        <v>43280</v>
      </c>
      <c r="B109" s="2">
        <v>46217</v>
      </c>
      <c r="C109" s="1" t="s">
        <v>12</v>
      </c>
      <c r="D109" s="1">
        <f t="shared" si="1"/>
        <v>7</v>
      </c>
    </row>
    <row r="110" spans="1:4" x14ac:dyDescent="0.35">
      <c r="A110" s="1">
        <v>43279</v>
      </c>
      <c r="B110" s="2">
        <v>46217</v>
      </c>
      <c r="C110" s="1" t="s">
        <v>12</v>
      </c>
      <c r="D110" s="1">
        <f t="shared" si="1"/>
        <v>7</v>
      </c>
    </row>
    <row r="111" spans="1:4" x14ac:dyDescent="0.35">
      <c r="A111" s="1">
        <v>43277</v>
      </c>
      <c r="B111" s="2">
        <v>46217</v>
      </c>
      <c r="C111" s="1" t="s">
        <v>12</v>
      </c>
      <c r="D111" s="1">
        <f t="shared" si="1"/>
        <v>7</v>
      </c>
    </row>
    <row r="112" spans="1:4" x14ac:dyDescent="0.35">
      <c r="A112" s="1">
        <v>43278</v>
      </c>
      <c r="B112" s="2">
        <v>46217</v>
      </c>
      <c r="C112" s="1" t="s">
        <v>13</v>
      </c>
      <c r="D112" s="1">
        <f t="shared" si="1"/>
        <v>7</v>
      </c>
    </row>
    <row r="113" spans="1:4" x14ac:dyDescent="0.35">
      <c r="A113" s="1">
        <v>43276</v>
      </c>
      <c r="B113" s="2">
        <v>46217</v>
      </c>
      <c r="C113" s="1" t="s">
        <v>13</v>
      </c>
      <c r="D113" s="1">
        <f t="shared" si="1"/>
        <v>7</v>
      </c>
    </row>
    <row r="114" spans="1:4" x14ac:dyDescent="0.35">
      <c r="A114" s="1">
        <v>43376</v>
      </c>
      <c r="B114" s="2">
        <v>46218</v>
      </c>
      <c r="C114" s="1" t="s">
        <v>10</v>
      </c>
      <c r="D114" s="1">
        <f t="shared" si="1"/>
        <v>7</v>
      </c>
    </row>
    <row r="115" spans="1:4" x14ac:dyDescent="0.35">
      <c r="A115" s="1">
        <v>43371</v>
      </c>
      <c r="B115" s="2">
        <v>46218</v>
      </c>
      <c r="C115" s="1" t="s">
        <v>11</v>
      </c>
      <c r="D115" s="1">
        <f t="shared" si="1"/>
        <v>7</v>
      </c>
    </row>
    <row r="116" spans="1:4" x14ac:dyDescent="0.35">
      <c r="A116" s="1">
        <v>43367</v>
      </c>
      <c r="B116" s="2">
        <v>46218</v>
      </c>
      <c r="C116" s="1" t="s">
        <v>6</v>
      </c>
      <c r="D116" s="1">
        <f t="shared" si="1"/>
        <v>7</v>
      </c>
    </row>
    <row r="117" spans="1:4" x14ac:dyDescent="0.35">
      <c r="A117" s="1">
        <v>43366</v>
      </c>
      <c r="B117" s="2">
        <v>46218</v>
      </c>
      <c r="C117" s="1" t="s">
        <v>6</v>
      </c>
      <c r="D117" s="1">
        <f t="shared" si="1"/>
        <v>7</v>
      </c>
    </row>
    <row r="118" spans="1:4" x14ac:dyDescent="0.35">
      <c r="A118" s="1">
        <v>43357</v>
      </c>
      <c r="B118" s="2">
        <v>46218</v>
      </c>
      <c r="C118" s="1" t="s">
        <v>3</v>
      </c>
      <c r="D118" s="1">
        <f t="shared" si="1"/>
        <v>7</v>
      </c>
    </row>
    <row r="119" spans="1:4" x14ac:dyDescent="0.35">
      <c r="A119" s="1">
        <v>43356</v>
      </c>
      <c r="B119" s="2">
        <v>46218</v>
      </c>
      <c r="C119" s="1" t="s">
        <v>3</v>
      </c>
      <c r="D119" s="1">
        <f t="shared" si="1"/>
        <v>7</v>
      </c>
    </row>
    <row r="120" spans="1:4" x14ac:dyDescent="0.35">
      <c r="A120" s="1">
        <v>43355</v>
      </c>
      <c r="B120" s="2">
        <v>46218</v>
      </c>
      <c r="C120" s="1" t="s">
        <v>9</v>
      </c>
      <c r="D120" s="1">
        <f t="shared" si="1"/>
        <v>7</v>
      </c>
    </row>
    <row r="121" spans="1:4" x14ac:dyDescent="0.35">
      <c r="A121" s="1">
        <v>43354</v>
      </c>
      <c r="B121" s="2">
        <v>46218</v>
      </c>
      <c r="C121" s="1" t="s">
        <v>9</v>
      </c>
      <c r="D121" s="1">
        <f t="shared" si="1"/>
        <v>7</v>
      </c>
    </row>
    <row r="122" spans="1:4" x14ac:dyDescent="0.35">
      <c r="A122" s="1">
        <v>43341</v>
      </c>
      <c r="B122" s="2">
        <v>46218</v>
      </c>
      <c r="C122" s="1" t="s">
        <v>14</v>
      </c>
      <c r="D122" s="1">
        <f t="shared" si="1"/>
        <v>7</v>
      </c>
    </row>
    <row r="123" spans="1:4" x14ac:dyDescent="0.35">
      <c r="A123" s="1">
        <v>43340</v>
      </c>
      <c r="B123" s="2">
        <v>46218</v>
      </c>
      <c r="C123" s="1" t="s">
        <v>14</v>
      </c>
      <c r="D123" s="1">
        <f t="shared" si="1"/>
        <v>7</v>
      </c>
    </row>
    <row r="124" spans="1:4" x14ac:dyDescent="0.35">
      <c r="A124" s="1">
        <v>43339</v>
      </c>
      <c r="B124" s="2">
        <v>46218</v>
      </c>
      <c r="C124" s="1" t="s">
        <v>4</v>
      </c>
      <c r="D124" s="1">
        <f t="shared" si="1"/>
        <v>7</v>
      </c>
    </row>
    <row r="125" spans="1:4" x14ac:dyDescent="0.35">
      <c r="A125" s="1">
        <v>43338</v>
      </c>
      <c r="B125" s="2">
        <v>46218</v>
      </c>
      <c r="C125" s="1" t="s">
        <v>4</v>
      </c>
      <c r="D125" s="1">
        <f t="shared" si="1"/>
        <v>7</v>
      </c>
    </row>
    <row r="126" spans="1:4" x14ac:dyDescent="0.35">
      <c r="A126" s="1">
        <v>43329</v>
      </c>
      <c r="B126" s="2">
        <v>46218</v>
      </c>
      <c r="C126" s="1" t="s">
        <v>8</v>
      </c>
      <c r="D126" s="1">
        <f t="shared" si="1"/>
        <v>7</v>
      </c>
    </row>
    <row r="127" spans="1:4" x14ac:dyDescent="0.35">
      <c r="A127" s="1">
        <v>43328</v>
      </c>
      <c r="B127" s="2">
        <v>46218</v>
      </c>
      <c r="C127" s="1" t="s">
        <v>8</v>
      </c>
      <c r="D127" s="1">
        <f t="shared" si="1"/>
        <v>7</v>
      </c>
    </row>
    <row r="128" spans="1:4" x14ac:dyDescent="0.35">
      <c r="A128" s="1">
        <v>43352</v>
      </c>
      <c r="B128" s="2">
        <v>46218</v>
      </c>
      <c r="C128" s="1" t="s">
        <v>12</v>
      </c>
      <c r="D128" s="1">
        <f t="shared" si="1"/>
        <v>7</v>
      </c>
    </row>
    <row r="129" spans="1:4" x14ac:dyDescent="0.35">
      <c r="A129" s="1">
        <v>43351</v>
      </c>
      <c r="B129" s="2">
        <v>46218</v>
      </c>
      <c r="C129" s="1" t="s">
        <v>12</v>
      </c>
      <c r="D129" s="1">
        <f t="shared" si="1"/>
        <v>7</v>
      </c>
    </row>
    <row r="130" spans="1:4" x14ac:dyDescent="0.35">
      <c r="A130" s="1">
        <v>43349</v>
      </c>
      <c r="B130" s="2">
        <v>46218</v>
      </c>
      <c r="C130" s="1" t="s">
        <v>12</v>
      </c>
      <c r="D130" s="1">
        <f t="shared" ref="D130:D193" si="2">MONTH(B130)</f>
        <v>7</v>
      </c>
    </row>
    <row r="131" spans="1:4" x14ac:dyDescent="0.35">
      <c r="A131" s="1">
        <v>43347</v>
      </c>
      <c r="B131" s="2">
        <v>46218</v>
      </c>
      <c r="C131" s="1" t="s">
        <v>12</v>
      </c>
      <c r="D131" s="1">
        <f t="shared" si="2"/>
        <v>7</v>
      </c>
    </row>
    <row r="132" spans="1:4" x14ac:dyDescent="0.35">
      <c r="A132" s="1">
        <v>43345</v>
      </c>
      <c r="B132" s="2">
        <v>46218</v>
      </c>
      <c r="C132" s="1" t="s">
        <v>12</v>
      </c>
      <c r="D132" s="1">
        <f t="shared" si="2"/>
        <v>7</v>
      </c>
    </row>
    <row r="133" spans="1:4" x14ac:dyDescent="0.35">
      <c r="A133" s="1">
        <v>43331</v>
      </c>
      <c r="B133" s="2">
        <v>46218</v>
      </c>
      <c r="C133" s="1" t="s">
        <v>13</v>
      </c>
      <c r="D133" s="1">
        <f t="shared" si="2"/>
        <v>7</v>
      </c>
    </row>
    <row r="134" spans="1:4" x14ac:dyDescent="0.35">
      <c r="A134" s="1">
        <v>43330</v>
      </c>
      <c r="B134" s="2">
        <v>46218</v>
      </c>
      <c r="C134" s="1" t="s">
        <v>13</v>
      </c>
      <c r="D134" s="1">
        <f t="shared" si="2"/>
        <v>7</v>
      </c>
    </row>
    <row r="135" spans="1:4" x14ac:dyDescent="0.35">
      <c r="A135" s="1">
        <v>43409</v>
      </c>
      <c r="B135" s="2">
        <v>46219</v>
      </c>
      <c r="C135" s="1" t="s">
        <v>12</v>
      </c>
      <c r="D135" s="1">
        <f t="shared" si="2"/>
        <v>7</v>
      </c>
    </row>
    <row r="136" spans="1:4" x14ac:dyDescent="0.35">
      <c r="A136" s="1">
        <v>43408</v>
      </c>
      <c r="B136" s="2">
        <v>46219</v>
      </c>
      <c r="C136" s="1" t="s">
        <v>12</v>
      </c>
      <c r="D136" s="1">
        <f t="shared" si="2"/>
        <v>7</v>
      </c>
    </row>
    <row r="137" spans="1:4" x14ac:dyDescent="0.35">
      <c r="A137" s="1">
        <v>43397</v>
      </c>
      <c r="B137" s="2">
        <v>46219</v>
      </c>
      <c r="C137" s="1" t="s">
        <v>4</v>
      </c>
      <c r="D137" s="1">
        <f t="shared" si="2"/>
        <v>7</v>
      </c>
    </row>
    <row r="138" spans="1:4" x14ac:dyDescent="0.35">
      <c r="A138" s="1">
        <v>43396</v>
      </c>
      <c r="B138" s="2">
        <v>46219</v>
      </c>
      <c r="C138" s="1" t="s">
        <v>4</v>
      </c>
      <c r="D138" s="1">
        <f t="shared" si="2"/>
        <v>7</v>
      </c>
    </row>
    <row r="139" spans="1:4" x14ac:dyDescent="0.35">
      <c r="A139" s="1">
        <v>43395</v>
      </c>
      <c r="B139" s="2">
        <v>46219</v>
      </c>
      <c r="C139" s="1" t="s">
        <v>4</v>
      </c>
      <c r="D139" s="1">
        <f t="shared" si="2"/>
        <v>7</v>
      </c>
    </row>
    <row r="140" spans="1:4" x14ac:dyDescent="0.35">
      <c r="A140" s="1">
        <v>43440</v>
      </c>
      <c r="B140" s="2">
        <v>46219</v>
      </c>
      <c r="C140" s="1" t="s">
        <v>15</v>
      </c>
      <c r="D140" s="1">
        <f t="shared" si="2"/>
        <v>7</v>
      </c>
    </row>
    <row r="141" spans="1:4" x14ac:dyDescent="0.35">
      <c r="A141" s="1">
        <v>43439</v>
      </c>
      <c r="B141" s="2">
        <v>46219</v>
      </c>
      <c r="C141" s="1" t="s">
        <v>15</v>
      </c>
      <c r="D141" s="1">
        <f t="shared" si="2"/>
        <v>7</v>
      </c>
    </row>
    <row r="142" spans="1:4" x14ac:dyDescent="0.35">
      <c r="A142" s="1">
        <v>43438</v>
      </c>
      <c r="B142" s="2">
        <v>46219</v>
      </c>
      <c r="C142" s="1" t="s">
        <v>15</v>
      </c>
      <c r="D142" s="1">
        <f t="shared" si="2"/>
        <v>7</v>
      </c>
    </row>
    <row r="143" spans="1:4" x14ac:dyDescent="0.35">
      <c r="A143" s="1">
        <v>43435</v>
      </c>
      <c r="B143" s="2">
        <v>46219</v>
      </c>
      <c r="C143" s="1" t="s">
        <v>10</v>
      </c>
      <c r="D143" s="1">
        <f t="shared" si="2"/>
        <v>7</v>
      </c>
    </row>
    <row r="144" spans="1:4" x14ac:dyDescent="0.35">
      <c r="A144" s="1">
        <v>43434</v>
      </c>
      <c r="B144" s="2">
        <v>46219</v>
      </c>
      <c r="C144" s="1" t="s">
        <v>10</v>
      </c>
      <c r="D144" s="1">
        <f t="shared" si="2"/>
        <v>7</v>
      </c>
    </row>
    <row r="145" spans="1:4" x14ac:dyDescent="0.35">
      <c r="A145" s="1">
        <v>43429</v>
      </c>
      <c r="B145" s="2">
        <v>46219</v>
      </c>
      <c r="C145" s="1" t="s">
        <v>16</v>
      </c>
      <c r="D145" s="1">
        <f t="shared" si="2"/>
        <v>7</v>
      </c>
    </row>
    <row r="146" spans="1:4" x14ac:dyDescent="0.35">
      <c r="A146" s="1">
        <v>43428</v>
      </c>
      <c r="B146" s="2">
        <v>46219</v>
      </c>
      <c r="C146" s="1" t="s">
        <v>16</v>
      </c>
      <c r="D146" s="1">
        <f t="shared" si="2"/>
        <v>7</v>
      </c>
    </row>
    <row r="147" spans="1:4" x14ac:dyDescent="0.35">
      <c r="A147" s="1">
        <v>43427</v>
      </c>
      <c r="B147" s="2">
        <v>46219</v>
      </c>
      <c r="C147" s="1" t="s">
        <v>16</v>
      </c>
      <c r="D147" s="1">
        <f t="shared" si="2"/>
        <v>7</v>
      </c>
    </row>
    <row r="148" spans="1:4" x14ac:dyDescent="0.35">
      <c r="A148" s="1">
        <v>43426</v>
      </c>
      <c r="B148" s="2">
        <v>46219</v>
      </c>
      <c r="C148" s="1" t="s">
        <v>16</v>
      </c>
      <c r="D148" s="1">
        <f t="shared" si="2"/>
        <v>7</v>
      </c>
    </row>
    <row r="149" spans="1:4" x14ac:dyDescent="0.35">
      <c r="A149" s="1">
        <v>43425</v>
      </c>
      <c r="B149" s="2">
        <v>46219</v>
      </c>
      <c r="C149" s="1" t="s">
        <v>16</v>
      </c>
      <c r="D149" s="1">
        <f t="shared" si="2"/>
        <v>7</v>
      </c>
    </row>
    <row r="150" spans="1:4" x14ac:dyDescent="0.35">
      <c r="A150" s="1">
        <v>43424</v>
      </c>
      <c r="B150" s="2">
        <v>46219</v>
      </c>
      <c r="C150" s="1" t="s">
        <v>11</v>
      </c>
      <c r="D150" s="1">
        <f t="shared" si="2"/>
        <v>7</v>
      </c>
    </row>
    <row r="151" spans="1:4" x14ac:dyDescent="0.35">
      <c r="A151" s="1">
        <v>43420</v>
      </c>
      <c r="B151" s="2">
        <v>46219</v>
      </c>
      <c r="C151" s="1" t="s">
        <v>6</v>
      </c>
      <c r="D151" s="1">
        <f t="shared" si="2"/>
        <v>7</v>
      </c>
    </row>
    <row r="152" spans="1:4" x14ac:dyDescent="0.35">
      <c r="A152" s="1">
        <v>43419</v>
      </c>
      <c r="B152" s="2">
        <v>46219</v>
      </c>
      <c r="C152" s="1" t="s">
        <v>6</v>
      </c>
      <c r="D152" s="1">
        <f t="shared" si="2"/>
        <v>7</v>
      </c>
    </row>
    <row r="153" spans="1:4" x14ac:dyDescent="0.35">
      <c r="A153" s="1">
        <v>43418</v>
      </c>
      <c r="B153" s="2">
        <v>46219</v>
      </c>
      <c r="C153" s="1" t="s">
        <v>6</v>
      </c>
      <c r="D153" s="1">
        <f t="shared" si="2"/>
        <v>7</v>
      </c>
    </row>
    <row r="154" spans="1:4" x14ac:dyDescent="0.35">
      <c r="A154" s="1">
        <v>43417</v>
      </c>
      <c r="B154" s="2">
        <v>46219</v>
      </c>
      <c r="C154" s="1" t="s">
        <v>14</v>
      </c>
      <c r="D154" s="1">
        <f t="shared" si="2"/>
        <v>7</v>
      </c>
    </row>
    <row r="155" spans="1:4" x14ac:dyDescent="0.35">
      <c r="A155" s="1">
        <v>43416</v>
      </c>
      <c r="B155" s="2">
        <v>46219</v>
      </c>
      <c r="C155" s="1" t="s">
        <v>14</v>
      </c>
      <c r="D155" s="1">
        <f t="shared" si="2"/>
        <v>7</v>
      </c>
    </row>
    <row r="156" spans="1:4" x14ac:dyDescent="0.35">
      <c r="A156" s="1">
        <v>43407</v>
      </c>
      <c r="B156" s="2">
        <v>46219</v>
      </c>
      <c r="C156" s="1" t="s">
        <v>12</v>
      </c>
      <c r="D156" s="1">
        <f t="shared" si="2"/>
        <v>7</v>
      </c>
    </row>
    <row r="157" spans="1:4" x14ac:dyDescent="0.35">
      <c r="A157" s="1">
        <v>43406</v>
      </c>
      <c r="B157" s="2">
        <v>46219</v>
      </c>
      <c r="C157" s="1" t="s">
        <v>12</v>
      </c>
      <c r="D157" s="1">
        <f t="shared" si="2"/>
        <v>7</v>
      </c>
    </row>
    <row r="158" spans="1:4" x14ac:dyDescent="0.35">
      <c r="A158" s="1">
        <v>43405</v>
      </c>
      <c r="B158" s="2">
        <v>46219</v>
      </c>
      <c r="C158" s="1" t="s">
        <v>12</v>
      </c>
      <c r="D158" s="1">
        <f t="shared" si="2"/>
        <v>7</v>
      </c>
    </row>
    <row r="159" spans="1:4" x14ac:dyDescent="0.35">
      <c r="A159" s="1">
        <v>43384</v>
      </c>
      <c r="B159" s="2">
        <v>46219</v>
      </c>
      <c r="C159" s="1" t="s">
        <v>13</v>
      </c>
      <c r="D159" s="1">
        <f t="shared" si="2"/>
        <v>7</v>
      </c>
    </row>
    <row r="160" spans="1:4" x14ac:dyDescent="0.35">
      <c r="A160" s="1">
        <v>43383</v>
      </c>
      <c r="B160" s="2">
        <v>46219</v>
      </c>
      <c r="C160" s="1" t="s">
        <v>13</v>
      </c>
      <c r="D160" s="1">
        <f t="shared" si="2"/>
        <v>7</v>
      </c>
    </row>
    <row r="161" spans="1:4" x14ac:dyDescent="0.35">
      <c r="A161" s="1">
        <v>43476</v>
      </c>
      <c r="B161" s="2">
        <v>46220</v>
      </c>
      <c r="C161" s="1" t="s">
        <v>12</v>
      </c>
      <c r="D161" s="1">
        <f t="shared" si="2"/>
        <v>7</v>
      </c>
    </row>
    <row r="162" spans="1:4" x14ac:dyDescent="0.35">
      <c r="A162" s="1">
        <v>43475</v>
      </c>
      <c r="B162" s="2">
        <v>46220</v>
      </c>
      <c r="C162" s="1" t="s">
        <v>12</v>
      </c>
      <c r="D162" s="1">
        <f t="shared" si="2"/>
        <v>7</v>
      </c>
    </row>
    <row r="163" spans="1:4" x14ac:dyDescent="0.35">
      <c r="A163" s="1">
        <v>43474</v>
      </c>
      <c r="B163" s="2">
        <v>46220</v>
      </c>
      <c r="C163" s="1" t="s">
        <v>12</v>
      </c>
      <c r="D163" s="1">
        <f t="shared" si="2"/>
        <v>7</v>
      </c>
    </row>
    <row r="164" spans="1:4" x14ac:dyDescent="0.35">
      <c r="A164" s="1">
        <v>43473</v>
      </c>
      <c r="B164" s="2">
        <v>46220</v>
      </c>
      <c r="C164" s="1" t="s">
        <v>12</v>
      </c>
      <c r="D164" s="1">
        <f t="shared" si="2"/>
        <v>7</v>
      </c>
    </row>
    <row r="165" spans="1:4" x14ac:dyDescent="0.35">
      <c r="A165" s="1">
        <v>43471</v>
      </c>
      <c r="B165" s="2">
        <v>46220</v>
      </c>
      <c r="C165" s="1" t="s">
        <v>10</v>
      </c>
      <c r="D165" s="1">
        <f t="shared" si="2"/>
        <v>7</v>
      </c>
    </row>
    <row r="166" spans="1:4" x14ac:dyDescent="0.35">
      <c r="A166" s="1">
        <v>43470</v>
      </c>
      <c r="B166" s="2">
        <v>46220</v>
      </c>
      <c r="C166" s="1" t="s">
        <v>10</v>
      </c>
      <c r="D166" s="1">
        <f t="shared" si="2"/>
        <v>7</v>
      </c>
    </row>
    <row r="167" spans="1:4" x14ac:dyDescent="0.35">
      <c r="A167" s="1">
        <v>43469</v>
      </c>
      <c r="B167" s="2">
        <v>46220</v>
      </c>
      <c r="C167" s="1" t="s">
        <v>16</v>
      </c>
      <c r="D167" s="1">
        <f t="shared" si="2"/>
        <v>7</v>
      </c>
    </row>
    <row r="168" spans="1:4" x14ac:dyDescent="0.35">
      <c r="A168" s="1">
        <v>43468</v>
      </c>
      <c r="B168" s="2">
        <v>46220</v>
      </c>
      <c r="C168" s="1" t="s">
        <v>16</v>
      </c>
      <c r="D168" s="1">
        <f t="shared" si="2"/>
        <v>7</v>
      </c>
    </row>
    <row r="169" spans="1:4" x14ac:dyDescent="0.35">
      <c r="A169" s="1">
        <v>43467</v>
      </c>
      <c r="B169" s="2">
        <v>46220</v>
      </c>
      <c r="C169" s="1" t="s">
        <v>16</v>
      </c>
      <c r="D169" s="1">
        <f t="shared" si="2"/>
        <v>7</v>
      </c>
    </row>
    <row r="170" spans="1:4" x14ac:dyDescent="0.35">
      <c r="A170" s="1">
        <v>43466</v>
      </c>
      <c r="B170" s="2">
        <v>46220</v>
      </c>
      <c r="C170" s="1" t="s">
        <v>16</v>
      </c>
      <c r="D170" s="1">
        <f t="shared" si="2"/>
        <v>7</v>
      </c>
    </row>
    <row r="171" spans="1:4" x14ac:dyDescent="0.35">
      <c r="A171" s="1">
        <v>43465</v>
      </c>
      <c r="B171" s="2">
        <v>46220</v>
      </c>
      <c r="C171" s="1" t="s">
        <v>16</v>
      </c>
      <c r="D171" s="1">
        <f t="shared" si="2"/>
        <v>7</v>
      </c>
    </row>
    <row r="172" spans="1:4" x14ac:dyDescent="0.35">
      <c r="A172" s="1">
        <v>43464</v>
      </c>
      <c r="B172" s="2">
        <v>46220</v>
      </c>
      <c r="C172" s="1" t="s">
        <v>6</v>
      </c>
      <c r="D172" s="1">
        <f t="shared" si="2"/>
        <v>7</v>
      </c>
    </row>
    <row r="173" spans="1:4" x14ac:dyDescent="0.35">
      <c r="A173" s="1">
        <v>43463</v>
      </c>
      <c r="B173" s="2">
        <v>46220</v>
      </c>
      <c r="C173" s="1" t="s">
        <v>6</v>
      </c>
      <c r="D173" s="1">
        <f t="shared" si="2"/>
        <v>7</v>
      </c>
    </row>
    <row r="174" spans="1:4" x14ac:dyDescent="0.35">
      <c r="A174" s="1">
        <v>43462</v>
      </c>
      <c r="B174" s="2">
        <v>46220</v>
      </c>
      <c r="C174" s="1" t="s">
        <v>6</v>
      </c>
      <c r="D174" s="1">
        <f t="shared" si="2"/>
        <v>7</v>
      </c>
    </row>
    <row r="175" spans="1:4" x14ac:dyDescent="0.35">
      <c r="A175" s="1">
        <v>43447</v>
      </c>
      <c r="B175" s="2">
        <v>46220</v>
      </c>
      <c r="C175" s="1" t="s">
        <v>17</v>
      </c>
      <c r="D175" s="1">
        <f t="shared" si="2"/>
        <v>7</v>
      </c>
    </row>
    <row r="176" spans="1:4" x14ac:dyDescent="0.35">
      <c r="A176" s="1">
        <v>43444</v>
      </c>
      <c r="B176" s="2">
        <v>46220</v>
      </c>
      <c r="C176" s="1" t="s">
        <v>17</v>
      </c>
      <c r="D176" s="1">
        <f t="shared" si="2"/>
        <v>7</v>
      </c>
    </row>
    <row r="177" spans="1:4" x14ac:dyDescent="0.35">
      <c r="A177" s="1">
        <v>43442</v>
      </c>
      <c r="B177" s="2">
        <v>46220</v>
      </c>
      <c r="C177" s="1" t="s">
        <v>4</v>
      </c>
      <c r="D177" s="1">
        <f t="shared" si="2"/>
        <v>7</v>
      </c>
    </row>
    <row r="178" spans="1:4" x14ac:dyDescent="0.35">
      <c r="A178" s="1">
        <v>43441</v>
      </c>
      <c r="B178" s="2">
        <v>46220</v>
      </c>
      <c r="C178" s="1" t="s">
        <v>4</v>
      </c>
      <c r="D178" s="1">
        <f t="shared" si="2"/>
        <v>7</v>
      </c>
    </row>
    <row r="179" spans="1:4" x14ac:dyDescent="0.35">
      <c r="A179" s="1">
        <v>43472</v>
      </c>
      <c r="B179" s="2">
        <v>46220</v>
      </c>
      <c r="C179" s="1" t="s">
        <v>12</v>
      </c>
      <c r="D179" s="1">
        <f t="shared" si="2"/>
        <v>7</v>
      </c>
    </row>
    <row r="180" spans="1:4" x14ac:dyDescent="0.35">
      <c r="A180" s="1">
        <v>43486</v>
      </c>
      <c r="B180" s="2">
        <v>46221</v>
      </c>
      <c r="C180" s="1" t="s">
        <v>17</v>
      </c>
      <c r="D180" s="1">
        <f t="shared" si="2"/>
        <v>7</v>
      </c>
    </row>
    <row r="181" spans="1:4" x14ac:dyDescent="0.35">
      <c r="A181" s="1">
        <v>43485</v>
      </c>
      <c r="B181" s="2">
        <v>46221</v>
      </c>
      <c r="C181" s="1" t="s">
        <v>17</v>
      </c>
      <c r="D181" s="1">
        <f t="shared" si="2"/>
        <v>7</v>
      </c>
    </row>
    <row r="182" spans="1:4" x14ac:dyDescent="0.35">
      <c r="A182" s="1">
        <v>43481</v>
      </c>
      <c r="B182" s="2">
        <v>46221</v>
      </c>
      <c r="C182" s="1" t="s">
        <v>8</v>
      </c>
      <c r="D182" s="1">
        <f t="shared" si="2"/>
        <v>7</v>
      </c>
    </row>
    <row r="183" spans="1:4" x14ac:dyDescent="0.35">
      <c r="A183" s="1">
        <v>43480</v>
      </c>
      <c r="B183" s="2">
        <v>46221</v>
      </c>
      <c r="C183" s="1" t="s">
        <v>8</v>
      </c>
      <c r="D183" s="1">
        <f t="shared" si="2"/>
        <v>7</v>
      </c>
    </row>
    <row r="184" spans="1:4" x14ac:dyDescent="0.35">
      <c r="A184" s="1">
        <v>43520</v>
      </c>
      <c r="B184" s="2">
        <v>46223</v>
      </c>
      <c r="C184" s="1" t="s">
        <v>12</v>
      </c>
      <c r="D184" s="1">
        <f t="shared" si="2"/>
        <v>7</v>
      </c>
    </row>
    <row r="185" spans="1:4" x14ac:dyDescent="0.35">
      <c r="A185" s="1">
        <v>43519</v>
      </c>
      <c r="B185" s="2">
        <v>46223</v>
      </c>
      <c r="C185" s="1" t="s">
        <v>12</v>
      </c>
      <c r="D185" s="1">
        <f t="shared" si="2"/>
        <v>7</v>
      </c>
    </row>
    <row r="186" spans="1:4" x14ac:dyDescent="0.35">
      <c r="A186" s="1">
        <v>43518</v>
      </c>
      <c r="B186" s="2">
        <v>46223</v>
      </c>
      <c r="C186" s="1" t="s">
        <v>12</v>
      </c>
      <c r="D186" s="1">
        <f t="shared" si="2"/>
        <v>7</v>
      </c>
    </row>
    <row r="187" spans="1:4" x14ac:dyDescent="0.35">
      <c r="A187" s="1">
        <v>43517</v>
      </c>
      <c r="B187" s="2">
        <v>46223</v>
      </c>
      <c r="C187" s="1" t="s">
        <v>12</v>
      </c>
      <c r="D187" s="1">
        <f t="shared" si="2"/>
        <v>7</v>
      </c>
    </row>
    <row r="188" spans="1:4" x14ac:dyDescent="0.35">
      <c r="A188" s="1">
        <v>43497</v>
      </c>
      <c r="B188" s="2">
        <v>46223</v>
      </c>
      <c r="C188" s="1" t="s">
        <v>14</v>
      </c>
      <c r="D188" s="1">
        <f t="shared" si="2"/>
        <v>7</v>
      </c>
    </row>
    <row r="189" spans="1:4" x14ac:dyDescent="0.35">
      <c r="A189" s="1">
        <v>43496</v>
      </c>
      <c r="B189" s="2">
        <v>46223</v>
      </c>
      <c r="C189" s="1" t="s">
        <v>14</v>
      </c>
      <c r="D189" s="1">
        <f t="shared" si="2"/>
        <v>7</v>
      </c>
    </row>
    <row r="190" spans="1:4" x14ac:dyDescent="0.35">
      <c r="A190" s="1">
        <v>43495</v>
      </c>
      <c r="B190" s="2">
        <v>46223</v>
      </c>
      <c r="C190" s="1" t="s">
        <v>9</v>
      </c>
      <c r="D190" s="1">
        <f t="shared" si="2"/>
        <v>7</v>
      </c>
    </row>
    <row r="191" spans="1:4" x14ac:dyDescent="0.35">
      <c r="A191" s="1">
        <v>43582</v>
      </c>
      <c r="B191" s="2">
        <v>46223</v>
      </c>
      <c r="C191" s="1" t="s">
        <v>15</v>
      </c>
      <c r="D191" s="1">
        <f t="shared" si="2"/>
        <v>7</v>
      </c>
    </row>
    <row r="192" spans="1:4" x14ac:dyDescent="0.35">
      <c r="A192" s="1">
        <v>43571</v>
      </c>
      <c r="B192" s="2">
        <v>46223</v>
      </c>
      <c r="C192" s="1" t="s">
        <v>16</v>
      </c>
      <c r="D192" s="1">
        <f t="shared" si="2"/>
        <v>7</v>
      </c>
    </row>
    <row r="193" spans="1:4" x14ac:dyDescent="0.35">
      <c r="A193" s="1">
        <v>43568</v>
      </c>
      <c r="B193" s="2">
        <v>46223</v>
      </c>
      <c r="C193" s="1" t="s">
        <v>16</v>
      </c>
      <c r="D193" s="1">
        <f t="shared" si="2"/>
        <v>7</v>
      </c>
    </row>
    <row r="194" spans="1:4" x14ac:dyDescent="0.35">
      <c r="A194" s="1">
        <v>43557</v>
      </c>
      <c r="B194" s="2">
        <v>46223</v>
      </c>
      <c r="C194" s="1" t="s">
        <v>11</v>
      </c>
      <c r="D194" s="1">
        <f t="shared" ref="D194:D257" si="3">MONTH(B194)</f>
        <v>7</v>
      </c>
    </row>
    <row r="195" spans="1:4" x14ac:dyDescent="0.35">
      <c r="A195" s="1">
        <v>43556</v>
      </c>
      <c r="B195" s="2">
        <v>46223</v>
      </c>
      <c r="C195" s="1" t="s">
        <v>3</v>
      </c>
      <c r="D195" s="1">
        <f t="shared" si="3"/>
        <v>7</v>
      </c>
    </row>
    <row r="196" spans="1:4" x14ac:dyDescent="0.35">
      <c r="A196" s="1">
        <v>43537</v>
      </c>
      <c r="B196" s="2">
        <v>46223</v>
      </c>
      <c r="C196" s="1" t="s">
        <v>9</v>
      </c>
      <c r="D196" s="1">
        <f t="shared" si="3"/>
        <v>7</v>
      </c>
    </row>
    <row r="197" spans="1:4" x14ac:dyDescent="0.35">
      <c r="A197" s="1">
        <v>43536</v>
      </c>
      <c r="B197" s="2">
        <v>46223</v>
      </c>
      <c r="C197" s="1" t="s">
        <v>9</v>
      </c>
      <c r="D197" s="1">
        <f t="shared" si="3"/>
        <v>7</v>
      </c>
    </row>
    <row r="198" spans="1:4" x14ac:dyDescent="0.35">
      <c r="A198" s="1">
        <v>43527</v>
      </c>
      <c r="B198" s="2">
        <v>46223</v>
      </c>
      <c r="C198" s="1" t="s">
        <v>17</v>
      </c>
      <c r="D198" s="1">
        <f t="shared" si="3"/>
        <v>7</v>
      </c>
    </row>
    <row r="199" spans="1:4" x14ac:dyDescent="0.35">
      <c r="A199" s="1">
        <v>43526</v>
      </c>
      <c r="B199" s="2">
        <v>46223</v>
      </c>
      <c r="C199" s="1" t="s">
        <v>17</v>
      </c>
      <c r="D199" s="1">
        <f t="shared" si="3"/>
        <v>7</v>
      </c>
    </row>
    <row r="200" spans="1:4" x14ac:dyDescent="0.35">
      <c r="A200" s="1">
        <v>43524</v>
      </c>
      <c r="B200" s="2">
        <v>46223</v>
      </c>
      <c r="C200" s="1" t="s">
        <v>4</v>
      </c>
      <c r="D200" s="1">
        <f t="shared" si="3"/>
        <v>7</v>
      </c>
    </row>
    <row r="201" spans="1:4" x14ac:dyDescent="0.35">
      <c r="A201" s="1">
        <v>43511</v>
      </c>
      <c r="B201" s="2">
        <v>46223</v>
      </c>
      <c r="C201" s="1" t="s">
        <v>6</v>
      </c>
      <c r="D201" s="1">
        <f t="shared" si="3"/>
        <v>7</v>
      </c>
    </row>
    <row r="202" spans="1:4" x14ac:dyDescent="0.35">
      <c r="A202" s="1">
        <v>43509</v>
      </c>
      <c r="B202" s="2">
        <v>46223</v>
      </c>
      <c r="C202" s="1" t="s">
        <v>6</v>
      </c>
      <c r="D202" s="1">
        <f t="shared" si="3"/>
        <v>7</v>
      </c>
    </row>
    <row r="203" spans="1:4" x14ac:dyDescent="0.35">
      <c r="A203" s="1">
        <v>43507</v>
      </c>
      <c r="B203" s="2">
        <v>46223</v>
      </c>
      <c r="C203" s="1" t="s">
        <v>6</v>
      </c>
      <c r="D203" s="1">
        <f t="shared" si="3"/>
        <v>7</v>
      </c>
    </row>
    <row r="204" spans="1:4" x14ac:dyDescent="0.35">
      <c r="A204" s="1">
        <v>43506</v>
      </c>
      <c r="B204" s="2">
        <v>46223</v>
      </c>
      <c r="C204" s="1" t="s">
        <v>4</v>
      </c>
      <c r="D204" s="1">
        <f t="shared" si="3"/>
        <v>7</v>
      </c>
    </row>
    <row r="205" spans="1:4" x14ac:dyDescent="0.35">
      <c r="A205" s="1">
        <v>43505</v>
      </c>
      <c r="B205" s="2">
        <v>46223</v>
      </c>
      <c r="C205" s="1" t="s">
        <v>4</v>
      </c>
      <c r="D205" s="1">
        <f t="shared" si="3"/>
        <v>7</v>
      </c>
    </row>
    <row r="206" spans="1:4" x14ac:dyDescent="0.35">
      <c r="A206" s="1">
        <v>43503</v>
      </c>
      <c r="B206" s="2">
        <v>46223</v>
      </c>
      <c r="C206" s="1" t="s">
        <v>8</v>
      </c>
      <c r="D206" s="1">
        <f t="shared" si="3"/>
        <v>7</v>
      </c>
    </row>
    <row r="207" spans="1:4" x14ac:dyDescent="0.35">
      <c r="A207" s="1">
        <v>43502</v>
      </c>
      <c r="B207" s="2">
        <v>46223</v>
      </c>
      <c r="C207" s="1" t="s">
        <v>9</v>
      </c>
      <c r="D207" s="1">
        <f t="shared" si="3"/>
        <v>7</v>
      </c>
    </row>
    <row r="208" spans="1:4" x14ac:dyDescent="0.35">
      <c r="A208" s="1">
        <v>43501</v>
      </c>
      <c r="B208" s="2">
        <v>46223</v>
      </c>
      <c r="C208" s="1" t="s">
        <v>8</v>
      </c>
      <c r="D208" s="1">
        <f t="shared" si="3"/>
        <v>7</v>
      </c>
    </row>
    <row r="209" spans="1:4" x14ac:dyDescent="0.35">
      <c r="A209" s="1">
        <v>43516</v>
      </c>
      <c r="B209" s="2">
        <v>46223</v>
      </c>
      <c r="C209" s="1" t="s">
        <v>12</v>
      </c>
      <c r="D209" s="1">
        <f t="shared" si="3"/>
        <v>7</v>
      </c>
    </row>
    <row r="210" spans="1:4" x14ac:dyDescent="0.35">
      <c r="A210" s="1">
        <v>43510</v>
      </c>
      <c r="B210" s="2">
        <v>46223</v>
      </c>
      <c r="C210" s="1" t="s">
        <v>13</v>
      </c>
      <c r="D210" s="1">
        <f t="shared" si="3"/>
        <v>7</v>
      </c>
    </row>
    <row r="211" spans="1:4" x14ac:dyDescent="0.35">
      <c r="A211" s="1">
        <v>43508</v>
      </c>
      <c r="B211" s="2">
        <v>46223</v>
      </c>
      <c r="C211" s="1" t="s">
        <v>13</v>
      </c>
      <c r="D211" s="1">
        <f t="shared" si="3"/>
        <v>7</v>
      </c>
    </row>
    <row r="212" spans="1:4" x14ac:dyDescent="0.35">
      <c r="A212" s="1">
        <v>43615</v>
      </c>
      <c r="B212" s="2">
        <v>46224</v>
      </c>
      <c r="C212" s="1" t="s">
        <v>18</v>
      </c>
      <c r="D212" s="1">
        <f t="shared" si="3"/>
        <v>7</v>
      </c>
    </row>
    <row r="213" spans="1:4" x14ac:dyDescent="0.35">
      <c r="A213" s="1">
        <v>43652</v>
      </c>
      <c r="B213" s="2">
        <v>46224</v>
      </c>
      <c r="C213" s="1" t="s">
        <v>12</v>
      </c>
      <c r="D213" s="1">
        <f t="shared" si="3"/>
        <v>7</v>
      </c>
    </row>
    <row r="214" spans="1:4" x14ac:dyDescent="0.35">
      <c r="A214" s="1">
        <v>43651</v>
      </c>
      <c r="B214" s="2">
        <v>46224</v>
      </c>
      <c r="C214" s="1" t="s">
        <v>12</v>
      </c>
      <c r="D214" s="1">
        <f t="shared" si="3"/>
        <v>7</v>
      </c>
    </row>
    <row r="215" spans="1:4" x14ac:dyDescent="0.35">
      <c r="A215" s="1">
        <v>43650</v>
      </c>
      <c r="B215" s="2">
        <v>46224</v>
      </c>
      <c r="C215" s="1" t="s">
        <v>12</v>
      </c>
      <c r="D215" s="1">
        <f t="shared" si="3"/>
        <v>7</v>
      </c>
    </row>
    <row r="216" spans="1:4" x14ac:dyDescent="0.35">
      <c r="A216" s="1">
        <v>43649</v>
      </c>
      <c r="B216" s="2">
        <v>46224</v>
      </c>
      <c r="C216" s="1" t="s">
        <v>12</v>
      </c>
      <c r="D216" s="1">
        <f t="shared" si="3"/>
        <v>7</v>
      </c>
    </row>
    <row r="217" spans="1:4" x14ac:dyDescent="0.35">
      <c r="A217" s="1">
        <v>43648</v>
      </c>
      <c r="B217" s="2">
        <v>46224</v>
      </c>
      <c r="C217" s="1" t="s">
        <v>12</v>
      </c>
      <c r="D217" s="1">
        <f t="shared" si="3"/>
        <v>7</v>
      </c>
    </row>
    <row r="218" spans="1:4" x14ac:dyDescent="0.35">
      <c r="A218" s="1">
        <v>43606</v>
      </c>
      <c r="B218" s="2">
        <v>46224</v>
      </c>
      <c r="C218" s="1" t="s">
        <v>14</v>
      </c>
      <c r="D218" s="1">
        <f t="shared" si="3"/>
        <v>7</v>
      </c>
    </row>
    <row r="219" spans="1:4" x14ac:dyDescent="0.35">
      <c r="A219" s="1">
        <v>43605</v>
      </c>
      <c r="B219" s="2">
        <v>46224</v>
      </c>
      <c r="C219" s="1" t="s">
        <v>14</v>
      </c>
      <c r="D219" s="1">
        <f t="shared" si="3"/>
        <v>7</v>
      </c>
    </row>
    <row r="220" spans="1:4" x14ac:dyDescent="0.35">
      <c r="A220" s="1">
        <v>43593</v>
      </c>
      <c r="B220" s="2">
        <v>46224</v>
      </c>
      <c r="C220" s="1" t="s">
        <v>8</v>
      </c>
      <c r="D220" s="1">
        <f t="shared" si="3"/>
        <v>7</v>
      </c>
    </row>
    <row r="221" spans="1:4" x14ac:dyDescent="0.35">
      <c r="A221" s="1">
        <v>43592</v>
      </c>
      <c r="B221" s="2">
        <v>46224</v>
      </c>
      <c r="C221" s="1" t="s">
        <v>8</v>
      </c>
      <c r="D221" s="1">
        <f t="shared" si="3"/>
        <v>7</v>
      </c>
    </row>
    <row r="222" spans="1:4" x14ac:dyDescent="0.35">
      <c r="A222" s="1">
        <v>43587</v>
      </c>
      <c r="B222" s="2">
        <v>46224</v>
      </c>
      <c r="C222" s="1" t="s">
        <v>19</v>
      </c>
      <c r="D222" s="1">
        <f t="shared" si="3"/>
        <v>7</v>
      </c>
    </row>
    <row r="223" spans="1:4" x14ac:dyDescent="0.35">
      <c r="A223" s="1">
        <v>43584</v>
      </c>
      <c r="B223" s="2">
        <v>46224</v>
      </c>
      <c r="C223" s="1" t="s">
        <v>19</v>
      </c>
      <c r="D223" s="1">
        <f t="shared" si="3"/>
        <v>7</v>
      </c>
    </row>
    <row r="224" spans="1:4" x14ac:dyDescent="0.35">
      <c r="A224" s="1">
        <v>43656</v>
      </c>
      <c r="B224" s="2">
        <v>46224</v>
      </c>
      <c r="C224" s="1" t="s">
        <v>10</v>
      </c>
      <c r="D224" s="1">
        <f t="shared" si="3"/>
        <v>7</v>
      </c>
    </row>
    <row r="225" spans="1:4" x14ac:dyDescent="0.35">
      <c r="A225" s="1">
        <v>43655</v>
      </c>
      <c r="B225" s="2">
        <v>46224</v>
      </c>
      <c r="C225" s="1" t="s">
        <v>10</v>
      </c>
      <c r="D225" s="1">
        <f t="shared" si="3"/>
        <v>7</v>
      </c>
    </row>
    <row r="226" spans="1:4" x14ac:dyDescent="0.35">
      <c r="A226" s="1">
        <v>43654</v>
      </c>
      <c r="B226" s="2">
        <v>46224</v>
      </c>
      <c r="C226" s="1" t="s">
        <v>16</v>
      </c>
      <c r="D226" s="1">
        <f t="shared" si="3"/>
        <v>7</v>
      </c>
    </row>
    <row r="227" spans="1:4" x14ac:dyDescent="0.35">
      <c r="A227" s="1">
        <v>43653</v>
      </c>
      <c r="B227" s="2">
        <v>46224</v>
      </c>
      <c r="C227" s="1" t="s">
        <v>16</v>
      </c>
      <c r="D227" s="1">
        <f t="shared" si="3"/>
        <v>7</v>
      </c>
    </row>
    <row r="228" spans="1:4" x14ac:dyDescent="0.35">
      <c r="A228" s="1">
        <v>43647</v>
      </c>
      <c r="B228" s="2">
        <v>46224</v>
      </c>
      <c r="C228" s="1" t="s">
        <v>19</v>
      </c>
      <c r="D228" s="1">
        <f t="shared" si="3"/>
        <v>7</v>
      </c>
    </row>
    <row r="229" spans="1:4" x14ac:dyDescent="0.35">
      <c r="A229" s="1">
        <v>43646</v>
      </c>
      <c r="B229" s="2">
        <v>46224</v>
      </c>
      <c r="C229" s="1" t="s">
        <v>19</v>
      </c>
      <c r="D229" s="1">
        <f t="shared" si="3"/>
        <v>7</v>
      </c>
    </row>
    <row r="230" spans="1:4" x14ac:dyDescent="0.35">
      <c r="A230" s="1">
        <v>43645</v>
      </c>
      <c r="B230" s="2">
        <v>46224</v>
      </c>
      <c r="C230" s="1" t="s">
        <v>19</v>
      </c>
      <c r="D230" s="1">
        <f t="shared" si="3"/>
        <v>7</v>
      </c>
    </row>
    <row r="231" spans="1:4" x14ac:dyDescent="0.35">
      <c r="A231" s="1">
        <v>43644</v>
      </c>
      <c r="B231" s="2">
        <v>46224</v>
      </c>
      <c r="C231" s="1" t="s">
        <v>19</v>
      </c>
      <c r="D231" s="1">
        <f t="shared" si="3"/>
        <v>7</v>
      </c>
    </row>
    <row r="232" spans="1:4" x14ac:dyDescent="0.35">
      <c r="A232" s="1">
        <v>43643</v>
      </c>
      <c r="B232" s="2">
        <v>46224</v>
      </c>
      <c r="C232" s="1" t="s">
        <v>19</v>
      </c>
      <c r="D232" s="1">
        <f t="shared" si="3"/>
        <v>7</v>
      </c>
    </row>
    <row r="233" spans="1:4" x14ac:dyDescent="0.35">
      <c r="A233" s="1">
        <v>43642</v>
      </c>
      <c r="B233" s="2">
        <v>46224</v>
      </c>
      <c r="C233" s="1" t="s">
        <v>19</v>
      </c>
      <c r="D233" s="1">
        <f t="shared" si="3"/>
        <v>7</v>
      </c>
    </row>
    <row r="234" spans="1:4" x14ac:dyDescent="0.35">
      <c r="A234" s="1">
        <v>43641</v>
      </c>
      <c r="B234" s="2">
        <v>46224</v>
      </c>
      <c r="C234" s="1" t="s">
        <v>19</v>
      </c>
      <c r="D234" s="1">
        <f t="shared" si="3"/>
        <v>7</v>
      </c>
    </row>
    <row r="235" spans="1:4" x14ac:dyDescent="0.35">
      <c r="A235" s="1">
        <v>43640</v>
      </c>
      <c r="B235" s="2">
        <v>46224</v>
      </c>
      <c r="C235" s="1" t="s">
        <v>19</v>
      </c>
      <c r="D235" s="1">
        <f t="shared" si="3"/>
        <v>7</v>
      </c>
    </row>
    <row r="236" spans="1:4" x14ac:dyDescent="0.35">
      <c r="A236" s="1">
        <v>43639</v>
      </c>
      <c r="B236" s="2">
        <v>46224</v>
      </c>
      <c r="C236" s="1" t="s">
        <v>3</v>
      </c>
      <c r="D236" s="1">
        <f t="shared" si="3"/>
        <v>7</v>
      </c>
    </row>
    <row r="237" spans="1:4" x14ac:dyDescent="0.35">
      <c r="A237" s="1">
        <v>43628</v>
      </c>
      <c r="B237" s="2">
        <v>46224</v>
      </c>
      <c r="C237" s="1" t="s">
        <v>9</v>
      </c>
      <c r="D237" s="1">
        <f t="shared" si="3"/>
        <v>7</v>
      </c>
    </row>
    <row r="238" spans="1:4" x14ac:dyDescent="0.35">
      <c r="A238" s="1">
        <v>43627</v>
      </c>
      <c r="B238" s="2">
        <v>46224</v>
      </c>
      <c r="C238" s="1" t="s">
        <v>3</v>
      </c>
      <c r="D238" s="1">
        <f t="shared" si="3"/>
        <v>7</v>
      </c>
    </row>
    <row r="239" spans="1:4" x14ac:dyDescent="0.35">
      <c r="A239" s="1">
        <v>43624</v>
      </c>
      <c r="B239" s="2">
        <v>46224</v>
      </c>
      <c r="C239" s="1" t="s">
        <v>17</v>
      </c>
      <c r="D239" s="1">
        <f t="shared" si="3"/>
        <v>7</v>
      </c>
    </row>
    <row r="240" spans="1:4" x14ac:dyDescent="0.35">
      <c r="A240" s="1">
        <v>43623</v>
      </c>
      <c r="B240" s="2">
        <v>46224</v>
      </c>
      <c r="C240" s="1" t="s">
        <v>17</v>
      </c>
      <c r="D240" s="1">
        <f t="shared" si="3"/>
        <v>7</v>
      </c>
    </row>
    <row r="241" spans="1:4" x14ac:dyDescent="0.35">
      <c r="A241" s="1">
        <v>43621</v>
      </c>
      <c r="B241" s="2">
        <v>46224</v>
      </c>
      <c r="C241" s="1" t="s">
        <v>4</v>
      </c>
      <c r="D241" s="1">
        <f t="shared" si="3"/>
        <v>7</v>
      </c>
    </row>
    <row r="242" spans="1:4" x14ac:dyDescent="0.35">
      <c r="A242" s="1">
        <v>43620</v>
      </c>
      <c r="B242" s="2">
        <v>46224</v>
      </c>
      <c r="C242" s="1" t="s">
        <v>4</v>
      </c>
      <c r="D242" s="1">
        <f t="shared" si="3"/>
        <v>7</v>
      </c>
    </row>
    <row r="243" spans="1:4" x14ac:dyDescent="0.35">
      <c r="A243" s="1">
        <v>43619</v>
      </c>
      <c r="B243" s="2">
        <v>46224</v>
      </c>
      <c r="C243" s="1" t="s">
        <v>9</v>
      </c>
      <c r="D243" s="1">
        <f t="shared" si="3"/>
        <v>7</v>
      </c>
    </row>
    <row r="244" spans="1:4" x14ac:dyDescent="0.35">
      <c r="A244" s="1">
        <v>43616</v>
      </c>
      <c r="B244" s="2">
        <v>46224</v>
      </c>
      <c r="C244" s="1" t="s">
        <v>9</v>
      </c>
      <c r="D244" s="1">
        <f t="shared" si="3"/>
        <v>7</v>
      </c>
    </row>
    <row r="245" spans="1:4" x14ac:dyDescent="0.35">
      <c r="A245" s="1">
        <v>43676</v>
      </c>
      <c r="B245" s="2">
        <v>46225</v>
      </c>
      <c r="C245" s="1" t="s">
        <v>18</v>
      </c>
      <c r="D245" s="1">
        <f t="shared" si="3"/>
        <v>7</v>
      </c>
    </row>
    <row r="246" spans="1:4" x14ac:dyDescent="0.35">
      <c r="A246" s="1">
        <v>43727</v>
      </c>
      <c r="B246" s="2">
        <v>46225</v>
      </c>
      <c r="C246" s="1" t="s">
        <v>12</v>
      </c>
      <c r="D246" s="1">
        <f t="shared" si="3"/>
        <v>7</v>
      </c>
    </row>
    <row r="247" spans="1:4" x14ac:dyDescent="0.35">
      <c r="A247" s="1">
        <v>43726</v>
      </c>
      <c r="B247" s="2">
        <v>46225</v>
      </c>
      <c r="C247" s="1" t="s">
        <v>12</v>
      </c>
      <c r="D247" s="1">
        <f t="shared" si="3"/>
        <v>7</v>
      </c>
    </row>
    <row r="248" spans="1:4" x14ac:dyDescent="0.35">
      <c r="A248" s="1">
        <v>43725</v>
      </c>
      <c r="B248" s="2">
        <v>46225</v>
      </c>
      <c r="C248" s="1" t="s">
        <v>12</v>
      </c>
      <c r="D248" s="1">
        <f t="shared" si="3"/>
        <v>7</v>
      </c>
    </row>
    <row r="249" spans="1:4" x14ac:dyDescent="0.35">
      <c r="A249" s="1">
        <v>43724</v>
      </c>
      <c r="B249" s="2">
        <v>46225</v>
      </c>
      <c r="C249" s="1" t="s">
        <v>12</v>
      </c>
      <c r="D249" s="1">
        <f t="shared" si="3"/>
        <v>7</v>
      </c>
    </row>
    <row r="250" spans="1:4" x14ac:dyDescent="0.35">
      <c r="A250" s="1">
        <v>43723</v>
      </c>
      <c r="B250" s="2">
        <v>46225</v>
      </c>
      <c r="C250" s="1" t="s">
        <v>12</v>
      </c>
      <c r="D250" s="1">
        <f t="shared" si="3"/>
        <v>7</v>
      </c>
    </row>
    <row r="251" spans="1:4" x14ac:dyDescent="0.35">
      <c r="A251" s="1">
        <v>43662</v>
      </c>
      <c r="B251" s="2">
        <v>46225</v>
      </c>
      <c r="C251" s="1" t="s">
        <v>8</v>
      </c>
      <c r="D251" s="1">
        <f t="shared" si="3"/>
        <v>7</v>
      </c>
    </row>
    <row r="252" spans="1:4" x14ac:dyDescent="0.35">
      <c r="A252" s="1">
        <v>43661</v>
      </c>
      <c r="B252" s="2">
        <v>46225</v>
      </c>
      <c r="C252" s="1" t="s">
        <v>8</v>
      </c>
      <c r="D252" s="1">
        <f t="shared" si="3"/>
        <v>7</v>
      </c>
    </row>
    <row r="253" spans="1:4" x14ac:dyDescent="0.35">
      <c r="A253" s="1">
        <v>43730</v>
      </c>
      <c r="B253" s="2">
        <v>46225</v>
      </c>
      <c r="C253" s="1" t="s">
        <v>10</v>
      </c>
      <c r="D253" s="1">
        <f t="shared" si="3"/>
        <v>7</v>
      </c>
    </row>
    <row r="254" spans="1:4" x14ac:dyDescent="0.35">
      <c r="A254" s="1">
        <v>43729</v>
      </c>
      <c r="B254" s="2">
        <v>46225</v>
      </c>
      <c r="C254" s="1" t="s">
        <v>10</v>
      </c>
      <c r="D254" s="1">
        <f t="shared" si="3"/>
        <v>7</v>
      </c>
    </row>
    <row r="255" spans="1:4" x14ac:dyDescent="0.35">
      <c r="A255" s="1">
        <v>43728</v>
      </c>
      <c r="B255" s="2">
        <v>46225</v>
      </c>
      <c r="C255" s="1" t="s">
        <v>3</v>
      </c>
      <c r="D255" s="1">
        <f t="shared" si="3"/>
        <v>7</v>
      </c>
    </row>
    <row r="256" spans="1:4" x14ac:dyDescent="0.35">
      <c r="A256" s="1">
        <v>43722</v>
      </c>
      <c r="B256" s="2">
        <v>46225</v>
      </c>
      <c r="C256" s="1" t="s">
        <v>20</v>
      </c>
      <c r="D256" s="1">
        <f t="shared" si="3"/>
        <v>7</v>
      </c>
    </row>
    <row r="257" spans="1:4" x14ac:dyDescent="0.35">
      <c r="A257" s="1">
        <v>43721</v>
      </c>
      <c r="B257" s="2">
        <v>46225</v>
      </c>
      <c r="C257" s="1" t="s">
        <v>20</v>
      </c>
      <c r="D257" s="1">
        <f t="shared" si="3"/>
        <v>7</v>
      </c>
    </row>
    <row r="258" spans="1:4" x14ac:dyDescent="0.35">
      <c r="A258" s="1">
        <v>43716</v>
      </c>
      <c r="B258" s="2">
        <v>46225</v>
      </c>
      <c r="C258" s="1" t="s">
        <v>19</v>
      </c>
      <c r="D258" s="1">
        <f t="shared" ref="D258:D321" si="4">MONTH(B258)</f>
        <v>7</v>
      </c>
    </row>
    <row r="259" spans="1:4" x14ac:dyDescent="0.35">
      <c r="A259" s="1">
        <v>43703</v>
      </c>
      <c r="B259" s="2">
        <v>46225</v>
      </c>
      <c r="C259" s="1" t="s">
        <v>16</v>
      </c>
      <c r="D259" s="1">
        <f t="shared" si="4"/>
        <v>7</v>
      </c>
    </row>
    <row r="260" spans="1:4" x14ac:dyDescent="0.35">
      <c r="A260" s="1">
        <v>43702</v>
      </c>
      <c r="B260" s="2">
        <v>46225</v>
      </c>
      <c r="C260" s="1" t="s">
        <v>16</v>
      </c>
      <c r="D260" s="1">
        <f t="shared" si="4"/>
        <v>7</v>
      </c>
    </row>
    <row r="261" spans="1:4" x14ac:dyDescent="0.35">
      <c r="A261" s="1">
        <v>43682</v>
      </c>
      <c r="B261" s="2">
        <v>46225</v>
      </c>
      <c r="C261" s="1" t="s">
        <v>11</v>
      </c>
      <c r="D261" s="1">
        <f t="shared" si="4"/>
        <v>7</v>
      </c>
    </row>
    <row r="262" spans="1:4" x14ac:dyDescent="0.35">
      <c r="A262" s="1">
        <v>43681</v>
      </c>
      <c r="B262" s="2">
        <v>46225</v>
      </c>
      <c r="C262" s="1" t="s">
        <v>9</v>
      </c>
      <c r="D262" s="1">
        <f t="shared" si="4"/>
        <v>7</v>
      </c>
    </row>
    <row r="263" spans="1:4" x14ac:dyDescent="0.35">
      <c r="A263" s="1">
        <v>43680</v>
      </c>
      <c r="B263" s="2">
        <v>46225</v>
      </c>
      <c r="C263" s="1" t="s">
        <v>11</v>
      </c>
      <c r="D263" s="1">
        <f t="shared" si="4"/>
        <v>7</v>
      </c>
    </row>
    <row r="264" spans="1:4" x14ac:dyDescent="0.35">
      <c r="A264" s="1">
        <v>43679</v>
      </c>
      <c r="B264" s="2">
        <v>46225</v>
      </c>
      <c r="C264" s="1" t="s">
        <v>9</v>
      </c>
      <c r="D264" s="1">
        <f t="shared" si="4"/>
        <v>7</v>
      </c>
    </row>
    <row r="265" spans="1:4" x14ac:dyDescent="0.35">
      <c r="A265" s="1">
        <v>43678</v>
      </c>
      <c r="B265" s="2">
        <v>46225</v>
      </c>
      <c r="C265" s="1" t="s">
        <v>9</v>
      </c>
      <c r="D265" s="1">
        <f t="shared" si="4"/>
        <v>7</v>
      </c>
    </row>
    <row r="266" spans="1:4" x14ac:dyDescent="0.35">
      <c r="A266" s="1">
        <v>43677</v>
      </c>
      <c r="B266" s="2">
        <v>46225</v>
      </c>
      <c r="C266" s="1" t="s">
        <v>9</v>
      </c>
      <c r="D266" s="1">
        <f t="shared" si="4"/>
        <v>7</v>
      </c>
    </row>
    <row r="267" spans="1:4" x14ac:dyDescent="0.35">
      <c r="A267" s="1">
        <v>43674</v>
      </c>
      <c r="B267" s="2">
        <v>46225</v>
      </c>
      <c r="C267" s="1" t="s">
        <v>3</v>
      </c>
      <c r="D267" s="1">
        <f t="shared" si="4"/>
        <v>7</v>
      </c>
    </row>
    <row r="268" spans="1:4" x14ac:dyDescent="0.35">
      <c r="A268" s="1">
        <v>43673</v>
      </c>
      <c r="B268" s="2">
        <v>46225</v>
      </c>
      <c r="C268" s="1" t="s">
        <v>3</v>
      </c>
      <c r="D268" s="1">
        <f t="shared" si="4"/>
        <v>7</v>
      </c>
    </row>
    <row r="269" spans="1:4" x14ac:dyDescent="0.35">
      <c r="A269" s="1">
        <v>43672</v>
      </c>
      <c r="B269" s="2">
        <v>46225</v>
      </c>
      <c r="C269" s="1" t="s">
        <v>19</v>
      </c>
      <c r="D269" s="1">
        <f t="shared" si="4"/>
        <v>7</v>
      </c>
    </row>
    <row r="270" spans="1:4" x14ac:dyDescent="0.35">
      <c r="A270" s="1">
        <v>43671</v>
      </c>
      <c r="B270" s="2">
        <v>46225</v>
      </c>
      <c r="C270" s="1" t="s">
        <v>6</v>
      </c>
      <c r="D270" s="1">
        <f t="shared" si="4"/>
        <v>7</v>
      </c>
    </row>
    <row r="271" spans="1:4" x14ac:dyDescent="0.35">
      <c r="A271" s="1">
        <v>43670</v>
      </c>
      <c r="B271" s="2">
        <v>46225</v>
      </c>
      <c r="C271" s="1" t="s">
        <v>6</v>
      </c>
      <c r="D271" s="1">
        <f t="shared" si="4"/>
        <v>7</v>
      </c>
    </row>
    <row r="272" spans="1:4" x14ac:dyDescent="0.35">
      <c r="A272" s="1">
        <v>43669</v>
      </c>
      <c r="B272" s="2">
        <v>46225</v>
      </c>
      <c r="C272" s="1" t="s">
        <v>6</v>
      </c>
      <c r="D272" s="1">
        <f t="shared" si="4"/>
        <v>7</v>
      </c>
    </row>
    <row r="273" spans="1:4" x14ac:dyDescent="0.35">
      <c r="A273" s="1">
        <v>43667</v>
      </c>
      <c r="B273" s="2">
        <v>46225</v>
      </c>
      <c r="C273" s="1" t="s">
        <v>4</v>
      </c>
      <c r="D273" s="1">
        <f t="shared" si="4"/>
        <v>7</v>
      </c>
    </row>
    <row r="274" spans="1:4" x14ac:dyDescent="0.35">
      <c r="A274" s="1">
        <v>43666</v>
      </c>
      <c r="B274" s="2">
        <v>46225</v>
      </c>
      <c r="C274" s="1" t="s">
        <v>4</v>
      </c>
      <c r="D274" s="1">
        <f t="shared" si="4"/>
        <v>7</v>
      </c>
    </row>
    <row r="275" spans="1:4" x14ac:dyDescent="0.35">
      <c r="A275" s="1">
        <v>43664</v>
      </c>
      <c r="B275" s="2">
        <v>46225</v>
      </c>
      <c r="C275" s="1" t="s">
        <v>13</v>
      </c>
      <c r="D275" s="1">
        <f t="shared" si="4"/>
        <v>7</v>
      </c>
    </row>
    <row r="276" spans="1:4" x14ac:dyDescent="0.35">
      <c r="A276" s="1">
        <v>43663</v>
      </c>
      <c r="B276" s="2">
        <v>46225</v>
      </c>
      <c r="C276" s="1" t="s">
        <v>13</v>
      </c>
      <c r="D276" s="1">
        <f t="shared" si="4"/>
        <v>7</v>
      </c>
    </row>
    <row r="277" spans="1:4" x14ac:dyDescent="0.35">
      <c r="A277" s="1">
        <v>43786</v>
      </c>
      <c r="B277" s="2">
        <v>46226</v>
      </c>
      <c r="C277" s="1" t="s">
        <v>12</v>
      </c>
      <c r="D277" s="1">
        <f t="shared" si="4"/>
        <v>7</v>
      </c>
    </row>
    <row r="278" spans="1:4" x14ac:dyDescent="0.35">
      <c r="A278" s="1">
        <v>43785</v>
      </c>
      <c r="B278" s="2">
        <v>46226</v>
      </c>
      <c r="C278" s="1" t="s">
        <v>12</v>
      </c>
      <c r="D278" s="1">
        <f t="shared" si="4"/>
        <v>7</v>
      </c>
    </row>
    <row r="279" spans="1:4" x14ac:dyDescent="0.35">
      <c r="A279" s="1">
        <v>43784</v>
      </c>
      <c r="B279" s="2">
        <v>46226</v>
      </c>
      <c r="C279" s="1" t="s">
        <v>12</v>
      </c>
      <c r="D279" s="1">
        <f t="shared" si="4"/>
        <v>7</v>
      </c>
    </row>
    <row r="280" spans="1:4" x14ac:dyDescent="0.35">
      <c r="A280" s="1">
        <v>43783</v>
      </c>
      <c r="B280" s="2">
        <v>46226</v>
      </c>
      <c r="C280" s="1" t="s">
        <v>12</v>
      </c>
      <c r="D280" s="1">
        <f t="shared" si="4"/>
        <v>7</v>
      </c>
    </row>
    <row r="281" spans="1:4" x14ac:dyDescent="0.35">
      <c r="A281" s="1">
        <v>43782</v>
      </c>
      <c r="B281" s="2">
        <v>46226</v>
      </c>
      <c r="C281" s="1" t="s">
        <v>12</v>
      </c>
      <c r="D281" s="1">
        <f t="shared" si="4"/>
        <v>7</v>
      </c>
    </row>
    <row r="282" spans="1:4" x14ac:dyDescent="0.35">
      <c r="A282" s="1">
        <v>43733</v>
      </c>
      <c r="B282" s="2">
        <v>46226</v>
      </c>
      <c r="C282" s="1" t="s">
        <v>8</v>
      </c>
      <c r="D282" s="1">
        <f t="shared" si="4"/>
        <v>7</v>
      </c>
    </row>
    <row r="283" spans="1:4" x14ac:dyDescent="0.35">
      <c r="A283" s="1">
        <v>43732</v>
      </c>
      <c r="B283" s="2">
        <v>46226</v>
      </c>
      <c r="C283" s="1" t="s">
        <v>8</v>
      </c>
      <c r="D283" s="1">
        <f t="shared" si="4"/>
        <v>7</v>
      </c>
    </row>
    <row r="284" spans="1:4" x14ac:dyDescent="0.35">
      <c r="A284" s="1">
        <v>43731</v>
      </c>
      <c r="B284" s="2">
        <v>46226</v>
      </c>
      <c r="C284" s="1" t="s">
        <v>8</v>
      </c>
      <c r="D284" s="1">
        <f t="shared" si="4"/>
        <v>7</v>
      </c>
    </row>
    <row r="285" spans="1:4" x14ac:dyDescent="0.35">
      <c r="A285" s="1">
        <v>43792</v>
      </c>
      <c r="B285" s="2">
        <v>46226</v>
      </c>
      <c r="C285" s="1" t="s">
        <v>16</v>
      </c>
      <c r="D285" s="1">
        <f t="shared" si="4"/>
        <v>7</v>
      </c>
    </row>
    <row r="286" spans="1:4" x14ac:dyDescent="0.35">
      <c r="A286" s="1">
        <v>43791</v>
      </c>
      <c r="B286" s="2">
        <v>46226</v>
      </c>
      <c r="C286" s="1" t="s">
        <v>16</v>
      </c>
      <c r="D286" s="1">
        <f t="shared" si="4"/>
        <v>7</v>
      </c>
    </row>
    <row r="287" spans="1:4" x14ac:dyDescent="0.35">
      <c r="A287" s="1">
        <v>43790</v>
      </c>
      <c r="B287" s="2">
        <v>46226</v>
      </c>
      <c r="C287" s="1" t="s">
        <v>9</v>
      </c>
      <c r="D287" s="1">
        <f t="shared" si="4"/>
        <v>7</v>
      </c>
    </row>
    <row r="288" spans="1:4" x14ac:dyDescent="0.35">
      <c r="A288" s="1">
        <v>43789</v>
      </c>
      <c r="B288" s="2">
        <v>46226</v>
      </c>
      <c r="C288" s="1" t="s">
        <v>9</v>
      </c>
      <c r="D288" s="1">
        <f t="shared" si="4"/>
        <v>7</v>
      </c>
    </row>
    <row r="289" spans="1:4" x14ac:dyDescent="0.35">
      <c r="A289" s="1">
        <v>43788</v>
      </c>
      <c r="B289" s="2">
        <v>46226</v>
      </c>
      <c r="C289" s="1" t="s">
        <v>10</v>
      </c>
      <c r="D289" s="1">
        <f t="shared" si="4"/>
        <v>7</v>
      </c>
    </row>
    <row r="290" spans="1:4" x14ac:dyDescent="0.35">
      <c r="A290" s="1">
        <v>43787</v>
      </c>
      <c r="B290" s="2">
        <v>46226</v>
      </c>
      <c r="C290" s="1" t="s">
        <v>10</v>
      </c>
      <c r="D290" s="1">
        <f t="shared" si="4"/>
        <v>7</v>
      </c>
    </row>
    <row r="291" spans="1:4" x14ac:dyDescent="0.35">
      <c r="A291" s="1">
        <v>43781</v>
      </c>
      <c r="B291" s="2">
        <v>46226</v>
      </c>
      <c r="C291" s="1" t="s">
        <v>3</v>
      </c>
      <c r="D291" s="1">
        <f t="shared" si="4"/>
        <v>7</v>
      </c>
    </row>
    <row r="292" spans="1:4" x14ac:dyDescent="0.35">
      <c r="A292" s="1">
        <v>43769</v>
      </c>
      <c r="B292" s="2">
        <v>46226</v>
      </c>
      <c r="C292" s="1" t="s">
        <v>17</v>
      </c>
      <c r="D292" s="1">
        <f t="shared" si="4"/>
        <v>7</v>
      </c>
    </row>
    <row r="293" spans="1:4" x14ac:dyDescent="0.35">
      <c r="A293" s="1">
        <v>43768</v>
      </c>
      <c r="B293" s="2">
        <v>46226</v>
      </c>
      <c r="C293" s="1" t="s">
        <v>17</v>
      </c>
      <c r="D293" s="1">
        <f t="shared" si="4"/>
        <v>7</v>
      </c>
    </row>
    <row r="294" spans="1:4" x14ac:dyDescent="0.35">
      <c r="A294" s="1">
        <v>43767</v>
      </c>
      <c r="B294" s="2">
        <v>46226</v>
      </c>
      <c r="C294" s="1" t="s">
        <v>6</v>
      </c>
      <c r="D294" s="1">
        <f t="shared" si="4"/>
        <v>7</v>
      </c>
    </row>
    <row r="295" spans="1:4" x14ac:dyDescent="0.35">
      <c r="A295" s="1">
        <v>43766</v>
      </c>
      <c r="B295" s="2">
        <v>46226</v>
      </c>
      <c r="C295" s="1" t="s">
        <v>6</v>
      </c>
      <c r="D295" s="1">
        <f t="shared" si="4"/>
        <v>7</v>
      </c>
    </row>
    <row r="296" spans="1:4" x14ac:dyDescent="0.35">
      <c r="A296" s="1">
        <v>43765</v>
      </c>
      <c r="B296" s="2">
        <v>46226</v>
      </c>
      <c r="C296" s="1" t="s">
        <v>6</v>
      </c>
      <c r="D296" s="1">
        <f t="shared" si="4"/>
        <v>7</v>
      </c>
    </row>
    <row r="297" spans="1:4" x14ac:dyDescent="0.35">
      <c r="A297" s="1">
        <v>43764</v>
      </c>
      <c r="B297" s="2">
        <v>46226</v>
      </c>
      <c r="C297" s="1" t="s">
        <v>17</v>
      </c>
      <c r="D297" s="1">
        <f t="shared" si="4"/>
        <v>7</v>
      </c>
    </row>
    <row r="298" spans="1:4" x14ac:dyDescent="0.35">
      <c r="A298" s="1">
        <v>43762</v>
      </c>
      <c r="B298" s="2">
        <v>46226</v>
      </c>
      <c r="C298" s="1" t="s">
        <v>17</v>
      </c>
      <c r="D298" s="1">
        <f t="shared" si="4"/>
        <v>7</v>
      </c>
    </row>
    <row r="299" spans="1:4" x14ac:dyDescent="0.35">
      <c r="A299" s="1">
        <v>43757</v>
      </c>
      <c r="B299" s="2">
        <v>46226</v>
      </c>
      <c r="C299" s="1" t="s">
        <v>4</v>
      </c>
      <c r="D299" s="1">
        <f t="shared" si="4"/>
        <v>7</v>
      </c>
    </row>
    <row r="300" spans="1:4" x14ac:dyDescent="0.35">
      <c r="A300" s="1">
        <v>43756</v>
      </c>
      <c r="B300" s="2">
        <v>46226</v>
      </c>
      <c r="C300" s="1" t="s">
        <v>4</v>
      </c>
      <c r="D300" s="1">
        <f t="shared" si="4"/>
        <v>7</v>
      </c>
    </row>
    <row r="301" spans="1:4" x14ac:dyDescent="0.35">
      <c r="A301" s="1">
        <v>43749</v>
      </c>
      <c r="B301" s="2">
        <v>46226</v>
      </c>
      <c r="C301" s="1" t="s">
        <v>19</v>
      </c>
      <c r="D301" s="1">
        <f t="shared" si="4"/>
        <v>7</v>
      </c>
    </row>
    <row r="302" spans="1:4" x14ac:dyDescent="0.35">
      <c r="A302" s="1">
        <v>43743</v>
      </c>
      <c r="B302" s="2">
        <v>46226</v>
      </c>
      <c r="C302" s="1" t="s">
        <v>9</v>
      </c>
      <c r="D302" s="1">
        <f t="shared" si="4"/>
        <v>7</v>
      </c>
    </row>
    <row r="303" spans="1:4" x14ac:dyDescent="0.35">
      <c r="A303" s="1">
        <v>43740</v>
      </c>
      <c r="B303" s="2">
        <v>46226</v>
      </c>
      <c r="C303" s="1" t="s">
        <v>9</v>
      </c>
      <c r="D303" s="1">
        <f t="shared" si="4"/>
        <v>7</v>
      </c>
    </row>
    <row r="304" spans="1:4" x14ac:dyDescent="0.35">
      <c r="A304" s="1">
        <v>43738</v>
      </c>
      <c r="B304" s="2">
        <v>46226</v>
      </c>
      <c r="C304" s="1" t="s">
        <v>9</v>
      </c>
      <c r="D304" s="1">
        <f t="shared" si="4"/>
        <v>7</v>
      </c>
    </row>
    <row r="305" spans="1:4" x14ac:dyDescent="0.35">
      <c r="A305" s="1">
        <v>43831</v>
      </c>
      <c r="B305" s="2">
        <v>46227</v>
      </c>
      <c r="C305" s="1" t="s">
        <v>12</v>
      </c>
      <c r="D305" s="1">
        <f t="shared" si="4"/>
        <v>7</v>
      </c>
    </row>
    <row r="306" spans="1:4" x14ac:dyDescent="0.35">
      <c r="A306" s="1">
        <v>43830</v>
      </c>
      <c r="B306" s="2">
        <v>46227</v>
      </c>
      <c r="C306" s="1" t="s">
        <v>12</v>
      </c>
      <c r="D306" s="1">
        <f t="shared" si="4"/>
        <v>7</v>
      </c>
    </row>
    <row r="307" spans="1:4" x14ac:dyDescent="0.35">
      <c r="A307" s="1">
        <v>43829</v>
      </c>
      <c r="B307" s="2">
        <v>46227</v>
      </c>
      <c r="C307" s="1" t="s">
        <v>12</v>
      </c>
      <c r="D307" s="1">
        <f t="shared" si="4"/>
        <v>7</v>
      </c>
    </row>
    <row r="308" spans="1:4" x14ac:dyDescent="0.35">
      <c r="A308" s="1">
        <v>43828</v>
      </c>
      <c r="B308" s="2">
        <v>46227</v>
      </c>
      <c r="C308" s="1" t="s">
        <v>12</v>
      </c>
      <c r="D308" s="1">
        <f t="shared" si="4"/>
        <v>7</v>
      </c>
    </row>
    <row r="309" spans="1:4" x14ac:dyDescent="0.35">
      <c r="A309" s="1">
        <v>43827</v>
      </c>
      <c r="B309" s="2">
        <v>46227</v>
      </c>
      <c r="C309" s="1" t="s">
        <v>12</v>
      </c>
      <c r="D309" s="1">
        <f t="shared" si="4"/>
        <v>7</v>
      </c>
    </row>
    <row r="310" spans="1:4" x14ac:dyDescent="0.35">
      <c r="A310" s="1">
        <v>43806</v>
      </c>
      <c r="B310" s="2">
        <v>46227</v>
      </c>
      <c r="C310" s="1" t="s">
        <v>20</v>
      </c>
      <c r="D310" s="1">
        <f t="shared" si="4"/>
        <v>7</v>
      </c>
    </row>
    <row r="311" spans="1:4" x14ac:dyDescent="0.35">
      <c r="A311" s="1">
        <v>43805</v>
      </c>
      <c r="B311" s="2">
        <v>46227</v>
      </c>
      <c r="C311" s="1" t="s">
        <v>20</v>
      </c>
      <c r="D311" s="1">
        <f t="shared" si="4"/>
        <v>7</v>
      </c>
    </row>
    <row r="312" spans="1:4" x14ac:dyDescent="0.35">
      <c r="A312" s="1">
        <v>43804</v>
      </c>
      <c r="B312" s="2">
        <v>46227</v>
      </c>
      <c r="C312" s="1" t="s">
        <v>8</v>
      </c>
      <c r="D312" s="1">
        <f t="shared" si="4"/>
        <v>7</v>
      </c>
    </row>
    <row r="313" spans="1:4" x14ac:dyDescent="0.35">
      <c r="A313" s="1">
        <v>43803</v>
      </c>
      <c r="B313" s="2">
        <v>46227</v>
      </c>
      <c r="C313" s="1" t="s">
        <v>8</v>
      </c>
      <c r="D313" s="1">
        <f t="shared" si="4"/>
        <v>7</v>
      </c>
    </row>
    <row r="314" spans="1:4" x14ac:dyDescent="0.35">
      <c r="A314" s="1">
        <v>43853</v>
      </c>
      <c r="B314" s="2">
        <v>46227</v>
      </c>
      <c r="C314" s="1" t="s">
        <v>10</v>
      </c>
      <c r="D314" s="1">
        <f t="shared" si="4"/>
        <v>7</v>
      </c>
    </row>
    <row r="315" spans="1:4" x14ac:dyDescent="0.35">
      <c r="A315" s="1">
        <v>43852</v>
      </c>
      <c r="B315" s="2">
        <v>46227</v>
      </c>
      <c r="C315" s="1" t="s">
        <v>10</v>
      </c>
      <c r="D315" s="1">
        <f t="shared" si="4"/>
        <v>7</v>
      </c>
    </row>
    <row r="316" spans="1:4" x14ac:dyDescent="0.35">
      <c r="A316" s="1">
        <v>43851</v>
      </c>
      <c r="B316" s="2">
        <v>46227</v>
      </c>
      <c r="C316" s="1" t="s">
        <v>9</v>
      </c>
      <c r="D316" s="1">
        <f t="shared" si="4"/>
        <v>7</v>
      </c>
    </row>
    <row r="317" spans="1:4" x14ac:dyDescent="0.35">
      <c r="A317" s="1">
        <v>43850</v>
      </c>
      <c r="B317" s="2">
        <v>46227</v>
      </c>
      <c r="C317" s="1" t="s">
        <v>9</v>
      </c>
      <c r="D317" s="1">
        <f t="shared" si="4"/>
        <v>7</v>
      </c>
    </row>
    <row r="318" spans="1:4" x14ac:dyDescent="0.35">
      <c r="A318" s="1">
        <v>43849</v>
      </c>
      <c r="B318" s="2">
        <v>46227</v>
      </c>
      <c r="C318" s="1" t="s">
        <v>9</v>
      </c>
      <c r="D318" s="1">
        <f t="shared" si="4"/>
        <v>7</v>
      </c>
    </row>
    <row r="319" spans="1:4" x14ac:dyDescent="0.35">
      <c r="A319" s="1">
        <v>43840</v>
      </c>
      <c r="B319" s="2">
        <v>46227</v>
      </c>
      <c r="C319" s="1" t="s">
        <v>16</v>
      </c>
      <c r="D319" s="1">
        <f t="shared" si="4"/>
        <v>7</v>
      </c>
    </row>
    <row r="320" spans="1:4" x14ac:dyDescent="0.35">
      <c r="A320" s="1">
        <v>43839</v>
      </c>
      <c r="B320" s="2">
        <v>46227</v>
      </c>
      <c r="C320" s="1" t="s">
        <v>16</v>
      </c>
      <c r="D320" s="1">
        <f t="shared" si="4"/>
        <v>7</v>
      </c>
    </row>
    <row r="321" spans="1:4" x14ac:dyDescent="0.35">
      <c r="A321" s="1">
        <v>43838</v>
      </c>
      <c r="B321" s="2">
        <v>46227</v>
      </c>
      <c r="C321" s="1" t="s">
        <v>3</v>
      </c>
      <c r="D321" s="1">
        <f t="shared" si="4"/>
        <v>7</v>
      </c>
    </row>
    <row r="322" spans="1:4" x14ac:dyDescent="0.35">
      <c r="A322" s="1">
        <v>43837</v>
      </c>
      <c r="B322" s="2">
        <v>46227</v>
      </c>
      <c r="C322" s="1" t="s">
        <v>3</v>
      </c>
      <c r="D322" s="1">
        <f t="shared" ref="D322:D385" si="5">MONTH(B322)</f>
        <v>7</v>
      </c>
    </row>
    <row r="323" spans="1:4" x14ac:dyDescent="0.35">
      <c r="A323" s="1">
        <v>43836</v>
      </c>
      <c r="B323" s="2">
        <v>46227</v>
      </c>
      <c r="C323" s="1" t="s">
        <v>3</v>
      </c>
      <c r="D323" s="1">
        <f t="shared" si="5"/>
        <v>7</v>
      </c>
    </row>
    <row r="324" spans="1:4" x14ac:dyDescent="0.35">
      <c r="A324" s="1">
        <v>43835</v>
      </c>
      <c r="B324" s="2">
        <v>46227</v>
      </c>
      <c r="C324" s="1" t="s">
        <v>3</v>
      </c>
      <c r="D324" s="1">
        <f t="shared" si="5"/>
        <v>7</v>
      </c>
    </row>
    <row r="325" spans="1:4" x14ac:dyDescent="0.35">
      <c r="A325" s="1">
        <v>43825</v>
      </c>
      <c r="B325" s="2">
        <v>46227</v>
      </c>
      <c r="C325" s="1" t="s">
        <v>6</v>
      </c>
      <c r="D325" s="1">
        <f t="shared" si="5"/>
        <v>7</v>
      </c>
    </row>
    <row r="326" spans="1:4" x14ac:dyDescent="0.35">
      <c r="A326" s="1">
        <v>43824</v>
      </c>
      <c r="B326" s="2">
        <v>46227</v>
      </c>
      <c r="C326" s="1" t="s">
        <v>6</v>
      </c>
      <c r="D326" s="1">
        <f t="shared" si="5"/>
        <v>7</v>
      </c>
    </row>
    <row r="327" spans="1:4" x14ac:dyDescent="0.35">
      <c r="A327" s="1">
        <v>43823</v>
      </c>
      <c r="B327" s="2">
        <v>46227</v>
      </c>
      <c r="C327" s="1" t="s">
        <v>6</v>
      </c>
      <c r="D327" s="1">
        <f t="shared" si="5"/>
        <v>7</v>
      </c>
    </row>
    <row r="328" spans="1:4" x14ac:dyDescent="0.35">
      <c r="A328" s="1">
        <v>43822</v>
      </c>
      <c r="B328" s="2">
        <v>46227</v>
      </c>
      <c r="C328" s="1" t="s">
        <v>11</v>
      </c>
      <c r="D328" s="1">
        <f t="shared" si="5"/>
        <v>7</v>
      </c>
    </row>
    <row r="329" spans="1:4" x14ac:dyDescent="0.35">
      <c r="A329" s="1">
        <v>43821</v>
      </c>
      <c r="B329" s="2">
        <v>46227</v>
      </c>
      <c r="C329" s="1" t="s">
        <v>17</v>
      </c>
      <c r="D329" s="1">
        <f t="shared" si="5"/>
        <v>7</v>
      </c>
    </row>
    <row r="330" spans="1:4" x14ac:dyDescent="0.35">
      <c r="A330" s="1">
        <v>43819</v>
      </c>
      <c r="B330" s="2">
        <v>46227</v>
      </c>
      <c r="C330" s="1" t="s">
        <v>17</v>
      </c>
      <c r="D330" s="1">
        <f t="shared" si="5"/>
        <v>7</v>
      </c>
    </row>
    <row r="331" spans="1:4" x14ac:dyDescent="0.35">
      <c r="A331" s="1">
        <v>43818</v>
      </c>
      <c r="B331" s="2">
        <v>46227</v>
      </c>
      <c r="C331" s="1" t="s">
        <v>17</v>
      </c>
      <c r="D331" s="1">
        <f t="shared" si="5"/>
        <v>7</v>
      </c>
    </row>
    <row r="332" spans="1:4" x14ac:dyDescent="0.35">
      <c r="A332" s="1">
        <v>43817</v>
      </c>
      <c r="B332" s="2">
        <v>46227</v>
      </c>
      <c r="C332" s="1" t="s">
        <v>17</v>
      </c>
      <c r="D332" s="1">
        <f t="shared" si="5"/>
        <v>7</v>
      </c>
    </row>
    <row r="333" spans="1:4" x14ac:dyDescent="0.35">
      <c r="A333" s="1">
        <v>43816</v>
      </c>
      <c r="B333" s="2">
        <v>46227</v>
      </c>
      <c r="C333" s="1" t="s">
        <v>4</v>
      </c>
      <c r="D333" s="1">
        <f t="shared" si="5"/>
        <v>7</v>
      </c>
    </row>
    <row r="334" spans="1:4" x14ac:dyDescent="0.35">
      <c r="A334" s="1">
        <v>43815</v>
      </c>
      <c r="B334" s="2">
        <v>46227</v>
      </c>
      <c r="C334" s="1" t="s">
        <v>4</v>
      </c>
      <c r="D334" s="1">
        <f t="shared" si="5"/>
        <v>7</v>
      </c>
    </row>
    <row r="335" spans="1:4" x14ac:dyDescent="0.35">
      <c r="A335" s="1">
        <v>43814</v>
      </c>
      <c r="B335" s="2">
        <v>46227</v>
      </c>
      <c r="C335" s="1" t="s">
        <v>4</v>
      </c>
      <c r="D335" s="1">
        <f t="shared" si="5"/>
        <v>7</v>
      </c>
    </row>
    <row r="336" spans="1:4" x14ac:dyDescent="0.35">
      <c r="A336" s="1">
        <v>43810</v>
      </c>
      <c r="B336" s="2">
        <v>46227</v>
      </c>
      <c r="C336" s="1" t="s">
        <v>9</v>
      </c>
      <c r="D336" s="1">
        <f t="shared" si="5"/>
        <v>7</v>
      </c>
    </row>
    <row r="337" spans="1:4" x14ac:dyDescent="0.35">
      <c r="A337" s="1">
        <v>43883</v>
      </c>
      <c r="B337" s="2">
        <v>46228</v>
      </c>
      <c r="C337" s="1" t="s">
        <v>12</v>
      </c>
      <c r="D337" s="1">
        <f t="shared" si="5"/>
        <v>7</v>
      </c>
    </row>
    <row r="338" spans="1:4" x14ac:dyDescent="0.35">
      <c r="A338" s="1">
        <v>43881</v>
      </c>
      <c r="B338" s="2">
        <v>46228</v>
      </c>
      <c r="C338" s="1" t="s">
        <v>12</v>
      </c>
      <c r="D338" s="1">
        <f t="shared" si="5"/>
        <v>7</v>
      </c>
    </row>
    <row r="339" spans="1:4" x14ac:dyDescent="0.35">
      <c r="A339" s="1">
        <v>43880</v>
      </c>
      <c r="B339" s="2">
        <v>46228</v>
      </c>
      <c r="C339" s="1" t="s">
        <v>12</v>
      </c>
      <c r="D339" s="1">
        <f t="shared" si="5"/>
        <v>7</v>
      </c>
    </row>
    <row r="340" spans="1:4" x14ac:dyDescent="0.35">
      <c r="A340" s="1">
        <v>43879</v>
      </c>
      <c r="B340" s="2">
        <v>46228</v>
      </c>
      <c r="C340" s="1" t="s">
        <v>12</v>
      </c>
      <c r="D340" s="1">
        <f t="shared" si="5"/>
        <v>7</v>
      </c>
    </row>
    <row r="341" spans="1:4" x14ac:dyDescent="0.35">
      <c r="A341" s="1">
        <v>43878</v>
      </c>
      <c r="B341" s="2">
        <v>46228</v>
      </c>
      <c r="C341" s="1" t="s">
        <v>12</v>
      </c>
      <c r="D341" s="1">
        <f t="shared" si="5"/>
        <v>7</v>
      </c>
    </row>
    <row r="342" spans="1:4" x14ac:dyDescent="0.35">
      <c r="A342" s="1">
        <v>43873</v>
      </c>
      <c r="B342" s="2">
        <v>46228</v>
      </c>
      <c r="C342" s="1" t="s">
        <v>17</v>
      </c>
      <c r="D342" s="1">
        <f t="shared" si="5"/>
        <v>7</v>
      </c>
    </row>
    <row r="343" spans="1:4" x14ac:dyDescent="0.35">
      <c r="A343" s="1">
        <v>43871</v>
      </c>
      <c r="B343" s="2">
        <v>46228</v>
      </c>
      <c r="C343" s="1" t="s">
        <v>17</v>
      </c>
      <c r="D343" s="1">
        <f t="shared" si="5"/>
        <v>7</v>
      </c>
    </row>
    <row r="344" spans="1:4" x14ac:dyDescent="0.35">
      <c r="A344" s="1">
        <v>43870</v>
      </c>
      <c r="B344" s="2">
        <v>46228</v>
      </c>
      <c r="C344" s="1" t="s">
        <v>17</v>
      </c>
      <c r="D344" s="1">
        <f t="shared" si="5"/>
        <v>7</v>
      </c>
    </row>
    <row r="345" spans="1:4" x14ac:dyDescent="0.35">
      <c r="A345" s="1">
        <v>43856</v>
      </c>
      <c r="B345" s="2">
        <v>46228</v>
      </c>
      <c r="C345" s="1" t="s">
        <v>8</v>
      </c>
      <c r="D345" s="1">
        <f t="shared" si="5"/>
        <v>7</v>
      </c>
    </row>
    <row r="346" spans="1:4" x14ac:dyDescent="0.35">
      <c r="A346" s="1">
        <v>43854</v>
      </c>
      <c r="B346" s="2">
        <v>46228</v>
      </c>
      <c r="C346" s="1" t="s">
        <v>8</v>
      </c>
      <c r="D346" s="1">
        <f t="shared" si="5"/>
        <v>7</v>
      </c>
    </row>
    <row r="347" spans="1:4" x14ac:dyDescent="0.35">
      <c r="A347" s="1">
        <v>43876</v>
      </c>
      <c r="B347" s="2">
        <v>46228</v>
      </c>
      <c r="C347" s="1" t="s">
        <v>13</v>
      </c>
      <c r="D347" s="1">
        <f t="shared" si="5"/>
        <v>7</v>
      </c>
    </row>
    <row r="348" spans="1:4" x14ac:dyDescent="0.35">
      <c r="A348" s="1">
        <v>43875</v>
      </c>
      <c r="B348" s="2">
        <v>46228</v>
      </c>
      <c r="C348" s="1" t="s">
        <v>13</v>
      </c>
      <c r="D348" s="1">
        <f t="shared" si="5"/>
        <v>7</v>
      </c>
    </row>
    <row r="349" spans="1:4" x14ac:dyDescent="0.35">
      <c r="A349" s="1">
        <v>43922</v>
      </c>
      <c r="B349" s="2">
        <v>46229</v>
      </c>
      <c r="C349" s="1" t="s">
        <v>20</v>
      </c>
      <c r="D349" s="1">
        <f t="shared" si="5"/>
        <v>7</v>
      </c>
    </row>
    <row r="350" spans="1:4" x14ac:dyDescent="0.35">
      <c r="A350" s="1">
        <v>43921</v>
      </c>
      <c r="B350" s="2">
        <v>46229</v>
      </c>
      <c r="C350" s="1" t="s">
        <v>20</v>
      </c>
      <c r="D350" s="1">
        <f t="shared" si="5"/>
        <v>7</v>
      </c>
    </row>
    <row r="351" spans="1:4" x14ac:dyDescent="0.35">
      <c r="A351" s="1">
        <v>43942</v>
      </c>
      <c r="B351" s="2">
        <v>46230</v>
      </c>
      <c r="C351" s="1" t="s">
        <v>12</v>
      </c>
      <c r="D351" s="1">
        <f t="shared" si="5"/>
        <v>7</v>
      </c>
    </row>
    <row r="352" spans="1:4" x14ac:dyDescent="0.35">
      <c r="A352" s="1">
        <v>43941</v>
      </c>
      <c r="B352" s="2">
        <v>46230</v>
      </c>
      <c r="C352" s="1" t="s">
        <v>12</v>
      </c>
      <c r="D352" s="1">
        <f t="shared" si="5"/>
        <v>7</v>
      </c>
    </row>
    <row r="353" spans="1:4" x14ac:dyDescent="0.35">
      <c r="A353" s="1">
        <v>43940</v>
      </c>
      <c r="B353" s="2">
        <v>46230</v>
      </c>
      <c r="C353" s="1" t="s">
        <v>12</v>
      </c>
      <c r="D353" s="1">
        <f t="shared" si="5"/>
        <v>7</v>
      </c>
    </row>
    <row r="354" spans="1:4" x14ac:dyDescent="0.35">
      <c r="A354" s="1">
        <v>43939</v>
      </c>
      <c r="B354" s="2">
        <v>46230</v>
      </c>
      <c r="C354" s="1" t="s">
        <v>12</v>
      </c>
      <c r="D354" s="1">
        <f t="shared" si="5"/>
        <v>7</v>
      </c>
    </row>
    <row r="355" spans="1:4" x14ac:dyDescent="0.35">
      <c r="A355" s="1">
        <v>43938</v>
      </c>
      <c r="B355" s="2">
        <v>46230</v>
      </c>
      <c r="C355" s="1" t="s">
        <v>12</v>
      </c>
      <c r="D355" s="1">
        <f t="shared" si="5"/>
        <v>7</v>
      </c>
    </row>
    <row r="356" spans="1:4" x14ac:dyDescent="0.35">
      <c r="A356" s="1">
        <v>43924</v>
      </c>
      <c r="B356" s="2">
        <v>46230</v>
      </c>
      <c r="C356" s="1" t="s">
        <v>8</v>
      </c>
      <c r="D356" s="1">
        <f t="shared" si="5"/>
        <v>7</v>
      </c>
    </row>
    <row r="357" spans="1:4" x14ac:dyDescent="0.35">
      <c r="A357" s="1">
        <v>43923</v>
      </c>
      <c r="B357" s="2">
        <v>46230</v>
      </c>
      <c r="C357" s="1" t="s">
        <v>8</v>
      </c>
      <c r="D357" s="1">
        <f t="shared" si="5"/>
        <v>7</v>
      </c>
    </row>
    <row r="358" spans="1:4" x14ac:dyDescent="0.35">
      <c r="A358" s="1">
        <v>43965</v>
      </c>
      <c r="B358" s="2">
        <v>46230</v>
      </c>
      <c r="C358" s="1" t="s">
        <v>10</v>
      </c>
      <c r="D358" s="1">
        <f t="shared" si="5"/>
        <v>7</v>
      </c>
    </row>
    <row r="359" spans="1:4" x14ac:dyDescent="0.35">
      <c r="A359" s="1">
        <v>43964</v>
      </c>
      <c r="B359" s="2">
        <v>46230</v>
      </c>
      <c r="C359" s="1" t="s">
        <v>10</v>
      </c>
      <c r="D359" s="1">
        <f t="shared" si="5"/>
        <v>7</v>
      </c>
    </row>
    <row r="360" spans="1:4" x14ac:dyDescent="0.35">
      <c r="A360" s="1">
        <v>43963</v>
      </c>
      <c r="B360" s="2">
        <v>46230</v>
      </c>
      <c r="C360" s="1" t="s">
        <v>19</v>
      </c>
      <c r="D360" s="1">
        <f t="shared" si="5"/>
        <v>7</v>
      </c>
    </row>
    <row r="361" spans="1:4" x14ac:dyDescent="0.35">
      <c r="A361" s="1">
        <v>43962</v>
      </c>
      <c r="B361" s="2">
        <v>46230</v>
      </c>
      <c r="C361" s="1" t="s">
        <v>3</v>
      </c>
      <c r="D361" s="1">
        <f t="shared" si="5"/>
        <v>7</v>
      </c>
    </row>
    <row r="362" spans="1:4" x14ac:dyDescent="0.35">
      <c r="A362" s="1">
        <v>43961</v>
      </c>
      <c r="B362" s="2">
        <v>46230</v>
      </c>
      <c r="C362" s="1" t="s">
        <v>3</v>
      </c>
      <c r="D362" s="1">
        <f t="shared" si="5"/>
        <v>7</v>
      </c>
    </row>
    <row r="363" spans="1:4" x14ac:dyDescent="0.35">
      <c r="A363" s="1">
        <v>43960</v>
      </c>
      <c r="B363" s="2">
        <v>46230</v>
      </c>
      <c r="C363" s="1" t="s">
        <v>17</v>
      </c>
      <c r="D363" s="1">
        <f t="shared" si="5"/>
        <v>7</v>
      </c>
    </row>
    <row r="364" spans="1:4" x14ac:dyDescent="0.35">
      <c r="A364" s="1">
        <v>43959</v>
      </c>
      <c r="B364" s="2">
        <v>46230</v>
      </c>
      <c r="C364" s="1" t="s">
        <v>17</v>
      </c>
      <c r="D364" s="1">
        <f t="shared" si="5"/>
        <v>7</v>
      </c>
    </row>
    <row r="365" spans="1:4" x14ac:dyDescent="0.35">
      <c r="A365" s="1">
        <v>43958</v>
      </c>
      <c r="B365" s="2">
        <v>46230</v>
      </c>
      <c r="C365" s="1" t="s">
        <v>17</v>
      </c>
      <c r="D365" s="1">
        <f t="shared" si="5"/>
        <v>7</v>
      </c>
    </row>
    <row r="366" spans="1:4" x14ac:dyDescent="0.35">
      <c r="A366" s="1">
        <v>43957</v>
      </c>
      <c r="B366" s="2">
        <v>46230</v>
      </c>
      <c r="C366" s="1" t="s">
        <v>17</v>
      </c>
      <c r="D366" s="1">
        <f t="shared" si="5"/>
        <v>7</v>
      </c>
    </row>
    <row r="367" spans="1:4" x14ac:dyDescent="0.35">
      <c r="A367" s="1">
        <v>43951</v>
      </c>
      <c r="B367" s="2">
        <v>46230</v>
      </c>
      <c r="C367" s="1" t="s">
        <v>9</v>
      </c>
      <c r="D367" s="1">
        <f t="shared" si="5"/>
        <v>7</v>
      </c>
    </row>
    <row r="368" spans="1:4" x14ac:dyDescent="0.35">
      <c r="A368" s="1">
        <v>43950</v>
      </c>
      <c r="B368" s="2">
        <v>46230</v>
      </c>
      <c r="C368" s="1" t="s">
        <v>9</v>
      </c>
      <c r="D368" s="1">
        <f t="shared" si="5"/>
        <v>7</v>
      </c>
    </row>
    <row r="369" spans="1:4" x14ac:dyDescent="0.35">
      <c r="A369" s="1">
        <v>43949</v>
      </c>
      <c r="B369" s="2">
        <v>46230</v>
      </c>
      <c r="C369" s="1" t="s">
        <v>9</v>
      </c>
      <c r="D369" s="1">
        <f t="shared" si="5"/>
        <v>7</v>
      </c>
    </row>
    <row r="370" spans="1:4" x14ac:dyDescent="0.35">
      <c r="A370" s="1">
        <v>43948</v>
      </c>
      <c r="B370" s="2">
        <v>46230</v>
      </c>
      <c r="C370" s="1" t="s">
        <v>9</v>
      </c>
      <c r="D370" s="1">
        <f t="shared" si="5"/>
        <v>7</v>
      </c>
    </row>
    <row r="371" spans="1:4" x14ac:dyDescent="0.35">
      <c r="A371" s="1">
        <v>43934</v>
      </c>
      <c r="B371" s="2">
        <v>46230</v>
      </c>
      <c r="C371" s="1" t="s">
        <v>19</v>
      </c>
      <c r="D371" s="1">
        <f t="shared" si="5"/>
        <v>7</v>
      </c>
    </row>
    <row r="372" spans="1:4" x14ac:dyDescent="0.35">
      <c r="A372" s="1">
        <v>43932</v>
      </c>
      <c r="B372" s="2">
        <v>46230</v>
      </c>
      <c r="C372" s="1" t="s">
        <v>4</v>
      </c>
      <c r="D372" s="1">
        <f t="shared" si="5"/>
        <v>7</v>
      </c>
    </row>
    <row r="373" spans="1:4" x14ac:dyDescent="0.35">
      <c r="A373" s="1">
        <v>43930</v>
      </c>
      <c r="B373" s="2">
        <v>46230</v>
      </c>
      <c r="C373" s="1" t="s">
        <v>4</v>
      </c>
      <c r="D373" s="1">
        <f t="shared" si="5"/>
        <v>7</v>
      </c>
    </row>
    <row r="374" spans="1:4" x14ac:dyDescent="0.35">
      <c r="A374" s="1">
        <v>44004</v>
      </c>
      <c r="B374" s="2">
        <v>46231</v>
      </c>
      <c r="C374" s="1" t="s">
        <v>12</v>
      </c>
      <c r="D374" s="1">
        <f t="shared" si="5"/>
        <v>7</v>
      </c>
    </row>
    <row r="375" spans="1:4" x14ac:dyDescent="0.35">
      <c r="A375" s="1">
        <v>44003</v>
      </c>
      <c r="B375" s="2">
        <v>46231</v>
      </c>
      <c r="C375" s="1" t="s">
        <v>12</v>
      </c>
      <c r="D375" s="1">
        <f t="shared" si="5"/>
        <v>7</v>
      </c>
    </row>
    <row r="376" spans="1:4" x14ac:dyDescent="0.35">
      <c r="A376" s="1">
        <v>44002</v>
      </c>
      <c r="B376" s="2">
        <v>46231</v>
      </c>
      <c r="C376" s="1" t="s">
        <v>12</v>
      </c>
      <c r="D376" s="1">
        <f t="shared" si="5"/>
        <v>7</v>
      </c>
    </row>
    <row r="377" spans="1:4" x14ac:dyDescent="0.35">
      <c r="A377" s="1">
        <v>44001</v>
      </c>
      <c r="B377" s="2">
        <v>46231</v>
      </c>
      <c r="C377" s="1" t="s">
        <v>12</v>
      </c>
      <c r="D377" s="1">
        <f t="shared" si="5"/>
        <v>7</v>
      </c>
    </row>
    <row r="378" spans="1:4" x14ac:dyDescent="0.35">
      <c r="A378" s="1">
        <v>44000</v>
      </c>
      <c r="B378" s="2">
        <v>46231</v>
      </c>
      <c r="C378" s="1" t="s">
        <v>12</v>
      </c>
      <c r="D378" s="1">
        <f t="shared" si="5"/>
        <v>7</v>
      </c>
    </row>
    <row r="379" spans="1:4" x14ac:dyDescent="0.35">
      <c r="A379" s="1">
        <v>44010</v>
      </c>
      <c r="B379" s="2">
        <v>46231</v>
      </c>
      <c r="C379" s="1" t="s">
        <v>20</v>
      </c>
      <c r="D379" s="1">
        <f t="shared" si="5"/>
        <v>7</v>
      </c>
    </row>
    <row r="380" spans="1:4" x14ac:dyDescent="0.35">
      <c r="A380" s="1">
        <v>44009</v>
      </c>
      <c r="B380" s="2">
        <v>46231</v>
      </c>
      <c r="C380" s="1" t="s">
        <v>20</v>
      </c>
      <c r="D380" s="1">
        <f t="shared" si="5"/>
        <v>7</v>
      </c>
    </row>
    <row r="381" spans="1:4" x14ac:dyDescent="0.35">
      <c r="A381" s="1">
        <v>44008</v>
      </c>
      <c r="B381" s="2">
        <v>46231</v>
      </c>
      <c r="C381" s="1" t="s">
        <v>10</v>
      </c>
      <c r="D381" s="1">
        <f t="shared" si="5"/>
        <v>7</v>
      </c>
    </row>
    <row r="382" spans="1:4" x14ac:dyDescent="0.35">
      <c r="A382" s="1">
        <v>44007</v>
      </c>
      <c r="B382" s="2">
        <v>46231</v>
      </c>
      <c r="C382" s="1" t="s">
        <v>16</v>
      </c>
      <c r="D382" s="1">
        <f t="shared" si="5"/>
        <v>7</v>
      </c>
    </row>
    <row r="383" spans="1:4" x14ac:dyDescent="0.35">
      <c r="A383" s="1">
        <v>44006</v>
      </c>
      <c r="B383" s="2">
        <v>46231</v>
      </c>
      <c r="C383" s="1" t="s">
        <v>10</v>
      </c>
      <c r="D383" s="1">
        <f t="shared" si="5"/>
        <v>7</v>
      </c>
    </row>
    <row r="384" spans="1:4" x14ac:dyDescent="0.35">
      <c r="A384" s="1">
        <v>44005</v>
      </c>
      <c r="B384" s="2">
        <v>46231</v>
      </c>
      <c r="C384" s="1" t="s">
        <v>16</v>
      </c>
      <c r="D384" s="1">
        <f t="shared" si="5"/>
        <v>7</v>
      </c>
    </row>
    <row r="385" spans="1:4" x14ac:dyDescent="0.35">
      <c r="A385" s="1">
        <v>43999</v>
      </c>
      <c r="B385" s="2">
        <v>46231</v>
      </c>
      <c r="C385" s="1" t="s">
        <v>11</v>
      </c>
      <c r="D385" s="1">
        <f t="shared" si="5"/>
        <v>7</v>
      </c>
    </row>
    <row r="386" spans="1:4" x14ac:dyDescent="0.35">
      <c r="A386" s="1">
        <v>43998</v>
      </c>
      <c r="B386" s="2">
        <v>46231</v>
      </c>
      <c r="C386" s="1" t="s">
        <v>11</v>
      </c>
      <c r="D386" s="1">
        <f t="shared" ref="D386:D449" si="6">MONTH(B386)</f>
        <v>7</v>
      </c>
    </row>
    <row r="387" spans="1:4" x14ac:dyDescent="0.35">
      <c r="A387" s="1">
        <v>43997</v>
      </c>
      <c r="B387" s="2">
        <v>46231</v>
      </c>
      <c r="C387" s="1" t="s">
        <v>9</v>
      </c>
      <c r="D387" s="1">
        <f t="shared" si="6"/>
        <v>7</v>
      </c>
    </row>
    <row r="388" spans="1:4" x14ac:dyDescent="0.35">
      <c r="A388" s="1">
        <v>43996</v>
      </c>
      <c r="B388" s="2">
        <v>46231</v>
      </c>
      <c r="C388" s="1" t="s">
        <v>9</v>
      </c>
      <c r="D388" s="1">
        <f t="shared" si="6"/>
        <v>7</v>
      </c>
    </row>
    <row r="389" spans="1:4" x14ac:dyDescent="0.35">
      <c r="A389" s="1">
        <v>43995</v>
      </c>
      <c r="B389" s="2">
        <v>46231</v>
      </c>
      <c r="C389" s="1" t="s">
        <v>9</v>
      </c>
      <c r="D389" s="1">
        <f t="shared" si="6"/>
        <v>7</v>
      </c>
    </row>
    <row r="390" spans="1:4" x14ac:dyDescent="0.35">
      <c r="A390" s="1">
        <v>43994</v>
      </c>
      <c r="B390" s="2">
        <v>46231</v>
      </c>
      <c r="C390" s="1" t="s">
        <v>9</v>
      </c>
      <c r="D390" s="1">
        <f t="shared" si="6"/>
        <v>7</v>
      </c>
    </row>
    <row r="391" spans="1:4" x14ac:dyDescent="0.35">
      <c r="A391" s="1">
        <v>43993</v>
      </c>
      <c r="B391" s="2">
        <v>46231</v>
      </c>
      <c r="C391" s="1" t="s">
        <v>9</v>
      </c>
      <c r="D391" s="1">
        <f t="shared" si="6"/>
        <v>7</v>
      </c>
    </row>
    <row r="392" spans="1:4" x14ac:dyDescent="0.35">
      <c r="A392" s="1">
        <v>43988</v>
      </c>
      <c r="B392" s="2">
        <v>46231</v>
      </c>
      <c r="C392" s="1" t="s">
        <v>4</v>
      </c>
      <c r="D392" s="1">
        <f t="shared" si="6"/>
        <v>7</v>
      </c>
    </row>
    <row r="393" spans="1:4" x14ac:dyDescent="0.35">
      <c r="A393" s="1">
        <v>43987</v>
      </c>
      <c r="B393" s="2">
        <v>46231</v>
      </c>
      <c r="C393" s="1" t="s">
        <v>4</v>
      </c>
      <c r="D393" s="1">
        <f t="shared" si="6"/>
        <v>7</v>
      </c>
    </row>
    <row r="394" spans="1:4" x14ac:dyDescent="0.35">
      <c r="A394" s="1">
        <v>43981</v>
      </c>
      <c r="B394" s="2">
        <v>46231</v>
      </c>
      <c r="C394" s="1" t="s">
        <v>17</v>
      </c>
      <c r="D394" s="1">
        <f t="shared" si="6"/>
        <v>7</v>
      </c>
    </row>
    <row r="395" spans="1:4" x14ac:dyDescent="0.35">
      <c r="A395" s="1">
        <v>43980</v>
      </c>
      <c r="B395" s="2">
        <v>46231</v>
      </c>
      <c r="C395" s="1" t="s">
        <v>17</v>
      </c>
      <c r="D395" s="1">
        <f t="shared" si="6"/>
        <v>7</v>
      </c>
    </row>
    <row r="396" spans="1:4" x14ac:dyDescent="0.35">
      <c r="A396" s="1">
        <v>43979</v>
      </c>
      <c r="B396" s="2">
        <v>46231</v>
      </c>
      <c r="C396" s="1" t="s">
        <v>17</v>
      </c>
      <c r="D396" s="1">
        <f t="shared" si="6"/>
        <v>7</v>
      </c>
    </row>
    <row r="397" spans="1:4" x14ac:dyDescent="0.35">
      <c r="A397" s="1">
        <v>43978</v>
      </c>
      <c r="B397" s="2">
        <v>46231</v>
      </c>
      <c r="C397" s="1" t="s">
        <v>17</v>
      </c>
      <c r="D397" s="1">
        <f t="shared" si="6"/>
        <v>7</v>
      </c>
    </row>
    <row r="398" spans="1:4" x14ac:dyDescent="0.35">
      <c r="A398" s="1">
        <v>43977</v>
      </c>
      <c r="B398" s="2">
        <v>46231</v>
      </c>
      <c r="C398" s="1" t="s">
        <v>3</v>
      </c>
      <c r="D398" s="1">
        <f t="shared" si="6"/>
        <v>7</v>
      </c>
    </row>
    <row r="399" spans="1:4" x14ac:dyDescent="0.35">
      <c r="A399" s="1">
        <v>43975</v>
      </c>
      <c r="B399" s="2">
        <v>46231</v>
      </c>
      <c r="C399" s="1" t="s">
        <v>3</v>
      </c>
      <c r="D399" s="1">
        <f t="shared" si="6"/>
        <v>7</v>
      </c>
    </row>
    <row r="400" spans="1:4" x14ac:dyDescent="0.35">
      <c r="A400" s="1">
        <v>43974</v>
      </c>
      <c r="B400" s="2">
        <v>46231</v>
      </c>
      <c r="C400" s="1" t="s">
        <v>19</v>
      </c>
      <c r="D400" s="1">
        <f t="shared" si="6"/>
        <v>7</v>
      </c>
    </row>
    <row r="401" spans="1:4" x14ac:dyDescent="0.35">
      <c r="A401" s="1">
        <v>43971</v>
      </c>
      <c r="B401" s="2">
        <v>46231</v>
      </c>
      <c r="C401" s="1" t="s">
        <v>19</v>
      </c>
      <c r="D401" s="1">
        <f t="shared" si="6"/>
        <v>7</v>
      </c>
    </row>
    <row r="402" spans="1:4" x14ac:dyDescent="0.35">
      <c r="A402" s="1">
        <v>43970</v>
      </c>
      <c r="B402" s="2">
        <v>46231</v>
      </c>
      <c r="C402" s="1" t="s">
        <v>8</v>
      </c>
      <c r="D402" s="1">
        <f t="shared" si="6"/>
        <v>7</v>
      </c>
    </row>
    <row r="403" spans="1:4" x14ac:dyDescent="0.35">
      <c r="A403" s="1">
        <v>43969</v>
      </c>
      <c r="B403" s="2">
        <v>46231</v>
      </c>
      <c r="C403" s="1" t="s">
        <v>8</v>
      </c>
      <c r="D403" s="1">
        <f t="shared" si="6"/>
        <v>7</v>
      </c>
    </row>
    <row r="404" spans="1:4" x14ac:dyDescent="0.35">
      <c r="A404" s="1">
        <v>43967</v>
      </c>
      <c r="B404" s="2">
        <v>46231</v>
      </c>
      <c r="C404" s="1" t="s">
        <v>21</v>
      </c>
      <c r="D404" s="1">
        <f t="shared" si="6"/>
        <v>7</v>
      </c>
    </row>
    <row r="405" spans="1:4" x14ac:dyDescent="0.35">
      <c r="A405" s="1">
        <v>43973</v>
      </c>
      <c r="B405" s="2">
        <v>46231</v>
      </c>
      <c r="C405" s="1" t="s">
        <v>13</v>
      </c>
      <c r="D405" s="1">
        <f t="shared" si="6"/>
        <v>7</v>
      </c>
    </row>
    <row r="406" spans="1:4" x14ac:dyDescent="0.35">
      <c r="A406" s="1">
        <v>43972</v>
      </c>
      <c r="B406" s="2">
        <v>46231</v>
      </c>
      <c r="C406" s="1" t="s">
        <v>13</v>
      </c>
      <c r="D406" s="1">
        <f t="shared" si="6"/>
        <v>7</v>
      </c>
    </row>
    <row r="407" spans="1:4" x14ac:dyDescent="0.35">
      <c r="A407" s="1">
        <v>44014</v>
      </c>
      <c r="B407" s="2">
        <v>46232</v>
      </c>
      <c r="C407" s="1" t="s">
        <v>18</v>
      </c>
      <c r="D407" s="1">
        <f t="shared" si="6"/>
        <v>7</v>
      </c>
    </row>
    <row r="408" spans="1:4" x14ac:dyDescent="0.35">
      <c r="A408" s="1">
        <v>44013</v>
      </c>
      <c r="B408" s="2">
        <v>46232</v>
      </c>
      <c r="C408" s="1" t="s">
        <v>18</v>
      </c>
      <c r="D408" s="1">
        <f t="shared" si="6"/>
        <v>7</v>
      </c>
    </row>
    <row r="409" spans="1:4" x14ac:dyDescent="0.35">
      <c r="A409" s="1">
        <v>44012</v>
      </c>
      <c r="B409" s="2">
        <v>46232</v>
      </c>
      <c r="C409" s="1" t="s">
        <v>18</v>
      </c>
      <c r="D409" s="1">
        <f t="shared" si="6"/>
        <v>7</v>
      </c>
    </row>
    <row r="410" spans="1:4" x14ac:dyDescent="0.35">
      <c r="A410" s="1">
        <v>44011</v>
      </c>
      <c r="B410" s="2">
        <v>46232</v>
      </c>
      <c r="C410" s="1" t="s">
        <v>18</v>
      </c>
      <c r="D410" s="1">
        <f t="shared" si="6"/>
        <v>7</v>
      </c>
    </row>
    <row r="411" spans="1:4" x14ac:dyDescent="0.35">
      <c r="A411" s="1">
        <v>44058</v>
      </c>
      <c r="B411" s="2">
        <v>46232</v>
      </c>
      <c r="C411" s="1" t="s">
        <v>20</v>
      </c>
      <c r="D411" s="1">
        <f t="shared" si="6"/>
        <v>7</v>
      </c>
    </row>
    <row r="412" spans="1:4" x14ac:dyDescent="0.35">
      <c r="A412" s="1">
        <v>44057</v>
      </c>
      <c r="B412" s="2">
        <v>46232</v>
      </c>
      <c r="C412" s="1" t="s">
        <v>20</v>
      </c>
      <c r="D412" s="1">
        <f t="shared" si="6"/>
        <v>7</v>
      </c>
    </row>
    <row r="413" spans="1:4" x14ac:dyDescent="0.35">
      <c r="A413" s="1">
        <v>44056</v>
      </c>
      <c r="B413" s="2">
        <v>46232</v>
      </c>
      <c r="C413" s="1" t="s">
        <v>10</v>
      </c>
      <c r="D413" s="1">
        <f t="shared" si="6"/>
        <v>7</v>
      </c>
    </row>
    <row r="414" spans="1:4" x14ac:dyDescent="0.35">
      <c r="A414" s="1">
        <v>44055</v>
      </c>
      <c r="B414" s="2">
        <v>46232</v>
      </c>
      <c r="C414" s="1" t="s">
        <v>10</v>
      </c>
      <c r="D414" s="1">
        <f t="shared" si="6"/>
        <v>7</v>
      </c>
    </row>
    <row r="415" spans="1:4" x14ac:dyDescent="0.35">
      <c r="A415" s="1">
        <v>44054</v>
      </c>
      <c r="B415" s="2">
        <v>46232</v>
      </c>
      <c r="C415" s="1" t="s">
        <v>16</v>
      </c>
      <c r="D415" s="1">
        <f t="shared" si="6"/>
        <v>7</v>
      </c>
    </row>
    <row r="416" spans="1:4" x14ac:dyDescent="0.35">
      <c r="A416" s="1">
        <v>44053</v>
      </c>
      <c r="B416" s="2">
        <v>46232</v>
      </c>
      <c r="C416" s="1" t="s">
        <v>16</v>
      </c>
      <c r="D416" s="1">
        <f t="shared" si="6"/>
        <v>7</v>
      </c>
    </row>
    <row r="417" spans="1:4" x14ac:dyDescent="0.35">
      <c r="A417" s="1">
        <v>44052</v>
      </c>
      <c r="B417" s="2">
        <v>46232</v>
      </c>
      <c r="C417" s="1" t="s">
        <v>3</v>
      </c>
      <c r="D417" s="1">
        <f t="shared" si="6"/>
        <v>7</v>
      </c>
    </row>
    <row r="418" spans="1:4" x14ac:dyDescent="0.35">
      <c r="A418" s="1">
        <v>44051</v>
      </c>
      <c r="B418" s="2">
        <v>46232</v>
      </c>
      <c r="C418" s="1" t="s">
        <v>9</v>
      </c>
      <c r="D418" s="1">
        <f t="shared" si="6"/>
        <v>7</v>
      </c>
    </row>
    <row r="419" spans="1:4" x14ac:dyDescent="0.35">
      <c r="A419" s="1">
        <v>44050</v>
      </c>
      <c r="B419" s="2">
        <v>46232</v>
      </c>
      <c r="C419" s="1" t="s">
        <v>9</v>
      </c>
      <c r="D419" s="1">
        <f t="shared" si="6"/>
        <v>7</v>
      </c>
    </row>
    <row r="420" spans="1:4" x14ac:dyDescent="0.35">
      <c r="A420" s="1">
        <v>44049</v>
      </c>
      <c r="B420" s="2">
        <v>46232</v>
      </c>
      <c r="C420" s="1" t="s">
        <v>9</v>
      </c>
      <c r="D420" s="1">
        <f t="shared" si="6"/>
        <v>7</v>
      </c>
    </row>
    <row r="421" spans="1:4" x14ac:dyDescent="0.35">
      <c r="A421" s="1">
        <v>44048</v>
      </c>
      <c r="B421" s="2">
        <v>46232</v>
      </c>
      <c r="C421" s="1" t="s">
        <v>9</v>
      </c>
      <c r="D421" s="1">
        <f t="shared" si="6"/>
        <v>7</v>
      </c>
    </row>
    <row r="422" spans="1:4" x14ac:dyDescent="0.35">
      <c r="A422" s="1">
        <v>44047</v>
      </c>
      <c r="B422" s="2">
        <v>46232</v>
      </c>
      <c r="C422" s="1" t="s">
        <v>9</v>
      </c>
      <c r="D422" s="1">
        <f t="shared" si="6"/>
        <v>7</v>
      </c>
    </row>
    <row r="423" spans="1:4" x14ac:dyDescent="0.35">
      <c r="A423" s="1">
        <v>44036</v>
      </c>
      <c r="B423" s="2">
        <v>46232</v>
      </c>
      <c r="C423" s="1" t="s">
        <v>6</v>
      </c>
      <c r="D423" s="1">
        <f t="shared" si="6"/>
        <v>7</v>
      </c>
    </row>
    <row r="424" spans="1:4" x14ac:dyDescent="0.35">
      <c r="A424" s="1">
        <v>44035</v>
      </c>
      <c r="B424" s="2">
        <v>46232</v>
      </c>
      <c r="C424" s="1" t="s">
        <v>6</v>
      </c>
      <c r="D424" s="1">
        <f t="shared" si="6"/>
        <v>7</v>
      </c>
    </row>
    <row r="425" spans="1:4" x14ac:dyDescent="0.35">
      <c r="A425" s="1">
        <v>44034</v>
      </c>
      <c r="B425" s="2">
        <v>46232</v>
      </c>
      <c r="C425" s="1" t="s">
        <v>6</v>
      </c>
      <c r="D425" s="1">
        <f t="shared" si="6"/>
        <v>7</v>
      </c>
    </row>
    <row r="426" spans="1:4" x14ac:dyDescent="0.35">
      <c r="A426" s="1">
        <v>44029</v>
      </c>
      <c r="B426" s="2">
        <v>46232</v>
      </c>
      <c r="C426" s="1" t="s">
        <v>8</v>
      </c>
      <c r="D426" s="1">
        <f t="shared" si="6"/>
        <v>7</v>
      </c>
    </row>
    <row r="427" spans="1:4" x14ac:dyDescent="0.35">
      <c r="A427" s="1">
        <v>44028</v>
      </c>
      <c r="B427" s="2">
        <v>46232</v>
      </c>
      <c r="C427" s="1" t="s">
        <v>8</v>
      </c>
      <c r="D427" s="1">
        <f t="shared" si="6"/>
        <v>7</v>
      </c>
    </row>
    <row r="428" spans="1:4" x14ac:dyDescent="0.35">
      <c r="A428" s="1">
        <v>44027</v>
      </c>
      <c r="B428" s="2">
        <v>46232</v>
      </c>
      <c r="C428" s="1" t="s">
        <v>17</v>
      </c>
      <c r="D428" s="1">
        <f t="shared" si="6"/>
        <v>7</v>
      </c>
    </row>
    <row r="429" spans="1:4" x14ac:dyDescent="0.35">
      <c r="A429" s="1">
        <v>44026</v>
      </c>
      <c r="B429" s="2">
        <v>46232</v>
      </c>
      <c r="C429" s="1" t="s">
        <v>17</v>
      </c>
      <c r="D429" s="1">
        <f t="shared" si="6"/>
        <v>7</v>
      </c>
    </row>
    <row r="430" spans="1:4" x14ac:dyDescent="0.35">
      <c r="A430" s="1">
        <v>44025</v>
      </c>
      <c r="B430" s="2">
        <v>46232</v>
      </c>
      <c r="C430" s="1" t="s">
        <v>17</v>
      </c>
      <c r="D430" s="1">
        <f t="shared" si="6"/>
        <v>7</v>
      </c>
    </row>
    <row r="431" spans="1:4" x14ac:dyDescent="0.35">
      <c r="A431" s="1">
        <v>44024</v>
      </c>
      <c r="B431" s="2">
        <v>46232</v>
      </c>
      <c r="C431" s="1" t="s">
        <v>17</v>
      </c>
      <c r="D431" s="1">
        <f t="shared" si="6"/>
        <v>7</v>
      </c>
    </row>
    <row r="432" spans="1:4" x14ac:dyDescent="0.35">
      <c r="A432" s="1">
        <v>44016</v>
      </c>
      <c r="B432" s="2">
        <v>46232</v>
      </c>
      <c r="C432" s="1" t="s">
        <v>13</v>
      </c>
      <c r="D432" s="1">
        <f t="shared" si="6"/>
        <v>7</v>
      </c>
    </row>
    <row r="433" spans="1:4" x14ac:dyDescent="0.35">
      <c r="A433" s="1">
        <v>44015</v>
      </c>
      <c r="B433" s="2">
        <v>46232</v>
      </c>
      <c r="C433" s="1" t="s">
        <v>13</v>
      </c>
      <c r="D433" s="1">
        <f t="shared" si="6"/>
        <v>7</v>
      </c>
    </row>
    <row r="434" spans="1:4" x14ac:dyDescent="0.35">
      <c r="A434" s="1">
        <v>44081</v>
      </c>
      <c r="B434" s="2">
        <v>46233</v>
      </c>
      <c r="C434" s="1" t="s">
        <v>17</v>
      </c>
      <c r="D434" s="1">
        <f t="shared" si="6"/>
        <v>7</v>
      </c>
    </row>
    <row r="435" spans="1:4" x14ac:dyDescent="0.35">
      <c r="A435" s="1">
        <v>44080</v>
      </c>
      <c r="B435" s="2">
        <v>46233</v>
      </c>
      <c r="C435" s="1" t="s">
        <v>17</v>
      </c>
      <c r="D435" s="1">
        <f t="shared" si="6"/>
        <v>7</v>
      </c>
    </row>
    <row r="436" spans="1:4" x14ac:dyDescent="0.35">
      <c r="A436" s="1">
        <v>44079</v>
      </c>
      <c r="B436" s="2">
        <v>46233</v>
      </c>
      <c r="C436" s="1" t="s">
        <v>17</v>
      </c>
      <c r="D436" s="1">
        <f t="shared" si="6"/>
        <v>7</v>
      </c>
    </row>
    <row r="437" spans="1:4" x14ac:dyDescent="0.35">
      <c r="A437" s="1">
        <v>44078</v>
      </c>
      <c r="B437" s="2">
        <v>46233</v>
      </c>
      <c r="C437" s="1" t="s">
        <v>17</v>
      </c>
      <c r="D437" s="1">
        <f t="shared" si="6"/>
        <v>7</v>
      </c>
    </row>
    <row r="438" spans="1:4" x14ac:dyDescent="0.35">
      <c r="A438" s="1">
        <v>44077</v>
      </c>
      <c r="B438" s="2">
        <v>46233</v>
      </c>
      <c r="C438" s="1" t="s">
        <v>3</v>
      </c>
      <c r="D438" s="1">
        <f t="shared" si="6"/>
        <v>7</v>
      </c>
    </row>
    <row r="439" spans="1:4" x14ac:dyDescent="0.35">
      <c r="A439" s="1">
        <v>44076</v>
      </c>
      <c r="B439" s="2">
        <v>46233</v>
      </c>
      <c r="C439" s="1" t="s">
        <v>11</v>
      </c>
      <c r="D439" s="1">
        <f t="shared" si="6"/>
        <v>7</v>
      </c>
    </row>
    <row r="440" spans="1:4" x14ac:dyDescent="0.35">
      <c r="A440" s="1">
        <v>44075</v>
      </c>
      <c r="B440" s="2">
        <v>46233</v>
      </c>
      <c r="C440" s="1" t="s">
        <v>3</v>
      </c>
      <c r="D440" s="1">
        <f t="shared" si="6"/>
        <v>7</v>
      </c>
    </row>
    <row r="441" spans="1:4" x14ac:dyDescent="0.35">
      <c r="A441" s="1">
        <v>44074</v>
      </c>
      <c r="B441" s="2">
        <v>46233</v>
      </c>
      <c r="C441" s="1" t="s">
        <v>19</v>
      </c>
      <c r="D441" s="1">
        <f t="shared" si="6"/>
        <v>7</v>
      </c>
    </row>
    <row r="442" spans="1:4" x14ac:dyDescent="0.35">
      <c r="A442" s="1">
        <v>44073</v>
      </c>
      <c r="B442" s="2">
        <v>46233</v>
      </c>
      <c r="C442" s="1" t="s">
        <v>19</v>
      </c>
      <c r="D442" s="1">
        <f t="shared" si="6"/>
        <v>7</v>
      </c>
    </row>
    <row r="443" spans="1:4" x14ac:dyDescent="0.35">
      <c r="A443" s="1">
        <v>44068</v>
      </c>
      <c r="B443" s="2">
        <v>46233</v>
      </c>
      <c r="C443" s="1" t="s">
        <v>9</v>
      </c>
      <c r="D443" s="1">
        <f t="shared" si="6"/>
        <v>7</v>
      </c>
    </row>
    <row r="444" spans="1:4" x14ac:dyDescent="0.35">
      <c r="A444" s="1">
        <v>44066</v>
      </c>
      <c r="B444" s="2">
        <v>46233</v>
      </c>
      <c r="C444" s="1" t="s">
        <v>8</v>
      </c>
      <c r="D444" s="1">
        <f t="shared" si="6"/>
        <v>7</v>
      </c>
    </row>
    <row r="445" spans="1:4" x14ac:dyDescent="0.35">
      <c r="A445" s="1">
        <v>44065</v>
      </c>
      <c r="B445" s="2">
        <v>46233</v>
      </c>
      <c r="C445" s="1" t="s">
        <v>8</v>
      </c>
      <c r="D445" s="1">
        <f t="shared" si="6"/>
        <v>7</v>
      </c>
    </row>
    <row r="446" spans="1:4" x14ac:dyDescent="0.35">
      <c r="A446" s="1">
        <v>44064</v>
      </c>
      <c r="B446" s="2">
        <v>46233</v>
      </c>
      <c r="C446" s="1" t="s">
        <v>19</v>
      </c>
      <c r="D446" s="1">
        <f t="shared" si="6"/>
        <v>7</v>
      </c>
    </row>
    <row r="447" spans="1:4" x14ac:dyDescent="0.35">
      <c r="A447" s="1">
        <v>44063</v>
      </c>
      <c r="B447" s="2">
        <v>46233</v>
      </c>
      <c r="C447" s="1" t="s">
        <v>19</v>
      </c>
      <c r="D447" s="1">
        <f t="shared" si="6"/>
        <v>7</v>
      </c>
    </row>
    <row r="448" spans="1:4" x14ac:dyDescent="0.35">
      <c r="A448" s="1">
        <v>44103</v>
      </c>
      <c r="B448" s="2">
        <v>46233</v>
      </c>
      <c r="C448" s="1" t="s">
        <v>9</v>
      </c>
      <c r="D448" s="1">
        <f t="shared" si="6"/>
        <v>7</v>
      </c>
    </row>
    <row r="449" spans="1:4" x14ac:dyDescent="0.35">
      <c r="A449" s="1">
        <v>44102</v>
      </c>
      <c r="B449" s="2">
        <v>46233</v>
      </c>
      <c r="C449" s="1" t="s">
        <v>9</v>
      </c>
      <c r="D449" s="1">
        <f t="shared" si="6"/>
        <v>7</v>
      </c>
    </row>
    <row r="450" spans="1:4" x14ac:dyDescent="0.35">
      <c r="A450" s="1">
        <v>44101</v>
      </c>
      <c r="B450" s="2">
        <v>46233</v>
      </c>
      <c r="C450" s="1" t="s">
        <v>9</v>
      </c>
      <c r="D450" s="1">
        <f t="shared" ref="D450:D513" si="7">MONTH(B450)</f>
        <v>7</v>
      </c>
    </row>
    <row r="451" spans="1:4" x14ac:dyDescent="0.35">
      <c r="A451" s="1">
        <v>44100</v>
      </c>
      <c r="B451" s="2">
        <v>46233</v>
      </c>
      <c r="C451" s="1" t="s">
        <v>9</v>
      </c>
      <c r="D451" s="1">
        <f t="shared" si="7"/>
        <v>7</v>
      </c>
    </row>
    <row r="452" spans="1:4" x14ac:dyDescent="0.35">
      <c r="A452" s="1">
        <v>44099</v>
      </c>
      <c r="B452" s="2">
        <v>46233</v>
      </c>
      <c r="C452" s="1" t="s">
        <v>9</v>
      </c>
      <c r="D452" s="1">
        <f t="shared" si="7"/>
        <v>7</v>
      </c>
    </row>
    <row r="453" spans="1:4" x14ac:dyDescent="0.35">
      <c r="A453" s="1">
        <v>44098</v>
      </c>
      <c r="B453" s="2">
        <v>46233</v>
      </c>
      <c r="C453" s="1" t="s">
        <v>10</v>
      </c>
      <c r="D453" s="1">
        <f t="shared" si="7"/>
        <v>7</v>
      </c>
    </row>
    <row r="454" spans="1:4" x14ac:dyDescent="0.35">
      <c r="A454" s="1">
        <v>44097</v>
      </c>
      <c r="B454" s="2">
        <v>46233</v>
      </c>
      <c r="C454" s="1" t="s">
        <v>10</v>
      </c>
      <c r="D454" s="1">
        <f t="shared" si="7"/>
        <v>7</v>
      </c>
    </row>
    <row r="455" spans="1:4" x14ac:dyDescent="0.35">
      <c r="A455" s="1">
        <v>44096</v>
      </c>
      <c r="B455" s="2">
        <v>46233</v>
      </c>
      <c r="C455" s="1" t="s">
        <v>20</v>
      </c>
      <c r="D455" s="1">
        <f t="shared" si="7"/>
        <v>7</v>
      </c>
    </row>
    <row r="456" spans="1:4" x14ac:dyDescent="0.35">
      <c r="A456" s="1">
        <v>44095</v>
      </c>
      <c r="B456" s="2">
        <v>46233</v>
      </c>
      <c r="C456" s="1" t="s">
        <v>20</v>
      </c>
      <c r="D456" s="1">
        <f t="shared" si="7"/>
        <v>7</v>
      </c>
    </row>
    <row r="457" spans="1:4" x14ac:dyDescent="0.35">
      <c r="A457" s="1">
        <v>44094</v>
      </c>
      <c r="B457" s="2">
        <v>46233</v>
      </c>
      <c r="C457" s="1" t="s">
        <v>16</v>
      </c>
      <c r="D457" s="1">
        <f t="shared" si="7"/>
        <v>7</v>
      </c>
    </row>
    <row r="458" spans="1:4" x14ac:dyDescent="0.35">
      <c r="A458" s="1">
        <v>44093</v>
      </c>
      <c r="B458" s="2">
        <v>46233</v>
      </c>
      <c r="C458" s="1" t="s">
        <v>16</v>
      </c>
      <c r="D458" s="1">
        <f t="shared" si="7"/>
        <v>7</v>
      </c>
    </row>
    <row r="459" spans="1:4" x14ac:dyDescent="0.35">
      <c r="A459" s="1">
        <v>44104</v>
      </c>
      <c r="B459" s="2">
        <v>46234</v>
      </c>
      <c r="C459" s="1" t="s">
        <v>19</v>
      </c>
      <c r="D459" s="1">
        <f t="shared" si="7"/>
        <v>7</v>
      </c>
    </row>
    <row r="460" spans="1:4" x14ac:dyDescent="0.35">
      <c r="A460" s="1">
        <v>44160</v>
      </c>
      <c r="B460" s="2">
        <v>46234</v>
      </c>
      <c r="C460" s="1" t="s">
        <v>10</v>
      </c>
      <c r="D460" s="1">
        <f t="shared" si="7"/>
        <v>7</v>
      </c>
    </row>
    <row r="461" spans="1:4" x14ac:dyDescent="0.35">
      <c r="A461" s="1">
        <v>44159</v>
      </c>
      <c r="B461" s="2">
        <v>46234</v>
      </c>
      <c r="C461" s="1" t="s">
        <v>10</v>
      </c>
      <c r="D461" s="1">
        <f t="shared" si="7"/>
        <v>7</v>
      </c>
    </row>
    <row r="462" spans="1:4" x14ac:dyDescent="0.35">
      <c r="A462" s="1">
        <v>44157</v>
      </c>
      <c r="B462" s="2">
        <v>46234</v>
      </c>
      <c r="C462" s="1" t="s">
        <v>20</v>
      </c>
      <c r="D462" s="1">
        <f t="shared" si="7"/>
        <v>7</v>
      </c>
    </row>
    <row r="463" spans="1:4" x14ac:dyDescent="0.35">
      <c r="A463" s="1">
        <v>44135</v>
      </c>
      <c r="B463" s="2">
        <v>46234</v>
      </c>
      <c r="C463" s="1" t="s">
        <v>17</v>
      </c>
      <c r="D463" s="1">
        <f t="shared" si="7"/>
        <v>7</v>
      </c>
    </row>
    <row r="464" spans="1:4" x14ac:dyDescent="0.35">
      <c r="A464" s="1">
        <v>44134</v>
      </c>
      <c r="B464" s="2">
        <v>46234</v>
      </c>
      <c r="C464" s="1" t="s">
        <v>17</v>
      </c>
      <c r="D464" s="1">
        <f t="shared" si="7"/>
        <v>7</v>
      </c>
    </row>
    <row r="465" spans="1:4" x14ac:dyDescent="0.35">
      <c r="A465" s="1">
        <v>44133</v>
      </c>
      <c r="B465" s="2">
        <v>46234</v>
      </c>
      <c r="C465" s="1" t="s">
        <v>17</v>
      </c>
      <c r="D465" s="1">
        <f t="shared" si="7"/>
        <v>7</v>
      </c>
    </row>
    <row r="466" spans="1:4" x14ac:dyDescent="0.35">
      <c r="A466" s="1">
        <v>44132</v>
      </c>
      <c r="B466" s="2">
        <v>46234</v>
      </c>
      <c r="C466" s="1" t="s">
        <v>17</v>
      </c>
      <c r="D466" s="1">
        <f t="shared" si="7"/>
        <v>7</v>
      </c>
    </row>
    <row r="467" spans="1:4" x14ac:dyDescent="0.35">
      <c r="A467" s="1">
        <v>44131</v>
      </c>
      <c r="B467" s="2">
        <v>46234</v>
      </c>
      <c r="C467" s="1" t="s">
        <v>16</v>
      </c>
      <c r="D467" s="1">
        <f t="shared" si="7"/>
        <v>7</v>
      </c>
    </row>
    <row r="468" spans="1:4" x14ac:dyDescent="0.35">
      <c r="A468" s="1">
        <v>44130</v>
      </c>
      <c r="B468" s="2">
        <v>46234</v>
      </c>
      <c r="C468" s="1" t="s">
        <v>16</v>
      </c>
      <c r="D468" s="1">
        <f t="shared" si="7"/>
        <v>7</v>
      </c>
    </row>
    <row r="469" spans="1:4" x14ac:dyDescent="0.35">
      <c r="A469" s="1">
        <v>44128</v>
      </c>
      <c r="B469" s="2">
        <v>46234</v>
      </c>
      <c r="C469" s="1" t="s">
        <v>6</v>
      </c>
      <c r="D469" s="1">
        <f t="shared" si="7"/>
        <v>7</v>
      </c>
    </row>
    <row r="470" spans="1:4" x14ac:dyDescent="0.35">
      <c r="A470" s="1">
        <v>44127</v>
      </c>
      <c r="B470" s="2">
        <v>46234</v>
      </c>
      <c r="C470" s="1" t="s">
        <v>6</v>
      </c>
      <c r="D470" s="1">
        <f t="shared" si="7"/>
        <v>7</v>
      </c>
    </row>
    <row r="471" spans="1:4" x14ac:dyDescent="0.35">
      <c r="A471" s="1">
        <v>44125</v>
      </c>
      <c r="B471" s="2">
        <v>46234</v>
      </c>
      <c r="C471" s="1" t="s">
        <v>6</v>
      </c>
      <c r="D471" s="1">
        <f t="shared" si="7"/>
        <v>7</v>
      </c>
    </row>
    <row r="472" spans="1:4" x14ac:dyDescent="0.35">
      <c r="A472" s="1">
        <v>44121</v>
      </c>
      <c r="B472" s="2">
        <v>46234</v>
      </c>
      <c r="C472" s="1" t="s">
        <v>3</v>
      </c>
      <c r="D472" s="1">
        <f t="shared" si="7"/>
        <v>7</v>
      </c>
    </row>
    <row r="473" spans="1:4" x14ac:dyDescent="0.35">
      <c r="A473" s="1">
        <v>44118</v>
      </c>
      <c r="B473" s="2">
        <v>46234</v>
      </c>
      <c r="C473" s="1" t="s">
        <v>9</v>
      </c>
      <c r="D473" s="1">
        <f t="shared" si="7"/>
        <v>7</v>
      </c>
    </row>
    <row r="474" spans="1:4" x14ac:dyDescent="0.35">
      <c r="A474" s="1">
        <v>44117</v>
      </c>
      <c r="B474" s="2">
        <v>46234</v>
      </c>
      <c r="C474" s="1" t="s">
        <v>7</v>
      </c>
      <c r="D474" s="1">
        <f t="shared" si="7"/>
        <v>7</v>
      </c>
    </row>
    <row r="475" spans="1:4" x14ac:dyDescent="0.35">
      <c r="A475" s="1">
        <v>44116</v>
      </c>
      <c r="B475" s="2">
        <v>46234</v>
      </c>
      <c r="C475" s="1" t="s">
        <v>7</v>
      </c>
      <c r="D475" s="1">
        <f t="shared" si="7"/>
        <v>7</v>
      </c>
    </row>
    <row r="476" spans="1:4" x14ac:dyDescent="0.35">
      <c r="A476" s="1">
        <v>44114</v>
      </c>
      <c r="B476" s="2">
        <v>46234</v>
      </c>
      <c r="C476" s="1" t="s">
        <v>9</v>
      </c>
      <c r="D476" s="1">
        <f t="shared" si="7"/>
        <v>7</v>
      </c>
    </row>
    <row r="477" spans="1:4" x14ac:dyDescent="0.35">
      <c r="A477" s="1">
        <v>44112</v>
      </c>
      <c r="B477" s="2">
        <v>46234</v>
      </c>
      <c r="C477" s="1" t="s">
        <v>9</v>
      </c>
      <c r="D477" s="1">
        <f t="shared" si="7"/>
        <v>7</v>
      </c>
    </row>
    <row r="478" spans="1:4" x14ac:dyDescent="0.35">
      <c r="A478" s="1">
        <v>44108</v>
      </c>
      <c r="B478" s="2">
        <v>46234</v>
      </c>
      <c r="C478" s="1" t="s">
        <v>8</v>
      </c>
      <c r="D478" s="1">
        <f t="shared" si="7"/>
        <v>7</v>
      </c>
    </row>
    <row r="479" spans="1:4" x14ac:dyDescent="0.35">
      <c r="A479" s="1">
        <v>44107</v>
      </c>
      <c r="B479" s="2">
        <v>46234</v>
      </c>
      <c r="C479" s="1" t="s">
        <v>8</v>
      </c>
      <c r="D479" s="1">
        <f t="shared" si="7"/>
        <v>7</v>
      </c>
    </row>
    <row r="480" spans="1:4" x14ac:dyDescent="0.35">
      <c r="A480" s="1">
        <v>44229</v>
      </c>
      <c r="B480" s="2">
        <v>46234</v>
      </c>
      <c r="C480" s="1" t="s">
        <v>21</v>
      </c>
      <c r="D480" s="1">
        <f t="shared" si="7"/>
        <v>7</v>
      </c>
    </row>
    <row r="481" spans="1:4" x14ac:dyDescent="0.35">
      <c r="A481" s="1">
        <v>44227</v>
      </c>
      <c r="B481" s="2">
        <v>46234</v>
      </c>
      <c r="C481" s="1" t="s">
        <v>21</v>
      </c>
      <c r="D481" s="1">
        <f t="shared" si="7"/>
        <v>7</v>
      </c>
    </row>
    <row r="482" spans="1:4" x14ac:dyDescent="0.35">
      <c r="A482" s="1">
        <v>44223</v>
      </c>
      <c r="B482" s="2">
        <v>46234</v>
      </c>
      <c r="C482" s="1" t="s">
        <v>21</v>
      </c>
      <c r="D482" s="1">
        <f t="shared" si="7"/>
        <v>7</v>
      </c>
    </row>
    <row r="483" spans="1:4" x14ac:dyDescent="0.35">
      <c r="A483" s="1">
        <v>44217</v>
      </c>
      <c r="B483" s="2">
        <v>46234</v>
      </c>
      <c r="C483" s="1" t="s">
        <v>21</v>
      </c>
      <c r="D483" s="1">
        <f t="shared" si="7"/>
        <v>7</v>
      </c>
    </row>
    <row r="484" spans="1:4" x14ac:dyDescent="0.35">
      <c r="A484" s="1">
        <v>44216</v>
      </c>
      <c r="B484" s="2">
        <v>46234</v>
      </c>
      <c r="C484" s="1" t="s">
        <v>21</v>
      </c>
      <c r="D484" s="1">
        <f t="shared" si="7"/>
        <v>7</v>
      </c>
    </row>
    <row r="485" spans="1:4" x14ac:dyDescent="0.35">
      <c r="A485" s="1">
        <v>44215</v>
      </c>
      <c r="B485" s="2">
        <v>46234</v>
      </c>
      <c r="C485" s="1" t="s">
        <v>21</v>
      </c>
      <c r="D485" s="1">
        <f t="shared" si="7"/>
        <v>7</v>
      </c>
    </row>
    <row r="486" spans="1:4" x14ac:dyDescent="0.35">
      <c r="A486" s="1">
        <v>44214</v>
      </c>
      <c r="B486" s="2">
        <v>46234</v>
      </c>
      <c r="C486" s="1" t="s">
        <v>21</v>
      </c>
      <c r="D486" s="1">
        <f t="shared" si="7"/>
        <v>7</v>
      </c>
    </row>
    <row r="487" spans="1:4" x14ac:dyDescent="0.35">
      <c r="A487" s="1">
        <v>44210</v>
      </c>
      <c r="B487" s="2">
        <v>46234</v>
      </c>
      <c r="C487" s="1" t="s">
        <v>21</v>
      </c>
      <c r="D487" s="1">
        <f t="shared" si="7"/>
        <v>7</v>
      </c>
    </row>
    <row r="488" spans="1:4" x14ac:dyDescent="0.35">
      <c r="A488" s="1">
        <v>44209</v>
      </c>
      <c r="B488" s="2">
        <v>46234</v>
      </c>
      <c r="C488" s="1" t="s">
        <v>21</v>
      </c>
      <c r="D488" s="1">
        <f t="shared" si="7"/>
        <v>7</v>
      </c>
    </row>
    <row r="489" spans="1:4" x14ac:dyDescent="0.35">
      <c r="A489" s="1">
        <v>44208</v>
      </c>
      <c r="B489" s="2">
        <v>46234</v>
      </c>
      <c r="C489" s="1" t="s">
        <v>21</v>
      </c>
      <c r="D489" s="1">
        <f t="shared" si="7"/>
        <v>7</v>
      </c>
    </row>
    <row r="490" spans="1:4" x14ac:dyDescent="0.35">
      <c r="A490" s="1">
        <v>44206</v>
      </c>
      <c r="B490" s="2">
        <v>46234</v>
      </c>
      <c r="C490" s="1" t="s">
        <v>21</v>
      </c>
      <c r="D490" s="1">
        <f t="shared" si="7"/>
        <v>7</v>
      </c>
    </row>
    <row r="491" spans="1:4" x14ac:dyDescent="0.35">
      <c r="A491" s="1">
        <v>44205</v>
      </c>
      <c r="B491" s="2">
        <v>46234</v>
      </c>
      <c r="C491" s="1" t="s">
        <v>21</v>
      </c>
      <c r="D491" s="1">
        <f t="shared" si="7"/>
        <v>7</v>
      </c>
    </row>
    <row r="492" spans="1:4" x14ac:dyDescent="0.35">
      <c r="A492" s="1">
        <v>44204</v>
      </c>
      <c r="B492" s="2">
        <v>46234</v>
      </c>
      <c r="C492" s="1" t="s">
        <v>21</v>
      </c>
      <c r="D492" s="1">
        <f t="shared" si="7"/>
        <v>7</v>
      </c>
    </row>
    <row r="493" spans="1:4" x14ac:dyDescent="0.35">
      <c r="A493" s="1">
        <v>44203</v>
      </c>
      <c r="B493" s="2">
        <v>46234</v>
      </c>
      <c r="C493" s="1" t="s">
        <v>21</v>
      </c>
      <c r="D493" s="1">
        <f t="shared" si="7"/>
        <v>7</v>
      </c>
    </row>
    <row r="494" spans="1:4" x14ac:dyDescent="0.35">
      <c r="A494" s="1">
        <v>44202</v>
      </c>
      <c r="B494" s="2">
        <v>46234</v>
      </c>
      <c r="C494" s="1" t="s">
        <v>21</v>
      </c>
      <c r="D494" s="1">
        <f t="shared" si="7"/>
        <v>7</v>
      </c>
    </row>
    <row r="495" spans="1:4" x14ac:dyDescent="0.35">
      <c r="A495" s="1">
        <v>44201</v>
      </c>
      <c r="B495" s="2">
        <v>46234</v>
      </c>
      <c r="C495" s="1" t="s">
        <v>21</v>
      </c>
      <c r="D495" s="1">
        <f t="shared" si="7"/>
        <v>7</v>
      </c>
    </row>
    <row r="496" spans="1:4" x14ac:dyDescent="0.35">
      <c r="A496" s="1">
        <v>44200</v>
      </c>
      <c r="B496" s="2">
        <v>46234</v>
      </c>
      <c r="C496" s="1" t="s">
        <v>21</v>
      </c>
      <c r="D496" s="1">
        <f t="shared" si="7"/>
        <v>7</v>
      </c>
    </row>
    <row r="497" spans="1:4" x14ac:dyDescent="0.35">
      <c r="A497" s="1">
        <v>44199</v>
      </c>
      <c r="B497" s="2">
        <v>46234</v>
      </c>
      <c r="C497" s="1" t="s">
        <v>21</v>
      </c>
      <c r="D497" s="1">
        <f t="shared" si="7"/>
        <v>7</v>
      </c>
    </row>
    <row r="498" spans="1:4" x14ac:dyDescent="0.35">
      <c r="A498" s="1">
        <v>44198</v>
      </c>
      <c r="B498" s="2">
        <v>46234</v>
      </c>
      <c r="C498" s="1" t="s">
        <v>21</v>
      </c>
      <c r="D498" s="1">
        <f t="shared" si="7"/>
        <v>7</v>
      </c>
    </row>
    <row r="499" spans="1:4" x14ac:dyDescent="0.35">
      <c r="A499" s="1">
        <v>44197</v>
      </c>
      <c r="B499" s="2">
        <v>46234</v>
      </c>
      <c r="C499" s="1" t="s">
        <v>21</v>
      </c>
      <c r="D499" s="1">
        <f t="shared" si="7"/>
        <v>7</v>
      </c>
    </row>
    <row r="500" spans="1:4" x14ac:dyDescent="0.35">
      <c r="A500" s="1">
        <v>44196</v>
      </c>
      <c r="B500" s="2">
        <v>46234</v>
      </c>
      <c r="C500" s="1" t="s">
        <v>21</v>
      </c>
      <c r="D500" s="1">
        <f t="shared" si="7"/>
        <v>7</v>
      </c>
    </row>
    <row r="501" spans="1:4" x14ac:dyDescent="0.35">
      <c r="A501" s="1">
        <v>44195</v>
      </c>
      <c r="B501" s="2">
        <v>46234</v>
      </c>
      <c r="C501" s="1" t="s">
        <v>21</v>
      </c>
      <c r="D501" s="1">
        <f t="shared" si="7"/>
        <v>7</v>
      </c>
    </row>
    <row r="502" spans="1:4" x14ac:dyDescent="0.35">
      <c r="A502" s="1">
        <v>44194</v>
      </c>
      <c r="B502" s="2">
        <v>46234</v>
      </c>
      <c r="C502" s="1" t="s">
        <v>21</v>
      </c>
      <c r="D502" s="1">
        <f t="shared" si="7"/>
        <v>7</v>
      </c>
    </row>
    <row r="503" spans="1:4" x14ac:dyDescent="0.35">
      <c r="A503" s="1">
        <v>44193</v>
      </c>
      <c r="B503" s="2">
        <v>46234</v>
      </c>
      <c r="C503" s="1" t="s">
        <v>21</v>
      </c>
      <c r="D503" s="1">
        <f t="shared" si="7"/>
        <v>7</v>
      </c>
    </row>
    <row r="504" spans="1:4" x14ac:dyDescent="0.35">
      <c r="A504" s="1">
        <v>44192</v>
      </c>
      <c r="B504" s="2">
        <v>46234</v>
      </c>
      <c r="C504" s="1" t="s">
        <v>21</v>
      </c>
      <c r="D504" s="1">
        <f t="shared" si="7"/>
        <v>7</v>
      </c>
    </row>
    <row r="505" spans="1:4" x14ac:dyDescent="0.35">
      <c r="A505" s="1">
        <v>44191</v>
      </c>
      <c r="B505" s="2">
        <v>46234</v>
      </c>
      <c r="C505" s="1" t="s">
        <v>21</v>
      </c>
      <c r="D505" s="1">
        <f t="shared" si="7"/>
        <v>7</v>
      </c>
    </row>
    <row r="506" spans="1:4" x14ac:dyDescent="0.35">
      <c r="A506" s="1">
        <v>44190</v>
      </c>
      <c r="B506" s="2">
        <v>46234</v>
      </c>
      <c r="C506" s="1" t="s">
        <v>21</v>
      </c>
      <c r="D506" s="1">
        <f t="shared" si="7"/>
        <v>7</v>
      </c>
    </row>
    <row r="507" spans="1:4" x14ac:dyDescent="0.35">
      <c r="A507" s="1">
        <v>44189</v>
      </c>
      <c r="B507" s="2">
        <v>46234</v>
      </c>
      <c r="C507" s="1" t="s">
        <v>21</v>
      </c>
      <c r="D507" s="1">
        <f t="shared" si="7"/>
        <v>7</v>
      </c>
    </row>
    <row r="508" spans="1:4" x14ac:dyDescent="0.35">
      <c r="A508" s="1">
        <v>44188</v>
      </c>
      <c r="B508" s="2">
        <v>46234</v>
      </c>
      <c r="C508" s="1" t="s">
        <v>21</v>
      </c>
      <c r="D508" s="1">
        <f t="shared" si="7"/>
        <v>7</v>
      </c>
    </row>
    <row r="509" spans="1:4" x14ac:dyDescent="0.35">
      <c r="A509" s="1">
        <v>44187</v>
      </c>
      <c r="B509" s="2">
        <v>46234</v>
      </c>
      <c r="C509" s="1" t="s">
        <v>21</v>
      </c>
      <c r="D509" s="1">
        <f t="shared" si="7"/>
        <v>7</v>
      </c>
    </row>
    <row r="510" spans="1:4" x14ac:dyDescent="0.35">
      <c r="A510" s="1">
        <v>44186</v>
      </c>
      <c r="B510" s="2">
        <v>46234</v>
      </c>
      <c r="C510" s="1" t="s">
        <v>21</v>
      </c>
      <c r="D510" s="1">
        <f t="shared" si="7"/>
        <v>7</v>
      </c>
    </row>
    <row r="511" spans="1:4" x14ac:dyDescent="0.35">
      <c r="A511" s="1">
        <v>44185</v>
      </c>
      <c r="B511" s="2">
        <v>46234</v>
      </c>
      <c r="C511" s="1" t="s">
        <v>21</v>
      </c>
      <c r="D511" s="1">
        <f t="shared" si="7"/>
        <v>7</v>
      </c>
    </row>
    <row r="512" spans="1:4" x14ac:dyDescent="0.35">
      <c r="A512" s="1">
        <v>44184</v>
      </c>
      <c r="B512" s="2">
        <v>46234</v>
      </c>
      <c r="C512" s="1" t="s">
        <v>21</v>
      </c>
      <c r="D512" s="1">
        <f t="shared" si="7"/>
        <v>7</v>
      </c>
    </row>
    <row r="513" spans="1:4" x14ac:dyDescent="0.35">
      <c r="A513" s="1">
        <v>44183</v>
      </c>
      <c r="B513" s="2">
        <v>46234</v>
      </c>
      <c r="C513" s="1" t="s">
        <v>21</v>
      </c>
      <c r="D513" s="1">
        <f t="shared" si="7"/>
        <v>7</v>
      </c>
    </row>
    <row r="514" spans="1:4" x14ac:dyDescent="0.35">
      <c r="A514" s="1">
        <v>44182</v>
      </c>
      <c r="B514" s="2">
        <v>46234</v>
      </c>
      <c r="C514" s="1" t="s">
        <v>21</v>
      </c>
      <c r="D514" s="1">
        <f t="shared" ref="D514:D577" si="8">MONTH(B514)</f>
        <v>7</v>
      </c>
    </row>
    <row r="515" spans="1:4" x14ac:dyDescent="0.35">
      <c r="A515" s="1">
        <v>44181</v>
      </c>
      <c r="B515" s="2">
        <v>46234</v>
      </c>
      <c r="C515" s="1" t="s">
        <v>21</v>
      </c>
      <c r="D515" s="1">
        <f t="shared" si="8"/>
        <v>7</v>
      </c>
    </row>
    <row r="516" spans="1:4" x14ac:dyDescent="0.35">
      <c r="A516" s="1">
        <v>44179</v>
      </c>
      <c r="B516" s="2">
        <v>46234</v>
      </c>
      <c r="C516" s="1" t="s">
        <v>21</v>
      </c>
      <c r="D516" s="1">
        <f t="shared" si="8"/>
        <v>7</v>
      </c>
    </row>
    <row r="517" spans="1:4" x14ac:dyDescent="0.35">
      <c r="A517" s="1">
        <v>44178</v>
      </c>
      <c r="B517" s="2">
        <v>46234</v>
      </c>
      <c r="C517" s="1" t="s">
        <v>21</v>
      </c>
      <c r="D517" s="1">
        <f t="shared" si="8"/>
        <v>7</v>
      </c>
    </row>
    <row r="518" spans="1:4" x14ac:dyDescent="0.35">
      <c r="A518" s="1">
        <v>44166</v>
      </c>
      <c r="B518" s="2">
        <v>46235</v>
      </c>
      <c r="C518" s="1" t="s">
        <v>17</v>
      </c>
      <c r="D518" s="1">
        <f t="shared" si="8"/>
        <v>8</v>
      </c>
    </row>
    <row r="519" spans="1:4" x14ac:dyDescent="0.35">
      <c r="A519" s="1">
        <v>44165</v>
      </c>
      <c r="B519" s="2">
        <v>46235</v>
      </c>
      <c r="C519" s="1" t="s">
        <v>17</v>
      </c>
      <c r="D519" s="1">
        <f t="shared" si="8"/>
        <v>8</v>
      </c>
    </row>
    <row r="520" spans="1:4" x14ac:dyDescent="0.35">
      <c r="A520" s="1">
        <v>44164</v>
      </c>
      <c r="B520" s="2">
        <v>46235</v>
      </c>
      <c r="C520" s="1" t="s">
        <v>17</v>
      </c>
      <c r="D520" s="1">
        <f t="shared" si="8"/>
        <v>8</v>
      </c>
    </row>
    <row r="521" spans="1:4" x14ac:dyDescent="0.35">
      <c r="A521" s="1">
        <v>44163</v>
      </c>
      <c r="B521" s="2">
        <v>46235</v>
      </c>
      <c r="C521" s="1" t="s">
        <v>17</v>
      </c>
      <c r="D521" s="1">
        <f t="shared" si="8"/>
        <v>8</v>
      </c>
    </row>
    <row r="522" spans="1:4" x14ac:dyDescent="0.35">
      <c r="A522" s="1">
        <v>44162</v>
      </c>
      <c r="B522" s="2">
        <v>46235</v>
      </c>
      <c r="C522" s="1" t="s">
        <v>8</v>
      </c>
      <c r="D522" s="1">
        <f t="shared" si="8"/>
        <v>8</v>
      </c>
    </row>
    <row r="523" spans="1:4" x14ac:dyDescent="0.35">
      <c r="A523" s="1">
        <v>44161</v>
      </c>
      <c r="B523" s="2">
        <v>46235</v>
      </c>
      <c r="C523" s="1" t="s">
        <v>8</v>
      </c>
      <c r="D523" s="1">
        <f t="shared" si="8"/>
        <v>8</v>
      </c>
    </row>
    <row r="524" spans="1:4" x14ac:dyDescent="0.35">
      <c r="A524" s="1">
        <v>44172</v>
      </c>
      <c r="B524" s="2">
        <v>46237</v>
      </c>
      <c r="C524" s="1" t="s">
        <v>8</v>
      </c>
      <c r="D524" s="1">
        <f t="shared" si="8"/>
        <v>8</v>
      </c>
    </row>
    <row r="525" spans="1:4" x14ac:dyDescent="0.35">
      <c r="A525" s="1">
        <v>44171</v>
      </c>
      <c r="B525" s="2">
        <v>46237</v>
      </c>
      <c r="C525" s="1" t="s">
        <v>8</v>
      </c>
      <c r="D525" s="1">
        <f t="shared" si="8"/>
        <v>8</v>
      </c>
    </row>
    <row r="526" spans="1:4" x14ac:dyDescent="0.35">
      <c r="A526" s="1">
        <v>44256</v>
      </c>
      <c r="B526" s="2">
        <v>46237</v>
      </c>
      <c r="C526" s="1" t="s">
        <v>10</v>
      </c>
      <c r="D526" s="1">
        <f t="shared" si="8"/>
        <v>8</v>
      </c>
    </row>
    <row r="527" spans="1:4" x14ac:dyDescent="0.35">
      <c r="A527" s="1">
        <v>44255</v>
      </c>
      <c r="B527" s="2">
        <v>46237</v>
      </c>
      <c r="C527" s="1" t="s">
        <v>10</v>
      </c>
      <c r="D527" s="1">
        <f t="shared" si="8"/>
        <v>8</v>
      </c>
    </row>
    <row r="528" spans="1:4" x14ac:dyDescent="0.35">
      <c r="A528" s="1">
        <v>44249</v>
      </c>
      <c r="B528" s="2">
        <v>46237</v>
      </c>
      <c r="C528" s="1" t="s">
        <v>3</v>
      </c>
      <c r="D528" s="1">
        <f t="shared" si="8"/>
        <v>8</v>
      </c>
    </row>
    <row r="529" spans="1:4" x14ac:dyDescent="0.35">
      <c r="A529" s="1">
        <v>44248</v>
      </c>
      <c r="B529" s="2">
        <v>46237</v>
      </c>
      <c r="C529" s="1" t="s">
        <v>3</v>
      </c>
      <c r="D529" s="1">
        <f t="shared" si="8"/>
        <v>8</v>
      </c>
    </row>
    <row r="530" spans="1:4" x14ac:dyDescent="0.35">
      <c r="A530" s="1">
        <v>44247</v>
      </c>
      <c r="B530" s="2">
        <v>46237</v>
      </c>
      <c r="C530" s="1" t="s">
        <v>3</v>
      </c>
      <c r="D530" s="1">
        <f t="shared" si="8"/>
        <v>8</v>
      </c>
    </row>
    <row r="531" spans="1:4" x14ac:dyDescent="0.35">
      <c r="A531" s="1">
        <v>44246</v>
      </c>
      <c r="B531" s="2">
        <v>46237</v>
      </c>
      <c r="C531" s="1" t="s">
        <v>20</v>
      </c>
      <c r="D531" s="1">
        <f t="shared" si="8"/>
        <v>8</v>
      </c>
    </row>
    <row r="532" spans="1:4" x14ac:dyDescent="0.35">
      <c r="A532" s="1">
        <v>44245</v>
      </c>
      <c r="B532" s="2">
        <v>46237</v>
      </c>
      <c r="C532" s="1" t="s">
        <v>20</v>
      </c>
      <c r="D532" s="1">
        <f t="shared" si="8"/>
        <v>8</v>
      </c>
    </row>
    <row r="533" spans="1:4" x14ac:dyDescent="0.35">
      <c r="A533" s="1">
        <v>44244</v>
      </c>
      <c r="B533" s="2">
        <v>46237</v>
      </c>
      <c r="C533" s="1" t="s">
        <v>16</v>
      </c>
      <c r="D533" s="1">
        <f t="shared" si="8"/>
        <v>8</v>
      </c>
    </row>
    <row r="534" spans="1:4" x14ac:dyDescent="0.35">
      <c r="A534" s="1">
        <v>44243</v>
      </c>
      <c r="B534" s="2">
        <v>46237</v>
      </c>
      <c r="C534" s="1" t="s">
        <v>16</v>
      </c>
      <c r="D534" s="1">
        <f t="shared" si="8"/>
        <v>8</v>
      </c>
    </row>
    <row r="535" spans="1:4" x14ac:dyDescent="0.35">
      <c r="A535" s="1">
        <v>44242</v>
      </c>
      <c r="B535" s="2">
        <v>46237</v>
      </c>
      <c r="C535" s="1" t="s">
        <v>15</v>
      </c>
      <c r="D535" s="1">
        <f t="shared" si="8"/>
        <v>8</v>
      </c>
    </row>
    <row r="536" spans="1:4" x14ac:dyDescent="0.35">
      <c r="A536" s="1">
        <v>44233</v>
      </c>
      <c r="B536" s="2">
        <v>46237</v>
      </c>
      <c r="C536" s="1" t="s">
        <v>14</v>
      </c>
      <c r="D536" s="1">
        <f t="shared" si="8"/>
        <v>8</v>
      </c>
    </row>
    <row r="537" spans="1:4" x14ac:dyDescent="0.35">
      <c r="A537" s="1">
        <v>44232</v>
      </c>
      <c r="B537" s="2">
        <v>46237</v>
      </c>
      <c r="C537" s="1" t="s">
        <v>14</v>
      </c>
      <c r="D537" s="1">
        <f t="shared" si="8"/>
        <v>8</v>
      </c>
    </row>
    <row r="538" spans="1:4" x14ac:dyDescent="0.35">
      <c r="A538" s="1">
        <v>44221</v>
      </c>
      <c r="B538" s="2">
        <v>46237</v>
      </c>
      <c r="C538" s="1" t="s">
        <v>15</v>
      </c>
      <c r="D538" s="1">
        <f t="shared" si="8"/>
        <v>8</v>
      </c>
    </row>
    <row r="539" spans="1:4" x14ac:dyDescent="0.35">
      <c r="A539" s="1">
        <v>44177</v>
      </c>
      <c r="B539" s="2">
        <v>46237</v>
      </c>
      <c r="C539" s="1" t="s">
        <v>7</v>
      </c>
      <c r="D539" s="1">
        <f t="shared" si="8"/>
        <v>8</v>
      </c>
    </row>
    <row r="540" spans="1:4" x14ac:dyDescent="0.35">
      <c r="A540" s="1">
        <v>44176</v>
      </c>
      <c r="B540" s="2">
        <v>46237</v>
      </c>
      <c r="C540" s="1" t="s">
        <v>7</v>
      </c>
      <c r="D540" s="1">
        <f t="shared" si="8"/>
        <v>8</v>
      </c>
    </row>
    <row r="541" spans="1:4" x14ac:dyDescent="0.35">
      <c r="A541" s="1">
        <v>44269</v>
      </c>
      <c r="B541" s="2">
        <v>46238</v>
      </c>
      <c r="C541" s="1" t="s">
        <v>21</v>
      </c>
      <c r="D541" s="1">
        <f t="shared" si="8"/>
        <v>8</v>
      </c>
    </row>
    <row r="542" spans="1:4" x14ac:dyDescent="0.35">
      <c r="A542" s="1">
        <v>44265</v>
      </c>
      <c r="B542" s="2">
        <v>46238</v>
      </c>
      <c r="C542" s="1" t="s">
        <v>22</v>
      </c>
      <c r="D542" s="1">
        <f t="shared" si="8"/>
        <v>8</v>
      </c>
    </row>
    <row r="543" spans="1:4" x14ac:dyDescent="0.35">
      <c r="A543" s="1">
        <v>44264</v>
      </c>
      <c r="B543" s="2">
        <v>46238</v>
      </c>
      <c r="C543" s="1" t="s">
        <v>22</v>
      </c>
      <c r="D543" s="1">
        <f t="shared" si="8"/>
        <v>8</v>
      </c>
    </row>
    <row r="544" spans="1:4" x14ac:dyDescent="0.35">
      <c r="A544" s="1">
        <v>44263</v>
      </c>
      <c r="B544" s="2">
        <v>46238</v>
      </c>
      <c r="C544" s="1" t="s">
        <v>22</v>
      </c>
      <c r="D544" s="1">
        <f t="shared" si="8"/>
        <v>8</v>
      </c>
    </row>
    <row r="545" spans="1:4" x14ac:dyDescent="0.35">
      <c r="A545" s="1">
        <v>44262</v>
      </c>
      <c r="B545" s="2">
        <v>46238</v>
      </c>
      <c r="C545" s="1" t="s">
        <v>22</v>
      </c>
      <c r="D545" s="1">
        <f t="shared" si="8"/>
        <v>8</v>
      </c>
    </row>
    <row r="546" spans="1:4" x14ac:dyDescent="0.35">
      <c r="A546" s="1">
        <v>44261</v>
      </c>
      <c r="B546" s="2">
        <v>46238</v>
      </c>
      <c r="C546" s="1" t="s">
        <v>22</v>
      </c>
      <c r="D546" s="1">
        <f t="shared" si="8"/>
        <v>8</v>
      </c>
    </row>
    <row r="547" spans="1:4" x14ac:dyDescent="0.35">
      <c r="A547" s="1">
        <v>44260</v>
      </c>
      <c r="B547" s="2">
        <v>46238</v>
      </c>
      <c r="C547" s="1" t="s">
        <v>22</v>
      </c>
      <c r="D547" s="1">
        <f t="shared" si="8"/>
        <v>8</v>
      </c>
    </row>
    <row r="548" spans="1:4" x14ac:dyDescent="0.35">
      <c r="A548" s="1">
        <v>44259</v>
      </c>
      <c r="B548" s="2">
        <v>46238</v>
      </c>
      <c r="C548" s="1" t="s">
        <v>22</v>
      </c>
      <c r="D548" s="1">
        <f t="shared" si="8"/>
        <v>8</v>
      </c>
    </row>
    <row r="549" spans="1:4" x14ac:dyDescent="0.35">
      <c r="A549" s="1">
        <v>44306</v>
      </c>
      <c r="B549" s="2">
        <v>46238</v>
      </c>
      <c r="C549" s="1" t="s">
        <v>16</v>
      </c>
      <c r="D549" s="1">
        <f t="shared" si="8"/>
        <v>8</v>
      </c>
    </row>
    <row r="550" spans="1:4" x14ac:dyDescent="0.35">
      <c r="A550" s="1">
        <v>44305</v>
      </c>
      <c r="B550" s="2">
        <v>46238</v>
      </c>
      <c r="C550" s="1" t="s">
        <v>16</v>
      </c>
      <c r="D550" s="1">
        <f t="shared" si="8"/>
        <v>8</v>
      </c>
    </row>
    <row r="551" spans="1:4" x14ac:dyDescent="0.35">
      <c r="A551" s="1">
        <v>44304</v>
      </c>
      <c r="B551" s="2">
        <v>46238</v>
      </c>
      <c r="C551" s="1" t="s">
        <v>10</v>
      </c>
      <c r="D551" s="1">
        <f t="shared" si="8"/>
        <v>8</v>
      </c>
    </row>
    <row r="552" spans="1:4" x14ac:dyDescent="0.35">
      <c r="A552" s="1">
        <v>44303</v>
      </c>
      <c r="B552" s="2">
        <v>46238</v>
      </c>
      <c r="C552" s="1" t="s">
        <v>10</v>
      </c>
      <c r="D552" s="1">
        <f t="shared" si="8"/>
        <v>8</v>
      </c>
    </row>
    <row r="553" spans="1:4" x14ac:dyDescent="0.35">
      <c r="A553" s="1">
        <v>44302</v>
      </c>
      <c r="B553" s="2">
        <v>46238</v>
      </c>
      <c r="C553" s="1" t="s">
        <v>3</v>
      </c>
      <c r="D553" s="1">
        <f t="shared" si="8"/>
        <v>8</v>
      </c>
    </row>
    <row r="554" spans="1:4" x14ac:dyDescent="0.35">
      <c r="A554" s="1">
        <v>44300</v>
      </c>
      <c r="B554" s="2">
        <v>46238</v>
      </c>
      <c r="C554" s="1" t="s">
        <v>17</v>
      </c>
      <c r="D554" s="1">
        <f t="shared" si="8"/>
        <v>8</v>
      </c>
    </row>
    <row r="555" spans="1:4" x14ac:dyDescent="0.35">
      <c r="A555" s="1">
        <v>44299</v>
      </c>
      <c r="B555" s="2">
        <v>46238</v>
      </c>
      <c r="C555" s="1" t="s">
        <v>17</v>
      </c>
      <c r="D555" s="1">
        <f t="shared" si="8"/>
        <v>8</v>
      </c>
    </row>
    <row r="556" spans="1:4" x14ac:dyDescent="0.35">
      <c r="A556" s="1">
        <v>44297</v>
      </c>
      <c r="B556" s="2">
        <v>46238</v>
      </c>
      <c r="C556" s="1" t="s">
        <v>17</v>
      </c>
      <c r="D556" s="1">
        <f t="shared" si="8"/>
        <v>8</v>
      </c>
    </row>
    <row r="557" spans="1:4" x14ac:dyDescent="0.35">
      <c r="A557" s="1">
        <v>44278</v>
      </c>
      <c r="B557" s="2">
        <v>46238</v>
      </c>
      <c r="C557" s="1" t="s">
        <v>21</v>
      </c>
      <c r="D557" s="1">
        <f t="shared" si="8"/>
        <v>8</v>
      </c>
    </row>
    <row r="558" spans="1:4" x14ac:dyDescent="0.35">
      <c r="A558" s="1">
        <v>44277</v>
      </c>
      <c r="B558" s="2">
        <v>46238</v>
      </c>
      <c r="C558" s="1" t="s">
        <v>3</v>
      </c>
      <c r="D558" s="1">
        <f t="shared" si="8"/>
        <v>8</v>
      </c>
    </row>
    <row r="559" spans="1:4" x14ac:dyDescent="0.35">
      <c r="A559" s="1">
        <v>44276</v>
      </c>
      <c r="B559" s="2">
        <v>46238</v>
      </c>
      <c r="C559" s="1" t="s">
        <v>21</v>
      </c>
      <c r="D559" s="1">
        <f t="shared" si="8"/>
        <v>8</v>
      </c>
    </row>
    <row r="560" spans="1:4" x14ac:dyDescent="0.35">
      <c r="A560" s="1">
        <v>44275</v>
      </c>
      <c r="B560" s="2">
        <v>46238</v>
      </c>
      <c r="C560" s="1" t="s">
        <v>21</v>
      </c>
      <c r="D560" s="1">
        <f t="shared" si="8"/>
        <v>8</v>
      </c>
    </row>
    <row r="561" spans="1:4" x14ac:dyDescent="0.35">
      <c r="A561" s="1">
        <v>44274</v>
      </c>
      <c r="B561" s="2">
        <v>46238</v>
      </c>
      <c r="C561" s="1" t="s">
        <v>3</v>
      </c>
      <c r="D561" s="1">
        <f t="shared" si="8"/>
        <v>8</v>
      </c>
    </row>
    <row r="562" spans="1:4" x14ac:dyDescent="0.35">
      <c r="A562" s="1">
        <v>44273</v>
      </c>
      <c r="B562" s="2">
        <v>46238</v>
      </c>
      <c r="C562" s="1" t="s">
        <v>19</v>
      </c>
      <c r="D562" s="1">
        <f t="shared" si="8"/>
        <v>8</v>
      </c>
    </row>
    <row r="563" spans="1:4" x14ac:dyDescent="0.35">
      <c r="A563" s="1">
        <v>44272</v>
      </c>
      <c r="B563" s="2">
        <v>46238</v>
      </c>
      <c r="C563" s="1" t="s">
        <v>19</v>
      </c>
      <c r="D563" s="1">
        <f t="shared" si="8"/>
        <v>8</v>
      </c>
    </row>
    <row r="564" spans="1:4" x14ac:dyDescent="0.35">
      <c r="A564" s="1">
        <v>44271</v>
      </c>
      <c r="B564" s="2">
        <v>46238</v>
      </c>
      <c r="C564" s="1" t="s">
        <v>19</v>
      </c>
      <c r="D564" s="1">
        <f t="shared" si="8"/>
        <v>8</v>
      </c>
    </row>
    <row r="565" spans="1:4" x14ac:dyDescent="0.35">
      <c r="A565" s="1">
        <v>44270</v>
      </c>
      <c r="B565" s="2">
        <v>46238</v>
      </c>
      <c r="C565" s="1" t="s">
        <v>7</v>
      </c>
      <c r="D565" s="1">
        <f t="shared" si="8"/>
        <v>8</v>
      </c>
    </row>
    <row r="566" spans="1:4" x14ac:dyDescent="0.35">
      <c r="A566" s="1">
        <v>44379</v>
      </c>
      <c r="B566" s="2">
        <v>46239</v>
      </c>
      <c r="C566" s="1" t="s">
        <v>10</v>
      </c>
      <c r="D566" s="1">
        <f t="shared" si="8"/>
        <v>8</v>
      </c>
    </row>
    <row r="567" spans="1:4" x14ac:dyDescent="0.35">
      <c r="A567" s="1">
        <v>44378</v>
      </c>
      <c r="B567" s="2">
        <v>46239</v>
      </c>
      <c r="C567" s="1" t="s">
        <v>10</v>
      </c>
      <c r="D567" s="1">
        <f t="shared" si="8"/>
        <v>8</v>
      </c>
    </row>
    <row r="568" spans="1:4" x14ac:dyDescent="0.35">
      <c r="A568" s="1">
        <v>44377</v>
      </c>
      <c r="B568" s="2">
        <v>46239</v>
      </c>
      <c r="C568" s="1" t="s">
        <v>11</v>
      </c>
      <c r="D568" s="1">
        <f t="shared" si="8"/>
        <v>8</v>
      </c>
    </row>
    <row r="569" spans="1:4" x14ac:dyDescent="0.35">
      <c r="A569" s="1">
        <v>44373</v>
      </c>
      <c r="B569" s="2">
        <v>46239</v>
      </c>
      <c r="C569" s="1" t="s">
        <v>9</v>
      </c>
      <c r="D569" s="1">
        <f t="shared" si="8"/>
        <v>8</v>
      </c>
    </row>
    <row r="570" spans="1:4" x14ac:dyDescent="0.35">
      <c r="A570" s="1">
        <v>44372</v>
      </c>
      <c r="B570" s="2">
        <v>46239</v>
      </c>
      <c r="C570" s="1" t="s">
        <v>9</v>
      </c>
      <c r="D570" s="1">
        <f t="shared" si="8"/>
        <v>8</v>
      </c>
    </row>
    <row r="571" spans="1:4" x14ac:dyDescent="0.35">
      <c r="A571" s="1">
        <v>44370</v>
      </c>
      <c r="B571" s="2">
        <v>46239</v>
      </c>
      <c r="C571" s="1" t="s">
        <v>9</v>
      </c>
      <c r="D571" s="1">
        <f t="shared" si="8"/>
        <v>8</v>
      </c>
    </row>
    <row r="572" spans="1:4" x14ac:dyDescent="0.35">
      <c r="A572" s="1">
        <v>44361</v>
      </c>
      <c r="B572" s="2">
        <v>46239</v>
      </c>
      <c r="C572" s="1" t="s">
        <v>16</v>
      </c>
      <c r="D572" s="1">
        <f t="shared" si="8"/>
        <v>8</v>
      </c>
    </row>
    <row r="573" spans="1:4" x14ac:dyDescent="0.35">
      <c r="A573" s="1">
        <v>44360</v>
      </c>
      <c r="B573" s="2">
        <v>46239</v>
      </c>
      <c r="C573" s="1" t="s">
        <v>16</v>
      </c>
      <c r="D573" s="1">
        <f t="shared" si="8"/>
        <v>8</v>
      </c>
    </row>
    <row r="574" spans="1:4" x14ac:dyDescent="0.35">
      <c r="A574" s="1">
        <v>44359</v>
      </c>
      <c r="B574" s="2">
        <v>46239</v>
      </c>
      <c r="C574" s="1" t="s">
        <v>21</v>
      </c>
      <c r="D574" s="1">
        <f t="shared" si="8"/>
        <v>8</v>
      </c>
    </row>
    <row r="575" spans="1:4" x14ac:dyDescent="0.35">
      <c r="A575" s="1">
        <v>44358</v>
      </c>
      <c r="B575" s="2">
        <v>46239</v>
      </c>
      <c r="C575" s="1" t="s">
        <v>21</v>
      </c>
      <c r="D575" s="1">
        <f t="shared" si="8"/>
        <v>8</v>
      </c>
    </row>
    <row r="576" spans="1:4" x14ac:dyDescent="0.35">
      <c r="A576" s="1">
        <v>44357</v>
      </c>
      <c r="B576" s="2">
        <v>46239</v>
      </c>
      <c r="C576" s="1" t="s">
        <v>22</v>
      </c>
      <c r="D576" s="1">
        <f t="shared" si="8"/>
        <v>8</v>
      </c>
    </row>
    <row r="577" spans="1:4" x14ac:dyDescent="0.35">
      <c r="A577" s="1">
        <v>44356</v>
      </c>
      <c r="B577" s="2">
        <v>46239</v>
      </c>
      <c r="C577" s="1" t="s">
        <v>22</v>
      </c>
      <c r="D577" s="1">
        <f t="shared" si="8"/>
        <v>8</v>
      </c>
    </row>
    <row r="578" spans="1:4" x14ac:dyDescent="0.35">
      <c r="A578" s="1">
        <v>44355</v>
      </c>
      <c r="B578" s="2">
        <v>46239</v>
      </c>
      <c r="C578" s="1" t="s">
        <v>22</v>
      </c>
      <c r="D578" s="1">
        <f t="shared" ref="D578:D641" si="9">MONTH(B578)</f>
        <v>8</v>
      </c>
    </row>
    <row r="579" spans="1:4" x14ac:dyDescent="0.35">
      <c r="A579" s="1">
        <v>44354</v>
      </c>
      <c r="B579" s="2">
        <v>46239</v>
      </c>
      <c r="C579" s="1" t="s">
        <v>22</v>
      </c>
      <c r="D579" s="1">
        <f t="shared" si="9"/>
        <v>8</v>
      </c>
    </row>
    <row r="580" spans="1:4" x14ac:dyDescent="0.35">
      <c r="A580" s="1">
        <v>44353</v>
      </c>
      <c r="B580" s="2">
        <v>46239</v>
      </c>
      <c r="C580" s="1" t="s">
        <v>22</v>
      </c>
      <c r="D580" s="1">
        <f t="shared" si="9"/>
        <v>8</v>
      </c>
    </row>
    <row r="581" spans="1:4" x14ac:dyDescent="0.35">
      <c r="A581" s="1">
        <v>44352</v>
      </c>
      <c r="B581" s="2">
        <v>46239</v>
      </c>
      <c r="C581" s="1" t="s">
        <v>23</v>
      </c>
      <c r="D581" s="1">
        <f t="shared" si="9"/>
        <v>8</v>
      </c>
    </row>
    <row r="582" spans="1:4" x14ac:dyDescent="0.35">
      <c r="A582" s="1">
        <v>44351</v>
      </c>
      <c r="B582" s="2">
        <v>46239</v>
      </c>
      <c r="C582" s="1" t="s">
        <v>23</v>
      </c>
      <c r="D582" s="1">
        <f t="shared" si="9"/>
        <v>8</v>
      </c>
    </row>
    <row r="583" spans="1:4" x14ac:dyDescent="0.35">
      <c r="A583" s="1">
        <v>44350</v>
      </c>
      <c r="B583" s="2">
        <v>46239</v>
      </c>
      <c r="C583" s="1" t="s">
        <v>9</v>
      </c>
      <c r="D583" s="1">
        <f t="shared" si="9"/>
        <v>8</v>
      </c>
    </row>
    <row r="584" spans="1:4" x14ac:dyDescent="0.35">
      <c r="A584" s="1">
        <v>44349</v>
      </c>
      <c r="B584" s="2">
        <v>46239</v>
      </c>
      <c r="C584" s="1" t="s">
        <v>8</v>
      </c>
      <c r="D584" s="1">
        <f t="shared" si="9"/>
        <v>8</v>
      </c>
    </row>
    <row r="585" spans="1:4" x14ac:dyDescent="0.35">
      <c r="A585" s="1">
        <v>44348</v>
      </c>
      <c r="B585" s="2">
        <v>46239</v>
      </c>
      <c r="C585" s="1" t="s">
        <v>8</v>
      </c>
      <c r="D585" s="1">
        <f t="shared" si="9"/>
        <v>8</v>
      </c>
    </row>
    <row r="586" spans="1:4" x14ac:dyDescent="0.35">
      <c r="A586" s="1">
        <v>44346</v>
      </c>
      <c r="B586" s="2">
        <v>46239</v>
      </c>
      <c r="C586" s="1" t="s">
        <v>7</v>
      </c>
      <c r="D586" s="1">
        <f t="shared" si="9"/>
        <v>8</v>
      </c>
    </row>
    <row r="587" spans="1:4" x14ac:dyDescent="0.35">
      <c r="A587" s="1">
        <v>44337</v>
      </c>
      <c r="B587" s="2">
        <v>46239</v>
      </c>
      <c r="C587" s="1" t="s">
        <v>3</v>
      </c>
      <c r="D587" s="1">
        <f t="shared" si="9"/>
        <v>8</v>
      </c>
    </row>
    <row r="588" spans="1:4" x14ac:dyDescent="0.35">
      <c r="A588" s="1">
        <v>44336</v>
      </c>
      <c r="B588" s="2">
        <v>46239</v>
      </c>
      <c r="C588" s="1" t="s">
        <v>3</v>
      </c>
      <c r="D588" s="1">
        <f t="shared" si="9"/>
        <v>8</v>
      </c>
    </row>
    <row r="589" spans="1:4" x14ac:dyDescent="0.35">
      <c r="A589" s="1">
        <v>44334</v>
      </c>
      <c r="B589" s="2">
        <v>46239</v>
      </c>
      <c r="C589" s="1" t="s">
        <v>19</v>
      </c>
      <c r="D589" s="1">
        <f t="shared" si="9"/>
        <v>8</v>
      </c>
    </row>
    <row r="590" spans="1:4" x14ac:dyDescent="0.35">
      <c r="A590" s="1">
        <v>44333</v>
      </c>
      <c r="B590" s="2">
        <v>46239</v>
      </c>
      <c r="C590" s="1" t="s">
        <v>7</v>
      </c>
      <c r="D590" s="1">
        <f t="shared" si="9"/>
        <v>8</v>
      </c>
    </row>
    <row r="591" spans="1:4" x14ac:dyDescent="0.35">
      <c r="A591" s="1">
        <v>44422</v>
      </c>
      <c r="B591" s="2">
        <v>46240</v>
      </c>
      <c r="C591" s="1" t="s">
        <v>10</v>
      </c>
      <c r="D591" s="1">
        <f t="shared" si="9"/>
        <v>8</v>
      </c>
    </row>
    <row r="592" spans="1:4" x14ac:dyDescent="0.35">
      <c r="A592" s="1">
        <v>44421</v>
      </c>
      <c r="B592" s="2">
        <v>46240</v>
      </c>
      <c r="C592" s="1" t="s">
        <v>10</v>
      </c>
      <c r="D592" s="1">
        <f t="shared" si="9"/>
        <v>8</v>
      </c>
    </row>
    <row r="593" spans="1:4" x14ac:dyDescent="0.35">
      <c r="A593" s="1">
        <v>44420</v>
      </c>
      <c r="B593" s="2">
        <v>46240</v>
      </c>
      <c r="C593" s="1" t="s">
        <v>16</v>
      </c>
      <c r="D593" s="1">
        <f t="shared" si="9"/>
        <v>8</v>
      </c>
    </row>
    <row r="594" spans="1:4" x14ac:dyDescent="0.35">
      <c r="A594" s="1">
        <v>44419</v>
      </c>
      <c r="B594" s="2">
        <v>46240</v>
      </c>
      <c r="C594" s="1" t="s">
        <v>16</v>
      </c>
      <c r="D594" s="1">
        <f t="shared" si="9"/>
        <v>8</v>
      </c>
    </row>
    <row r="595" spans="1:4" x14ac:dyDescent="0.35">
      <c r="A595" s="1">
        <v>44418</v>
      </c>
      <c r="B595" s="2">
        <v>46240</v>
      </c>
      <c r="C595" s="1" t="s">
        <v>3</v>
      </c>
      <c r="D595" s="1">
        <f t="shared" si="9"/>
        <v>8</v>
      </c>
    </row>
    <row r="596" spans="1:4" x14ac:dyDescent="0.35">
      <c r="A596" s="1">
        <v>44395</v>
      </c>
      <c r="B596" s="2">
        <v>46240</v>
      </c>
      <c r="C596" s="1" t="s">
        <v>9</v>
      </c>
      <c r="D596" s="1">
        <f t="shared" si="9"/>
        <v>8</v>
      </c>
    </row>
    <row r="597" spans="1:4" x14ac:dyDescent="0.35">
      <c r="A597" s="1">
        <v>44393</v>
      </c>
      <c r="B597" s="2">
        <v>46240</v>
      </c>
      <c r="C597" s="1" t="s">
        <v>17</v>
      </c>
      <c r="D597" s="1">
        <f t="shared" si="9"/>
        <v>8</v>
      </c>
    </row>
    <row r="598" spans="1:4" x14ac:dyDescent="0.35">
      <c r="A598" s="1">
        <v>44392</v>
      </c>
      <c r="B598" s="2">
        <v>46240</v>
      </c>
      <c r="C598" s="1" t="s">
        <v>7</v>
      </c>
      <c r="D598" s="1">
        <f t="shared" si="9"/>
        <v>8</v>
      </c>
    </row>
    <row r="599" spans="1:4" x14ac:dyDescent="0.35">
      <c r="A599" s="1">
        <v>44391</v>
      </c>
      <c r="B599" s="2">
        <v>46240</v>
      </c>
      <c r="C599" s="1" t="s">
        <v>17</v>
      </c>
      <c r="D599" s="1">
        <f t="shared" si="9"/>
        <v>8</v>
      </c>
    </row>
    <row r="600" spans="1:4" x14ac:dyDescent="0.35">
      <c r="A600" s="1">
        <v>44390</v>
      </c>
      <c r="B600" s="2">
        <v>46240</v>
      </c>
      <c r="C600" s="1" t="s">
        <v>7</v>
      </c>
      <c r="D600" s="1">
        <f t="shared" si="9"/>
        <v>8</v>
      </c>
    </row>
    <row r="601" spans="1:4" x14ac:dyDescent="0.35">
      <c r="A601" s="1">
        <v>44386</v>
      </c>
      <c r="B601" s="2">
        <v>46240</v>
      </c>
      <c r="C601" s="1" t="s">
        <v>8</v>
      </c>
      <c r="D601" s="1">
        <f t="shared" si="9"/>
        <v>8</v>
      </c>
    </row>
    <row r="602" spans="1:4" x14ac:dyDescent="0.35">
      <c r="A602" s="1">
        <v>44385</v>
      </c>
      <c r="B602" s="2">
        <v>46240</v>
      </c>
      <c r="C602" s="1" t="s">
        <v>8</v>
      </c>
      <c r="D602" s="1">
        <f t="shared" si="9"/>
        <v>8</v>
      </c>
    </row>
    <row r="603" spans="1:4" x14ac:dyDescent="0.35">
      <c r="A603" s="1">
        <v>44383</v>
      </c>
      <c r="B603" s="2">
        <v>46240</v>
      </c>
      <c r="C603" s="1" t="s">
        <v>9</v>
      </c>
      <c r="D603" s="1">
        <f t="shared" si="9"/>
        <v>8</v>
      </c>
    </row>
    <row r="604" spans="1:4" x14ac:dyDescent="0.35">
      <c r="A604" s="1">
        <v>44382</v>
      </c>
      <c r="B604" s="2">
        <v>46240</v>
      </c>
      <c r="C604" s="1" t="s">
        <v>9</v>
      </c>
      <c r="D604" s="1">
        <f t="shared" si="9"/>
        <v>8</v>
      </c>
    </row>
    <row r="605" spans="1:4" x14ac:dyDescent="0.35">
      <c r="A605" s="1">
        <v>44460</v>
      </c>
      <c r="B605" s="2">
        <v>46241</v>
      </c>
      <c r="C605" s="1" t="s">
        <v>10</v>
      </c>
      <c r="D605" s="1">
        <f t="shared" si="9"/>
        <v>8</v>
      </c>
    </row>
    <row r="606" spans="1:4" x14ac:dyDescent="0.35">
      <c r="A606" s="1">
        <v>44459</v>
      </c>
      <c r="B606" s="2">
        <v>46241</v>
      </c>
      <c r="C606" s="1" t="s">
        <v>10</v>
      </c>
      <c r="D606" s="1">
        <f t="shared" si="9"/>
        <v>8</v>
      </c>
    </row>
    <row r="607" spans="1:4" x14ac:dyDescent="0.35">
      <c r="A607" s="1">
        <v>44456</v>
      </c>
      <c r="B607" s="2">
        <v>46241</v>
      </c>
      <c r="C607" s="1" t="s">
        <v>17</v>
      </c>
      <c r="D607" s="1">
        <f t="shared" si="9"/>
        <v>8</v>
      </c>
    </row>
    <row r="608" spans="1:4" x14ac:dyDescent="0.35">
      <c r="A608" s="1">
        <v>44455</v>
      </c>
      <c r="B608" s="2">
        <v>46241</v>
      </c>
      <c r="C608" s="1" t="s">
        <v>17</v>
      </c>
      <c r="D608" s="1">
        <f t="shared" si="9"/>
        <v>8</v>
      </c>
    </row>
    <row r="609" spans="1:4" x14ac:dyDescent="0.35">
      <c r="A609" s="1">
        <v>44454</v>
      </c>
      <c r="B609" s="2">
        <v>46241</v>
      </c>
      <c r="C609" s="1" t="s">
        <v>16</v>
      </c>
      <c r="D609" s="1">
        <f t="shared" si="9"/>
        <v>8</v>
      </c>
    </row>
    <row r="610" spans="1:4" x14ac:dyDescent="0.35">
      <c r="A610" s="1">
        <v>44453</v>
      </c>
      <c r="B610" s="2">
        <v>46241</v>
      </c>
      <c r="C610" s="1" t="s">
        <v>16</v>
      </c>
      <c r="D610" s="1">
        <f t="shared" si="9"/>
        <v>8</v>
      </c>
    </row>
    <row r="611" spans="1:4" x14ac:dyDescent="0.35">
      <c r="A611" s="1">
        <v>44446</v>
      </c>
      <c r="B611" s="2">
        <v>46241</v>
      </c>
      <c r="C611" s="1" t="s">
        <v>8</v>
      </c>
      <c r="D611" s="1">
        <f t="shared" si="9"/>
        <v>8</v>
      </c>
    </row>
    <row r="612" spans="1:4" x14ac:dyDescent="0.35">
      <c r="A612" s="1">
        <v>44445</v>
      </c>
      <c r="B612" s="2">
        <v>46241</v>
      </c>
      <c r="C612" s="1" t="s">
        <v>8</v>
      </c>
      <c r="D612" s="1">
        <f t="shared" si="9"/>
        <v>8</v>
      </c>
    </row>
    <row r="613" spans="1:4" x14ac:dyDescent="0.35">
      <c r="A613" s="1">
        <v>44444</v>
      </c>
      <c r="B613" s="2">
        <v>46241</v>
      </c>
      <c r="C613" s="1" t="s">
        <v>21</v>
      </c>
      <c r="D613" s="1">
        <f t="shared" si="9"/>
        <v>8</v>
      </c>
    </row>
    <row r="614" spans="1:4" x14ac:dyDescent="0.35">
      <c r="A614" s="1">
        <v>44443</v>
      </c>
      <c r="B614" s="2">
        <v>46241</v>
      </c>
      <c r="C614" s="1" t="s">
        <v>7</v>
      </c>
      <c r="D614" s="1">
        <f t="shared" si="9"/>
        <v>8</v>
      </c>
    </row>
    <row r="615" spans="1:4" x14ac:dyDescent="0.35">
      <c r="A615" s="1">
        <v>44441</v>
      </c>
      <c r="B615" s="2">
        <v>46241</v>
      </c>
      <c r="C615" s="1" t="s">
        <v>3</v>
      </c>
      <c r="D615" s="1">
        <f t="shared" si="9"/>
        <v>8</v>
      </c>
    </row>
    <row r="616" spans="1:4" x14ac:dyDescent="0.35">
      <c r="A616" s="1">
        <v>44465</v>
      </c>
      <c r="B616" s="2">
        <v>46242</v>
      </c>
      <c r="C616" s="1" t="s">
        <v>10</v>
      </c>
      <c r="D616" s="1">
        <f t="shared" si="9"/>
        <v>8</v>
      </c>
    </row>
    <row r="617" spans="1:4" x14ac:dyDescent="0.35">
      <c r="A617" s="1">
        <v>44464</v>
      </c>
      <c r="B617" s="2">
        <v>46242</v>
      </c>
      <c r="C617" s="1" t="s">
        <v>10</v>
      </c>
      <c r="D617" s="1">
        <f t="shared" si="9"/>
        <v>8</v>
      </c>
    </row>
    <row r="618" spans="1:4" x14ac:dyDescent="0.35">
      <c r="A618" s="1">
        <v>44462</v>
      </c>
      <c r="B618" s="2">
        <v>46242</v>
      </c>
      <c r="C618" s="1" t="s">
        <v>23</v>
      </c>
      <c r="D618" s="1">
        <f t="shared" si="9"/>
        <v>8</v>
      </c>
    </row>
    <row r="619" spans="1:4" x14ac:dyDescent="0.35">
      <c r="A619" s="1">
        <v>44461</v>
      </c>
      <c r="B619" s="2">
        <v>46242</v>
      </c>
      <c r="C619" s="1" t="s">
        <v>23</v>
      </c>
      <c r="D619" s="1">
        <f t="shared" si="9"/>
        <v>8</v>
      </c>
    </row>
    <row r="620" spans="1:4" x14ac:dyDescent="0.35">
      <c r="A620" s="1">
        <v>44485</v>
      </c>
      <c r="B620" s="2">
        <v>46244</v>
      </c>
      <c r="C620" s="1" t="s">
        <v>8</v>
      </c>
      <c r="D620" s="1">
        <f t="shared" si="9"/>
        <v>8</v>
      </c>
    </row>
    <row r="621" spans="1:4" x14ac:dyDescent="0.35">
      <c r="A621" s="1">
        <v>44484</v>
      </c>
      <c r="B621" s="2">
        <v>46244</v>
      </c>
      <c r="C621" s="1" t="s">
        <v>8</v>
      </c>
      <c r="D621" s="1">
        <f t="shared" si="9"/>
        <v>8</v>
      </c>
    </row>
    <row r="622" spans="1:4" x14ac:dyDescent="0.35">
      <c r="A622" s="1">
        <v>44562</v>
      </c>
      <c r="B622" s="2">
        <v>46244</v>
      </c>
      <c r="C622" s="1" t="s">
        <v>10</v>
      </c>
      <c r="D622" s="1">
        <f t="shared" si="9"/>
        <v>8</v>
      </c>
    </row>
    <row r="623" spans="1:4" x14ac:dyDescent="0.35">
      <c r="A623" s="1">
        <v>44561</v>
      </c>
      <c r="B623" s="2">
        <v>46244</v>
      </c>
      <c r="C623" s="1" t="s">
        <v>10</v>
      </c>
      <c r="D623" s="1">
        <f t="shared" si="9"/>
        <v>8</v>
      </c>
    </row>
    <row r="624" spans="1:4" x14ac:dyDescent="0.35">
      <c r="A624" s="1">
        <v>44542</v>
      </c>
      <c r="B624" s="2">
        <v>46244</v>
      </c>
      <c r="C624" s="1" t="s">
        <v>3</v>
      </c>
      <c r="D624" s="1">
        <f t="shared" si="9"/>
        <v>8</v>
      </c>
    </row>
    <row r="625" spans="1:4" x14ac:dyDescent="0.35">
      <c r="A625" s="1">
        <v>44537</v>
      </c>
      <c r="B625" s="2">
        <v>46244</v>
      </c>
      <c r="C625" s="1" t="s">
        <v>16</v>
      </c>
      <c r="D625" s="1">
        <f t="shared" si="9"/>
        <v>8</v>
      </c>
    </row>
    <row r="626" spans="1:4" x14ac:dyDescent="0.35">
      <c r="A626" s="1">
        <v>44536</v>
      </c>
      <c r="B626" s="2">
        <v>46244</v>
      </c>
      <c r="C626" s="1" t="s">
        <v>16</v>
      </c>
      <c r="D626" s="1">
        <f t="shared" si="9"/>
        <v>8</v>
      </c>
    </row>
    <row r="627" spans="1:4" x14ac:dyDescent="0.35">
      <c r="A627" s="1">
        <v>44535</v>
      </c>
      <c r="B627" s="2">
        <v>46244</v>
      </c>
      <c r="C627" s="1" t="s">
        <v>21</v>
      </c>
      <c r="D627" s="1">
        <f t="shared" si="9"/>
        <v>8</v>
      </c>
    </row>
    <row r="628" spans="1:4" x14ac:dyDescent="0.35">
      <c r="A628" s="1">
        <v>44534</v>
      </c>
      <c r="B628" s="2">
        <v>46244</v>
      </c>
      <c r="C628" s="1" t="s">
        <v>3</v>
      </c>
      <c r="D628" s="1">
        <f t="shared" si="9"/>
        <v>8</v>
      </c>
    </row>
    <row r="629" spans="1:4" x14ac:dyDescent="0.35">
      <c r="A629" s="1">
        <v>44533</v>
      </c>
      <c r="B629" s="2">
        <v>46244</v>
      </c>
      <c r="C629" s="1" t="s">
        <v>21</v>
      </c>
      <c r="D629" s="1">
        <f t="shared" si="9"/>
        <v>8</v>
      </c>
    </row>
    <row r="630" spans="1:4" x14ac:dyDescent="0.35">
      <c r="A630" s="1">
        <v>44526</v>
      </c>
      <c r="B630" s="2">
        <v>46244</v>
      </c>
      <c r="C630" s="1" t="s">
        <v>9</v>
      </c>
      <c r="D630" s="1">
        <f t="shared" si="9"/>
        <v>8</v>
      </c>
    </row>
    <row r="631" spans="1:4" x14ac:dyDescent="0.35">
      <c r="A631" s="1">
        <v>44523</v>
      </c>
      <c r="B631" s="2">
        <v>46244</v>
      </c>
      <c r="C631" s="1" t="s">
        <v>9</v>
      </c>
      <c r="D631" s="1">
        <f t="shared" si="9"/>
        <v>8</v>
      </c>
    </row>
    <row r="632" spans="1:4" x14ac:dyDescent="0.35">
      <c r="A632" s="1">
        <v>44519</v>
      </c>
      <c r="B632" s="2">
        <v>46244</v>
      </c>
      <c r="C632" s="1" t="s">
        <v>9</v>
      </c>
      <c r="D632" s="1">
        <f t="shared" si="9"/>
        <v>8</v>
      </c>
    </row>
    <row r="633" spans="1:4" x14ac:dyDescent="0.35">
      <c r="A633" s="1">
        <v>44518</v>
      </c>
      <c r="B633" s="2">
        <v>46244</v>
      </c>
      <c r="C633" s="1" t="s">
        <v>9</v>
      </c>
      <c r="D633" s="1">
        <f t="shared" si="9"/>
        <v>8</v>
      </c>
    </row>
    <row r="634" spans="1:4" x14ac:dyDescent="0.35">
      <c r="A634" s="1">
        <v>44517</v>
      </c>
      <c r="B634" s="2">
        <v>46244</v>
      </c>
      <c r="C634" s="1" t="s">
        <v>7</v>
      </c>
      <c r="D634" s="1">
        <f t="shared" si="9"/>
        <v>8</v>
      </c>
    </row>
    <row r="635" spans="1:4" x14ac:dyDescent="0.35">
      <c r="A635" s="1">
        <v>44516</v>
      </c>
      <c r="B635" s="2">
        <v>46244</v>
      </c>
      <c r="C635" s="1" t="s">
        <v>23</v>
      </c>
      <c r="D635" s="1">
        <f t="shared" si="9"/>
        <v>8</v>
      </c>
    </row>
    <row r="636" spans="1:4" x14ac:dyDescent="0.35">
      <c r="A636" s="1">
        <v>44515</v>
      </c>
      <c r="B636" s="2">
        <v>46244</v>
      </c>
      <c r="C636" s="1" t="s">
        <v>23</v>
      </c>
      <c r="D636" s="1">
        <f t="shared" si="9"/>
        <v>8</v>
      </c>
    </row>
    <row r="637" spans="1:4" x14ac:dyDescent="0.35">
      <c r="A637" s="1">
        <v>44510</v>
      </c>
      <c r="B637" s="2">
        <v>46244</v>
      </c>
      <c r="C637" s="1" t="s">
        <v>17</v>
      </c>
      <c r="D637" s="1">
        <f t="shared" si="9"/>
        <v>8</v>
      </c>
    </row>
    <row r="638" spans="1:4" x14ac:dyDescent="0.35">
      <c r="A638" s="1">
        <v>44509</v>
      </c>
      <c r="B638" s="2">
        <v>46244</v>
      </c>
      <c r="C638" s="1" t="s">
        <v>17</v>
      </c>
      <c r="D638" s="1">
        <f t="shared" si="9"/>
        <v>8</v>
      </c>
    </row>
    <row r="639" spans="1:4" x14ac:dyDescent="0.35">
      <c r="A639" s="1">
        <v>44570</v>
      </c>
      <c r="B639" s="2">
        <v>46245</v>
      </c>
      <c r="C639" s="1" t="s">
        <v>8</v>
      </c>
      <c r="D639" s="1">
        <f t="shared" si="9"/>
        <v>8</v>
      </c>
    </row>
    <row r="640" spans="1:4" x14ac:dyDescent="0.35">
      <c r="A640" s="1">
        <v>44569</v>
      </c>
      <c r="B640" s="2">
        <v>46245</v>
      </c>
      <c r="C640" s="1" t="s">
        <v>8</v>
      </c>
      <c r="D640" s="1">
        <f t="shared" si="9"/>
        <v>8</v>
      </c>
    </row>
    <row r="641" spans="1:4" x14ac:dyDescent="0.35">
      <c r="A641" s="1">
        <v>44568</v>
      </c>
      <c r="B641" s="2">
        <v>46245</v>
      </c>
      <c r="C641" s="1" t="s">
        <v>15</v>
      </c>
      <c r="D641" s="1">
        <f t="shared" si="9"/>
        <v>8</v>
      </c>
    </row>
    <row r="642" spans="1:4" x14ac:dyDescent="0.35">
      <c r="A642" s="1">
        <v>44567</v>
      </c>
      <c r="B642" s="2">
        <v>46245</v>
      </c>
      <c r="C642" s="1" t="s">
        <v>15</v>
      </c>
      <c r="D642" s="1">
        <f t="shared" ref="D642:D705" si="10">MONTH(B642)</f>
        <v>8</v>
      </c>
    </row>
    <row r="643" spans="1:4" x14ac:dyDescent="0.35">
      <c r="A643" s="1">
        <v>44632</v>
      </c>
      <c r="B643" s="2">
        <v>46245</v>
      </c>
      <c r="C643" s="1" t="s">
        <v>10</v>
      </c>
      <c r="D643" s="1">
        <f t="shared" si="10"/>
        <v>8</v>
      </c>
    </row>
    <row r="644" spans="1:4" x14ac:dyDescent="0.35">
      <c r="A644" s="1">
        <v>44631</v>
      </c>
      <c r="B644" s="2">
        <v>46245</v>
      </c>
      <c r="C644" s="1" t="s">
        <v>10</v>
      </c>
      <c r="D644" s="1">
        <f t="shared" si="10"/>
        <v>8</v>
      </c>
    </row>
    <row r="645" spans="1:4" x14ac:dyDescent="0.35">
      <c r="A645" s="1">
        <v>44629</v>
      </c>
      <c r="B645" s="2">
        <v>46245</v>
      </c>
      <c r="C645" s="1" t="s">
        <v>16</v>
      </c>
      <c r="D645" s="1">
        <f t="shared" si="10"/>
        <v>8</v>
      </c>
    </row>
    <row r="646" spans="1:4" x14ac:dyDescent="0.35">
      <c r="A646" s="1">
        <v>44626</v>
      </c>
      <c r="B646" s="2">
        <v>46245</v>
      </c>
      <c r="C646" s="1" t="s">
        <v>24</v>
      </c>
      <c r="D646" s="1">
        <f t="shared" si="10"/>
        <v>8</v>
      </c>
    </row>
    <row r="647" spans="1:4" x14ac:dyDescent="0.35">
      <c r="A647" s="1">
        <v>44625</v>
      </c>
      <c r="B647" s="2">
        <v>46245</v>
      </c>
      <c r="C647" s="1" t="s">
        <v>24</v>
      </c>
      <c r="D647" s="1">
        <f t="shared" si="10"/>
        <v>8</v>
      </c>
    </row>
    <row r="648" spans="1:4" x14ac:dyDescent="0.35">
      <c r="A648" s="1">
        <v>44624</v>
      </c>
      <c r="B648" s="2">
        <v>46245</v>
      </c>
      <c r="C648" s="1" t="s">
        <v>24</v>
      </c>
      <c r="D648" s="1">
        <f t="shared" si="10"/>
        <v>8</v>
      </c>
    </row>
    <row r="649" spans="1:4" x14ac:dyDescent="0.35">
      <c r="A649" s="1">
        <v>44623</v>
      </c>
      <c r="B649" s="2">
        <v>46245</v>
      </c>
      <c r="C649" s="1" t="s">
        <v>24</v>
      </c>
      <c r="D649" s="1">
        <f t="shared" si="10"/>
        <v>8</v>
      </c>
    </row>
    <row r="650" spans="1:4" x14ac:dyDescent="0.35">
      <c r="A650" s="1">
        <v>44622</v>
      </c>
      <c r="B650" s="2">
        <v>46245</v>
      </c>
      <c r="C650" s="1" t="s">
        <v>24</v>
      </c>
      <c r="D650" s="1">
        <f t="shared" si="10"/>
        <v>8</v>
      </c>
    </row>
    <row r="651" spans="1:4" x14ac:dyDescent="0.35">
      <c r="A651" s="1">
        <v>44621</v>
      </c>
      <c r="B651" s="2">
        <v>46245</v>
      </c>
      <c r="C651" s="1" t="s">
        <v>24</v>
      </c>
      <c r="D651" s="1">
        <f t="shared" si="10"/>
        <v>8</v>
      </c>
    </row>
    <row r="652" spans="1:4" x14ac:dyDescent="0.35">
      <c r="A652" s="1">
        <v>44620</v>
      </c>
      <c r="B652" s="2">
        <v>46245</v>
      </c>
      <c r="C652" s="1" t="s">
        <v>24</v>
      </c>
      <c r="D652" s="1">
        <f t="shared" si="10"/>
        <v>8</v>
      </c>
    </row>
    <row r="653" spans="1:4" x14ac:dyDescent="0.35">
      <c r="A653" s="1">
        <v>44619</v>
      </c>
      <c r="B653" s="2">
        <v>46245</v>
      </c>
      <c r="C653" s="1" t="s">
        <v>24</v>
      </c>
      <c r="D653" s="1">
        <f t="shared" si="10"/>
        <v>8</v>
      </c>
    </row>
    <row r="654" spans="1:4" x14ac:dyDescent="0.35">
      <c r="A654" s="1">
        <v>44618</v>
      </c>
      <c r="B654" s="2">
        <v>46245</v>
      </c>
      <c r="C654" s="1" t="s">
        <v>24</v>
      </c>
      <c r="D654" s="1">
        <f t="shared" si="10"/>
        <v>8</v>
      </c>
    </row>
    <row r="655" spans="1:4" x14ac:dyDescent="0.35">
      <c r="A655" s="1">
        <v>44617</v>
      </c>
      <c r="B655" s="2">
        <v>46245</v>
      </c>
      <c r="C655" s="1" t="s">
        <v>24</v>
      </c>
      <c r="D655" s="1">
        <f t="shared" si="10"/>
        <v>8</v>
      </c>
    </row>
    <row r="656" spans="1:4" x14ac:dyDescent="0.35">
      <c r="A656" s="1">
        <v>44616</v>
      </c>
      <c r="B656" s="2">
        <v>46245</v>
      </c>
      <c r="C656" s="1" t="s">
        <v>9</v>
      </c>
      <c r="D656" s="1">
        <f t="shared" si="10"/>
        <v>8</v>
      </c>
    </row>
    <row r="657" spans="1:4" x14ac:dyDescent="0.35">
      <c r="A657" s="1">
        <v>44604</v>
      </c>
      <c r="B657" s="2">
        <v>46245</v>
      </c>
      <c r="C657" s="1" t="s">
        <v>7</v>
      </c>
      <c r="D657" s="1">
        <f t="shared" si="10"/>
        <v>8</v>
      </c>
    </row>
    <row r="658" spans="1:4" x14ac:dyDescent="0.35">
      <c r="A658" s="1">
        <v>44603</v>
      </c>
      <c r="B658" s="2">
        <v>46245</v>
      </c>
      <c r="C658" s="1" t="s">
        <v>7</v>
      </c>
      <c r="D658" s="1">
        <f t="shared" si="10"/>
        <v>8</v>
      </c>
    </row>
    <row r="659" spans="1:4" x14ac:dyDescent="0.35">
      <c r="A659" s="1">
        <v>44601</v>
      </c>
      <c r="B659" s="2">
        <v>46245</v>
      </c>
      <c r="C659" s="1" t="s">
        <v>19</v>
      </c>
      <c r="D659" s="1">
        <f t="shared" si="10"/>
        <v>8</v>
      </c>
    </row>
    <row r="660" spans="1:4" x14ac:dyDescent="0.35">
      <c r="A660" s="1">
        <v>44600</v>
      </c>
      <c r="B660" s="2">
        <v>46245</v>
      </c>
      <c r="C660" s="1" t="s">
        <v>19</v>
      </c>
      <c r="D660" s="1">
        <f t="shared" si="10"/>
        <v>8</v>
      </c>
    </row>
    <row r="661" spans="1:4" x14ac:dyDescent="0.35">
      <c r="A661" s="1">
        <v>44599</v>
      </c>
      <c r="B661" s="2">
        <v>46245</v>
      </c>
      <c r="C661" s="1" t="s">
        <v>19</v>
      </c>
      <c r="D661" s="1">
        <f t="shared" si="10"/>
        <v>8</v>
      </c>
    </row>
    <row r="662" spans="1:4" x14ac:dyDescent="0.35">
      <c r="A662" s="1">
        <v>44598</v>
      </c>
      <c r="B662" s="2">
        <v>46245</v>
      </c>
      <c r="C662" s="1" t="s">
        <v>19</v>
      </c>
      <c r="D662" s="1">
        <f t="shared" si="10"/>
        <v>8</v>
      </c>
    </row>
    <row r="663" spans="1:4" x14ac:dyDescent="0.35">
      <c r="A663" s="1">
        <v>44596</v>
      </c>
      <c r="B663" s="2">
        <v>46245</v>
      </c>
      <c r="C663" s="1" t="s">
        <v>9</v>
      </c>
      <c r="D663" s="1">
        <f t="shared" si="10"/>
        <v>8</v>
      </c>
    </row>
    <row r="664" spans="1:4" x14ac:dyDescent="0.35">
      <c r="A664" s="1">
        <v>44695</v>
      </c>
      <c r="B664" s="2">
        <v>46246</v>
      </c>
      <c r="C664" s="1" t="s">
        <v>10</v>
      </c>
      <c r="D664" s="1">
        <f t="shared" si="10"/>
        <v>8</v>
      </c>
    </row>
    <row r="665" spans="1:4" x14ac:dyDescent="0.35">
      <c r="A665" s="1">
        <v>44694</v>
      </c>
      <c r="B665" s="2">
        <v>46246</v>
      </c>
      <c r="C665" s="1" t="s">
        <v>10</v>
      </c>
      <c r="D665" s="1">
        <f t="shared" si="10"/>
        <v>8</v>
      </c>
    </row>
    <row r="666" spans="1:4" x14ac:dyDescent="0.35">
      <c r="A666" s="1">
        <v>44693</v>
      </c>
      <c r="B666" s="2">
        <v>46246</v>
      </c>
      <c r="C666" s="1" t="s">
        <v>11</v>
      </c>
      <c r="D666" s="1">
        <f t="shared" si="10"/>
        <v>8</v>
      </c>
    </row>
    <row r="667" spans="1:4" x14ac:dyDescent="0.35">
      <c r="A667" s="1">
        <v>44690</v>
      </c>
      <c r="B667" s="2">
        <v>46246</v>
      </c>
      <c r="C667" s="1" t="s">
        <v>16</v>
      </c>
      <c r="D667" s="1">
        <f t="shared" si="10"/>
        <v>8</v>
      </c>
    </row>
    <row r="668" spans="1:4" x14ac:dyDescent="0.35">
      <c r="A668" s="1">
        <v>44689</v>
      </c>
      <c r="B668" s="2">
        <v>46246</v>
      </c>
      <c r="C668" s="1" t="s">
        <v>16</v>
      </c>
      <c r="D668" s="1">
        <f t="shared" si="10"/>
        <v>8</v>
      </c>
    </row>
    <row r="669" spans="1:4" x14ac:dyDescent="0.35">
      <c r="A669" s="1">
        <v>44688</v>
      </c>
      <c r="B669" s="2">
        <v>46246</v>
      </c>
      <c r="C669" s="1" t="s">
        <v>17</v>
      </c>
      <c r="D669" s="1">
        <f t="shared" si="10"/>
        <v>8</v>
      </c>
    </row>
    <row r="670" spans="1:4" x14ac:dyDescent="0.35">
      <c r="A670" s="1">
        <v>44687</v>
      </c>
      <c r="B670" s="2">
        <v>46246</v>
      </c>
      <c r="C670" s="1" t="s">
        <v>17</v>
      </c>
      <c r="D670" s="1">
        <f t="shared" si="10"/>
        <v>8</v>
      </c>
    </row>
    <row r="671" spans="1:4" x14ac:dyDescent="0.35">
      <c r="A671" s="1">
        <v>44683</v>
      </c>
      <c r="B671" s="2">
        <v>46246</v>
      </c>
      <c r="C671" s="1" t="s">
        <v>21</v>
      </c>
      <c r="D671" s="1">
        <f t="shared" si="10"/>
        <v>8</v>
      </c>
    </row>
    <row r="672" spans="1:4" x14ac:dyDescent="0.35">
      <c r="A672" s="1">
        <v>44679</v>
      </c>
      <c r="B672" s="2">
        <v>46246</v>
      </c>
      <c r="C672" s="1" t="s">
        <v>24</v>
      </c>
      <c r="D672" s="1">
        <f t="shared" si="10"/>
        <v>8</v>
      </c>
    </row>
    <row r="673" spans="1:4" x14ac:dyDescent="0.35">
      <c r="A673" s="1">
        <v>44678</v>
      </c>
      <c r="B673" s="2">
        <v>46246</v>
      </c>
      <c r="C673" s="1" t="s">
        <v>24</v>
      </c>
      <c r="D673" s="1">
        <f t="shared" si="10"/>
        <v>8</v>
      </c>
    </row>
    <row r="674" spans="1:4" x14ac:dyDescent="0.35">
      <c r="A674" s="1">
        <v>44674</v>
      </c>
      <c r="B674" s="2">
        <v>46246</v>
      </c>
      <c r="C674" s="1" t="s">
        <v>9</v>
      </c>
      <c r="D674" s="1">
        <f t="shared" si="10"/>
        <v>8</v>
      </c>
    </row>
    <row r="675" spans="1:4" x14ac:dyDescent="0.35">
      <c r="A675" s="1">
        <v>44673</v>
      </c>
      <c r="B675" s="2">
        <v>46246</v>
      </c>
      <c r="C675" s="1" t="s">
        <v>23</v>
      </c>
      <c r="D675" s="1">
        <f t="shared" si="10"/>
        <v>8</v>
      </c>
    </row>
    <row r="676" spans="1:4" x14ac:dyDescent="0.35">
      <c r="A676" s="1">
        <v>44672</v>
      </c>
      <c r="B676" s="2">
        <v>46246</v>
      </c>
      <c r="C676" s="1" t="s">
        <v>23</v>
      </c>
      <c r="D676" s="1">
        <f t="shared" si="10"/>
        <v>8</v>
      </c>
    </row>
    <row r="677" spans="1:4" x14ac:dyDescent="0.35">
      <c r="A677" s="1">
        <v>44669</v>
      </c>
      <c r="B677" s="2">
        <v>46246</v>
      </c>
      <c r="C677" s="1" t="s">
        <v>7</v>
      </c>
      <c r="D677" s="1">
        <f t="shared" si="10"/>
        <v>8</v>
      </c>
    </row>
    <row r="678" spans="1:4" x14ac:dyDescent="0.35">
      <c r="A678" s="1">
        <v>44667</v>
      </c>
      <c r="B678" s="2">
        <v>46246</v>
      </c>
      <c r="C678" s="1" t="s">
        <v>7</v>
      </c>
      <c r="D678" s="1">
        <f t="shared" si="10"/>
        <v>8</v>
      </c>
    </row>
    <row r="679" spans="1:4" x14ac:dyDescent="0.35">
      <c r="A679" s="1">
        <v>44666</v>
      </c>
      <c r="B679" s="2">
        <v>46246</v>
      </c>
      <c r="C679" s="1" t="s">
        <v>7</v>
      </c>
      <c r="D679" s="1">
        <f t="shared" si="10"/>
        <v>8</v>
      </c>
    </row>
    <row r="680" spans="1:4" x14ac:dyDescent="0.35">
      <c r="A680" s="1">
        <v>44665</v>
      </c>
      <c r="B680" s="2">
        <v>46246</v>
      </c>
      <c r="C680" s="1" t="s">
        <v>19</v>
      </c>
      <c r="D680" s="1">
        <f t="shared" si="10"/>
        <v>8</v>
      </c>
    </row>
    <row r="681" spans="1:4" x14ac:dyDescent="0.35">
      <c r="A681" s="1">
        <v>44662</v>
      </c>
      <c r="B681" s="2">
        <v>46246</v>
      </c>
      <c r="C681" s="1" t="s">
        <v>19</v>
      </c>
      <c r="D681" s="1">
        <f t="shared" si="10"/>
        <v>8</v>
      </c>
    </row>
    <row r="682" spans="1:4" x14ac:dyDescent="0.35">
      <c r="A682" s="1">
        <v>44661</v>
      </c>
      <c r="B682" s="2">
        <v>46246</v>
      </c>
      <c r="C682" s="1" t="s">
        <v>19</v>
      </c>
      <c r="D682" s="1">
        <f t="shared" si="10"/>
        <v>8</v>
      </c>
    </row>
    <row r="683" spans="1:4" x14ac:dyDescent="0.35">
      <c r="A683" s="1">
        <v>44650</v>
      </c>
      <c r="B683" s="2">
        <v>46246</v>
      </c>
      <c r="C683" s="1" t="s">
        <v>9</v>
      </c>
      <c r="D683" s="1">
        <f t="shared" si="10"/>
        <v>8</v>
      </c>
    </row>
    <row r="684" spans="1:4" x14ac:dyDescent="0.35">
      <c r="A684" s="1">
        <v>44649</v>
      </c>
      <c r="B684" s="2">
        <v>46246</v>
      </c>
      <c r="C684" s="1" t="s">
        <v>9</v>
      </c>
      <c r="D684" s="1">
        <f t="shared" si="10"/>
        <v>8</v>
      </c>
    </row>
    <row r="685" spans="1:4" x14ac:dyDescent="0.35">
      <c r="A685" s="1">
        <v>44646</v>
      </c>
      <c r="B685" s="2">
        <v>46246</v>
      </c>
      <c r="C685" s="1" t="s">
        <v>21</v>
      </c>
      <c r="D685" s="1">
        <f t="shared" si="10"/>
        <v>8</v>
      </c>
    </row>
    <row r="686" spans="1:4" x14ac:dyDescent="0.35">
      <c r="A686" s="1">
        <v>44643</v>
      </c>
      <c r="B686" s="2">
        <v>46246</v>
      </c>
      <c r="C686" s="1" t="s">
        <v>21</v>
      </c>
      <c r="D686" s="1">
        <f t="shared" si="10"/>
        <v>8</v>
      </c>
    </row>
    <row r="687" spans="1:4" x14ac:dyDescent="0.35">
      <c r="A687" s="1">
        <v>44638</v>
      </c>
      <c r="B687" s="2">
        <v>46246</v>
      </c>
      <c r="C687" s="1" t="s">
        <v>24</v>
      </c>
      <c r="D687" s="1">
        <f t="shared" si="10"/>
        <v>8</v>
      </c>
    </row>
    <row r="688" spans="1:4" x14ac:dyDescent="0.35">
      <c r="A688" s="1">
        <v>44636</v>
      </c>
      <c r="B688" s="2">
        <v>46246</v>
      </c>
      <c r="C688" s="1" t="s">
        <v>8</v>
      </c>
      <c r="D688" s="1">
        <f t="shared" si="10"/>
        <v>8</v>
      </c>
    </row>
    <row r="689" spans="1:4" x14ac:dyDescent="0.35">
      <c r="A689" s="1">
        <v>44635</v>
      </c>
      <c r="B689" s="2">
        <v>46246</v>
      </c>
      <c r="C689" s="1" t="s">
        <v>8</v>
      </c>
      <c r="D689" s="1">
        <f t="shared" si="10"/>
        <v>8</v>
      </c>
    </row>
    <row r="690" spans="1:4" x14ac:dyDescent="0.35">
      <c r="A690" s="1">
        <v>44634</v>
      </c>
      <c r="B690" s="2">
        <v>46246</v>
      </c>
      <c r="C690" s="1" t="s">
        <v>19</v>
      </c>
      <c r="D690" s="1">
        <f t="shared" si="10"/>
        <v>8</v>
      </c>
    </row>
    <row r="691" spans="1:4" x14ac:dyDescent="0.35">
      <c r="A691" s="1">
        <v>44633</v>
      </c>
      <c r="B691" s="2">
        <v>46246</v>
      </c>
      <c r="C691" s="1" t="s">
        <v>19</v>
      </c>
      <c r="D691" s="1">
        <f t="shared" si="10"/>
        <v>8</v>
      </c>
    </row>
    <row r="692" spans="1:4" x14ac:dyDescent="0.35">
      <c r="A692" s="1">
        <v>44746</v>
      </c>
      <c r="B692" s="2">
        <v>46247</v>
      </c>
      <c r="C692" s="1" t="s">
        <v>10</v>
      </c>
      <c r="D692" s="1">
        <f t="shared" si="10"/>
        <v>8</v>
      </c>
    </row>
    <row r="693" spans="1:4" x14ac:dyDescent="0.35">
      <c r="A693" s="1">
        <v>44745</v>
      </c>
      <c r="B693" s="2">
        <v>46247</v>
      </c>
      <c r="C693" s="1" t="s">
        <v>10</v>
      </c>
      <c r="D693" s="1">
        <f t="shared" si="10"/>
        <v>8</v>
      </c>
    </row>
    <row r="694" spans="1:4" x14ac:dyDescent="0.35">
      <c r="A694" s="1">
        <v>44744</v>
      </c>
      <c r="B694" s="2">
        <v>46247</v>
      </c>
      <c r="C694" s="1" t="s">
        <v>19</v>
      </c>
      <c r="D694" s="1">
        <f t="shared" si="10"/>
        <v>8</v>
      </c>
    </row>
    <row r="695" spans="1:4" x14ac:dyDescent="0.35">
      <c r="A695" s="1">
        <v>44743</v>
      </c>
      <c r="B695" s="2">
        <v>46247</v>
      </c>
      <c r="C695" s="1" t="s">
        <v>19</v>
      </c>
      <c r="D695" s="1">
        <f t="shared" si="10"/>
        <v>8</v>
      </c>
    </row>
    <row r="696" spans="1:4" x14ac:dyDescent="0.35">
      <c r="A696" s="1">
        <v>44742</v>
      </c>
      <c r="B696" s="2">
        <v>46247</v>
      </c>
      <c r="C696" s="1" t="s">
        <v>19</v>
      </c>
      <c r="D696" s="1">
        <f t="shared" si="10"/>
        <v>8</v>
      </c>
    </row>
    <row r="697" spans="1:4" x14ac:dyDescent="0.35">
      <c r="A697" s="1">
        <v>44741</v>
      </c>
      <c r="B697" s="2">
        <v>46247</v>
      </c>
      <c r="C697" s="1" t="s">
        <v>16</v>
      </c>
      <c r="D697" s="1">
        <f t="shared" si="10"/>
        <v>8</v>
      </c>
    </row>
    <row r="698" spans="1:4" x14ac:dyDescent="0.35">
      <c r="A698" s="1">
        <v>44740</v>
      </c>
      <c r="B698" s="2">
        <v>46247</v>
      </c>
      <c r="C698" s="1" t="s">
        <v>16</v>
      </c>
      <c r="D698" s="1">
        <f t="shared" si="10"/>
        <v>8</v>
      </c>
    </row>
    <row r="699" spans="1:4" x14ac:dyDescent="0.35">
      <c r="A699" s="1">
        <v>44739</v>
      </c>
      <c r="B699" s="2">
        <v>46247</v>
      </c>
      <c r="C699" s="1" t="s">
        <v>9</v>
      </c>
      <c r="D699" s="1">
        <f t="shared" si="10"/>
        <v>8</v>
      </c>
    </row>
    <row r="700" spans="1:4" x14ac:dyDescent="0.35">
      <c r="A700" s="1">
        <v>44738</v>
      </c>
      <c r="B700" s="2">
        <v>46247</v>
      </c>
      <c r="C700" s="1" t="s">
        <v>9</v>
      </c>
      <c r="D700" s="1">
        <f t="shared" si="10"/>
        <v>8</v>
      </c>
    </row>
    <row r="701" spans="1:4" x14ac:dyDescent="0.35">
      <c r="A701" s="1">
        <v>44737</v>
      </c>
      <c r="B701" s="2">
        <v>46247</v>
      </c>
      <c r="C701" s="1" t="s">
        <v>9</v>
      </c>
      <c r="D701" s="1">
        <f t="shared" si="10"/>
        <v>8</v>
      </c>
    </row>
    <row r="702" spans="1:4" x14ac:dyDescent="0.35">
      <c r="A702" s="1">
        <v>44735</v>
      </c>
      <c r="B702" s="2">
        <v>46247</v>
      </c>
      <c r="C702" s="1" t="s">
        <v>23</v>
      </c>
      <c r="D702" s="1">
        <f t="shared" si="10"/>
        <v>8</v>
      </c>
    </row>
    <row r="703" spans="1:4" x14ac:dyDescent="0.35">
      <c r="A703" s="1">
        <v>44733</v>
      </c>
      <c r="B703" s="2">
        <v>46247</v>
      </c>
      <c r="C703" s="1" t="s">
        <v>23</v>
      </c>
      <c r="D703" s="1">
        <f t="shared" si="10"/>
        <v>8</v>
      </c>
    </row>
    <row r="704" spans="1:4" x14ac:dyDescent="0.35">
      <c r="A704" s="1">
        <v>44729</v>
      </c>
      <c r="B704" s="2">
        <v>46247</v>
      </c>
      <c r="C704" s="1" t="s">
        <v>3</v>
      </c>
      <c r="D704" s="1">
        <f t="shared" si="10"/>
        <v>8</v>
      </c>
    </row>
    <row r="705" spans="1:4" x14ac:dyDescent="0.35">
      <c r="A705" s="1">
        <v>44728</v>
      </c>
      <c r="B705" s="2">
        <v>46247</v>
      </c>
      <c r="C705" s="1" t="s">
        <v>3</v>
      </c>
      <c r="D705" s="1">
        <f t="shared" si="10"/>
        <v>8</v>
      </c>
    </row>
    <row r="706" spans="1:4" x14ac:dyDescent="0.35">
      <c r="A706" s="1">
        <v>44724</v>
      </c>
      <c r="B706" s="2">
        <v>46247</v>
      </c>
      <c r="C706" s="1" t="s">
        <v>7</v>
      </c>
      <c r="D706" s="1">
        <f t="shared" ref="D706:D769" si="11">MONTH(B706)</f>
        <v>8</v>
      </c>
    </row>
    <row r="707" spans="1:4" x14ac:dyDescent="0.35">
      <c r="A707" s="1">
        <v>44717</v>
      </c>
      <c r="B707" s="2">
        <v>46247</v>
      </c>
      <c r="C707" s="1" t="s">
        <v>17</v>
      </c>
      <c r="D707" s="1">
        <f t="shared" si="11"/>
        <v>8</v>
      </c>
    </row>
    <row r="708" spans="1:4" x14ac:dyDescent="0.35">
      <c r="A708" s="1">
        <v>44716</v>
      </c>
      <c r="B708" s="2">
        <v>46247</v>
      </c>
      <c r="C708" s="1" t="s">
        <v>17</v>
      </c>
      <c r="D708" s="1">
        <f t="shared" si="11"/>
        <v>8</v>
      </c>
    </row>
    <row r="709" spans="1:4" x14ac:dyDescent="0.35">
      <c r="A709" s="1">
        <v>44712</v>
      </c>
      <c r="B709" s="2">
        <v>46247</v>
      </c>
      <c r="C709" s="1" t="s">
        <v>5</v>
      </c>
      <c r="D709" s="1">
        <f t="shared" si="11"/>
        <v>8</v>
      </c>
    </row>
    <row r="710" spans="1:4" x14ac:dyDescent="0.35">
      <c r="A710" s="1">
        <v>44703</v>
      </c>
      <c r="B710" s="2">
        <v>46247</v>
      </c>
      <c r="C710" s="1" t="s">
        <v>7</v>
      </c>
      <c r="D710" s="1">
        <f t="shared" si="11"/>
        <v>8</v>
      </c>
    </row>
    <row r="711" spans="1:4" x14ac:dyDescent="0.35">
      <c r="A711" s="1">
        <v>44698</v>
      </c>
      <c r="B711" s="2">
        <v>46247</v>
      </c>
      <c r="C711" s="1" t="s">
        <v>5</v>
      </c>
      <c r="D711" s="1">
        <f t="shared" si="11"/>
        <v>8</v>
      </c>
    </row>
    <row r="712" spans="1:4" x14ac:dyDescent="0.35">
      <c r="A712" s="1">
        <v>44790</v>
      </c>
      <c r="B712" s="2">
        <v>46248</v>
      </c>
      <c r="C712" s="1" t="s">
        <v>10</v>
      </c>
      <c r="D712" s="1">
        <f t="shared" si="11"/>
        <v>8</v>
      </c>
    </row>
    <row r="713" spans="1:4" x14ac:dyDescent="0.35">
      <c r="A713" s="1">
        <v>44789</v>
      </c>
      <c r="B713" s="2">
        <v>46248</v>
      </c>
      <c r="C713" s="1" t="s">
        <v>10</v>
      </c>
      <c r="D713" s="1">
        <f t="shared" si="11"/>
        <v>8</v>
      </c>
    </row>
    <row r="714" spans="1:4" x14ac:dyDescent="0.35">
      <c r="A714" s="1">
        <v>44788</v>
      </c>
      <c r="B714" s="2">
        <v>46248</v>
      </c>
      <c r="C714" s="1" t="s">
        <v>17</v>
      </c>
      <c r="D714" s="1">
        <f t="shared" si="11"/>
        <v>8</v>
      </c>
    </row>
    <row r="715" spans="1:4" x14ac:dyDescent="0.35">
      <c r="A715" s="1">
        <v>44787</v>
      </c>
      <c r="B715" s="2">
        <v>46248</v>
      </c>
      <c r="C715" s="1" t="s">
        <v>17</v>
      </c>
      <c r="D715" s="1">
        <f t="shared" si="11"/>
        <v>8</v>
      </c>
    </row>
    <row r="716" spans="1:4" x14ac:dyDescent="0.35">
      <c r="A716" s="1">
        <v>44786</v>
      </c>
      <c r="B716" s="2">
        <v>46248</v>
      </c>
      <c r="C716" s="1" t="s">
        <v>11</v>
      </c>
      <c r="D716" s="1">
        <f t="shared" si="11"/>
        <v>8</v>
      </c>
    </row>
    <row r="717" spans="1:4" x14ac:dyDescent="0.35">
      <c r="A717" s="1">
        <v>44785</v>
      </c>
      <c r="B717" s="2">
        <v>46248</v>
      </c>
      <c r="C717" s="1" t="s">
        <v>9</v>
      </c>
      <c r="D717" s="1">
        <f t="shared" si="11"/>
        <v>8</v>
      </c>
    </row>
    <row r="718" spans="1:4" x14ac:dyDescent="0.35">
      <c r="A718" s="1">
        <v>44783</v>
      </c>
      <c r="B718" s="2">
        <v>46248</v>
      </c>
      <c r="C718" s="1" t="s">
        <v>7</v>
      </c>
      <c r="D718" s="1">
        <f t="shared" si="11"/>
        <v>8</v>
      </c>
    </row>
    <row r="719" spans="1:4" x14ac:dyDescent="0.35">
      <c r="A719" s="1">
        <v>44782</v>
      </c>
      <c r="B719" s="2">
        <v>46248</v>
      </c>
      <c r="C719" s="1" t="s">
        <v>7</v>
      </c>
      <c r="D719" s="1">
        <f t="shared" si="11"/>
        <v>8</v>
      </c>
    </row>
    <row r="720" spans="1:4" x14ac:dyDescent="0.35">
      <c r="A720" s="1">
        <v>44774</v>
      </c>
      <c r="B720" s="2">
        <v>46248</v>
      </c>
      <c r="C720" s="1" t="s">
        <v>8</v>
      </c>
      <c r="D720" s="1">
        <f t="shared" si="11"/>
        <v>8</v>
      </c>
    </row>
    <row r="721" spans="1:4" x14ac:dyDescent="0.35">
      <c r="A721" s="1">
        <v>44773</v>
      </c>
      <c r="B721" s="2">
        <v>46248</v>
      </c>
      <c r="C721" s="1" t="s">
        <v>8</v>
      </c>
      <c r="D721" s="1">
        <f t="shared" si="11"/>
        <v>8</v>
      </c>
    </row>
    <row r="722" spans="1:4" x14ac:dyDescent="0.35">
      <c r="A722" s="1">
        <v>44772</v>
      </c>
      <c r="B722" s="2">
        <v>46248</v>
      </c>
      <c r="C722" s="1" t="s">
        <v>8</v>
      </c>
      <c r="D722" s="1">
        <f t="shared" si="11"/>
        <v>8</v>
      </c>
    </row>
    <row r="723" spans="1:4" x14ac:dyDescent="0.35">
      <c r="A723" s="1">
        <v>44771</v>
      </c>
      <c r="B723" s="2">
        <v>46248</v>
      </c>
      <c r="C723" s="1" t="s">
        <v>8</v>
      </c>
      <c r="D723" s="1">
        <f t="shared" si="11"/>
        <v>8</v>
      </c>
    </row>
    <row r="724" spans="1:4" x14ac:dyDescent="0.35">
      <c r="A724" s="1">
        <v>44770</v>
      </c>
      <c r="B724" s="2">
        <v>46248</v>
      </c>
      <c r="C724" s="1" t="s">
        <v>8</v>
      </c>
      <c r="D724" s="1">
        <f t="shared" si="11"/>
        <v>8</v>
      </c>
    </row>
    <row r="725" spans="1:4" x14ac:dyDescent="0.35">
      <c r="A725" s="1">
        <v>44769</v>
      </c>
      <c r="B725" s="2">
        <v>46248</v>
      </c>
      <c r="C725" s="1" t="s">
        <v>8</v>
      </c>
      <c r="D725" s="1">
        <f t="shared" si="11"/>
        <v>8</v>
      </c>
    </row>
    <row r="726" spans="1:4" x14ac:dyDescent="0.35">
      <c r="A726" s="1">
        <v>44756</v>
      </c>
      <c r="B726" s="2">
        <v>46248</v>
      </c>
      <c r="C726" s="1" t="s">
        <v>3</v>
      </c>
      <c r="D726" s="1">
        <f t="shared" si="11"/>
        <v>8</v>
      </c>
    </row>
    <row r="727" spans="1:4" x14ac:dyDescent="0.35">
      <c r="A727" s="1">
        <v>44755</v>
      </c>
      <c r="B727" s="2">
        <v>46248</v>
      </c>
      <c r="C727" s="1" t="s">
        <v>9</v>
      </c>
      <c r="D727" s="1">
        <f t="shared" si="11"/>
        <v>8</v>
      </c>
    </row>
    <row r="728" spans="1:4" x14ac:dyDescent="0.35">
      <c r="A728" s="1">
        <v>44749</v>
      </c>
      <c r="B728" s="2">
        <v>46248</v>
      </c>
      <c r="C728" s="1" t="s">
        <v>21</v>
      </c>
      <c r="D728" s="1">
        <f t="shared" si="11"/>
        <v>8</v>
      </c>
    </row>
    <row r="729" spans="1:4" x14ac:dyDescent="0.35">
      <c r="A729" s="1">
        <v>44748</v>
      </c>
      <c r="B729" s="2">
        <v>46248</v>
      </c>
      <c r="C729" s="1" t="s">
        <v>21</v>
      </c>
      <c r="D729" s="1">
        <f t="shared" si="11"/>
        <v>8</v>
      </c>
    </row>
    <row r="730" spans="1:4" x14ac:dyDescent="0.35">
      <c r="A730" s="1">
        <v>44747</v>
      </c>
      <c r="B730" s="2">
        <v>46248</v>
      </c>
      <c r="C730" s="1" t="s">
        <v>21</v>
      </c>
      <c r="D730" s="1">
        <f t="shared" si="11"/>
        <v>8</v>
      </c>
    </row>
    <row r="731" spans="1:4" x14ac:dyDescent="0.35">
      <c r="A731" s="1">
        <v>44818</v>
      </c>
      <c r="B731" s="2">
        <v>46249</v>
      </c>
      <c r="C731" s="1" t="s">
        <v>17</v>
      </c>
      <c r="D731" s="1">
        <f t="shared" si="11"/>
        <v>8</v>
      </c>
    </row>
    <row r="732" spans="1:4" x14ac:dyDescent="0.35">
      <c r="A732" s="1">
        <v>44816</v>
      </c>
      <c r="B732" s="2">
        <v>46249</v>
      </c>
      <c r="C732" s="1" t="s">
        <v>10</v>
      </c>
      <c r="D732" s="1">
        <f t="shared" si="11"/>
        <v>8</v>
      </c>
    </row>
    <row r="733" spans="1:4" x14ac:dyDescent="0.35">
      <c r="A733" s="1">
        <v>44815</v>
      </c>
      <c r="B733" s="2">
        <v>46249</v>
      </c>
      <c r="C733" s="1" t="s">
        <v>10</v>
      </c>
      <c r="D733" s="1">
        <f t="shared" si="11"/>
        <v>8</v>
      </c>
    </row>
    <row r="734" spans="1:4" x14ac:dyDescent="0.35">
      <c r="A734" s="1">
        <v>44792</v>
      </c>
      <c r="B734" s="2">
        <v>46249</v>
      </c>
      <c r="C734" s="1" t="s">
        <v>8</v>
      </c>
      <c r="D734" s="1">
        <f t="shared" si="11"/>
        <v>8</v>
      </c>
    </row>
    <row r="735" spans="1:4" x14ac:dyDescent="0.35">
      <c r="A735" s="1">
        <v>44791</v>
      </c>
      <c r="B735" s="2">
        <v>46249</v>
      </c>
      <c r="C735" s="1" t="s">
        <v>8</v>
      </c>
      <c r="D735" s="1">
        <f t="shared" si="11"/>
        <v>8</v>
      </c>
    </row>
    <row r="736" spans="1:4" x14ac:dyDescent="0.35">
      <c r="A736" s="1">
        <v>44843</v>
      </c>
      <c r="B736" s="2">
        <v>46250</v>
      </c>
      <c r="C736" s="1" t="s">
        <v>25</v>
      </c>
      <c r="D736" s="1">
        <f t="shared" si="11"/>
        <v>8</v>
      </c>
    </row>
    <row r="737" spans="1:4" x14ac:dyDescent="0.35">
      <c r="A737" s="1">
        <v>44842</v>
      </c>
      <c r="B737" s="2">
        <v>46250</v>
      </c>
      <c r="C737" s="1" t="s">
        <v>25</v>
      </c>
      <c r="D737" s="1">
        <f t="shared" si="11"/>
        <v>8</v>
      </c>
    </row>
    <row r="738" spans="1:4" x14ac:dyDescent="0.35">
      <c r="A738" s="1">
        <v>44834</v>
      </c>
      <c r="B738" s="2">
        <v>46250</v>
      </c>
      <c r="C738" s="1" t="s">
        <v>25</v>
      </c>
      <c r="D738" s="1">
        <f t="shared" si="11"/>
        <v>8</v>
      </c>
    </row>
    <row r="739" spans="1:4" x14ac:dyDescent="0.35">
      <c r="A739" s="1">
        <v>44923</v>
      </c>
      <c r="B739" s="2">
        <v>46251</v>
      </c>
      <c r="C739" s="1" t="s">
        <v>10</v>
      </c>
      <c r="D739" s="1">
        <f t="shared" si="11"/>
        <v>8</v>
      </c>
    </row>
    <row r="740" spans="1:4" x14ac:dyDescent="0.35">
      <c r="A740" s="1">
        <v>44922</v>
      </c>
      <c r="B740" s="2">
        <v>46251</v>
      </c>
      <c r="C740" s="1" t="s">
        <v>10</v>
      </c>
      <c r="D740" s="1">
        <f t="shared" si="11"/>
        <v>8</v>
      </c>
    </row>
    <row r="741" spans="1:4" x14ac:dyDescent="0.35">
      <c r="A741" s="1">
        <v>44921</v>
      </c>
      <c r="B741" s="2">
        <v>46251</v>
      </c>
      <c r="C741" s="1" t="s">
        <v>23</v>
      </c>
      <c r="D741" s="1">
        <f t="shared" si="11"/>
        <v>8</v>
      </c>
    </row>
    <row r="742" spans="1:4" x14ac:dyDescent="0.35">
      <c r="A742" s="1">
        <v>44920</v>
      </c>
      <c r="B742" s="2">
        <v>46251</v>
      </c>
      <c r="C742" s="1" t="s">
        <v>23</v>
      </c>
      <c r="D742" s="1">
        <f t="shared" si="11"/>
        <v>8</v>
      </c>
    </row>
    <row r="743" spans="1:4" x14ac:dyDescent="0.35">
      <c r="A743" s="1">
        <v>44919</v>
      </c>
      <c r="B743" s="2">
        <v>46251</v>
      </c>
      <c r="C743" s="1" t="s">
        <v>9</v>
      </c>
      <c r="D743" s="1">
        <f t="shared" si="11"/>
        <v>8</v>
      </c>
    </row>
    <row r="744" spans="1:4" x14ac:dyDescent="0.35">
      <c r="A744" s="1">
        <v>44918</v>
      </c>
      <c r="B744" s="2">
        <v>46251</v>
      </c>
      <c r="C744" s="1" t="s">
        <v>9</v>
      </c>
      <c r="D744" s="1">
        <f t="shared" si="11"/>
        <v>8</v>
      </c>
    </row>
    <row r="745" spans="1:4" x14ac:dyDescent="0.35">
      <c r="A745" s="1">
        <v>44917</v>
      </c>
      <c r="B745" s="2">
        <v>46251</v>
      </c>
      <c r="C745" s="1" t="s">
        <v>9</v>
      </c>
      <c r="D745" s="1">
        <f t="shared" si="11"/>
        <v>8</v>
      </c>
    </row>
    <row r="746" spans="1:4" x14ac:dyDescent="0.35">
      <c r="A746" s="1">
        <v>44916</v>
      </c>
      <c r="B746" s="2">
        <v>46251</v>
      </c>
      <c r="C746" s="1" t="s">
        <v>9</v>
      </c>
      <c r="D746" s="1">
        <f t="shared" si="11"/>
        <v>8</v>
      </c>
    </row>
    <row r="747" spans="1:4" x14ac:dyDescent="0.35">
      <c r="A747" s="1">
        <v>44894</v>
      </c>
      <c r="B747" s="2">
        <v>46251</v>
      </c>
      <c r="C747" s="1" t="s">
        <v>5</v>
      </c>
      <c r="D747" s="1">
        <f t="shared" si="11"/>
        <v>8</v>
      </c>
    </row>
    <row r="748" spans="1:4" x14ac:dyDescent="0.35">
      <c r="A748" s="1">
        <v>44893</v>
      </c>
      <c r="B748" s="2">
        <v>46251</v>
      </c>
      <c r="C748" s="1" t="s">
        <v>21</v>
      </c>
      <c r="D748" s="1">
        <f t="shared" si="11"/>
        <v>8</v>
      </c>
    </row>
    <row r="749" spans="1:4" x14ac:dyDescent="0.35">
      <c r="A749" s="1">
        <v>44891</v>
      </c>
      <c r="B749" s="2">
        <v>46251</v>
      </c>
      <c r="C749" s="1" t="s">
        <v>21</v>
      </c>
      <c r="D749" s="1">
        <f t="shared" si="11"/>
        <v>8</v>
      </c>
    </row>
    <row r="750" spans="1:4" x14ac:dyDescent="0.35">
      <c r="A750" s="1">
        <v>44890</v>
      </c>
      <c r="B750" s="2">
        <v>46251</v>
      </c>
      <c r="C750" s="1" t="s">
        <v>21</v>
      </c>
      <c r="D750" s="1">
        <f t="shared" si="11"/>
        <v>8</v>
      </c>
    </row>
    <row r="751" spans="1:4" x14ac:dyDescent="0.35">
      <c r="A751" s="1">
        <v>44886</v>
      </c>
      <c r="B751" s="2">
        <v>46251</v>
      </c>
      <c r="C751" s="1" t="s">
        <v>7</v>
      </c>
      <c r="D751" s="1">
        <f t="shared" si="11"/>
        <v>8</v>
      </c>
    </row>
    <row r="752" spans="1:4" x14ac:dyDescent="0.35">
      <c r="A752" s="1">
        <v>44885</v>
      </c>
      <c r="B752" s="2">
        <v>46251</v>
      </c>
      <c r="C752" s="1" t="s">
        <v>7</v>
      </c>
      <c r="D752" s="1">
        <f t="shared" si="11"/>
        <v>8</v>
      </c>
    </row>
    <row r="753" spans="1:4" x14ac:dyDescent="0.35">
      <c r="A753" s="1">
        <v>44876</v>
      </c>
      <c r="B753" s="2">
        <v>46251</v>
      </c>
      <c r="C753" s="1" t="s">
        <v>3</v>
      </c>
      <c r="D753" s="1">
        <f t="shared" si="11"/>
        <v>8</v>
      </c>
    </row>
    <row r="754" spans="1:4" x14ac:dyDescent="0.35">
      <c r="A754" s="1">
        <v>44870</v>
      </c>
      <c r="B754" s="2">
        <v>46251</v>
      </c>
      <c r="C754" s="1" t="s">
        <v>5</v>
      </c>
      <c r="D754" s="1">
        <f t="shared" si="11"/>
        <v>8</v>
      </c>
    </row>
    <row r="755" spans="1:4" x14ac:dyDescent="0.35">
      <c r="A755" s="1">
        <v>44869</v>
      </c>
      <c r="B755" s="2">
        <v>46251</v>
      </c>
      <c r="C755" s="1" t="s">
        <v>5</v>
      </c>
      <c r="D755" s="1">
        <f t="shared" si="11"/>
        <v>8</v>
      </c>
    </row>
    <row r="756" spans="1:4" x14ac:dyDescent="0.35">
      <c r="A756" s="1">
        <v>44868</v>
      </c>
      <c r="B756" s="2">
        <v>46251</v>
      </c>
      <c r="C756" s="1" t="s">
        <v>5</v>
      </c>
      <c r="D756" s="1">
        <f t="shared" si="11"/>
        <v>8</v>
      </c>
    </row>
    <row r="757" spans="1:4" x14ac:dyDescent="0.35">
      <c r="A757" s="1">
        <v>44867</v>
      </c>
      <c r="B757" s="2">
        <v>46251</v>
      </c>
      <c r="C757" s="1" t="s">
        <v>3</v>
      </c>
      <c r="D757" s="1">
        <f t="shared" si="11"/>
        <v>8</v>
      </c>
    </row>
    <row r="758" spans="1:4" x14ac:dyDescent="0.35">
      <c r="A758" s="1">
        <v>44866</v>
      </c>
      <c r="B758" s="2">
        <v>46251</v>
      </c>
      <c r="C758" s="1" t="s">
        <v>3</v>
      </c>
      <c r="D758" s="1">
        <f t="shared" si="11"/>
        <v>8</v>
      </c>
    </row>
    <row r="759" spans="1:4" x14ac:dyDescent="0.35">
      <c r="A759" s="1">
        <v>44861</v>
      </c>
      <c r="B759" s="2">
        <v>46251</v>
      </c>
      <c r="C759" s="1" t="s">
        <v>19</v>
      </c>
      <c r="D759" s="1">
        <f t="shared" si="11"/>
        <v>8</v>
      </c>
    </row>
    <row r="760" spans="1:4" x14ac:dyDescent="0.35">
      <c r="A760" s="1">
        <v>44857</v>
      </c>
      <c r="B760" s="2">
        <v>46251</v>
      </c>
      <c r="C760" s="1" t="s">
        <v>8</v>
      </c>
      <c r="D760" s="1">
        <f t="shared" si="11"/>
        <v>8</v>
      </c>
    </row>
    <row r="761" spans="1:4" x14ac:dyDescent="0.35">
      <c r="A761" s="1">
        <v>44855</v>
      </c>
      <c r="B761" s="2">
        <v>46251</v>
      </c>
      <c r="C761" s="1" t="s">
        <v>8</v>
      </c>
      <c r="D761" s="1">
        <f t="shared" si="11"/>
        <v>8</v>
      </c>
    </row>
    <row r="762" spans="1:4" x14ac:dyDescent="0.35">
      <c r="A762" s="1">
        <v>44854</v>
      </c>
      <c r="B762" s="2">
        <v>46251</v>
      </c>
      <c r="C762" s="1" t="s">
        <v>19</v>
      </c>
      <c r="D762" s="1">
        <f t="shared" si="11"/>
        <v>8</v>
      </c>
    </row>
    <row r="763" spans="1:4" x14ac:dyDescent="0.35">
      <c r="A763" s="1">
        <v>44998</v>
      </c>
      <c r="B763" s="2">
        <v>46252</v>
      </c>
      <c r="C763" s="1" t="s">
        <v>10</v>
      </c>
      <c r="D763" s="1">
        <f t="shared" si="11"/>
        <v>8</v>
      </c>
    </row>
    <row r="764" spans="1:4" x14ac:dyDescent="0.35">
      <c r="A764" s="1">
        <v>44997</v>
      </c>
      <c r="B764" s="2">
        <v>46252</v>
      </c>
      <c r="C764" s="1" t="s">
        <v>10</v>
      </c>
      <c r="D764" s="1">
        <f t="shared" si="11"/>
        <v>8</v>
      </c>
    </row>
    <row r="765" spans="1:4" x14ac:dyDescent="0.35">
      <c r="A765" s="1">
        <v>44985</v>
      </c>
      <c r="B765" s="2">
        <v>46252</v>
      </c>
      <c r="C765" s="1" t="s">
        <v>23</v>
      </c>
      <c r="D765" s="1">
        <f t="shared" si="11"/>
        <v>8</v>
      </c>
    </row>
    <row r="766" spans="1:4" x14ac:dyDescent="0.35">
      <c r="A766" s="1">
        <v>44984</v>
      </c>
      <c r="B766" s="2">
        <v>46252</v>
      </c>
      <c r="C766" s="1" t="s">
        <v>23</v>
      </c>
      <c r="D766" s="1">
        <f t="shared" si="11"/>
        <v>8</v>
      </c>
    </row>
    <row r="767" spans="1:4" x14ac:dyDescent="0.35">
      <c r="A767" s="1">
        <v>44975</v>
      </c>
      <c r="B767" s="2">
        <v>46252</v>
      </c>
      <c r="C767" s="1" t="s">
        <v>3</v>
      </c>
      <c r="D767" s="1">
        <f t="shared" si="11"/>
        <v>8</v>
      </c>
    </row>
    <row r="768" spans="1:4" x14ac:dyDescent="0.35">
      <c r="A768" s="1">
        <v>44974</v>
      </c>
      <c r="B768" s="2">
        <v>46252</v>
      </c>
      <c r="C768" s="1" t="s">
        <v>3</v>
      </c>
      <c r="D768" s="1">
        <f t="shared" si="11"/>
        <v>8</v>
      </c>
    </row>
    <row r="769" spans="1:4" x14ac:dyDescent="0.35">
      <c r="A769" s="1">
        <v>44972</v>
      </c>
      <c r="B769" s="2">
        <v>46252</v>
      </c>
      <c r="C769" s="1" t="s">
        <v>24</v>
      </c>
      <c r="D769" s="1">
        <f t="shared" si="11"/>
        <v>8</v>
      </c>
    </row>
    <row r="770" spans="1:4" x14ac:dyDescent="0.35">
      <c r="A770" s="1">
        <v>44971</v>
      </c>
      <c r="B770" s="2">
        <v>46252</v>
      </c>
      <c r="C770" s="1" t="s">
        <v>24</v>
      </c>
      <c r="D770" s="1">
        <f t="shared" ref="D770:D833" si="12">MONTH(B770)</f>
        <v>8</v>
      </c>
    </row>
    <row r="771" spans="1:4" x14ac:dyDescent="0.35">
      <c r="A771" s="1">
        <v>44968</v>
      </c>
      <c r="B771" s="2">
        <v>46252</v>
      </c>
      <c r="C771" s="1" t="s">
        <v>24</v>
      </c>
      <c r="D771" s="1">
        <f t="shared" si="12"/>
        <v>8</v>
      </c>
    </row>
    <row r="772" spans="1:4" x14ac:dyDescent="0.35">
      <c r="A772" s="1">
        <v>44967</v>
      </c>
      <c r="B772" s="2">
        <v>46252</v>
      </c>
      <c r="C772" s="1" t="s">
        <v>24</v>
      </c>
      <c r="D772" s="1">
        <f t="shared" si="12"/>
        <v>8</v>
      </c>
    </row>
    <row r="773" spans="1:4" x14ac:dyDescent="0.35">
      <c r="A773" s="1">
        <v>44965</v>
      </c>
      <c r="B773" s="2">
        <v>46252</v>
      </c>
      <c r="C773" s="1" t="s">
        <v>24</v>
      </c>
      <c r="D773" s="1">
        <f t="shared" si="12"/>
        <v>8</v>
      </c>
    </row>
    <row r="774" spans="1:4" x14ac:dyDescent="0.35">
      <c r="A774" s="1">
        <v>44955</v>
      </c>
      <c r="B774" s="2">
        <v>46252</v>
      </c>
      <c r="C774" s="1" t="s">
        <v>7</v>
      </c>
      <c r="D774" s="1">
        <f t="shared" si="12"/>
        <v>8</v>
      </c>
    </row>
    <row r="775" spans="1:4" x14ac:dyDescent="0.35">
      <c r="A775" s="1">
        <v>44954</v>
      </c>
      <c r="B775" s="2">
        <v>46252</v>
      </c>
      <c r="C775" s="1" t="s">
        <v>7</v>
      </c>
      <c r="D775" s="1">
        <f t="shared" si="12"/>
        <v>8</v>
      </c>
    </row>
    <row r="776" spans="1:4" x14ac:dyDescent="0.35">
      <c r="A776" s="1">
        <v>44952</v>
      </c>
      <c r="B776" s="2">
        <v>46252</v>
      </c>
      <c r="C776" s="1" t="s">
        <v>17</v>
      </c>
      <c r="D776" s="1">
        <f t="shared" si="12"/>
        <v>8</v>
      </c>
    </row>
    <row r="777" spans="1:4" x14ac:dyDescent="0.35">
      <c r="A777" s="1">
        <v>44951</v>
      </c>
      <c r="B777" s="2">
        <v>46252</v>
      </c>
      <c r="C777" s="1" t="s">
        <v>17</v>
      </c>
      <c r="D777" s="1">
        <f t="shared" si="12"/>
        <v>8</v>
      </c>
    </row>
    <row r="778" spans="1:4" x14ac:dyDescent="0.35">
      <c r="A778" s="1">
        <v>44941</v>
      </c>
      <c r="B778" s="2">
        <v>46252</v>
      </c>
      <c r="C778" s="1" t="s">
        <v>8</v>
      </c>
      <c r="D778" s="1">
        <f t="shared" si="12"/>
        <v>8</v>
      </c>
    </row>
    <row r="779" spans="1:4" x14ac:dyDescent="0.35">
      <c r="A779" s="1">
        <v>44940</v>
      </c>
      <c r="B779" s="2">
        <v>46252</v>
      </c>
      <c r="C779" s="1" t="s">
        <v>8</v>
      </c>
      <c r="D779" s="1">
        <f t="shared" si="12"/>
        <v>8</v>
      </c>
    </row>
    <row r="780" spans="1:4" x14ac:dyDescent="0.35">
      <c r="A780" s="1">
        <v>44934</v>
      </c>
      <c r="B780" s="2">
        <v>46252</v>
      </c>
      <c r="C780" s="1" t="s">
        <v>3</v>
      </c>
      <c r="D780" s="1">
        <f t="shared" si="12"/>
        <v>8</v>
      </c>
    </row>
    <row r="781" spans="1:4" x14ac:dyDescent="0.35">
      <c r="A781" s="1">
        <v>45038</v>
      </c>
      <c r="B781" s="2">
        <v>46253</v>
      </c>
      <c r="C781" s="1" t="s">
        <v>5</v>
      </c>
      <c r="D781" s="1">
        <f t="shared" si="12"/>
        <v>8</v>
      </c>
    </row>
    <row r="782" spans="1:4" x14ac:dyDescent="0.35">
      <c r="A782" s="1">
        <v>45037</v>
      </c>
      <c r="B782" s="2">
        <v>46253</v>
      </c>
      <c r="C782" s="1" t="s">
        <v>5</v>
      </c>
      <c r="D782" s="1">
        <f t="shared" si="12"/>
        <v>8</v>
      </c>
    </row>
    <row r="783" spans="1:4" x14ac:dyDescent="0.35">
      <c r="A783" s="1">
        <v>45034</v>
      </c>
      <c r="B783" s="2">
        <v>46253</v>
      </c>
      <c r="C783" s="1" t="s">
        <v>7</v>
      </c>
      <c r="D783" s="1">
        <f t="shared" si="12"/>
        <v>8</v>
      </c>
    </row>
    <row r="784" spans="1:4" x14ac:dyDescent="0.35">
      <c r="A784" s="1">
        <v>45022</v>
      </c>
      <c r="B784" s="2">
        <v>46253</v>
      </c>
      <c r="C784" s="1" t="s">
        <v>17</v>
      </c>
      <c r="D784" s="1">
        <f t="shared" si="12"/>
        <v>8</v>
      </c>
    </row>
    <row r="785" spans="1:4" x14ac:dyDescent="0.35">
      <c r="A785" s="1">
        <v>45021</v>
      </c>
      <c r="B785" s="2">
        <v>46253</v>
      </c>
      <c r="C785" s="1" t="s">
        <v>17</v>
      </c>
      <c r="D785" s="1">
        <f t="shared" si="12"/>
        <v>8</v>
      </c>
    </row>
    <row r="786" spans="1:4" x14ac:dyDescent="0.35">
      <c r="A786" s="1">
        <v>45020</v>
      </c>
      <c r="B786" s="2">
        <v>46253</v>
      </c>
      <c r="C786" s="1" t="s">
        <v>5</v>
      </c>
      <c r="D786" s="1">
        <f t="shared" si="12"/>
        <v>8</v>
      </c>
    </row>
    <row r="787" spans="1:4" x14ac:dyDescent="0.35">
      <c r="A787" s="1">
        <v>45019</v>
      </c>
      <c r="B787" s="2">
        <v>46253</v>
      </c>
      <c r="C787" s="1" t="s">
        <v>5</v>
      </c>
      <c r="D787" s="1">
        <f t="shared" si="12"/>
        <v>8</v>
      </c>
    </row>
    <row r="788" spans="1:4" x14ac:dyDescent="0.35">
      <c r="A788" s="1">
        <v>45018</v>
      </c>
      <c r="B788" s="2">
        <v>46253</v>
      </c>
      <c r="C788" s="1" t="s">
        <v>5</v>
      </c>
      <c r="D788" s="1">
        <f t="shared" si="12"/>
        <v>8</v>
      </c>
    </row>
    <row r="789" spans="1:4" x14ac:dyDescent="0.35">
      <c r="A789" s="1">
        <v>45017</v>
      </c>
      <c r="B789" s="2">
        <v>46253</v>
      </c>
      <c r="C789" s="1" t="s">
        <v>5</v>
      </c>
      <c r="D789" s="1">
        <f t="shared" si="12"/>
        <v>8</v>
      </c>
    </row>
    <row r="790" spans="1:4" x14ac:dyDescent="0.35">
      <c r="A790" s="1">
        <v>45015</v>
      </c>
      <c r="B790" s="2">
        <v>46253</v>
      </c>
      <c r="C790" s="1" t="s">
        <v>3</v>
      </c>
      <c r="D790" s="1">
        <f t="shared" si="12"/>
        <v>8</v>
      </c>
    </row>
    <row r="791" spans="1:4" x14ac:dyDescent="0.35">
      <c r="A791" s="1">
        <v>45013</v>
      </c>
      <c r="B791" s="2">
        <v>46253</v>
      </c>
      <c r="C791" s="1" t="s">
        <v>3</v>
      </c>
      <c r="D791" s="1">
        <f t="shared" si="12"/>
        <v>8</v>
      </c>
    </row>
    <row r="792" spans="1:4" x14ac:dyDescent="0.35">
      <c r="A792" s="1">
        <v>45011</v>
      </c>
      <c r="B792" s="2">
        <v>46253</v>
      </c>
      <c r="C792" s="1" t="s">
        <v>3</v>
      </c>
      <c r="D792" s="1">
        <f t="shared" si="12"/>
        <v>8</v>
      </c>
    </row>
    <row r="793" spans="1:4" x14ac:dyDescent="0.35">
      <c r="A793" s="1">
        <v>45009</v>
      </c>
      <c r="B793" s="2">
        <v>46253</v>
      </c>
      <c r="C793" s="1" t="s">
        <v>3</v>
      </c>
      <c r="D793" s="1">
        <f t="shared" si="12"/>
        <v>8</v>
      </c>
    </row>
    <row r="794" spans="1:4" x14ac:dyDescent="0.35">
      <c r="A794" s="1">
        <v>45002</v>
      </c>
      <c r="B794" s="2">
        <v>46253</v>
      </c>
      <c r="C794" s="1" t="s">
        <v>8</v>
      </c>
      <c r="D794" s="1">
        <f t="shared" si="12"/>
        <v>8</v>
      </c>
    </row>
    <row r="795" spans="1:4" x14ac:dyDescent="0.35">
      <c r="A795" s="1">
        <v>45001</v>
      </c>
      <c r="B795" s="2">
        <v>46253</v>
      </c>
      <c r="C795" s="1" t="s">
        <v>8</v>
      </c>
      <c r="D795" s="1">
        <f t="shared" si="12"/>
        <v>8</v>
      </c>
    </row>
    <row r="796" spans="1:4" x14ac:dyDescent="0.35">
      <c r="A796" s="1">
        <v>45047</v>
      </c>
      <c r="B796" s="2">
        <v>46253</v>
      </c>
      <c r="C796" s="1" t="s">
        <v>10</v>
      </c>
      <c r="D796" s="1">
        <f t="shared" si="12"/>
        <v>8</v>
      </c>
    </row>
    <row r="797" spans="1:4" x14ac:dyDescent="0.35">
      <c r="A797" s="1">
        <v>45046</v>
      </c>
      <c r="B797" s="2">
        <v>46253</v>
      </c>
      <c r="C797" s="1" t="s">
        <v>10</v>
      </c>
      <c r="D797" s="1">
        <f t="shared" si="12"/>
        <v>8</v>
      </c>
    </row>
    <row r="798" spans="1:4" x14ac:dyDescent="0.35">
      <c r="A798" s="1">
        <v>45045</v>
      </c>
      <c r="B798" s="2">
        <v>46253</v>
      </c>
      <c r="C798" s="1" t="s">
        <v>3</v>
      </c>
      <c r="D798" s="1">
        <f t="shared" si="12"/>
        <v>8</v>
      </c>
    </row>
    <row r="799" spans="1:4" x14ac:dyDescent="0.35">
      <c r="A799" s="1">
        <v>45044</v>
      </c>
      <c r="B799" s="2">
        <v>46253</v>
      </c>
      <c r="C799" s="1" t="s">
        <v>3</v>
      </c>
      <c r="D799" s="1">
        <f t="shared" si="12"/>
        <v>8</v>
      </c>
    </row>
    <row r="800" spans="1:4" x14ac:dyDescent="0.35">
      <c r="A800" s="1">
        <v>45090</v>
      </c>
      <c r="B800" s="2">
        <v>46254</v>
      </c>
      <c r="C800" s="1" t="s">
        <v>10</v>
      </c>
      <c r="D800" s="1">
        <f t="shared" si="12"/>
        <v>8</v>
      </c>
    </row>
    <row r="801" spans="1:4" x14ac:dyDescent="0.35">
      <c r="A801" s="1">
        <v>45089</v>
      </c>
      <c r="B801" s="2">
        <v>46254</v>
      </c>
      <c r="C801" s="1" t="s">
        <v>10</v>
      </c>
      <c r="D801" s="1">
        <f t="shared" si="12"/>
        <v>8</v>
      </c>
    </row>
    <row r="802" spans="1:4" x14ac:dyDescent="0.35">
      <c r="A802" s="1">
        <v>45088</v>
      </c>
      <c r="B802" s="2">
        <v>46254</v>
      </c>
      <c r="C802" s="1" t="s">
        <v>9</v>
      </c>
      <c r="D802" s="1">
        <f t="shared" si="12"/>
        <v>8</v>
      </c>
    </row>
    <row r="803" spans="1:4" x14ac:dyDescent="0.35">
      <c r="A803" s="1">
        <v>45087</v>
      </c>
      <c r="B803" s="2">
        <v>46254</v>
      </c>
      <c r="C803" s="1" t="s">
        <v>9</v>
      </c>
      <c r="D803" s="1">
        <f t="shared" si="12"/>
        <v>8</v>
      </c>
    </row>
    <row r="804" spans="1:4" x14ac:dyDescent="0.35">
      <c r="A804" s="1">
        <v>45086</v>
      </c>
      <c r="B804" s="2">
        <v>46254</v>
      </c>
      <c r="C804" s="1" t="s">
        <v>9</v>
      </c>
      <c r="D804" s="1">
        <f t="shared" si="12"/>
        <v>8</v>
      </c>
    </row>
    <row r="805" spans="1:4" x14ac:dyDescent="0.35">
      <c r="A805" s="1">
        <v>45083</v>
      </c>
      <c r="B805" s="2">
        <v>46254</v>
      </c>
      <c r="C805" s="1" t="s">
        <v>9</v>
      </c>
      <c r="D805" s="1">
        <f t="shared" si="12"/>
        <v>8</v>
      </c>
    </row>
    <row r="806" spans="1:4" x14ac:dyDescent="0.35">
      <c r="A806" s="1">
        <v>45081</v>
      </c>
      <c r="B806" s="2">
        <v>46254</v>
      </c>
      <c r="C806" s="1" t="s">
        <v>9</v>
      </c>
      <c r="D806" s="1">
        <f t="shared" si="12"/>
        <v>8</v>
      </c>
    </row>
    <row r="807" spans="1:4" x14ac:dyDescent="0.35">
      <c r="A807" s="1">
        <v>45079</v>
      </c>
      <c r="B807" s="2">
        <v>46254</v>
      </c>
      <c r="C807" s="1" t="s">
        <v>9</v>
      </c>
      <c r="D807" s="1">
        <f t="shared" si="12"/>
        <v>8</v>
      </c>
    </row>
    <row r="808" spans="1:4" x14ac:dyDescent="0.35">
      <c r="A808" s="1">
        <v>45077</v>
      </c>
      <c r="B808" s="2">
        <v>46254</v>
      </c>
      <c r="C808" s="1" t="s">
        <v>9</v>
      </c>
      <c r="D808" s="1">
        <f t="shared" si="12"/>
        <v>8</v>
      </c>
    </row>
    <row r="809" spans="1:4" x14ac:dyDescent="0.35">
      <c r="A809" s="1">
        <v>45076</v>
      </c>
      <c r="B809" s="2">
        <v>46254</v>
      </c>
      <c r="C809" s="1" t="s">
        <v>9</v>
      </c>
      <c r="D809" s="1">
        <f t="shared" si="12"/>
        <v>8</v>
      </c>
    </row>
    <row r="810" spans="1:4" x14ac:dyDescent="0.35">
      <c r="A810" s="1">
        <v>45075</v>
      </c>
      <c r="B810" s="2">
        <v>46254</v>
      </c>
      <c r="C810" s="1" t="s">
        <v>3</v>
      </c>
      <c r="D810" s="1">
        <f t="shared" si="12"/>
        <v>8</v>
      </c>
    </row>
    <row r="811" spans="1:4" x14ac:dyDescent="0.35">
      <c r="A811" s="1">
        <v>45074</v>
      </c>
      <c r="B811" s="2">
        <v>46254</v>
      </c>
      <c r="C811" s="1" t="s">
        <v>3</v>
      </c>
      <c r="D811" s="1">
        <f t="shared" si="12"/>
        <v>8</v>
      </c>
    </row>
    <row r="812" spans="1:4" x14ac:dyDescent="0.35">
      <c r="A812" s="1">
        <v>45073</v>
      </c>
      <c r="B812" s="2">
        <v>46254</v>
      </c>
      <c r="C812" s="1" t="s">
        <v>3</v>
      </c>
      <c r="D812" s="1">
        <f t="shared" si="12"/>
        <v>8</v>
      </c>
    </row>
    <row r="813" spans="1:4" x14ac:dyDescent="0.35">
      <c r="A813" s="1">
        <v>45072</v>
      </c>
      <c r="B813" s="2">
        <v>46254</v>
      </c>
      <c r="C813" s="1" t="s">
        <v>3</v>
      </c>
      <c r="D813" s="1">
        <f t="shared" si="12"/>
        <v>8</v>
      </c>
    </row>
    <row r="814" spans="1:4" x14ac:dyDescent="0.35">
      <c r="A814" s="1">
        <v>45063</v>
      </c>
      <c r="B814" s="2">
        <v>46254</v>
      </c>
      <c r="C814" s="1" t="s">
        <v>3</v>
      </c>
      <c r="D814" s="1">
        <f t="shared" si="12"/>
        <v>8</v>
      </c>
    </row>
    <row r="815" spans="1:4" x14ac:dyDescent="0.35">
      <c r="A815" s="1">
        <v>45061</v>
      </c>
      <c r="B815" s="2">
        <v>46254</v>
      </c>
      <c r="C815" s="1" t="s">
        <v>8</v>
      </c>
      <c r="D815" s="1">
        <f t="shared" si="12"/>
        <v>8</v>
      </c>
    </row>
    <row r="816" spans="1:4" x14ac:dyDescent="0.35">
      <c r="A816" s="1">
        <v>45056</v>
      </c>
      <c r="B816" s="2">
        <v>46254</v>
      </c>
      <c r="C816" s="1" t="s">
        <v>24</v>
      </c>
      <c r="D816" s="1">
        <f t="shared" si="12"/>
        <v>8</v>
      </c>
    </row>
    <row r="817" spans="1:4" x14ac:dyDescent="0.35">
      <c r="A817" s="1">
        <v>45055</v>
      </c>
      <c r="B817" s="2">
        <v>46254</v>
      </c>
      <c r="C817" s="1" t="s">
        <v>24</v>
      </c>
      <c r="D817" s="1">
        <f t="shared" si="12"/>
        <v>8</v>
      </c>
    </row>
    <row r="818" spans="1:4" x14ac:dyDescent="0.35">
      <c r="A818" s="1">
        <v>45054</v>
      </c>
      <c r="B818" s="2">
        <v>46254</v>
      </c>
      <c r="C818" s="1" t="s">
        <v>24</v>
      </c>
      <c r="D818" s="1">
        <f t="shared" si="12"/>
        <v>8</v>
      </c>
    </row>
    <row r="819" spans="1:4" x14ac:dyDescent="0.35">
      <c r="A819" s="1">
        <v>45119</v>
      </c>
      <c r="B819" s="2">
        <v>46255</v>
      </c>
      <c r="C819" s="1" t="s">
        <v>26</v>
      </c>
      <c r="D819" s="1">
        <f t="shared" si="12"/>
        <v>8</v>
      </c>
    </row>
    <row r="820" spans="1:4" x14ac:dyDescent="0.35">
      <c r="A820" s="1">
        <v>45152</v>
      </c>
      <c r="B820" s="2">
        <v>46255</v>
      </c>
      <c r="C820" s="1" t="s">
        <v>10</v>
      </c>
      <c r="D820" s="1">
        <f t="shared" si="12"/>
        <v>8</v>
      </c>
    </row>
    <row r="821" spans="1:4" x14ac:dyDescent="0.35">
      <c r="A821" s="1">
        <v>45151</v>
      </c>
      <c r="B821" s="2">
        <v>46255</v>
      </c>
      <c r="C821" s="1" t="s">
        <v>10</v>
      </c>
      <c r="D821" s="1">
        <f t="shared" si="12"/>
        <v>8</v>
      </c>
    </row>
    <row r="822" spans="1:4" x14ac:dyDescent="0.35">
      <c r="A822" s="1">
        <v>45150</v>
      </c>
      <c r="B822" s="2">
        <v>46255</v>
      </c>
      <c r="C822" s="1" t="s">
        <v>3</v>
      </c>
      <c r="D822" s="1">
        <f t="shared" si="12"/>
        <v>8</v>
      </c>
    </row>
    <row r="823" spans="1:4" x14ac:dyDescent="0.35">
      <c r="A823" s="1">
        <v>45149</v>
      </c>
      <c r="B823" s="2">
        <v>46255</v>
      </c>
      <c r="C823" s="1" t="s">
        <v>3</v>
      </c>
      <c r="D823" s="1">
        <f t="shared" si="12"/>
        <v>8</v>
      </c>
    </row>
    <row r="824" spans="1:4" x14ac:dyDescent="0.35">
      <c r="A824" s="1">
        <v>45148</v>
      </c>
      <c r="B824" s="2">
        <v>46255</v>
      </c>
      <c r="C824" s="1" t="s">
        <v>3</v>
      </c>
      <c r="D824" s="1">
        <f t="shared" si="12"/>
        <v>8</v>
      </c>
    </row>
    <row r="825" spans="1:4" x14ac:dyDescent="0.35">
      <c r="A825" s="1">
        <v>45145</v>
      </c>
      <c r="B825" s="2">
        <v>46255</v>
      </c>
      <c r="C825" s="1" t="s">
        <v>9</v>
      </c>
      <c r="D825" s="1">
        <f t="shared" si="12"/>
        <v>8</v>
      </c>
    </row>
    <row r="826" spans="1:4" x14ac:dyDescent="0.35">
      <c r="A826" s="1">
        <v>45144</v>
      </c>
      <c r="B826" s="2">
        <v>46255</v>
      </c>
      <c r="C826" s="1" t="s">
        <v>9</v>
      </c>
      <c r="D826" s="1">
        <f t="shared" si="12"/>
        <v>8</v>
      </c>
    </row>
    <row r="827" spans="1:4" x14ac:dyDescent="0.35">
      <c r="A827" s="1">
        <v>45136</v>
      </c>
      <c r="B827" s="2">
        <v>46255</v>
      </c>
      <c r="C827" s="1" t="s">
        <v>17</v>
      </c>
      <c r="D827" s="1">
        <f t="shared" si="12"/>
        <v>8</v>
      </c>
    </row>
    <row r="828" spans="1:4" x14ac:dyDescent="0.35">
      <c r="A828" s="1">
        <v>45135</v>
      </c>
      <c r="B828" s="2">
        <v>46255</v>
      </c>
      <c r="C828" s="1" t="s">
        <v>17</v>
      </c>
      <c r="D828" s="1">
        <f t="shared" si="12"/>
        <v>8</v>
      </c>
    </row>
    <row r="829" spans="1:4" x14ac:dyDescent="0.35">
      <c r="A829" s="1">
        <v>45112</v>
      </c>
      <c r="B829" s="2">
        <v>46255</v>
      </c>
      <c r="C829" s="1" t="s">
        <v>7</v>
      </c>
      <c r="D829" s="1">
        <f t="shared" si="12"/>
        <v>8</v>
      </c>
    </row>
    <row r="830" spans="1:4" x14ac:dyDescent="0.35">
      <c r="A830" s="1">
        <v>45111</v>
      </c>
      <c r="B830" s="2">
        <v>46255</v>
      </c>
      <c r="C830" s="1" t="s">
        <v>10</v>
      </c>
      <c r="D830" s="1">
        <f t="shared" si="12"/>
        <v>8</v>
      </c>
    </row>
    <row r="831" spans="1:4" x14ac:dyDescent="0.35">
      <c r="A831" s="1">
        <v>45110</v>
      </c>
      <c r="B831" s="2">
        <v>46255</v>
      </c>
      <c r="C831" s="1" t="s">
        <v>8</v>
      </c>
      <c r="D831" s="1">
        <f t="shared" si="12"/>
        <v>8</v>
      </c>
    </row>
    <row r="832" spans="1:4" x14ac:dyDescent="0.35">
      <c r="A832" s="1">
        <v>45109</v>
      </c>
      <c r="B832" s="2">
        <v>46255</v>
      </c>
      <c r="C832" s="1" t="s">
        <v>8</v>
      </c>
      <c r="D832" s="1">
        <f t="shared" si="12"/>
        <v>8</v>
      </c>
    </row>
    <row r="833" spans="1:4" x14ac:dyDescent="0.35">
      <c r="A833" s="1">
        <v>45098</v>
      </c>
      <c r="B833" s="2">
        <v>46255</v>
      </c>
      <c r="C833" s="1" t="s">
        <v>19</v>
      </c>
      <c r="D833" s="1">
        <f t="shared" si="12"/>
        <v>8</v>
      </c>
    </row>
    <row r="834" spans="1:4" x14ac:dyDescent="0.35">
      <c r="A834" s="1">
        <v>45097</v>
      </c>
      <c r="B834" s="2">
        <v>46255</v>
      </c>
      <c r="C834" s="1" t="s">
        <v>19</v>
      </c>
      <c r="D834" s="1">
        <f t="shared" ref="D834:D897" si="13">MONTH(B834)</f>
        <v>8</v>
      </c>
    </row>
    <row r="835" spans="1:4" x14ac:dyDescent="0.35">
      <c r="A835" s="1">
        <v>45095</v>
      </c>
      <c r="B835" s="2">
        <v>46255</v>
      </c>
      <c r="C835" s="1" t="s">
        <v>19</v>
      </c>
      <c r="D835" s="1">
        <f t="shared" si="13"/>
        <v>8</v>
      </c>
    </row>
    <row r="836" spans="1:4" x14ac:dyDescent="0.35">
      <c r="A836" s="1">
        <v>45094</v>
      </c>
      <c r="B836" s="2">
        <v>46255</v>
      </c>
      <c r="C836" s="1" t="s">
        <v>19</v>
      </c>
      <c r="D836" s="1">
        <f t="shared" si="13"/>
        <v>8</v>
      </c>
    </row>
    <row r="837" spans="1:4" x14ac:dyDescent="0.35">
      <c r="A837" s="1">
        <v>45093</v>
      </c>
      <c r="B837" s="2">
        <v>46255</v>
      </c>
      <c r="C837" s="1" t="s">
        <v>19</v>
      </c>
      <c r="D837" s="1">
        <f t="shared" si="13"/>
        <v>8</v>
      </c>
    </row>
    <row r="838" spans="1:4" x14ac:dyDescent="0.35">
      <c r="A838" s="1">
        <v>45092</v>
      </c>
      <c r="B838" s="2">
        <v>46255</v>
      </c>
      <c r="C838" s="1" t="s">
        <v>19</v>
      </c>
      <c r="D838" s="1">
        <f t="shared" si="13"/>
        <v>8</v>
      </c>
    </row>
    <row r="839" spans="1:4" x14ac:dyDescent="0.35">
      <c r="A839" s="1">
        <v>45091</v>
      </c>
      <c r="B839" s="2">
        <v>46255</v>
      </c>
      <c r="C839" s="1" t="s">
        <v>19</v>
      </c>
      <c r="D839" s="1">
        <f t="shared" si="13"/>
        <v>8</v>
      </c>
    </row>
    <row r="840" spans="1:4" x14ac:dyDescent="0.35">
      <c r="A840" s="1">
        <v>45221</v>
      </c>
      <c r="B840" s="2">
        <v>46256</v>
      </c>
      <c r="C840" s="1" t="s">
        <v>8</v>
      </c>
      <c r="D840" s="1">
        <f t="shared" si="13"/>
        <v>8</v>
      </c>
    </row>
    <row r="841" spans="1:4" x14ac:dyDescent="0.35">
      <c r="A841" s="1">
        <v>45220</v>
      </c>
      <c r="B841" s="2">
        <v>46256</v>
      </c>
      <c r="C841" s="1" t="s">
        <v>8</v>
      </c>
      <c r="D841" s="1">
        <f t="shared" si="13"/>
        <v>8</v>
      </c>
    </row>
    <row r="842" spans="1:4" x14ac:dyDescent="0.35">
      <c r="A842" s="1">
        <v>45165</v>
      </c>
      <c r="B842" s="2">
        <v>46256</v>
      </c>
      <c r="C842" s="1" t="s">
        <v>10</v>
      </c>
      <c r="D842" s="1">
        <f t="shared" si="13"/>
        <v>8</v>
      </c>
    </row>
    <row r="843" spans="1:4" x14ac:dyDescent="0.35">
      <c r="A843" s="1">
        <v>45164</v>
      </c>
      <c r="B843" s="2">
        <v>46256</v>
      </c>
      <c r="C843" s="1" t="s">
        <v>10</v>
      </c>
      <c r="D843" s="1">
        <f t="shared" si="13"/>
        <v>8</v>
      </c>
    </row>
    <row r="844" spans="1:4" x14ac:dyDescent="0.35">
      <c r="A844" s="1">
        <v>45162</v>
      </c>
      <c r="B844" s="2">
        <v>46256</v>
      </c>
      <c r="C844" s="1" t="s">
        <v>8</v>
      </c>
      <c r="D844" s="1">
        <f t="shared" si="13"/>
        <v>8</v>
      </c>
    </row>
    <row r="845" spans="1:4" x14ac:dyDescent="0.35">
      <c r="A845" s="1">
        <v>45161</v>
      </c>
      <c r="B845" s="2">
        <v>46256</v>
      </c>
      <c r="C845" s="1" t="s">
        <v>8</v>
      </c>
      <c r="D845" s="1">
        <f t="shared" si="13"/>
        <v>8</v>
      </c>
    </row>
    <row r="846" spans="1:4" x14ac:dyDescent="0.35">
      <c r="A846" s="1">
        <v>45160</v>
      </c>
      <c r="B846" s="2">
        <v>46256</v>
      </c>
      <c r="C846" s="1" t="s">
        <v>5</v>
      </c>
      <c r="D846" s="1">
        <f t="shared" si="13"/>
        <v>8</v>
      </c>
    </row>
    <row r="847" spans="1:4" x14ac:dyDescent="0.35">
      <c r="A847" s="1">
        <v>45159</v>
      </c>
      <c r="B847" s="2">
        <v>46256</v>
      </c>
      <c r="C847" s="1" t="s">
        <v>5</v>
      </c>
      <c r="D847" s="1">
        <f t="shared" si="13"/>
        <v>8</v>
      </c>
    </row>
    <row r="848" spans="1:4" x14ac:dyDescent="0.35">
      <c r="A848" s="1">
        <v>45158</v>
      </c>
      <c r="B848" s="2">
        <v>46256</v>
      </c>
      <c r="C848" s="1" t="s">
        <v>5</v>
      </c>
      <c r="D848" s="1">
        <f t="shared" si="13"/>
        <v>8</v>
      </c>
    </row>
    <row r="849" spans="1:4" x14ac:dyDescent="0.35">
      <c r="A849" s="1">
        <v>45157</v>
      </c>
      <c r="B849" s="2">
        <v>46256</v>
      </c>
      <c r="C849" s="1" t="s">
        <v>5</v>
      </c>
      <c r="D849" s="1">
        <f t="shared" si="13"/>
        <v>8</v>
      </c>
    </row>
    <row r="850" spans="1:4" x14ac:dyDescent="0.35">
      <c r="A850" s="1">
        <v>45156</v>
      </c>
      <c r="B850" s="2">
        <v>46256</v>
      </c>
      <c r="C850" s="1" t="s">
        <v>5</v>
      </c>
      <c r="D850" s="1">
        <f t="shared" si="13"/>
        <v>8</v>
      </c>
    </row>
    <row r="851" spans="1:4" x14ac:dyDescent="0.35">
      <c r="A851" s="1">
        <v>45155</v>
      </c>
      <c r="B851" s="2">
        <v>46256</v>
      </c>
      <c r="C851" s="1" t="s">
        <v>5</v>
      </c>
      <c r="D851" s="1">
        <f t="shared" si="13"/>
        <v>8</v>
      </c>
    </row>
    <row r="852" spans="1:4" x14ac:dyDescent="0.35">
      <c r="A852" s="1">
        <v>45154</v>
      </c>
      <c r="B852" s="2">
        <v>46256</v>
      </c>
      <c r="C852" s="1" t="s">
        <v>5</v>
      </c>
      <c r="D852" s="1">
        <f t="shared" si="13"/>
        <v>8</v>
      </c>
    </row>
    <row r="853" spans="1:4" x14ac:dyDescent="0.35">
      <c r="A853" s="1">
        <v>45153</v>
      </c>
      <c r="B853" s="2">
        <v>46256</v>
      </c>
      <c r="C853" s="1" t="s">
        <v>5</v>
      </c>
      <c r="D853" s="1">
        <f t="shared" si="13"/>
        <v>8</v>
      </c>
    </row>
    <row r="854" spans="1:4" x14ac:dyDescent="0.35">
      <c r="A854" s="1">
        <v>45219</v>
      </c>
      <c r="B854" s="2">
        <v>46257</v>
      </c>
      <c r="C854" s="1" t="s">
        <v>17</v>
      </c>
      <c r="D854" s="1">
        <f t="shared" si="13"/>
        <v>8</v>
      </c>
    </row>
    <row r="855" spans="1:4" x14ac:dyDescent="0.35">
      <c r="A855" s="1">
        <v>45218</v>
      </c>
      <c r="B855" s="2">
        <v>46257</v>
      </c>
      <c r="C855" s="1" t="s">
        <v>17</v>
      </c>
      <c r="D855" s="1">
        <f t="shared" si="13"/>
        <v>8</v>
      </c>
    </row>
    <row r="856" spans="1:4" x14ac:dyDescent="0.35">
      <c r="A856" s="1">
        <v>45271</v>
      </c>
      <c r="B856" s="2">
        <v>46258</v>
      </c>
      <c r="C856" s="1" t="s">
        <v>10</v>
      </c>
      <c r="D856" s="1">
        <f t="shared" si="13"/>
        <v>8</v>
      </c>
    </row>
    <row r="857" spans="1:4" x14ac:dyDescent="0.35">
      <c r="A857" s="1">
        <v>45270</v>
      </c>
      <c r="B857" s="2">
        <v>46258</v>
      </c>
      <c r="C857" s="1" t="s">
        <v>10</v>
      </c>
      <c r="D857" s="1">
        <f t="shared" si="13"/>
        <v>8</v>
      </c>
    </row>
    <row r="858" spans="1:4" x14ac:dyDescent="0.35">
      <c r="A858" s="1">
        <v>45269</v>
      </c>
      <c r="B858" s="2">
        <v>46258</v>
      </c>
      <c r="C858" s="1" t="s">
        <v>11</v>
      </c>
      <c r="D858" s="1">
        <f t="shared" si="13"/>
        <v>8</v>
      </c>
    </row>
    <row r="859" spans="1:4" x14ac:dyDescent="0.35">
      <c r="A859" s="1">
        <v>45268</v>
      </c>
      <c r="B859" s="2">
        <v>46258</v>
      </c>
      <c r="C859" s="1" t="s">
        <v>3</v>
      </c>
      <c r="D859" s="1">
        <f t="shared" si="13"/>
        <v>8</v>
      </c>
    </row>
    <row r="860" spans="1:4" x14ac:dyDescent="0.35">
      <c r="A860" s="1">
        <v>45267</v>
      </c>
      <c r="B860" s="2">
        <v>46258</v>
      </c>
      <c r="C860" s="1" t="s">
        <v>3</v>
      </c>
      <c r="D860" s="1">
        <f t="shared" si="13"/>
        <v>8</v>
      </c>
    </row>
    <row r="861" spans="1:4" x14ac:dyDescent="0.35">
      <c r="A861" s="1">
        <v>45266</v>
      </c>
      <c r="B861" s="2">
        <v>46258</v>
      </c>
      <c r="C861" s="1" t="s">
        <v>3</v>
      </c>
      <c r="D861" s="1">
        <f t="shared" si="13"/>
        <v>8</v>
      </c>
    </row>
    <row r="862" spans="1:4" x14ac:dyDescent="0.35">
      <c r="A862" s="1">
        <v>45265</v>
      </c>
      <c r="B862" s="2">
        <v>46258</v>
      </c>
      <c r="C862" s="1" t="s">
        <v>3</v>
      </c>
      <c r="D862" s="1">
        <f t="shared" si="13"/>
        <v>8</v>
      </c>
    </row>
    <row r="863" spans="1:4" x14ac:dyDescent="0.35">
      <c r="A863" s="1">
        <v>45264</v>
      </c>
      <c r="B863" s="2">
        <v>46258</v>
      </c>
      <c r="C863" s="1" t="s">
        <v>3</v>
      </c>
      <c r="D863" s="1">
        <f t="shared" si="13"/>
        <v>8</v>
      </c>
    </row>
    <row r="864" spans="1:4" x14ac:dyDescent="0.35">
      <c r="A864" s="1">
        <v>45263</v>
      </c>
      <c r="B864" s="2">
        <v>46258</v>
      </c>
      <c r="C864" s="1" t="s">
        <v>3</v>
      </c>
      <c r="D864" s="1">
        <f t="shared" si="13"/>
        <v>8</v>
      </c>
    </row>
    <row r="865" spans="1:4" x14ac:dyDescent="0.35">
      <c r="A865" s="1">
        <v>45262</v>
      </c>
      <c r="B865" s="2">
        <v>46258</v>
      </c>
      <c r="C865" s="1" t="s">
        <v>3</v>
      </c>
      <c r="D865" s="1">
        <f t="shared" si="13"/>
        <v>8</v>
      </c>
    </row>
    <row r="866" spans="1:4" x14ac:dyDescent="0.35">
      <c r="A866" s="1">
        <v>45261</v>
      </c>
      <c r="B866" s="2">
        <v>46258</v>
      </c>
      <c r="C866" s="1" t="s">
        <v>3</v>
      </c>
      <c r="D866" s="1">
        <f t="shared" si="13"/>
        <v>8</v>
      </c>
    </row>
    <row r="867" spans="1:4" x14ac:dyDescent="0.35">
      <c r="A867" s="1">
        <v>45255</v>
      </c>
      <c r="B867" s="2">
        <v>46258</v>
      </c>
      <c r="C867" s="1" t="s">
        <v>9</v>
      </c>
      <c r="D867" s="1">
        <f t="shared" si="13"/>
        <v>8</v>
      </c>
    </row>
    <row r="868" spans="1:4" x14ac:dyDescent="0.35">
      <c r="A868" s="1">
        <v>45254</v>
      </c>
      <c r="B868" s="2">
        <v>46258</v>
      </c>
      <c r="C868" s="1" t="s">
        <v>17</v>
      </c>
      <c r="D868" s="1">
        <f t="shared" si="13"/>
        <v>8</v>
      </c>
    </row>
    <row r="869" spans="1:4" x14ac:dyDescent="0.35">
      <c r="A869" s="1">
        <v>45253</v>
      </c>
      <c r="B869" s="2">
        <v>46258</v>
      </c>
      <c r="C869" s="1" t="s">
        <v>17</v>
      </c>
      <c r="D869" s="1">
        <f t="shared" si="13"/>
        <v>8</v>
      </c>
    </row>
    <row r="870" spans="1:4" x14ac:dyDescent="0.35">
      <c r="A870" s="1">
        <v>45252</v>
      </c>
      <c r="B870" s="2">
        <v>46258</v>
      </c>
      <c r="C870" s="1" t="s">
        <v>23</v>
      </c>
      <c r="D870" s="1">
        <f t="shared" si="13"/>
        <v>8</v>
      </c>
    </row>
    <row r="871" spans="1:4" x14ac:dyDescent="0.35">
      <c r="A871" s="1">
        <v>45251</v>
      </c>
      <c r="B871" s="2">
        <v>46258</v>
      </c>
      <c r="C871" s="1" t="s">
        <v>23</v>
      </c>
      <c r="D871" s="1">
        <f t="shared" si="13"/>
        <v>8</v>
      </c>
    </row>
    <row r="872" spans="1:4" x14ac:dyDescent="0.35">
      <c r="A872" s="1">
        <v>45244</v>
      </c>
      <c r="B872" s="2">
        <v>46258</v>
      </c>
      <c r="C872" s="1" t="s">
        <v>6</v>
      </c>
      <c r="D872" s="1">
        <f t="shared" si="13"/>
        <v>8</v>
      </c>
    </row>
    <row r="873" spans="1:4" x14ac:dyDescent="0.35">
      <c r="A873" s="1">
        <v>45243</v>
      </c>
      <c r="B873" s="2">
        <v>46258</v>
      </c>
      <c r="C873" s="1" t="s">
        <v>6</v>
      </c>
      <c r="D873" s="1">
        <f t="shared" si="13"/>
        <v>8</v>
      </c>
    </row>
    <row r="874" spans="1:4" x14ac:dyDescent="0.35">
      <c r="A874" s="1">
        <v>45242</v>
      </c>
      <c r="B874" s="2">
        <v>46258</v>
      </c>
      <c r="C874" s="1" t="s">
        <v>6</v>
      </c>
      <c r="D874" s="1">
        <f t="shared" si="13"/>
        <v>8</v>
      </c>
    </row>
    <row r="875" spans="1:4" x14ac:dyDescent="0.35">
      <c r="A875" s="1">
        <v>45240</v>
      </c>
      <c r="B875" s="2">
        <v>46258</v>
      </c>
      <c r="C875" s="1" t="s">
        <v>27</v>
      </c>
      <c r="D875" s="1">
        <f t="shared" si="13"/>
        <v>8</v>
      </c>
    </row>
    <row r="876" spans="1:4" x14ac:dyDescent="0.35">
      <c r="A876" s="1">
        <v>45239</v>
      </c>
      <c r="B876" s="2">
        <v>46258</v>
      </c>
      <c r="C876" s="1" t="s">
        <v>27</v>
      </c>
      <c r="D876" s="1">
        <f t="shared" si="13"/>
        <v>8</v>
      </c>
    </row>
    <row r="877" spans="1:4" x14ac:dyDescent="0.35">
      <c r="A877" s="1">
        <v>45238</v>
      </c>
      <c r="B877" s="2">
        <v>46258</v>
      </c>
      <c r="C877" s="1" t="s">
        <v>27</v>
      </c>
      <c r="D877" s="1">
        <f t="shared" si="13"/>
        <v>8</v>
      </c>
    </row>
    <row r="878" spans="1:4" x14ac:dyDescent="0.35">
      <c r="A878" s="1">
        <v>45236</v>
      </c>
      <c r="B878" s="2">
        <v>46258</v>
      </c>
      <c r="C878" s="1" t="s">
        <v>7</v>
      </c>
      <c r="D878" s="1">
        <f t="shared" si="13"/>
        <v>8</v>
      </c>
    </row>
    <row r="879" spans="1:4" x14ac:dyDescent="0.35">
      <c r="A879" s="1">
        <v>45235</v>
      </c>
      <c r="B879" s="2">
        <v>46258</v>
      </c>
      <c r="C879" s="1" t="s">
        <v>4</v>
      </c>
      <c r="D879" s="1">
        <f t="shared" si="13"/>
        <v>8</v>
      </c>
    </row>
    <row r="880" spans="1:4" x14ac:dyDescent="0.35">
      <c r="A880" s="1">
        <v>45234</v>
      </c>
      <c r="B880" s="2">
        <v>46258</v>
      </c>
      <c r="C880" s="1" t="s">
        <v>9</v>
      </c>
      <c r="D880" s="1">
        <f t="shared" si="13"/>
        <v>8</v>
      </c>
    </row>
    <row r="881" spans="1:4" x14ac:dyDescent="0.35">
      <c r="A881" s="1">
        <v>45233</v>
      </c>
      <c r="B881" s="2">
        <v>46258</v>
      </c>
      <c r="C881" s="1" t="s">
        <v>4</v>
      </c>
      <c r="D881" s="1">
        <f t="shared" si="13"/>
        <v>8</v>
      </c>
    </row>
    <row r="882" spans="1:4" x14ac:dyDescent="0.35">
      <c r="A882" s="1">
        <v>45232</v>
      </c>
      <c r="B882" s="2">
        <v>46258</v>
      </c>
      <c r="C882" s="1" t="s">
        <v>9</v>
      </c>
      <c r="D882" s="1">
        <f t="shared" si="13"/>
        <v>8</v>
      </c>
    </row>
    <row r="883" spans="1:4" x14ac:dyDescent="0.35">
      <c r="A883" s="1">
        <v>45229</v>
      </c>
      <c r="B883" s="2">
        <v>46258</v>
      </c>
      <c r="C883" s="1" t="s">
        <v>9</v>
      </c>
      <c r="D883" s="1">
        <f t="shared" si="13"/>
        <v>8</v>
      </c>
    </row>
    <row r="884" spans="1:4" x14ac:dyDescent="0.35">
      <c r="A884" s="1">
        <v>45228</v>
      </c>
      <c r="B884" s="2">
        <v>46258</v>
      </c>
      <c r="C884" s="1" t="s">
        <v>9</v>
      </c>
      <c r="D884" s="1">
        <f t="shared" si="13"/>
        <v>8</v>
      </c>
    </row>
    <row r="885" spans="1:4" x14ac:dyDescent="0.35">
      <c r="A885" s="1">
        <v>45308</v>
      </c>
      <c r="B885" s="2">
        <v>46259</v>
      </c>
      <c r="C885" s="1" t="s">
        <v>10</v>
      </c>
      <c r="D885" s="1">
        <f t="shared" si="13"/>
        <v>8</v>
      </c>
    </row>
    <row r="886" spans="1:4" x14ac:dyDescent="0.35">
      <c r="A886" s="1">
        <v>45307</v>
      </c>
      <c r="B886" s="2">
        <v>46259</v>
      </c>
      <c r="C886" s="1" t="s">
        <v>10</v>
      </c>
      <c r="D886" s="1">
        <f t="shared" si="13"/>
        <v>8</v>
      </c>
    </row>
    <row r="887" spans="1:4" x14ac:dyDescent="0.35">
      <c r="A887" s="1">
        <v>45306</v>
      </c>
      <c r="B887" s="2">
        <v>46259</v>
      </c>
      <c r="C887" s="1" t="s">
        <v>16</v>
      </c>
      <c r="D887" s="1">
        <f t="shared" si="13"/>
        <v>8</v>
      </c>
    </row>
    <row r="888" spans="1:4" x14ac:dyDescent="0.35">
      <c r="A888" s="1">
        <v>45305</v>
      </c>
      <c r="B888" s="2">
        <v>46259</v>
      </c>
      <c r="C888" s="1" t="s">
        <v>16</v>
      </c>
      <c r="D888" s="1">
        <f t="shared" si="13"/>
        <v>8</v>
      </c>
    </row>
    <row r="889" spans="1:4" x14ac:dyDescent="0.35">
      <c r="A889" s="1">
        <v>45304</v>
      </c>
      <c r="B889" s="2">
        <v>46259</v>
      </c>
      <c r="C889" s="1" t="s">
        <v>9</v>
      </c>
      <c r="D889" s="1">
        <f t="shared" si="13"/>
        <v>8</v>
      </c>
    </row>
    <row r="890" spans="1:4" x14ac:dyDescent="0.35">
      <c r="A890" s="1">
        <v>45303</v>
      </c>
      <c r="B890" s="2">
        <v>46259</v>
      </c>
      <c r="C890" s="1" t="s">
        <v>9</v>
      </c>
      <c r="D890" s="1">
        <f t="shared" si="13"/>
        <v>8</v>
      </c>
    </row>
    <row r="891" spans="1:4" x14ac:dyDescent="0.35">
      <c r="A891" s="1">
        <v>45302</v>
      </c>
      <c r="B891" s="2">
        <v>46259</v>
      </c>
      <c r="C891" s="1" t="s">
        <v>23</v>
      </c>
      <c r="D891" s="1">
        <f t="shared" si="13"/>
        <v>8</v>
      </c>
    </row>
    <row r="892" spans="1:4" x14ac:dyDescent="0.35">
      <c r="A892" s="1">
        <v>45301</v>
      </c>
      <c r="B892" s="2">
        <v>46259</v>
      </c>
      <c r="C892" s="1" t="s">
        <v>23</v>
      </c>
      <c r="D892" s="1">
        <f t="shared" si="13"/>
        <v>8</v>
      </c>
    </row>
    <row r="893" spans="1:4" x14ac:dyDescent="0.35">
      <c r="A893" s="1">
        <v>45300</v>
      </c>
      <c r="B893" s="2">
        <v>46259</v>
      </c>
      <c r="C893" s="1" t="s">
        <v>4</v>
      </c>
      <c r="D893" s="1">
        <f t="shared" si="13"/>
        <v>8</v>
      </c>
    </row>
    <row r="894" spans="1:4" x14ac:dyDescent="0.35">
      <c r="A894" s="1">
        <v>45299</v>
      </c>
      <c r="B894" s="2">
        <v>46259</v>
      </c>
      <c r="C894" s="1" t="s">
        <v>4</v>
      </c>
      <c r="D894" s="1">
        <f t="shared" si="13"/>
        <v>8</v>
      </c>
    </row>
    <row r="895" spans="1:4" x14ac:dyDescent="0.35">
      <c r="A895" s="1">
        <v>45298</v>
      </c>
      <c r="B895" s="2">
        <v>46259</v>
      </c>
      <c r="C895" s="1" t="s">
        <v>4</v>
      </c>
      <c r="D895" s="1">
        <f t="shared" si="13"/>
        <v>8</v>
      </c>
    </row>
    <row r="896" spans="1:4" x14ac:dyDescent="0.35">
      <c r="A896" s="1">
        <v>45297</v>
      </c>
      <c r="B896" s="2">
        <v>46259</v>
      </c>
      <c r="C896" s="1" t="s">
        <v>6</v>
      </c>
      <c r="D896" s="1">
        <f t="shared" si="13"/>
        <v>8</v>
      </c>
    </row>
    <row r="897" spans="1:4" x14ac:dyDescent="0.35">
      <c r="A897" s="1">
        <v>45296</v>
      </c>
      <c r="B897" s="2">
        <v>46259</v>
      </c>
      <c r="C897" s="1" t="s">
        <v>6</v>
      </c>
      <c r="D897" s="1">
        <f t="shared" si="13"/>
        <v>8</v>
      </c>
    </row>
    <row r="898" spans="1:4" x14ac:dyDescent="0.35">
      <c r="A898" s="1">
        <v>45288</v>
      </c>
      <c r="B898" s="2">
        <v>46259</v>
      </c>
      <c r="C898" s="1" t="s">
        <v>7</v>
      </c>
      <c r="D898" s="1">
        <f t="shared" ref="D898:D961" si="14">MONTH(B898)</f>
        <v>8</v>
      </c>
    </row>
    <row r="899" spans="1:4" x14ac:dyDescent="0.35">
      <c r="A899" s="1">
        <v>45287</v>
      </c>
      <c r="B899" s="2">
        <v>46259</v>
      </c>
      <c r="C899" s="1" t="s">
        <v>7</v>
      </c>
      <c r="D899" s="1">
        <f t="shared" si="14"/>
        <v>8</v>
      </c>
    </row>
    <row r="900" spans="1:4" x14ac:dyDescent="0.35">
      <c r="A900" s="1">
        <v>45280</v>
      </c>
      <c r="B900" s="2">
        <v>46259</v>
      </c>
      <c r="C900" s="1" t="s">
        <v>17</v>
      </c>
      <c r="D900" s="1">
        <f t="shared" si="14"/>
        <v>8</v>
      </c>
    </row>
    <row r="901" spans="1:4" x14ac:dyDescent="0.35">
      <c r="A901" s="1">
        <v>45278</v>
      </c>
      <c r="B901" s="2">
        <v>46259</v>
      </c>
      <c r="C901" s="1" t="s">
        <v>17</v>
      </c>
      <c r="D901" s="1">
        <f t="shared" si="14"/>
        <v>8</v>
      </c>
    </row>
    <row r="902" spans="1:4" x14ac:dyDescent="0.35">
      <c r="A902" s="1">
        <v>45277</v>
      </c>
      <c r="B902" s="2">
        <v>46259</v>
      </c>
      <c r="C902" s="1" t="s">
        <v>8</v>
      </c>
      <c r="D902" s="1">
        <f t="shared" si="14"/>
        <v>8</v>
      </c>
    </row>
    <row r="903" spans="1:4" x14ac:dyDescent="0.35">
      <c r="A903" s="1">
        <v>45276</v>
      </c>
      <c r="B903" s="2">
        <v>46259</v>
      </c>
      <c r="C903" s="1" t="s">
        <v>8</v>
      </c>
      <c r="D903" s="1">
        <f t="shared" si="14"/>
        <v>8</v>
      </c>
    </row>
    <row r="904" spans="1:4" x14ac:dyDescent="0.35">
      <c r="A904" s="1">
        <v>45275</v>
      </c>
      <c r="B904" s="2">
        <v>46259</v>
      </c>
      <c r="C904" s="1" t="s">
        <v>3</v>
      </c>
      <c r="D904" s="1">
        <f t="shared" si="14"/>
        <v>8</v>
      </c>
    </row>
    <row r="905" spans="1:4" x14ac:dyDescent="0.35">
      <c r="A905" s="1">
        <v>45274</v>
      </c>
      <c r="B905" s="2">
        <v>46259</v>
      </c>
      <c r="C905" s="1" t="s">
        <v>19</v>
      </c>
      <c r="D905" s="1">
        <f t="shared" si="14"/>
        <v>8</v>
      </c>
    </row>
    <row r="906" spans="1:4" x14ac:dyDescent="0.35">
      <c r="A906" s="1">
        <v>45273</v>
      </c>
      <c r="B906" s="2">
        <v>46259</v>
      </c>
      <c r="C906" s="1" t="s">
        <v>19</v>
      </c>
      <c r="D906" s="1">
        <f t="shared" si="14"/>
        <v>8</v>
      </c>
    </row>
    <row r="907" spans="1:4" x14ac:dyDescent="0.35">
      <c r="A907" s="1">
        <v>45272</v>
      </c>
      <c r="B907" s="2">
        <v>46259</v>
      </c>
      <c r="C907" s="1" t="s">
        <v>19</v>
      </c>
      <c r="D907" s="1">
        <f t="shared" si="14"/>
        <v>8</v>
      </c>
    </row>
    <row r="908" spans="1:4" x14ac:dyDescent="0.35">
      <c r="A908" s="1">
        <v>45374</v>
      </c>
      <c r="B908" s="2">
        <v>46260</v>
      </c>
      <c r="C908" s="1" t="s">
        <v>10</v>
      </c>
      <c r="D908" s="1">
        <f t="shared" si="14"/>
        <v>8</v>
      </c>
    </row>
    <row r="909" spans="1:4" x14ac:dyDescent="0.35">
      <c r="A909" s="1">
        <v>45373</v>
      </c>
      <c r="B909" s="2">
        <v>46260</v>
      </c>
      <c r="C909" s="1" t="s">
        <v>10</v>
      </c>
      <c r="D909" s="1">
        <f t="shared" si="14"/>
        <v>8</v>
      </c>
    </row>
    <row r="910" spans="1:4" x14ac:dyDescent="0.35">
      <c r="A910" s="1">
        <v>45372</v>
      </c>
      <c r="B910" s="2">
        <v>46260</v>
      </c>
      <c r="C910" s="1" t="s">
        <v>9</v>
      </c>
      <c r="D910" s="1">
        <f t="shared" si="14"/>
        <v>8</v>
      </c>
    </row>
    <row r="911" spans="1:4" x14ac:dyDescent="0.35">
      <c r="A911" s="1">
        <v>45371</v>
      </c>
      <c r="B911" s="2">
        <v>46260</v>
      </c>
      <c r="C911" s="1" t="s">
        <v>9</v>
      </c>
      <c r="D911" s="1">
        <f t="shared" si="14"/>
        <v>8</v>
      </c>
    </row>
    <row r="912" spans="1:4" x14ac:dyDescent="0.35">
      <c r="A912" s="1">
        <v>45370</v>
      </c>
      <c r="B912" s="2">
        <v>46260</v>
      </c>
      <c r="C912" s="1" t="s">
        <v>9</v>
      </c>
      <c r="D912" s="1">
        <f t="shared" si="14"/>
        <v>8</v>
      </c>
    </row>
    <row r="913" spans="1:4" x14ac:dyDescent="0.35">
      <c r="A913" s="1">
        <v>45363</v>
      </c>
      <c r="B913" s="2">
        <v>46260</v>
      </c>
      <c r="C913" s="1" t="s">
        <v>16</v>
      </c>
      <c r="D913" s="1">
        <f t="shared" si="14"/>
        <v>8</v>
      </c>
    </row>
    <row r="914" spans="1:4" x14ac:dyDescent="0.35">
      <c r="A914" s="1">
        <v>45362</v>
      </c>
      <c r="B914" s="2">
        <v>46260</v>
      </c>
      <c r="C914" s="1" t="s">
        <v>16</v>
      </c>
      <c r="D914" s="1">
        <f t="shared" si="14"/>
        <v>8</v>
      </c>
    </row>
    <row r="915" spans="1:4" x14ac:dyDescent="0.35">
      <c r="A915" s="1">
        <v>45356</v>
      </c>
      <c r="B915" s="2">
        <v>46260</v>
      </c>
      <c r="C915" s="1" t="s">
        <v>23</v>
      </c>
      <c r="D915" s="1">
        <f t="shared" si="14"/>
        <v>8</v>
      </c>
    </row>
    <row r="916" spans="1:4" x14ac:dyDescent="0.35">
      <c r="A916" s="1">
        <v>45355</v>
      </c>
      <c r="B916" s="2">
        <v>46260</v>
      </c>
      <c r="C916" s="1" t="s">
        <v>23</v>
      </c>
      <c r="D916" s="1">
        <f t="shared" si="14"/>
        <v>8</v>
      </c>
    </row>
    <row r="917" spans="1:4" x14ac:dyDescent="0.35">
      <c r="A917" s="1">
        <v>45354</v>
      </c>
      <c r="B917" s="2">
        <v>46260</v>
      </c>
      <c r="C917" s="1" t="s">
        <v>11</v>
      </c>
      <c r="D917" s="1">
        <f t="shared" si="14"/>
        <v>8</v>
      </c>
    </row>
    <row r="918" spans="1:4" x14ac:dyDescent="0.35">
      <c r="A918" s="1">
        <v>45353</v>
      </c>
      <c r="B918" s="2">
        <v>46260</v>
      </c>
      <c r="C918" s="1" t="s">
        <v>24</v>
      </c>
      <c r="D918" s="1">
        <f t="shared" si="14"/>
        <v>8</v>
      </c>
    </row>
    <row r="919" spans="1:4" x14ac:dyDescent="0.35">
      <c r="A919" s="1">
        <v>45352</v>
      </c>
      <c r="B919" s="2">
        <v>46260</v>
      </c>
      <c r="C919" s="1" t="s">
        <v>24</v>
      </c>
      <c r="D919" s="1">
        <f t="shared" si="14"/>
        <v>8</v>
      </c>
    </row>
    <row r="920" spans="1:4" x14ac:dyDescent="0.35">
      <c r="A920" s="1">
        <v>45351</v>
      </c>
      <c r="B920" s="2">
        <v>46260</v>
      </c>
      <c r="C920" s="1" t="s">
        <v>24</v>
      </c>
      <c r="D920" s="1">
        <f t="shared" si="14"/>
        <v>8</v>
      </c>
    </row>
    <row r="921" spans="1:4" x14ac:dyDescent="0.35">
      <c r="A921" s="1">
        <v>45350</v>
      </c>
      <c r="B921" s="2">
        <v>46260</v>
      </c>
      <c r="C921" s="1" t="s">
        <v>24</v>
      </c>
      <c r="D921" s="1">
        <f t="shared" si="14"/>
        <v>8</v>
      </c>
    </row>
    <row r="922" spans="1:4" x14ac:dyDescent="0.35">
      <c r="A922" s="1">
        <v>45349</v>
      </c>
      <c r="B922" s="2">
        <v>46260</v>
      </c>
      <c r="C922" s="1" t="s">
        <v>24</v>
      </c>
      <c r="D922" s="1">
        <f t="shared" si="14"/>
        <v>8</v>
      </c>
    </row>
    <row r="923" spans="1:4" x14ac:dyDescent="0.35">
      <c r="A923" s="1">
        <v>45348</v>
      </c>
      <c r="B923" s="2">
        <v>46260</v>
      </c>
      <c r="C923" s="1" t="s">
        <v>24</v>
      </c>
      <c r="D923" s="1">
        <f t="shared" si="14"/>
        <v>8</v>
      </c>
    </row>
    <row r="924" spans="1:4" x14ac:dyDescent="0.35">
      <c r="A924" s="1">
        <v>45347</v>
      </c>
      <c r="B924" s="2">
        <v>46260</v>
      </c>
      <c r="C924" s="1" t="s">
        <v>24</v>
      </c>
      <c r="D924" s="1">
        <f t="shared" si="14"/>
        <v>8</v>
      </c>
    </row>
    <row r="925" spans="1:4" x14ac:dyDescent="0.35">
      <c r="A925" s="1">
        <v>45346</v>
      </c>
      <c r="B925" s="2">
        <v>46260</v>
      </c>
      <c r="C925" s="1" t="s">
        <v>24</v>
      </c>
      <c r="D925" s="1">
        <f t="shared" si="14"/>
        <v>8</v>
      </c>
    </row>
    <row r="926" spans="1:4" x14ac:dyDescent="0.35">
      <c r="A926" s="1">
        <v>45345</v>
      </c>
      <c r="B926" s="2">
        <v>46260</v>
      </c>
      <c r="C926" s="1" t="s">
        <v>24</v>
      </c>
      <c r="D926" s="1">
        <f t="shared" si="14"/>
        <v>8</v>
      </c>
    </row>
    <row r="927" spans="1:4" x14ac:dyDescent="0.35">
      <c r="A927" s="1">
        <v>45344</v>
      </c>
      <c r="B927" s="2">
        <v>46260</v>
      </c>
      <c r="C927" s="1" t="s">
        <v>24</v>
      </c>
      <c r="D927" s="1">
        <f t="shared" si="14"/>
        <v>8</v>
      </c>
    </row>
    <row r="928" spans="1:4" x14ac:dyDescent="0.35">
      <c r="A928" s="1">
        <v>45343</v>
      </c>
      <c r="B928" s="2">
        <v>46260</v>
      </c>
      <c r="C928" s="1" t="s">
        <v>24</v>
      </c>
      <c r="D928" s="1">
        <f t="shared" si="14"/>
        <v>8</v>
      </c>
    </row>
    <row r="929" spans="1:4" x14ac:dyDescent="0.35">
      <c r="A929" s="1">
        <v>45341</v>
      </c>
      <c r="B929" s="2">
        <v>46260</v>
      </c>
      <c r="C929" s="1" t="s">
        <v>3</v>
      </c>
      <c r="D929" s="1">
        <f t="shared" si="14"/>
        <v>8</v>
      </c>
    </row>
    <row r="930" spans="1:4" x14ac:dyDescent="0.35">
      <c r="A930" s="1">
        <v>45340</v>
      </c>
      <c r="B930" s="2">
        <v>46260</v>
      </c>
      <c r="C930" s="1" t="s">
        <v>17</v>
      </c>
      <c r="D930" s="1">
        <f t="shared" si="14"/>
        <v>8</v>
      </c>
    </row>
    <row r="931" spans="1:4" x14ac:dyDescent="0.35">
      <c r="A931" s="1">
        <v>45339</v>
      </c>
      <c r="B931" s="2">
        <v>46260</v>
      </c>
      <c r="C931" s="1" t="s">
        <v>17</v>
      </c>
      <c r="D931" s="1">
        <f t="shared" si="14"/>
        <v>8</v>
      </c>
    </row>
    <row r="932" spans="1:4" x14ac:dyDescent="0.35">
      <c r="A932" s="1">
        <v>45338</v>
      </c>
      <c r="B932" s="2">
        <v>46260</v>
      </c>
      <c r="C932" s="1" t="s">
        <v>6</v>
      </c>
      <c r="D932" s="1">
        <f t="shared" si="14"/>
        <v>8</v>
      </c>
    </row>
    <row r="933" spans="1:4" x14ac:dyDescent="0.35">
      <c r="A933" s="1">
        <v>45337</v>
      </c>
      <c r="B933" s="2">
        <v>46260</v>
      </c>
      <c r="C933" s="1" t="s">
        <v>6</v>
      </c>
      <c r="D933" s="1">
        <f t="shared" si="14"/>
        <v>8</v>
      </c>
    </row>
    <row r="934" spans="1:4" x14ac:dyDescent="0.35">
      <c r="A934" s="1">
        <v>45336</v>
      </c>
      <c r="B934" s="2">
        <v>46260</v>
      </c>
      <c r="C934" s="1" t="s">
        <v>6</v>
      </c>
      <c r="D934" s="1">
        <f t="shared" si="14"/>
        <v>8</v>
      </c>
    </row>
    <row r="935" spans="1:4" x14ac:dyDescent="0.35">
      <c r="A935" s="1">
        <v>45335</v>
      </c>
      <c r="B935" s="2">
        <v>46260</v>
      </c>
      <c r="C935" s="1" t="s">
        <v>3</v>
      </c>
      <c r="D935" s="1">
        <f t="shared" si="14"/>
        <v>8</v>
      </c>
    </row>
    <row r="936" spans="1:4" x14ac:dyDescent="0.35">
      <c r="A936" s="1">
        <v>45334</v>
      </c>
      <c r="B936" s="2">
        <v>46260</v>
      </c>
      <c r="C936" s="1" t="s">
        <v>3</v>
      </c>
      <c r="D936" s="1">
        <f t="shared" si="14"/>
        <v>8</v>
      </c>
    </row>
    <row r="937" spans="1:4" x14ac:dyDescent="0.35">
      <c r="A937" s="1">
        <v>45333</v>
      </c>
      <c r="B937" s="2">
        <v>46260</v>
      </c>
      <c r="C937" s="1" t="s">
        <v>3</v>
      </c>
      <c r="D937" s="1">
        <f t="shared" si="14"/>
        <v>8</v>
      </c>
    </row>
    <row r="938" spans="1:4" x14ac:dyDescent="0.35">
      <c r="A938" s="1">
        <v>45332</v>
      </c>
      <c r="B938" s="2">
        <v>46260</v>
      </c>
      <c r="C938" s="1" t="s">
        <v>7</v>
      </c>
      <c r="D938" s="1">
        <f t="shared" si="14"/>
        <v>8</v>
      </c>
    </row>
    <row r="939" spans="1:4" x14ac:dyDescent="0.35">
      <c r="A939" s="1">
        <v>45331</v>
      </c>
      <c r="B939" s="2">
        <v>46260</v>
      </c>
      <c r="C939" s="1" t="s">
        <v>7</v>
      </c>
      <c r="D939" s="1">
        <f t="shared" si="14"/>
        <v>8</v>
      </c>
    </row>
    <row r="940" spans="1:4" x14ac:dyDescent="0.35">
      <c r="A940" s="1">
        <v>45327</v>
      </c>
      <c r="B940" s="2">
        <v>46260</v>
      </c>
      <c r="C940" s="1" t="s">
        <v>5</v>
      </c>
      <c r="D940" s="1">
        <f t="shared" si="14"/>
        <v>8</v>
      </c>
    </row>
    <row r="941" spans="1:4" x14ac:dyDescent="0.35">
      <c r="A941" s="1">
        <v>45326</v>
      </c>
      <c r="B941" s="2">
        <v>46260</v>
      </c>
      <c r="C941" s="1" t="s">
        <v>5</v>
      </c>
      <c r="D941" s="1">
        <f t="shared" si="14"/>
        <v>8</v>
      </c>
    </row>
    <row r="942" spans="1:4" x14ac:dyDescent="0.35">
      <c r="A942" s="1">
        <v>45325</v>
      </c>
      <c r="B942" s="2">
        <v>46260</v>
      </c>
      <c r="C942" s="1" t="s">
        <v>5</v>
      </c>
      <c r="D942" s="1">
        <f t="shared" si="14"/>
        <v>8</v>
      </c>
    </row>
    <row r="943" spans="1:4" x14ac:dyDescent="0.35">
      <c r="A943" s="1">
        <v>45324</v>
      </c>
      <c r="B943" s="2">
        <v>46260</v>
      </c>
      <c r="C943" s="1" t="s">
        <v>5</v>
      </c>
      <c r="D943" s="1">
        <f t="shared" si="14"/>
        <v>8</v>
      </c>
    </row>
    <row r="944" spans="1:4" x14ac:dyDescent="0.35">
      <c r="A944" s="1">
        <v>45323</v>
      </c>
      <c r="B944" s="2">
        <v>46260</v>
      </c>
      <c r="C944" s="1" t="s">
        <v>8</v>
      </c>
      <c r="D944" s="1">
        <f t="shared" si="14"/>
        <v>8</v>
      </c>
    </row>
    <row r="945" spans="1:4" x14ac:dyDescent="0.35">
      <c r="A945" s="1">
        <v>45322</v>
      </c>
      <c r="B945" s="2">
        <v>46260</v>
      </c>
      <c r="C945" s="1" t="s">
        <v>5</v>
      </c>
      <c r="D945" s="1">
        <f t="shared" si="14"/>
        <v>8</v>
      </c>
    </row>
    <row r="946" spans="1:4" x14ac:dyDescent="0.35">
      <c r="A946" s="1">
        <v>45321</v>
      </c>
      <c r="B946" s="2">
        <v>46260</v>
      </c>
      <c r="C946" s="1" t="s">
        <v>8</v>
      </c>
      <c r="D946" s="1">
        <f t="shared" si="14"/>
        <v>8</v>
      </c>
    </row>
    <row r="947" spans="1:4" x14ac:dyDescent="0.35">
      <c r="A947" s="1">
        <v>45320</v>
      </c>
      <c r="B947" s="2">
        <v>46260</v>
      </c>
      <c r="C947" s="1" t="s">
        <v>19</v>
      </c>
      <c r="D947" s="1">
        <f t="shared" si="14"/>
        <v>8</v>
      </c>
    </row>
    <row r="948" spans="1:4" x14ac:dyDescent="0.35">
      <c r="A948" s="1">
        <v>45319</v>
      </c>
      <c r="B948" s="2">
        <v>46260</v>
      </c>
      <c r="C948" s="1" t="s">
        <v>3</v>
      </c>
      <c r="D948" s="1">
        <f t="shared" si="14"/>
        <v>8</v>
      </c>
    </row>
    <row r="949" spans="1:4" x14ac:dyDescent="0.35">
      <c r="A949" s="1">
        <v>45318</v>
      </c>
      <c r="B949" s="2">
        <v>46260</v>
      </c>
      <c r="C949" s="1" t="s">
        <v>3</v>
      </c>
      <c r="D949" s="1">
        <f t="shared" si="14"/>
        <v>8</v>
      </c>
    </row>
    <row r="950" spans="1:4" x14ac:dyDescent="0.35">
      <c r="A950" s="1">
        <v>45317</v>
      </c>
      <c r="B950" s="2">
        <v>46260</v>
      </c>
      <c r="C950" s="1" t="s">
        <v>5</v>
      </c>
      <c r="D950" s="1">
        <f t="shared" si="14"/>
        <v>8</v>
      </c>
    </row>
    <row r="951" spans="1:4" x14ac:dyDescent="0.35">
      <c r="A951" s="1">
        <v>45316</v>
      </c>
      <c r="B951" s="2">
        <v>46260</v>
      </c>
      <c r="C951" s="1" t="s">
        <v>24</v>
      </c>
      <c r="D951" s="1">
        <f t="shared" si="14"/>
        <v>8</v>
      </c>
    </row>
    <row r="952" spans="1:4" x14ac:dyDescent="0.35">
      <c r="A952" s="1">
        <v>45315</v>
      </c>
      <c r="B952" s="2">
        <v>46260</v>
      </c>
      <c r="C952" s="1" t="s">
        <v>3</v>
      </c>
      <c r="D952" s="1">
        <f t="shared" si="14"/>
        <v>8</v>
      </c>
    </row>
    <row r="953" spans="1:4" x14ac:dyDescent="0.35">
      <c r="A953" s="1">
        <v>45314</v>
      </c>
      <c r="B953" s="2">
        <v>46260</v>
      </c>
      <c r="C953" s="1" t="s">
        <v>24</v>
      </c>
      <c r="D953" s="1">
        <f t="shared" si="14"/>
        <v>8</v>
      </c>
    </row>
    <row r="954" spans="1:4" x14ac:dyDescent="0.35">
      <c r="A954" s="1">
        <v>45313</v>
      </c>
      <c r="B954" s="2">
        <v>46260</v>
      </c>
      <c r="C954" s="1" t="s">
        <v>24</v>
      </c>
      <c r="D954" s="1">
        <f t="shared" si="14"/>
        <v>8</v>
      </c>
    </row>
    <row r="955" spans="1:4" x14ac:dyDescent="0.35">
      <c r="A955" s="1">
        <v>45312</v>
      </c>
      <c r="B955" s="2">
        <v>46260</v>
      </c>
      <c r="C955" s="1" t="s">
        <v>24</v>
      </c>
      <c r="D955" s="1">
        <f t="shared" si="14"/>
        <v>8</v>
      </c>
    </row>
    <row r="956" spans="1:4" x14ac:dyDescent="0.35">
      <c r="A956" s="1">
        <v>45311</v>
      </c>
      <c r="B956" s="2">
        <v>46260</v>
      </c>
      <c r="C956" s="1" t="s">
        <v>24</v>
      </c>
      <c r="D956" s="1">
        <f t="shared" si="14"/>
        <v>8</v>
      </c>
    </row>
    <row r="957" spans="1:4" x14ac:dyDescent="0.35">
      <c r="A957" s="1">
        <v>45310</v>
      </c>
      <c r="B957" s="2">
        <v>46260</v>
      </c>
      <c r="C957" s="1" t="s">
        <v>24</v>
      </c>
      <c r="D957" s="1">
        <f t="shared" si="14"/>
        <v>8</v>
      </c>
    </row>
    <row r="958" spans="1:4" x14ac:dyDescent="0.35">
      <c r="A958" s="1">
        <v>45309</v>
      </c>
      <c r="B958" s="2">
        <v>46260</v>
      </c>
      <c r="C958" s="1" t="s">
        <v>24</v>
      </c>
      <c r="D958" s="1">
        <f t="shared" si="14"/>
        <v>8</v>
      </c>
    </row>
    <row r="959" spans="1:4" x14ac:dyDescent="0.35">
      <c r="A959" s="1">
        <v>45390</v>
      </c>
      <c r="B959" s="2">
        <v>46261</v>
      </c>
      <c r="C959" s="1" t="s">
        <v>8</v>
      </c>
      <c r="D959" s="1">
        <f t="shared" si="14"/>
        <v>8</v>
      </c>
    </row>
    <row r="960" spans="1:4" x14ac:dyDescent="0.35">
      <c r="A960" s="1">
        <v>45389</v>
      </c>
      <c r="B960" s="2">
        <v>46261</v>
      </c>
      <c r="C960" s="1" t="s">
        <v>8</v>
      </c>
      <c r="D960" s="1">
        <f t="shared" si="14"/>
        <v>8</v>
      </c>
    </row>
    <row r="961" spans="1:4" x14ac:dyDescent="0.35">
      <c r="A961" s="1">
        <v>45385</v>
      </c>
      <c r="B961" s="2">
        <v>46261</v>
      </c>
      <c r="C961" s="1" t="s">
        <v>19</v>
      </c>
      <c r="D961" s="1">
        <f t="shared" si="14"/>
        <v>8</v>
      </c>
    </row>
    <row r="962" spans="1:4" x14ac:dyDescent="0.35">
      <c r="A962" s="1">
        <v>45383</v>
      </c>
      <c r="B962" s="2">
        <v>46261</v>
      </c>
      <c r="C962" s="1" t="s">
        <v>19</v>
      </c>
      <c r="D962" s="1">
        <f t="shared" ref="D962:D1025" si="15">MONTH(B962)</f>
        <v>8</v>
      </c>
    </row>
    <row r="963" spans="1:4" x14ac:dyDescent="0.35">
      <c r="A963" s="1">
        <v>45382</v>
      </c>
      <c r="B963" s="2">
        <v>46261</v>
      </c>
      <c r="C963" s="1" t="s">
        <v>19</v>
      </c>
      <c r="D963" s="1">
        <f t="shared" si="15"/>
        <v>8</v>
      </c>
    </row>
    <row r="964" spans="1:4" x14ac:dyDescent="0.35">
      <c r="A964" s="1">
        <v>45381</v>
      </c>
      <c r="B964" s="2">
        <v>46261</v>
      </c>
      <c r="C964" s="1" t="s">
        <v>19</v>
      </c>
      <c r="D964" s="1">
        <f t="shared" si="15"/>
        <v>8</v>
      </c>
    </row>
    <row r="965" spans="1:4" x14ac:dyDescent="0.35">
      <c r="A965" s="1">
        <v>45437</v>
      </c>
      <c r="B965" s="2">
        <v>46261</v>
      </c>
      <c r="C965" s="1" t="s">
        <v>20</v>
      </c>
      <c r="D965" s="1">
        <f t="shared" si="15"/>
        <v>8</v>
      </c>
    </row>
    <row r="966" spans="1:4" x14ac:dyDescent="0.35">
      <c r="A966" s="1">
        <v>45436</v>
      </c>
      <c r="B966" s="2">
        <v>46261</v>
      </c>
      <c r="C966" s="1" t="s">
        <v>20</v>
      </c>
      <c r="D966" s="1">
        <f t="shared" si="15"/>
        <v>8</v>
      </c>
    </row>
    <row r="967" spans="1:4" x14ac:dyDescent="0.35">
      <c r="A967" s="1">
        <v>45435</v>
      </c>
      <c r="B967" s="2">
        <v>46261</v>
      </c>
      <c r="C967" s="1" t="s">
        <v>10</v>
      </c>
      <c r="D967" s="1">
        <f t="shared" si="15"/>
        <v>8</v>
      </c>
    </row>
    <row r="968" spans="1:4" x14ac:dyDescent="0.35">
      <c r="A968" s="1">
        <v>45434</v>
      </c>
      <c r="B968" s="2">
        <v>46261</v>
      </c>
      <c r="C968" s="1" t="s">
        <v>10</v>
      </c>
      <c r="D968" s="1">
        <f t="shared" si="15"/>
        <v>8</v>
      </c>
    </row>
    <row r="969" spans="1:4" x14ac:dyDescent="0.35">
      <c r="A969" s="1">
        <v>45433</v>
      </c>
      <c r="B969" s="2">
        <v>46261</v>
      </c>
      <c r="C969" s="1" t="s">
        <v>15</v>
      </c>
      <c r="D969" s="1">
        <f t="shared" si="15"/>
        <v>8</v>
      </c>
    </row>
    <row r="970" spans="1:4" x14ac:dyDescent="0.35">
      <c r="A970" s="1">
        <v>45432</v>
      </c>
      <c r="B970" s="2">
        <v>46261</v>
      </c>
      <c r="C970" s="1" t="s">
        <v>15</v>
      </c>
      <c r="D970" s="1">
        <f t="shared" si="15"/>
        <v>8</v>
      </c>
    </row>
    <row r="971" spans="1:4" x14ac:dyDescent="0.35">
      <c r="A971" s="1">
        <v>45431</v>
      </c>
      <c r="B971" s="2">
        <v>46261</v>
      </c>
      <c r="C971" s="1" t="s">
        <v>9</v>
      </c>
      <c r="D971" s="1">
        <f t="shared" si="15"/>
        <v>8</v>
      </c>
    </row>
    <row r="972" spans="1:4" x14ac:dyDescent="0.35">
      <c r="A972" s="1">
        <v>45430</v>
      </c>
      <c r="B972" s="2">
        <v>46261</v>
      </c>
      <c r="C972" s="1" t="s">
        <v>9</v>
      </c>
      <c r="D972" s="1">
        <f t="shared" si="15"/>
        <v>8</v>
      </c>
    </row>
    <row r="973" spans="1:4" x14ac:dyDescent="0.35">
      <c r="A973" s="1">
        <v>45429</v>
      </c>
      <c r="B973" s="2">
        <v>46261</v>
      </c>
      <c r="C973" s="1" t="s">
        <v>9</v>
      </c>
      <c r="D973" s="1">
        <f t="shared" si="15"/>
        <v>8</v>
      </c>
    </row>
    <row r="974" spans="1:4" x14ac:dyDescent="0.35">
      <c r="A974" s="1">
        <v>45428</v>
      </c>
      <c r="B974" s="2">
        <v>46261</v>
      </c>
      <c r="C974" s="1" t="s">
        <v>9</v>
      </c>
      <c r="D974" s="1">
        <f t="shared" si="15"/>
        <v>8</v>
      </c>
    </row>
    <row r="975" spans="1:4" x14ac:dyDescent="0.35">
      <c r="A975" s="1">
        <v>45427</v>
      </c>
      <c r="B975" s="2">
        <v>46261</v>
      </c>
      <c r="C975" s="1" t="s">
        <v>6</v>
      </c>
      <c r="D975" s="1">
        <f t="shared" si="15"/>
        <v>8</v>
      </c>
    </row>
    <row r="976" spans="1:4" x14ac:dyDescent="0.35">
      <c r="A976" s="1">
        <v>45426</v>
      </c>
      <c r="B976" s="2">
        <v>46261</v>
      </c>
      <c r="C976" s="1" t="s">
        <v>6</v>
      </c>
      <c r="D976" s="1">
        <f t="shared" si="15"/>
        <v>8</v>
      </c>
    </row>
    <row r="977" spans="1:4" x14ac:dyDescent="0.35">
      <c r="A977" s="1">
        <v>45398</v>
      </c>
      <c r="B977" s="2">
        <v>46261</v>
      </c>
      <c r="C977" s="1" t="s">
        <v>3</v>
      </c>
      <c r="D977" s="1">
        <f t="shared" si="15"/>
        <v>8</v>
      </c>
    </row>
    <row r="978" spans="1:4" x14ac:dyDescent="0.35">
      <c r="A978" s="1">
        <v>45397</v>
      </c>
      <c r="B978" s="2">
        <v>46261</v>
      </c>
      <c r="C978" s="1" t="s">
        <v>3</v>
      </c>
      <c r="D978" s="1">
        <f t="shared" si="15"/>
        <v>8</v>
      </c>
    </row>
    <row r="979" spans="1:4" x14ac:dyDescent="0.35">
      <c r="A979" s="1">
        <v>45396</v>
      </c>
      <c r="B979" s="2">
        <v>46261</v>
      </c>
      <c r="C979" s="1" t="s">
        <v>3</v>
      </c>
      <c r="D979" s="1">
        <f t="shared" si="15"/>
        <v>8</v>
      </c>
    </row>
    <row r="980" spans="1:4" x14ac:dyDescent="0.35">
      <c r="A980" s="1">
        <v>45394</v>
      </c>
      <c r="B980" s="2">
        <v>46261</v>
      </c>
      <c r="C980" s="1" t="s">
        <v>23</v>
      </c>
      <c r="D980" s="1">
        <f t="shared" si="15"/>
        <v>8</v>
      </c>
    </row>
    <row r="981" spans="1:4" x14ac:dyDescent="0.35">
      <c r="A981" s="1">
        <v>45393</v>
      </c>
      <c r="B981" s="2">
        <v>46261</v>
      </c>
      <c r="C981" s="1" t="s">
        <v>23</v>
      </c>
      <c r="D981" s="1">
        <f t="shared" si="15"/>
        <v>8</v>
      </c>
    </row>
    <row r="982" spans="1:4" x14ac:dyDescent="0.35">
      <c r="A982" s="1">
        <v>45484</v>
      </c>
      <c r="B982" s="2">
        <v>46262</v>
      </c>
      <c r="C982" s="1" t="s">
        <v>4</v>
      </c>
      <c r="D982" s="1">
        <f t="shared" si="15"/>
        <v>8</v>
      </c>
    </row>
    <row r="983" spans="1:4" x14ac:dyDescent="0.35">
      <c r="A983" s="1">
        <v>45483</v>
      </c>
      <c r="B983" s="2">
        <v>46262</v>
      </c>
      <c r="C983" s="1" t="s">
        <v>4</v>
      </c>
      <c r="D983" s="1">
        <f t="shared" si="15"/>
        <v>8</v>
      </c>
    </row>
    <row r="984" spans="1:4" x14ac:dyDescent="0.35">
      <c r="A984" s="1">
        <v>45482</v>
      </c>
      <c r="B984" s="2">
        <v>46262</v>
      </c>
      <c r="C984" s="1" t="s">
        <v>4</v>
      </c>
      <c r="D984" s="1">
        <f t="shared" si="15"/>
        <v>8</v>
      </c>
    </row>
    <row r="985" spans="1:4" x14ac:dyDescent="0.35">
      <c r="A985" s="1">
        <v>45479</v>
      </c>
      <c r="B985" s="2">
        <v>46262</v>
      </c>
      <c r="C985" s="1" t="s">
        <v>23</v>
      </c>
      <c r="D985" s="1">
        <f t="shared" si="15"/>
        <v>8</v>
      </c>
    </row>
    <row r="986" spans="1:4" x14ac:dyDescent="0.35">
      <c r="A986" s="1">
        <v>45478</v>
      </c>
      <c r="B986" s="2">
        <v>46262</v>
      </c>
      <c r="C986" s="1" t="s">
        <v>23</v>
      </c>
      <c r="D986" s="1">
        <f t="shared" si="15"/>
        <v>8</v>
      </c>
    </row>
    <row r="987" spans="1:4" x14ac:dyDescent="0.35">
      <c r="A987" s="1">
        <v>45477</v>
      </c>
      <c r="B987" s="2">
        <v>46262</v>
      </c>
      <c r="C987" s="1" t="s">
        <v>7</v>
      </c>
      <c r="D987" s="1">
        <f t="shared" si="15"/>
        <v>8</v>
      </c>
    </row>
    <row r="988" spans="1:4" x14ac:dyDescent="0.35">
      <c r="A988" s="1">
        <v>45475</v>
      </c>
      <c r="B988" s="2">
        <v>46262</v>
      </c>
      <c r="C988" s="1" t="s">
        <v>7</v>
      </c>
      <c r="D988" s="1">
        <f t="shared" si="15"/>
        <v>8</v>
      </c>
    </row>
    <row r="989" spans="1:4" x14ac:dyDescent="0.35">
      <c r="A989" s="1">
        <v>45473</v>
      </c>
      <c r="B989" s="2">
        <v>46262</v>
      </c>
      <c r="C989" s="1" t="s">
        <v>5</v>
      </c>
      <c r="D989" s="1">
        <f t="shared" si="15"/>
        <v>8</v>
      </c>
    </row>
    <row r="990" spans="1:4" x14ac:dyDescent="0.35">
      <c r="A990" s="1">
        <v>45471</v>
      </c>
      <c r="B990" s="2">
        <v>46262</v>
      </c>
      <c r="C990" s="1" t="s">
        <v>5</v>
      </c>
      <c r="D990" s="1">
        <f t="shared" si="15"/>
        <v>8</v>
      </c>
    </row>
    <row r="991" spans="1:4" x14ac:dyDescent="0.35">
      <c r="A991" s="1">
        <v>45469</v>
      </c>
      <c r="B991" s="2">
        <v>46262</v>
      </c>
      <c r="C991" s="1" t="s">
        <v>5</v>
      </c>
      <c r="D991" s="1">
        <f t="shared" si="15"/>
        <v>8</v>
      </c>
    </row>
    <row r="992" spans="1:4" x14ac:dyDescent="0.35">
      <c r="A992" s="1">
        <v>45468</v>
      </c>
      <c r="B992" s="2">
        <v>46262</v>
      </c>
      <c r="C992" s="1" t="s">
        <v>5</v>
      </c>
      <c r="D992" s="1">
        <f t="shared" si="15"/>
        <v>8</v>
      </c>
    </row>
    <row r="993" spans="1:4" x14ac:dyDescent="0.35">
      <c r="A993" s="1">
        <v>45466</v>
      </c>
      <c r="B993" s="2">
        <v>46262</v>
      </c>
      <c r="C993" s="1" t="s">
        <v>5</v>
      </c>
      <c r="D993" s="1">
        <f t="shared" si="15"/>
        <v>8</v>
      </c>
    </row>
    <row r="994" spans="1:4" x14ac:dyDescent="0.35">
      <c r="A994" s="1">
        <v>45464</v>
      </c>
      <c r="B994" s="2">
        <v>46262</v>
      </c>
      <c r="C994" s="1" t="s">
        <v>5</v>
      </c>
      <c r="D994" s="1">
        <f t="shared" si="15"/>
        <v>8</v>
      </c>
    </row>
    <row r="995" spans="1:4" x14ac:dyDescent="0.35">
      <c r="A995" s="1">
        <v>45461</v>
      </c>
      <c r="B995" s="2">
        <v>46262</v>
      </c>
      <c r="C995" s="1" t="s">
        <v>5</v>
      </c>
      <c r="D995" s="1">
        <f t="shared" si="15"/>
        <v>8</v>
      </c>
    </row>
    <row r="996" spans="1:4" x14ac:dyDescent="0.35">
      <c r="A996" s="1">
        <v>45459</v>
      </c>
      <c r="B996" s="2">
        <v>46262</v>
      </c>
      <c r="C996" s="1" t="s">
        <v>5</v>
      </c>
      <c r="D996" s="1">
        <f t="shared" si="15"/>
        <v>8</v>
      </c>
    </row>
    <row r="997" spans="1:4" x14ac:dyDescent="0.35">
      <c r="A997" s="1">
        <v>45458</v>
      </c>
      <c r="B997" s="2">
        <v>46262</v>
      </c>
      <c r="C997" s="1" t="s">
        <v>5</v>
      </c>
      <c r="D997" s="1">
        <f t="shared" si="15"/>
        <v>8</v>
      </c>
    </row>
    <row r="998" spans="1:4" x14ac:dyDescent="0.35">
      <c r="A998" s="1">
        <v>45456</v>
      </c>
      <c r="B998" s="2">
        <v>46262</v>
      </c>
      <c r="C998" s="1" t="s">
        <v>8</v>
      </c>
      <c r="D998" s="1">
        <f t="shared" si="15"/>
        <v>8</v>
      </c>
    </row>
    <row r="999" spans="1:4" x14ac:dyDescent="0.35">
      <c r="A999" s="1">
        <v>45455</v>
      </c>
      <c r="B999" s="2">
        <v>46262</v>
      </c>
      <c r="C999" s="1" t="s">
        <v>8</v>
      </c>
      <c r="D999" s="1">
        <f t="shared" si="15"/>
        <v>8</v>
      </c>
    </row>
    <row r="1000" spans="1:4" x14ac:dyDescent="0.35">
      <c r="A1000" s="1">
        <v>45453</v>
      </c>
      <c r="B1000" s="2">
        <v>46262</v>
      </c>
      <c r="C1000" s="1" t="s">
        <v>24</v>
      </c>
      <c r="D1000" s="1">
        <f t="shared" si="15"/>
        <v>8</v>
      </c>
    </row>
    <row r="1001" spans="1:4" x14ac:dyDescent="0.35">
      <c r="A1001" s="1">
        <v>45452</v>
      </c>
      <c r="B1001" s="2">
        <v>46262</v>
      </c>
      <c r="C1001" s="1" t="s">
        <v>24</v>
      </c>
      <c r="D1001" s="1">
        <f t="shared" si="15"/>
        <v>8</v>
      </c>
    </row>
    <row r="1002" spans="1:4" x14ac:dyDescent="0.35">
      <c r="A1002" s="1">
        <v>45451</v>
      </c>
      <c r="B1002" s="2">
        <v>46262</v>
      </c>
      <c r="C1002" s="1" t="s">
        <v>24</v>
      </c>
      <c r="D1002" s="1">
        <f t="shared" si="15"/>
        <v>8</v>
      </c>
    </row>
    <row r="1003" spans="1:4" x14ac:dyDescent="0.35">
      <c r="A1003" s="1">
        <v>45450</v>
      </c>
      <c r="B1003" s="2">
        <v>46262</v>
      </c>
      <c r="C1003" s="1" t="s">
        <v>24</v>
      </c>
      <c r="D1003" s="1">
        <f t="shared" si="15"/>
        <v>8</v>
      </c>
    </row>
    <row r="1004" spans="1:4" x14ac:dyDescent="0.35">
      <c r="A1004" s="1">
        <v>45449</v>
      </c>
      <c r="B1004" s="2">
        <v>46262</v>
      </c>
      <c r="C1004" s="1" t="s">
        <v>24</v>
      </c>
      <c r="D1004" s="1">
        <f t="shared" si="15"/>
        <v>8</v>
      </c>
    </row>
    <row r="1005" spans="1:4" x14ac:dyDescent="0.35">
      <c r="A1005" s="1">
        <v>45446</v>
      </c>
      <c r="B1005" s="2">
        <v>46262</v>
      </c>
      <c r="C1005" s="1" t="s">
        <v>17</v>
      </c>
      <c r="D1005" s="1">
        <f t="shared" si="15"/>
        <v>8</v>
      </c>
    </row>
    <row r="1006" spans="1:4" x14ac:dyDescent="0.35">
      <c r="A1006" s="1">
        <v>45443</v>
      </c>
      <c r="B1006" s="2">
        <v>46262</v>
      </c>
      <c r="C1006" s="1" t="s">
        <v>17</v>
      </c>
      <c r="D1006" s="1">
        <f t="shared" si="15"/>
        <v>8</v>
      </c>
    </row>
    <row r="1007" spans="1:4" x14ac:dyDescent="0.35">
      <c r="A1007" s="1">
        <v>45442</v>
      </c>
      <c r="B1007" s="2">
        <v>46262</v>
      </c>
      <c r="C1007" s="1" t="s">
        <v>4</v>
      </c>
      <c r="D1007" s="1">
        <f t="shared" si="15"/>
        <v>8</v>
      </c>
    </row>
    <row r="1008" spans="1:4" x14ac:dyDescent="0.35">
      <c r="A1008" s="1">
        <v>45441</v>
      </c>
      <c r="B1008" s="2">
        <v>46262</v>
      </c>
      <c r="C1008" s="1" t="s">
        <v>4</v>
      </c>
      <c r="D1008" s="1">
        <f t="shared" si="15"/>
        <v>8</v>
      </c>
    </row>
    <row r="1009" spans="1:4" x14ac:dyDescent="0.35">
      <c r="A1009" s="1">
        <v>45440</v>
      </c>
      <c r="B1009" s="2">
        <v>46262</v>
      </c>
      <c r="C1009" s="1" t="s">
        <v>19</v>
      </c>
      <c r="D1009" s="1">
        <f t="shared" si="15"/>
        <v>8</v>
      </c>
    </row>
    <row r="1010" spans="1:4" x14ac:dyDescent="0.35">
      <c r="A1010" s="1">
        <v>45439</v>
      </c>
      <c r="B1010" s="2">
        <v>46262</v>
      </c>
      <c r="C1010" s="1" t="s">
        <v>19</v>
      </c>
      <c r="D1010" s="1">
        <f t="shared" si="15"/>
        <v>8</v>
      </c>
    </row>
    <row r="1011" spans="1:4" x14ac:dyDescent="0.35">
      <c r="A1011" s="1">
        <v>45438</v>
      </c>
      <c r="B1011" s="2">
        <v>46262</v>
      </c>
      <c r="C1011" s="1" t="s">
        <v>19</v>
      </c>
      <c r="D1011" s="1">
        <f t="shared" si="15"/>
        <v>8</v>
      </c>
    </row>
    <row r="1012" spans="1:4" x14ac:dyDescent="0.35">
      <c r="A1012" s="1">
        <v>45501</v>
      </c>
      <c r="B1012" s="2">
        <v>46262</v>
      </c>
      <c r="C1012" s="1" t="s">
        <v>10</v>
      </c>
      <c r="D1012" s="1">
        <f t="shared" si="15"/>
        <v>8</v>
      </c>
    </row>
    <row r="1013" spans="1:4" x14ac:dyDescent="0.35">
      <c r="A1013" s="1">
        <v>45500</v>
      </c>
      <c r="B1013" s="2">
        <v>46262</v>
      </c>
      <c r="C1013" s="1" t="s">
        <v>10</v>
      </c>
      <c r="D1013" s="1">
        <f t="shared" si="15"/>
        <v>8</v>
      </c>
    </row>
    <row r="1014" spans="1:4" x14ac:dyDescent="0.35">
      <c r="A1014" s="1">
        <v>45499</v>
      </c>
      <c r="B1014" s="2">
        <v>46262</v>
      </c>
      <c r="C1014" s="1" t="s">
        <v>3</v>
      </c>
      <c r="D1014" s="1">
        <f t="shared" si="15"/>
        <v>8</v>
      </c>
    </row>
    <row r="1015" spans="1:4" x14ac:dyDescent="0.35">
      <c r="A1015" s="1">
        <v>45498</v>
      </c>
      <c r="B1015" s="2">
        <v>46262</v>
      </c>
      <c r="C1015" s="1" t="s">
        <v>3</v>
      </c>
      <c r="D1015" s="1">
        <f t="shared" si="15"/>
        <v>8</v>
      </c>
    </row>
    <row r="1016" spans="1:4" x14ac:dyDescent="0.35">
      <c r="A1016" s="1">
        <v>45497</v>
      </c>
      <c r="B1016" s="2">
        <v>46262</v>
      </c>
      <c r="C1016" s="1" t="s">
        <v>3</v>
      </c>
      <c r="D1016" s="1">
        <f t="shared" si="15"/>
        <v>8</v>
      </c>
    </row>
    <row r="1017" spans="1:4" x14ac:dyDescent="0.35">
      <c r="A1017" s="1">
        <v>45496</v>
      </c>
      <c r="B1017" s="2">
        <v>46262</v>
      </c>
      <c r="C1017" s="1" t="s">
        <v>3</v>
      </c>
      <c r="D1017" s="1">
        <f t="shared" si="15"/>
        <v>8</v>
      </c>
    </row>
    <row r="1018" spans="1:4" x14ac:dyDescent="0.35">
      <c r="A1018" s="1">
        <v>45495</v>
      </c>
      <c r="B1018" s="2">
        <v>46262</v>
      </c>
      <c r="C1018" s="1" t="s">
        <v>9</v>
      </c>
      <c r="D1018" s="1">
        <f t="shared" si="15"/>
        <v>8</v>
      </c>
    </row>
    <row r="1019" spans="1:4" x14ac:dyDescent="0.35">
      <c r="A1019" s="1">
        <v>45494</v>
      </c>
      <c r="B1019" s="2">
        <v>46262</v>
      </c>
      <c r="C1019" s="1" t="s">
        <v>9</v>
      </c>
      <c r="D1019" s="1">
        <f t="shared" si="15"/>
        <v>8</v>
      </c>
    </row>
    <row r="1020" spans="1:4" x14ac:dyDescent="0.35">
      <c r="A1020" s="1">
        <v>45493</v>
      </c>
      <c r="B1020" s="2">
        <v>46262</v>
      </c>
      <c r="C1020" s="1" t="s">
        <v>9</v>
      </c>
      <c r="D1020" s="1">
        <f t="shared" si="15"/>
        <v>8</v>
      </c>
    </row>
    <row r="1021" spans="1:4" x14ac:dyDescent="0.35">
      <c r="A1021" s="1">
        <v>45492</v>
      </c>
      <c r="B1021" s="2">
        <v>46262</v>
      </c>
      <c r="C1021" s="1" t="s">
        <v>6</v>
      </c>
      <c r="D1021" s="1">
        <f t="shared" si="15"/>
        <v>8</v>
      </c>
    </row>
    <row r="1022" spans="1:4" x14ac:dyDescent="0.35">
      <c r="A1022" s="1">
        <v>45491</v>
      </c>
      <c r="B1022" s="2">
        <v>46262</v>
      </c>
      <c r="C1022" s="1" t="s">
        <v>6</v>
      </c>
      <c r="D1022" s="1">
        <f t="shared" si="15"/>
        <v>8</v>
      </c>
    </row>
    <row r="1023" spans="1:4" x14ac:dyDescent="0.35">
      <c r="A1023" s="1">
        <v>45510</v>
      </c>
      <c r="B1023" s="2">
        <v>46263</v>
      </c>
      <c r="C1023" s="1" t="s">
        <v>23</v>
      </c>
      <c r="D1023" s="1">
        <f t="shared" si="15"/>
        <v>8</v>
      </c>
    </row>
    <row r="1024" spans="1:4" x14ac:dyDescent="0.35">
      <c r="A1024" s="1">
        <v>45509</v>
      </c>
      <c r="B1024" s="2">
        <v>46263</v>
      </c>
      <c r="C1024" s="1" t="s">
        <v>23</v>
      </c>
      <c r="D1024" s="1">
        <f t="shared" si="15"/>
        <v>8</v>
      </c>
    </row>
    <row r="1025" spans="1:4" x14ac:dyDescent="0.35">
      <c r="A1025" s="1">
        <v>45508</v>
      </c>
      <c r="B1025" s="2">
        <v>46263</v>
      </c>
      <c r="C1025" s="1" t="s">
        <v>6</v>
      </c>
      <c r="D1025" s="1">
        <f t="shared" si="15"/>
        <v>8</v>
      </c>
    </row>
    <row r="1026" spans="1:4" x14ac:dyDescent="0.35">
      <c r="A1026" s="1">
        <v>45507</v>
      </c>
      <c r="B1026" s="2">
        <v>46263</v>
      </c>
      <c r="C1026" s="1" t="s">
        <v>6</v>
      </c>
      <c r="D1026" s="1">
        <f t="shared" ref="D1026:D1089" si="16">MONTH(B1026)</f>
        <v>8</v>
      </c>
    </row>
    <row r="1027" spans="1:4" x14ac:dyDescent="0.35">
      <c r="A1027" s="1">
        <v>45506</v>
      </c>
      <c r="B1027" s="2">
        <v>46263</v>
      </c>
      <c r="C1027" s="1" t="s">
        <v>10</v>
      </c>
      <c r="D1027" s="1">
        <f t="shared" si="16"/>
        <v>8</v>
      </c>
    </row>
    <row r="1028" spans="1:4" x14ac:dyDescent="0.35">
      <c r="A1028" s="1">
        <v>45505</v>
      </c>
      <c r="B1028" s="2">
        <v>46263</v>
      </c>
      <c r="C1028" s="1" t="s">
        <v>10</v>
      </c>
      <c r="D1028" s="1">
        <f t="shared" si="16"/>
        <v>8</v>
      </c>
    </row>
    <row r="1029" spans="1:4" x14ac:dyDescent="0.35">
      <c r="A1029" s="1">
        <v>45504</v>
      </c>
      <c r="B1029" s="2">
        <v>46263</v>
      </c>
      <c r="C1029" s="1" t="s">
        <v>15</v>
      </c>
      <c r="D1029" s="1">
        <f t="shared" si="16"/>
        <v>8</v>
      </c>
    </row>
    <row r="1030" spans="1:4" x14ac:dyDescent="0.35">
      <c r="A1030" s="1">
        <v>45503</v>
      </c>
      <c r="B1030" s="2">
        <v>46263</v>
      </c>
      <c r="C1030" s="1" t="s">
        <v>8</v>
      </c>
      <c r="D1030" s="1">
        <f t="shared" si="16"/>
        <v>8</v>
      </c>
    </row>
    <row r="1031" spans="1:4" x14ac:dyDescent="0.35">
      <c r="A1031" s="1">
        <v>45502</v>
      </c>
      <c r="B1031" s="2">
        <v>46263</v>
      </c>
      <c r="C1031" s="1" t="s">
        <v>8</v>
      </c>
      <c r="D1031" s="1">
        <f t="shared" si="16"/>
        <v>8</v>
      </c>
    </row>
    <row r="1032" spans="1:4" x14ac:dyDescent="0.35">
      <c r="A1032" s="1">
        <v>45531</v>
      </c>
      <c r="B1032" s="2">
        <v>46264</v>
      </c>
      <c r="C1032" s="1" t="s">
        <v>17</v>
      </c>
      <c r="D1032" s="1">
        <f t="shared" si="16"/>
        <v>8</v>
      </c>
    </row>
    <row r="1033" spans="1:4" x14ac:dyDescent="0.35">
      <c r="A1033" s="1">
        <v>45530</v>
      </c>
      <c r="B1033" s="2">
        <v>46264</v>
      </c>
      <c r="C1033" s="1" t="s">
        <v>17</v>
      </c>
      <c r="D1033" s="1">
        <f t="shared" si="16"/>
        <v>8</v>
      </c>
    </row>
    <row r="1034" spans="1:4" x14ac:dyDescent="0.35">
      <c r="A1034" s="1">
        <v>45533</v>
      </c>
      <c r="B1034" s="2">
        <v>46265</v>
      </c>
      <c r="C1034" s="1" t="s">
        <v>8</v>
      </c>
      <c r="D1034" s="1">
        <f t="shared" si="16"/>
        <v>8</v>
      </c>
    </row>
    <row r="1035" spans="1:4" x14ac:dyDescent="0.35">
      <c r="A1035" s="1">
        <v>45532</v>
      </c>
      <c r="B1035" s="2">
        <v>46265</v>
      </c>
      <c r="C1035" s="1" t="s">
        <v>8</v>
      </c>
      <c r="D1035" s="1">
        <f t="shared" si="16"/>
        <v>8</v>
      </c>
    </row>
    <row r="1036" spans="1:4" x14ac:dyDescent="0.35">
      <c r="A1036" s="1">
        <v>45607</v>
      </c>
      <c r="B1036" s="2">
        <v>46265</v>
      </c>
      <c r="C1036" s="1" t="s">
        <v>9</v>
      </c>
      <c r="D1036" s="1">
        <f t="shared" si="16"/>
        <v>8</v>
      </c>
    </row>
    <row r="1037" spans="1:4" x14ac:dyDescent="0.35">
      <c r="A1037" s="1">
        <v>45606</v>
      </c>
      <c r="B1037" s="2">
        <v>46265</v>
      </c>
      <c r="C1037" s="1" t="s">
        <v>9</v>
      </c>
      <c r="D1037" s="1">
        <f t="shared" si="16"/>
        <v>8</v>
      </c>
    </row>
    <row r="1038" spans="1:4" x14ac:dyDescent="0.35">
      <c r="A1038" s="1">
        <v>45605</v>
      </c>
      <c r="B1038" s="2">
        <v>46265</v>
      </c>
      <c r="C1038" s="1" t="s">
        <v>9</v>
      </c>
      <c r="D1038" s="1">
        <f t="shared" si="16"/>
        <v>8</v>
      </c>
    </row>
    <row r="1039" spans="1:4" x14ac:dyDescent="0.35">
      <c r="A1039" s="1">
        <v>45604</v>
      </c>
      <c r="B1039" s="2">
        <v>46265</v>
      </c>
      <c r="C1039" s="1" t="s">
        <v>9</v>
      </c>
      <c r="D1039" s="1">
        <f t="shared" si="16"/>
        <v>8</v>
      </c>
    </row>
    <row r="1040" spans="1:4" x14ac:dyDescent="0.35">
      <c r="A1040" s="1">
        <v>45603</v>
      </c>
      <c r="B1040" s="2">
        <v>46265</v>
      </c>
      <c r="C1040" s="1" t="s">
        <v>9</v>
      </c>
      <c r="D1040" s="1">
        <f t="shared" si="16"/>
        <v>8</v>
      </c>
    </row>
    <row r="1041" spans="1:4" x14ac:dyDescent="0.35">
      <c r="A1041" s="1">
        <v>45602</v>
      </c>
      <c r="B1041" s="2">
        <v>46265</v>
      </c>
      <c r="C1041" s="1" t="s">
        <v>16</v>
      </c>
      <c r="D1041" s="1">
        <f t="shared" si="16"/>
        <v>8</v>
      </c>
    </row>
    <row r="1042" spans="1:4" x14ac:dyDescent="0.35">
      <c r="A1042" s="1">
        <v>45601</v>
      </c>
      <c r="B1042" s="2">
        <v>46265</v>
      </c>
      <c r="C1042" s="1" t="s">
        <v>16</v>
      </c>
      <c r="D1042" s="1">
        <f t="shared" si="16"/>
        <v>8</v>
      </c>
    </row>
    <row r="1043" spans="1:4" x14ac:dyDescent="0.35">
      <c r="A1043" s="1">
        <v>45599</v>
      </c>
      <c r="B1043" s="2">
        <v>46265</v>
      </c>
      <c r="C1043" s="1" t="s">
        <v>24</v>
      </c>
      <c r="D1043" s="1">
        <f t="shared" si="16"/>
        <v>8</v>
      </c>
    </row>
    <row r="1044" spans="1:4" x14ac:dyDescent="0.35">
      <c r="A1044" s="1">
        <v>45598</v>
      </c>
      <c r="B1044" s="2">
        <v>46265</v>
      </c>
      <c r="C1044" s="1" t="s">
        <v>24</v>
      </c>
      <c r="D1044" s="1">
        <f t="shared" si="16"/>
        <v>8</v>
      </c>
    </row>
    <row r="1045" spans="1:4" x14ac:dyDescent="0.35">
      <c r="A1045" s="1">
        <v>45597</v>
      </c>
      <c r="B1045" s="2">
        <v>46265</v>
      </c>
      <c r="C1045" s="1" t="s">
        <v>24</v>
      </c>
      <c r="D1045" s="1">
        <f t="shared" si="16"/>
        <v>8</v>
      </c>
    </row>
    <row r="1046" spans="1:4" x14ac:dyDescent="0.35">
      <c r="A1046" s="1">
        <v>45596</v>
      </c>
      <c r="B1046" s="2">
        <v>46265</v>
      </c>
      <c r="C1046" s="1" t="s">
        <v>24</v>
      </c>
      <c r="D1046" s="1">
        <f t="shared" si="16"/>
        <v>8</v>
      </c>
    </row>
    <row r="1047" spans="1:4" x14ac:dyDescent="0.35">
      <c r="A1047" s="1">
        <v>45595</v>
      </c>
      <c r="B1047" s="2">
        <v>46265</v>
      </c>
      <c r="C1047" s="1" t="s">
        <v>21</v>
      </c>
      <c r="D1047" s="1">
        <f t="shared" si="16"/>
        <v>8</v>
      </c>
    </row>
    <row r="1048" spans="1:4" x14ac:dyDescent="0.35">
      <c r="A1048" s="1">
        <v>45594</v>
      </c>
      <c r="B1048" s="2">
        <v>46265</v>
      </c>
      <c r="C1048" s="1" t="s">
        <v>24</v>
      </c>
      <c r="D1048" s="1">
        <f t="shared" si="16"/>
        <v>8</v>
      </c>
    </row>
    <row r="1049" spans="1:4" x14ac:dyDescent="0.35">
      <c r="A1049" s="1">
        <v>45593</v>
      </c>
      <c r="B1049" s="2">
        <v>46265</v>
      </c>
      <c r="C1049" s="1" t="s">
        <v>21</v>
      </c>
      <c r="D1049" s="1">
        <f t="shared" si="16"/>
        <v>8</v>
      </c>
    </row>
    <row r="1050" spans="1:4" x14ac:dyDescent="0.35">
      <c r="A1050" s="1">
        <v>45592</v>
      </c>
      <c r="B1050" s="2">
        <v>46265</v>
      </c>
      <c r="C1050" s="1" t="s">
        <v>22</v>
      </c>
      <c r="D1050" s="1">
        <f t="shared" si="16"/>
        <v>8</v>
      </c>
    </row>
    <row r="1051" spans="1:4" x14ac:dyDescent="0.35">
      <c r="A1051" s="1">
        <v>45591</v>
      </c>
      <c r="B1051" s="2">
        <v>46265</v>
      </c>
      <c r="C1051" s="1" t="s">
        <v>22</v>
      </c>
      <c r="D1051" s="1">
        <f t="shared" si="16"/>
        <v>8</v>
      </c>
    </row>
    <row r="1052" spans="1:4" x14ac:dyDescent="0.35">
      <c r="A1052" s="1">
        <v>45590</v>
      </c>
      <c r="B1052" s="2">
        <v>46265</v>
      </c>
      <c r="C1052" s="1" t="s">
        <v>22</v>
      </c>
      <c r="D1052" s="1">
        <f t="shared" si="16"/>
        <v>8</v>
      </c>
    </row>
    <row r="1053" spans="1:4" x14ac:dyDescent="0.35">
      <c r="A1053" s="1">
        <v>45589</v>
      </c>
      <c r="B1053" s="2">
        <v>46265</v>
      </c>
      <c r="C1053" s="1" t="s">
        <v>22</v>
      </c>
      <c r="D1053" s="1">
        <f t="shared" si="16"/>
        <v>8</v>
      </c>
    </row>
    <row r="1054" spans="1:4" x14ac:dyDescent="0.35">
      <c r="A1054" s="1">
        <v>45588</v>
      </c>
      <c r="B1054" s="2">
        <v>46265</v>
      </c>
      <c r="C1054" s="1" t="s">
        <v>22</v>
      </c>
      <c r="D1054" s="1">
        <f t="shared" si="16"/>
        <v>8</v>
      </c>
    </row>
    <row r="1055" spans="1:4" x14ac:dyDescent="0.35">
      <c r="A1055" s="1">
        <v>45587</v>
      </c>
      <c r="B1055" s="2">
        <v>46265</v>
      </c>
      <c r="C1055" s="1" t="s">
        <v>22</v>
      </c>
      <c r="D1055" s="1">
        <f t="shared" si="16"/>
        <v>8</v>
      </c>
    </row>
    <row r="1056" spans="1:4" x14ac:dyDescent="0.35">
      <c r="A1056" s="1">
        <v>45586</v>
      </c>
      <c r="B1056" s="2">
        <v>46265</v>
      </c>
      <c r="C1056" s="1" t="s">
        <v>19</v>
      </c>
      <c r="D1056" s="1">
        <f t="shared" si="16"/>
        <v>8</v>
      </c>
    </row>
    <row r="1057" spans="1:4" x14ac:dyDescent="0.35">
      <c r="A1057" s="1">
        <v>45585</v>
      </c>
      <c r="B1057" s="2">
        <v>46265</v>
      </c>
      <c r="C1057" s="1" t="s">
        <v>22</v>
      </c>
      <c r="D1057" s="1">
        <f t="shared" si="16"/>
        <v>8</v>
      </c>
    </row>
    <row r="1058" spans="1:4" x14ac:dyDescent="0.35">
      <c r="A1058" s="1">
        <v>45584</v>
      </c>
      <c r="B1058" s="2">
        <v>46265</v>
      </c>
      <c r="C1058" s="1" t="s">
        <v>22</v>
      </c>
      <c r="D1058" s="1">
        <f t="shared" si="16"/>
        <v>8</v>
      </c>
    </row>
    <row r="1059" spans="1:4" x14ac:dyDescent="0.35">
      <c r="A1059" s="1">
        <v>45583</v>
      </c>
      <c r="B1059" s="2">
        <v>46265</v>
      </c>
      <c r="C1059" s="1" t="s">
        <v>19</v>
      </c>
      <c r="D1059" s="1">
        <f t="shared" si="16"/>
        <v>8</v>
      </c>
    </row>
    <row r="1060" spans="1:4" x14ac:dyDescent="0.35">
      <c r="A1060" s="1">
        <v>45582</v>
      </c>
      <c r="B1060" s="2">
        <v>46265</v>
      </c>
      <c r="C1060" s="1" t="s">
        <v>22</v>
      </c>
      <c r="D1060" s="1">
        <f t="shared" si="16"/>
        <v>8</v>
      </c>
    </row>
    <row r="1061" spans="1:4" x14ac:dyDescent="0.35">
      <c r="A1061" s="1">
        <v>45581</v>
      </c>
      <c r="B1061" s="2">
        <v>46265</v>
      </c>
      <c r="C1061" s="1" t="s">
        <v>19</v>
      </c>
      <c r="D1061" s="1">
        <f t="shared" si="16"/>
        <v>8</v>
      </c>
    </row>
    <row r="1062" spans="1:4" x14ac:dyDescent="0.35">
      <c r="A1062" s="1">
        <v>45580</v>
      </c>
      <c r="B1062" s="2">
        <v>46265</v>
      </c>
      <c r="C1062" s="1" t="s">
        <v>22</v>
      </c>
      <c r="D1062" s="1">
        <f t="shared" si="16"/>
        <v>8</v>
      </c>
    </row>
    <row r="1063" spans="1:4" x14ac:dyDescent="0.35">
      <c r="A1063" s="1">
        <v>45579</v>
      </c>
      <c r="B1063" s="2">
        <v>46265</v>
      </c>
      <c r="C1063" s="1" t="s">
        <v>19</v>
      </c>
      <c r="D1063" s="1">
        <f t="shared" si="16"/>
        <v>8</v>
      </c>
    </row>
    <row r="1064" spans="1:4" x14ac:dyDescent="0.35">
      <c r="A1064" s="1">
        <v>45578</v>
      </c>
      <c r="B1064" s="2">
        <v>46265</v>
      </c>
      <c r="C1064" s="1" t="s">
        <v>22</v>
      </c>
      <c r="D1064" s="1">
        <f t="shared" si="16"/>
        <v>8</v>
      </c>
    </row>
    <row r="1065" spans="1:4" x14ac:dyDescent="0.35">
      <c r="A1065" s="1">
        <v>45577</v>
      </c>
      <c r="B1065" s="2">
        <v>46265</v>
      </c>
      <c r="C1065" s="1" t="s">
        <v>22</v>
      </c>
      <c r="D1065" s="1">
        <f t="shared" si="16"/>
        <v>8</v>
      </c>
    </row>
    <row r="1066" spans="1:4" x14ac:dyDescent="0.35">
      <c r="A1066" s="1">
        <v>45576</v>
      </c>
      <c r="B1066" s="2">
        <v>46265</v>
      </c>
      <c r="C1066" s="1" t="s">
        <v>7</v>
      </c>
      <c r="D1066" s="1">
        <f t="shared" si="16"/>
        <v>8</v>
      </c>
    </row>
    <row r="1067" spans="1:4" x14ac:dyDescent="0.35">
      <c r="A1067" s="1">
        <v>45575</v>
      </c>
      <c r="B1067" s="2">
        <v>46265</v>
      </c>
      <c r="C1067" s="1" t="s">
        <v>22</v>
      </c>
      <c r="D1067" s="1">
        <f t="shared" si="16"/>
        <v>8</v>
      </c>
    </row>
    <row r="1068" spans="1:4" x14ac:dyDescent="0.35">
      <c r="A1068" s="1">
        <v>45574</v>
      </c>
      <c r="B1068" s="2">
        <v>46265</v>
      </c>
      <c r="C1068" s="1" t="s">
        <v>22</v>
      </c>
      <c r="D1068" s="1">
        <f t="shared" si="16"/>
        <v>8</v>
      </c>
    </row>
    <row r="1069" spans="1:4" x14ac:dyDescent="0.35">
      <c r="A1069" s="1">
        <v>45573</v>
      </c>
      <c r="B1069" s="2">
        <v>46265</v>
      </c>
      <c r="C1069" s="1" t="s">
        <v>22</v>
      </c>
      <c r="D1069" s="1">
        <f t="shared" si="16"/>
        <v>8</v>
      </c>
    </row>
    <row r="1070" spans="1:4" x14ac:dyDescent="0.35">
      <c r="A1070" s="1">
        <v>45572</v>
      </c>
      <c r="B1070" s="2">
        <v>46265</v>
      </c>
      <c r="C1070" s="1" t="s">
        <v>22</v>
      </c>
      <c r="D1070" s="1">
        <f t="shared" si="16"/>
        <v>8</v>
      </c>
    </row>
    <row r="1071" spans="1:4" x14ac:dyDescent="0.35">
      <c r="A1071" s="1">
        <v>45571</v>
      </c>
      <c r="B1071" s="2">
        <v>46265</v>
      </c>
      <c r="C1071" s="1" t="s">
        <v>22</v>
      </c>
      <c r="D1071" s="1">
        <f t="shared" si="16"/>
        <v>8</v>
      </c>
    </row>
    <row r="1072" spans="1:4" x14ac:dyDescent="0.35">
      <c r="A1072" s="1">
        <v>45570</v>
      </c>
      <c r="B1072" s="2">
        <v>46265</v>
      </c>
      <c r="C1072" s="1" t="s">
        <v>7</v>
      </c>
      <c r="D1072" s="1">
        <f t="shared" si="16"/>
        <v>8</v>
      </c>
    </row>
    <row r="1073" spans="1:4" x14ac:dyDescent="0.35">
      <c r="A1073" s="1">
        <v>45569</v>
      </c>
      <c r="B1073" s="2">
        <v>46265</v>
      </c>
      <c r="C1073" s="1" t="s">
        <v>22</v>
      </c>
      <c r="D1073" s="1">
        <f t="shared" si="16"/>
        <v>8</v>
      </c>
    </row>
    <row r="1074" spans="1:4" x14ac:dyDescent="0.35">
      <c r="A1074" s="1">
        <v>45568</v>
      </c>
      <c r="B1074" s="2">
        <v>46265</v>
      </c>
      <c r="C1074" s="1" t="s">
        <v>22</v>
      </c>
      <c r="D1074" s="1">
        <f t="shared" si="16"/>
        <v>8</v>
      </c>
    </row>
    <row r="1075" spans="1:4" x14ac:dyDescent="0.35">
      <c r="A1075" s="1">
        <v>45567</v>
      </c>
      <c r="B1075" s="2">
        <v>46265</v>
      </c>
      <c r="C1075" s="1" t="s">
        <v>22</v>
      </c>
      <c r="D1075" s="1">
        <f t="shared" si="16"/>
        <v>8</v>
      </c>
    </row>
    <row r="1076" spans="1:4" x14ac:dyDescent="0.35">
      <c r="A1076" s="1">
        <v>45566</v>
      </c>
      <c r="B1076" s="2">
        <v>46265</v>
      </c>
      <c r="C1076" s="1" t="s">
        <v>22</v>
      </c>
      <c r="D1076" s="1">
        <f t="shared" si="16"/>
        <v>8</v>
      </c>
    </row>
    <row r="1077" spans="1:4" x14ac:dyDescent="0.35">
      <c r="A1077" s="1">
        <v>45565</v>
      </c>
      <c r="B1077" s="2">
        <v>46265</v>
      </c>
      <c r="C1077" s="1" t="s">
        <v>22</v>
      </c>
      <c r="D1077" s="1">
        <f t="shared" si="16"/>
        <v>8</v>
      </c>
    </row>
    <row r="1078" spans="1:4" x14ac:dyDescent="0.35">
      <c r="A1078" s="1">
        <v>45564</v>
      </c>
      <c r="B1078" s="2">
        <v>46265</v>
      </c>
      <c r="C1078" s="1" t="s">
        <v>22</v>
      </c>
      <c r="D1078" s="1">
        <f t="shared" si="16"/>
        <v>8</v>
      </c>
    </row>
    <row r="1079" spans="1:4" x14ac:dyDescent="0.35">
      <c r="A1079" s="1">
        <v>45563</v>
      </c>
      <c r="B1079" s="2">
        <v>46265</v>
      </c>
      <c r="C1079" s="1" t="s">
        <v>22</v>
      </c>
      <c r="D1079" s="1">
        <f t="shared" si="16"/>
        <v>8</v>
      </c>
    </row>
    <row r="1080" spans="1:4" x14ac:dyDescent="0.35">
      <c r="A1080" s="1">
        <v>45562</v>
      </c>
      <c r="B1080" s="2">
        <v>46265</v>
      </c>
      <c r="C1080" s="1" t="s">
        <v>22</v>
      </c>
      <c r="D1080" s="1">
        <f t="shared" si="16"/>
        <v>8</v>
      </c>
    </row>
    <row r="1081" spans="1:4" x14ac:dyDescent="0.35">
      <c r="A1081" s="1">
        <v>45560</v>
      </c>
      <c r="B1081" s="2">
        <v>46265</v>
      </c>
      <c r="C1081" s="1" t="s">
        <v>22</v>
      </c>
      <c r="D1081" s="1">
        <f t="shared" si="16"/>
        <v>8</v>
      </c>
    </row>
    <row r="1082" spans="1:4" x14ac:dyDescent="0.35">
      <c r="A1082" s="1">
        <v>45559</v>
      </c>
      <c r="B1082" s="2">
        <v>46265</v>
      </c>
      <c r="C1082" s="1" t="s">
        <v>22</v>
      </c>
      <c r="D1082" s="1">
        <f t="shared" si="16"/>
        <v>8</v>
      </c>
    </row>
    <row r="1083" spans="1:4" x14ac:dyDescent="0.35">
      <c r="A1083" s="1">
        <v>45557</v>
      </c>
      <c r="B1083" s="2">
        <v>46265</v>
      </c>
      <c r="C1083" s="1" t="s">
        <v>22</v>
      </c>
      <c r="D1083" s="1">
        <f t="shared" si="16"/>
        <v>8</v>
      </c>
    </row>
    <row r="1084" spans="1:4" x14ac:dyDescent="0.35">
      <c r="A1084" s="1">
        <v>45556</v>
      </c>
      <c r="B1084" s="2">
        <v>46265</v>
      </c>
      <c r="C1084" s="1" t="s">
        <v>22</v>
      </c>
      <c r="D1084" s="1">
        <f t="shared" si="16"/>
        <v>8</v>
      </c>
    </row>
    <row r="1085" spans="1:4" x14ac:dyDescent="0.35">
      <c r="A1085" s="1">
        <v>45555</v>
      </c>
      <c r="B1085" s="2">
        <v>46265</v>
      </c>
      <c r="C1085" s="1" t="s">
        <v>22</v>
      </c>
      <c r="D1085" s="1">
        <f t="shared" si="16"/>
        <v>8</v>
      </c>
    </row>
    <row r="1086" spans="1:4" x14ac:dyDescent="0.35">
      <c r="A1086" s="1">
        <v>45554</v>
      </c>
      <c r="B1086" s="2">
        <v>46265</v>
      </c>
      <c r="C1086" s="1" t="s">
        <v>22</v>
      </c>
      <c r="D1086" s="1">
        <f t="shared" si="16"/>
        <v>8</v>
      </c>
    </row>
    <row r="1087" spans="1:4" x14ac:dyDescent="0.35">
      <c r="A1087" s="1">
        <v>45552</v>
      </c>
      <c r="B1087" s="2">
        <v>46265</v>
      </c>
      <c r="C1087" s="1" t="s">
        <v>22</v>
      </c>
      <c r="D1087" s="1">
        <f t="shared" si="16"/>
        <v>8</v>
      </c>
    </row>
    <row r="1088" spans="1:4" x14ac:dyDescent="0.35">
      <c r="A1088" s="1">
        <v>45549</v>
      </c>
      <c r="B1088" s="2">
        <v>46265</v>
      </c>
      <c r="C1088" s="1" t="s">
        <v>22</v>
      </c>
      <c r="D1088" s="1">
        <f t="shared" si="16"/>
        <v>8</v>
      </c>
    </row>
    <row r="1089" spans="1:4" x14ac:dyDescent="0.35">
      <c r="A1089" s="1">
        <v>45547</v>
      </c>
      <c r="B1089" s="2">
        <v>46265</v>
      </c>
      <c r="C1089" s="1" t="s">
        <v>22</v>
      </c>
      <c r="D1089" s="1">
        <f t="shared" si="16"/>
        <v>8</v>
      </c>
    </row>
    <row r="1090" spans="1:4" x14ac:dyDescent="0.35">
      <c r="A1090" s="1">
        <v>45545</v>
      </c>
      <c r="B1090" s="2">
        <v>46265</v>
      </c>
      <c r="C1090" s="1" t="s">
        <v>21</v>
      </c>
      <c r="D1090" s="1">
        <f t="shared" ref="D1090:D1153" si="17">MONTH(B1090)</f>
        <v>8</v>
      </c>
    </row>
    <row r="1091" spans="1:4" x14ac:dyDescent="0.35">
      <c r="A1091" s="1">
        <v>45544</v>
      </c>
      <c r="B1091" s="2">
        <v>46265</v>
      </c>
      <c r="C1091" s="1" t="s">
        <v>22</v>
      </c>
      <c r="D1091" s="1">
        <f t="shared" si="17"/>
        <v>8</v>
      </c>
    </row>
    <row r="1092" spans="1:4" x14ac:dyDescent="0.35">
      <c r="A1092" s="1">
        <v>45543</v>
      </c>
      <c r="B1092" s="2">
        <v>46265</v>
      </c>
      <c r="C1092" s="1" t="s">
        <v>21</v>
      </c>
      <c r="D1092" s="1">
        <f t="shared" si="17"/>
        <v>8</v>
      </c>
    </row>
    <row r="1093" spans="1:4" x14ac:dyDescent="0.35">
      <c r="A1093" s="1">
        <v>45542</v>
      </c>
      <c r="B1093" s="2">
        <v>46265</v>
      </c>
      <c r="C1093" s="1" t="s">
        <v>17</v>
      </c>
      <c r="D1093" s="1">
        <f t="shared" si="17"/>
        <v>8</v>
      </c>
    </row>
    <row r="1094" spans="1:4" x14ac:dyDescent="0.35">
      <c r="A1094" s="1">
        <v>45541</v>
      </c>
      <c r="B1094" s="2">
        <v>46265</v>
      </c>
      <c r="C1094" s="1" t="s">
        <v>17</v>
      </c>
      <c r="D1094" s="1">
        <f t="shared" si="17"/>
        <v>8</v>
      </c>
    </row>
    <row r="1095" spans="1:4" x14ac:dyDescent="0.35">
      <c r="A1095" s="1">
        <v>45539</v>
      </c>
      <c r="B1095" s="2">
        <v>46265</v>
      </c>
      <c r="C1095" s="1" t="s">
        <v>21</v>
      </c>
      <c r="D1095" s="1">
        <f t="shared" si="17"/>
        <v>8</v>
      </c>
    </row>
    <row r="1096" spans="1:4" x14ac:dyDescent="0.35">
      <c r="A1096" s="1">
        <v>45538</v>
      </c>
      <c r="B1096" s="2">
        <v>46265</v>
      </c>
      <c r="C1096" s="1" t="s">
        <v>21</v>
      </c>
      <c r="D1096" s="1">
        <f t="shared" si="17"/>
        <v>8</v>
      </c>
    </row>
    <row r="1097" spans="1:4" x14ac:dyDescent="0.35">
      <c r="A1097" s="1">
        <v>45536</v>
      </c>
      <c r="B1097" s="2">
        <v>46265</v>
      </c>
      <c r="C1097" s="1" t="s">
        <v>6</v>
      </c>
      <c r="D1097" s="1">
        <f t="shared" si="17"/>
        <v>8</v>
      </c>
    </row>
    <row r="1098" spans="1:4" x14ac:dyDescent="0.35">
      <c r="A1098" s="1">
        <v>45535</v>
      </c>
      <c r="B1098" s="2">
        <v>46265</v>
      </c>
      <c r="C1098" s="1" t="s">
        <v>6</v>
      </c>
      <c r="D1098" s="1">
        <f t="shared" si="17"/>
        <v>8</v>
      </c>
    </row>
    <row r="1099" spans="1:4" x14ac:dyDescent="0.35">
      <c r="A1099" s="1">
        <v>45657</v>
      </c>
      <c r="B1099" s="2">
        <v>46266</v>
      </c>
      <c r="C1099" s="1" t="s">
        <v>20</v>
      </c>
      <c r="D1099" s="1">
        <f t="shared" si="17"/>
        <v>9</v>
      </c>
    </row>
    <row r="1100" spans="1:4" x14ac:dyDescent="0.35">
      <c r="A1100" s="1">
        <v>45656</v>
      </c>
      <c r="B1100" s="2">
        <v>46266</v>
      </c>
      <c r="C1100" s="1" t="s">
        <v>20</v>
      </c>
      <c r="D1100" s="1">
        <f t="shared" si="17"/>
        <v>9</v>
      </c>
    </row>
    <row r="1101" spans="1:4" x14ac:dyDescent="0.35">
      <c r="A1101" s="1">
        <v>45655</v>
      </c>
      <c r="B1101" s="2">
        <v>46266</v>
      </c>
      <c r="C1101" s="1" t="s">
        <v>10</v>
      </c>
      <c r="D1101" s="1">
        <f t="shared" si="17"/>
        <v>9</v>
      </c>
    </row>
    <row r="1102" spans="1:4" x14ac:dyDescent="0.35">
      <c r="A1102" s="1">
        <v>45654</v>
      </c>
      <c r="B1102" s="2">
        <v>46266</v>
      </c>
      <c r="C1102" s="1" t="s">
        <v>10</v>
      </c>
      <c r="D1102" s="1">
        <f t="shared" si="17"/>
        <v>9</v>
      </c>
    </row>
    <row r="1103" spans="1:4" x14ac:dyDescent="0.35">
      <c r="A1103" s="1">
        <v>45650</v>
      </c>
      <c r="B1103" s="2">
        <v>46266</v>
      </c>
      <c r="C1103" s="1" t="s">
        <v>16</v>
      </c>
      <c r="D1103" s="1">
        <f t="shared" si="17"/>
        <v>9</v>
      </c>
    </row>
    <row r="1104" spans="1:4" x14ac:dyDescent="0.35">
      <c r="A1104" s="1">
        <v>45649</v>
      </c>
      <c r="B1104" s="2">
        <v>46266</v>
      </c>
      <c r="C1104" s="1" t="s">
        <v>16</v>
      </c>
      <c r="D1104" s="1">
        <f t="shared" si="17"/>
        <v>9</v>
      </c>
    </row>
    <row r="1105" spans="1:4" x14ac:dyDescent="0.35">
      <c r="A1105" s="1">
        <v>45646</v>
      </c>
      <c r="B1105" s="2">
        <v>46266</v>
      </c>
      <c r="C1105" s="1" t="s">
        <v>11</v>
      </c>
      <c r="D1105" s="1">
        <f t="shared" si="17"/>
        <v>9</v>
      </c>
    </row>
    <row r="1106" spans="1:4" x14ac:dyDescent="0.35">
      <c r="A1106" s="1">
        <v>45645</v>
      </c>
      <c r="B1106" s="2">
        <v>46266</v>
      </c>
      <c r="C1106" s="1" t="s">
        <v>11</v>
      </c>
      <c r="D1106" s="1">
        <f t="shared" si="17"/>
        <v>9</v>
      </c>
    </row>
    <row r="1107" spans="1:4" x14ac:dyDescent="0.35">
      <c r="A1107" s="1">
        <v>45644</v>
      </c>
      <c r="B1107" s="2">
        <v>46266</v>
      </c>
      <c r="C1107" s="1" t="s">
        <v>9</v>
      </c>
      <c r="D1107" s="1">
        <f t="shared" si="17"/>
        <v>9</v>
      </c>
    </row>
    <row r="1108" spans="1:4" x14ac:dyDescent="0.35">
      <c r="A1108" s="1">
        <v>45643</v>
      </c>
      <c r="B1108" s="2">
        <v>46266</v>
      </c>
      <c r="C1108" s="1" t="s">
        <v>9</v>
      </c>
      <c r="D1108" s="1">
        <f t="shared" si="17"/>
        <v>9</v>
      </c>
    </row>
    <row r="1109" spans="1:4" x14ac:dyDescent="0.35">
      <c r="A1109" s="1">
        <v>45642</v>
      </c>
      <c r="B1109" s="2">
        <v>46266</v>
      </c>
      <c r="C1109" s="1" t="s">
        <v>9</v>
      </c>
      <c r="D1109" s="1">
        <f t="shared" si="17"/>
        <v>9</v>
      </c>
    </row>
    <row r="1110" spans="1:4" x14ac:dyDescent="0.35">
      <c r="A1110" s="1">
        <v>45641</v>
      </c>
      <c r="B1110" s="2">
        <v>46266</v>
      </c>
      <c r="C1110" s="1" t="s">
        <v>9</v>
      </c>
      <c r="D1110" s="1">
        <f t="shared" si="17"/>
        <v>9</v>
      </c>
    </row>
    <row r="1111" spans="1:4" x14ac:dyDescent="0.35">
      <c r="A1111" s="1">
        <v>45631</v>
      </c>
      <c r="B1111" s="2">
        <v>46266</v>
      </c>
      <c r="C1111" s="1" t="s">
        <v>24</v>
      </c>
      <c r="D1111" s="1">
        <f t="shared" si="17"/>
        <v>9</v>
      </c>
    </row>
    <row r="1112" spans="1:4" x14ac:dyDescent="0.35">
      <c r="A1112" s="1">
        <v>45630</v>
      </c>
      <c r="B1112" s="2">
        <v>46266</v>
      </c>
      <c r="C1112" s="1" t="s">
        <v>24</v>
      </c>
      <c r="D1112" s="1">
        <f t="shared" si="17"/>
        <v>9</v>
      </c>
    </row>
    <row r="1113" spans="1:4" x14ac:dyDescent="0.35">
      <c r="A1113" s="1">
        <v>45628</v>
      </c>
      <c r="B1113" s="2">
        <v>46266</v>
      </c>
      <c r="C1113" s="1" t="s">
        <v>24</v>
      </c>
      <c r="D1113" s="1">
        <f t="shared" si="17"/>
        <v>9</v>
      </c>
    </row>
    <row r="1114" spans="1:4" x14ac:dyDescent="0.35">
      <c r="A1114" s="1">
        <v>45627</v>
      </c>
      <c r="B1114" s="2">
        <v>46266</v>
      </c>
      <c r="C1114" s="1" t="s">
        <v>24</v>
      </c>
      <c r="D1114" s="1">
        <f t="shared" si="17"/>
        <v>9</v>
      </c>
    </row>
    <row r="1115" spans="1:4" x14ac:dyDescent="0.35">
      <c r="A1115" s="1">
        <v>45626</v>
      </c>
      <c r="B1115" s="2">
        <v>46266</v>
      </c>
      <c r="C1115" s="1" t="s">
        <v>24</v>
      </c>
      <c r="D1115" s="1">
        <f t="shared" si="17"/>
        <v>9</v>
      </c>
    </row>
    <row r="1116" spans="1:4" x14ac:dyDescent="0.35">
      <c r="A1116" s="1">
        <v>45625</v>
      </c>
      <c r="B1116" s="2">
        <v>46266</v>
      </c>
      <c r="C1116" s="1" t="s">
        <v>17</v>
      </c>
      <c r="D1116" s="1">
        <f t="shared" si="17"/>
        <v>9</v>
      </c>
    </row>
    <row r="1117" spans="1:4" x14ac:dyDescent="0.35">
      <c r="A1117" s="1">
        <v>45624</v>
      </c>
      <c r="B1117" s="2">
        <v>46266</v>
      </c>
      <c r="C1117" s="1" t="s">
        <v>17</v>
      </c>
      <c r="D1117" s="1">
        <f t="shared" si="17"/>
        <v>9</v>
      </c>
    </row>
    <row r="1118" spans="1:4" x14ac:dyDescent="0.35">
      <c r="A1118" s="1">
        <v>45623</v>
      </c>
      <c r="B1118" s="2">
        <v>46266</v>
      </c>
      <c r="C1118" s="1" t="s">
        <v>4</v>
      </c>
      <c r="D1118" s="1">
        <f t="shared" si="17"/>
        <v>9</v>
      </c>
    </row>
    <row r="1119" spans="1:4" x14ac:dyDescent="0.35">
      <c r="A1119" s="1">
        <v>45622</v>
      </c>
      <c r="B1119" s="2">
        <v>46266</v>
      </c>
      <c r="C1119" s="1" t="s">
        <v>4</v>
      </c>
      <c r="D1119" s="1">
        <f t="shared" si="17"/>
        <v>9</v>
      </c>
    </row>
    <row r="1120" spans="1:4" x14ac:dyDescent="0.35">
      <c r="A1120" s="1">
        <v>45621</v>
      </c>
      <c r="B1120" s="2">
        <v>46266</v>
      </c>
      <c r="C1120" s="1" t="s">
        <v>7</v>
      </c>
      <c r="D1120" s="1">
        <f t="shared" si="17"/>
        <v>9</v>
      </c>
    </row>
    <row r="1121" spans="1:4" x14ac:dyDescent="0.35">
      <c r="A1121" s="1">
        <v>45620</v>
      </c>
      <c r="B1121" s="2">
        <v>46266</v>
      </c>
      <c r="C1121" s="1" t="s">
        <v>7</v>
      </c>
      <c r="D1121" s="1">
        <f t="shared" si="17"/>
        <v>9</v>
      </c>
    </row>
    <row r="1122" spans="1:4" x14ac:dyDescent="0.35">
      <c r="A1122" s="1">
        <v>45619</v>
      </c>
      <c r="B1122" s="2">
        <v>46266</v>
      </c>
      <c r="C1122" s="1" t="s">
        <v>8</v>
      </c>
      <c r="D1122" s="1">
        <f t="shared" si="17"/>
        <v>9</v>
      </c>
    </row>
    <row r="1123" spans="1:4" x14ac:dyDescent="0.35">
      <c r="A1123" s="1">
        <v>45618</v>
      </c>
      <c r="B1123" s="2">
        <v>46266</v>
      </c>
      <c r="C1123" s="1" t="s">
        <v>8</v>
      </c>
      <c r="D1123" s="1">
        <f t="shared" si="17"/>
        <v>9</v>
      </c>
    </row>
    <row r="1124" spans="1:4" x14ac:dyDescent="0.35">
      <c r="A1124" s="1">
        <v>45610</v>
      </c>
      <c r="B1124" s="2">
        <v>46266</v>
      </c>
      <c r="C1124" s="1" t="s">
        <v>5</v>
      </c>
      <c r="D1124" s="1">
        <f t="shared" si="17"/>
        <v>9</v>
      </c>
    </row>
    <row r="1125" spans="1:4" x14ac:dyDescent="0.35">
      <c r="A1125" s="1">
        <v>45609</v>
      </c>
      <c r="B1125" s="2">
        <v>46266</v>
      </c>
      <c r="C1125" s="1" t="s">
        <v>5</v>
      </c>
      <c r="D1125" s="1">
        <f t="shared" si="17"/>
        <v>9</v>
      </c>
    </row>
    <row r="1126" spans="1:4" x14ac:dyDescent="0.35">
      <c r="A1126" s="1">
        <v>45608</v>
      </c>
      <c r="B1126" s="2">
        <v>46266</v>
      </c>
      <c r="C1126" s="1" t="s">
        <v>5</v>
      </c>
      <c r="D1126" s="1">
        <f t="shared" si="17"/>
        <v>9</v>
      </c>
    </row>
    <row r="1127" spans="1:4" x14ac:dyDescent="0.35">
      <c r="A1127" s="1">
        <v>45719</v>
      </c>
      <c r="B1127" s="2">
        <v>46267</v>
      </c>
      <c r="C1127" s="1" t="s">
        <v>17</v>
      </c>
      <c r="D1127" s="1">
        <f t="shared" si="17"/>
        <v>9</v>
      </c>
    </row>
    <row r="1128" spans="1:4" x14ac:dyDescent="0.35">
      <c r="A1128" s="1">
        <v>45718</v>
      </c>
      <c r="B1128" s="2">
        <v>46267</v>
      </c>
      <c r="C1128" s="1" t="s">
        <v>17</v>
      </c>
      <c r="D1128" s="1">
        <f t="shared" si="17"/>
        <v>9</v>
      </c>
    </row>
    <row r="1129" spans="1:4" x14ac:dyDescent="0.35">
      <c r="A1129" s="1">
        <v>45708</v>
      </c>
      <c r="B1129" s="2">
        <v>46267</v>
      </c>
      <c r="C1129" s="1" t="s">
        <v>23</v>
      </c>
      <c r="D1129" s="1">
        <f t="shared" si="17"/>
        <v>9</v>
      </c>
    </row>
    <row r="1130" spans="1:4" x14ac:dyDescent="0.35">
      <c r="A1130" s="1">
        <v>45707</v>
      </c>
      <c r="B1130" s="2">
        <v>46267</v>
      </c>
      <c r="C1130" s="1" t="s">
        <v>23</v>
      </c>
      <c r="D1130" s="1">
        <f t="shared" si="17"/>
        <v>9</v>
      </c>
    </row>
    <row r="1131" spans="1:4" x14ac:dyDescent="0.35">
      <c r="A1131" s="1">
        <v>45706</v>
      </c>
      <c r="B1131" s="2">
        <v>46267</v>
      </c>
      <c r="C1131" s="1" t="s">
        <v>9</v>
      </c>
      <c r="D1131" s="1">
        <f t="shared" si="17"/>
        <v>9</v>
      </c>
    </row>
    <row r="1132" spans="1:4" x14ac:dyDescent="0.35">
      <c r="A1132" s="1">
        <v>45705</v>
      </c>
      <c r="B1132" s="2">
        <v>46267</v>
      </c>
      <c r="C1132" s="1" t="s">
        <v>9</v>
      </c>
      <c r="D1132" s="1">
        <f t="shared" si="17"/>
        <v>9</v>
      </c>
    </row>
    <row r="1133" spans="1:4" x14ac:dyDescent="0.35">
      <c r="A1133" s="1">
        <v>45704</v>
      </c>
      <c r="B1133" s="2">
        <v>46267</v>
      </c>
      <c r="C1133" s="1" t="s">
        <v>9</v>
      </c>
      <c r="D1133" s="1">
        <f t="shared" si="17"/>
        <v>9</v>
      </c>
    </row>
    <row r="1134" spans="1:4" x14ac:dyDescent="0.35">
      <c r="A1134" s="1">
        <v>45703</v>
      </c>
      <c r="B1134" s="2">
        <v>46267</v>
      </c>
      <c r="C1134" s="1" t="s">
        <v>9</v>
      </c>
      <c r="D1134" s="1">
        <f t="shared" si="17"/>
        <v>9</v>
      </c>
    </row>
    <row r="1135" spans="1:4" x14ac:dyDescent="0.35">
      <c r="A1135" s="1">
        <v>45702</v>
      </c>
      <c r="B1135" s="2">
        <v>46267</v>
      </c>
      <c r="C1135" s="1" t="s">
        <v>6</v>
      </c>
      <c r="D1135" s="1">
        <f t="shared" si="17"/>
        <v>9</v>
      </c>
    </row>
    <row r="1136" spans="1:4" x14ac:dyDescent="0.35">
      <c r="A1136" s="1">
        <v>45701</v>
      </c>
      <c r="B1136" s="2">
        <v>46267</v>
      </c>
      <c r="C1136" s="1" t="s">
        <v>6</v>
      </c>
      <c r="D1136" s="1">
        <f t="shared" si="17"/>
        <v>9</v>
      </c>
    </row>
    <row r="1137" spans="1:4" x14ac:dyDescent="0.35">
      <c r="A1137" s="1">
        <v>45700</v>
      </c>
      <c r="B1137" s="2">
        <v>46267</v>
      </c>
      <c r="C1137" s="1" t="s">
        <v>16</v>
      </c>
      <c r="D1137" s="1">
        <f t="shared" si="17"/>
        <v>9</v>
      </c>
    </row>
    <row r="1138" spans="1:4" x14ac:dyDescent="0.35">
      <c r="A1138" s="1">
        <v>45699</v>
      </c>
      <c r="B1138" s="2">
        <v>46267</v>
      </c>
      <c r="C1138" s="1" t="s">
        <v>16</v>
      </c>
      <c r="D1138" s="1">
        <f t="shared" si="17"/>
        <v>9</v>
      </c>
    </row>
    <row r="1139" spans="1:4" x14ac:dyDescent="0.35">
      <c r="A1139" s="1">
        <v>45697</v>
      </c>
      <c r="B1139" s="2">
        <v>46267</v>
      </c>
      <c r="C1139" s="1" t="s">
        <v>24</v>
      </c>
      <c r="D1139" s="1">
        <f t="shared" si="17"/>
        <v>9</v>
      </c>
    </row>
    <row r="1140" spans="1:4" x14ac:dyDescent="0.35">
      <c r="A1140" s="1">
        <v>45696</v>
      </c>
      <c r="B1140" s="2">
        <v>46267</v>
      </c>
      <c r="C1140" s="1" t="s">
        <v>24</v>
      </c>
      <c r="D1140" s="1">
        <f t="shared" si="17"/>
        <v>9</v>
      </c>
    </row>
    <row r="1141" spans="1:4" x14ac:dyDescent="0.35">
      <c r="A1141" s="1">
        <v>45695</v>
      </c>
      <c r="B1141" s="2">
        <v>46267</v>
      </c>
      <c r="C1141" s="1" t="s">
        <v>24</v>
      </c>
      <c r="D1141" s="1">
        <f t="shared" si="17"/>
        <v>9</v>
      </c>
    </row>
    <row r="1142" spans="1:4" x14ac:dyDescent="0.35">
      <c r="A1142" s="1">
        <v>45694</v>
      </c>
      <c r="B1142" s="2">
        <v>46267</v>
      </c>
      <c r="C1142" s="1" t="s">
        <v>24</v>
      </c>
      <c r="D1142" s="1">
        <f t="shared" si="17"/>
        <v>9</v>
      </c>
    </row>
    <row r="1143" spans="1:4" x14ac:dyDescent="0.35">
      <c r="A1143" s="1">
        <v>45693</v>
      </c>
      <c r="B1143" s="2">
        <v>46267</v>
      </c>
      <c r="C1143" s="1" t="s">
        <v>24</v>
      </c>
      <c r="D1143" s="1">
        <f t="shared" si="17"/>
        <v>9</v>
      </c>
    </row>
    <row r="1144" spans="1:4" x14ac:dyDescent="0.35">
      <c r="A1144" s="1">
        <v>45685</v>
      </c>
      <c r="B1144" s="2">
        <v>46267</v>
      </c>
      <c r="C1144" s="1" t="s">
        <v>21</v>
      </c>
      <c r="D1144" s="1">
        <f t="shared" si="17"/>
        <v>9</v>
      </c>
    </row>
    <row r="1145" spans="1:4" x14ac:dyDescent="0.35">
      <c r="A1145" s="1">
        <v>45683</v>
      </c>
      <c r="B1145" s="2">
        <v>46267</v>
      </c>
      <c r="C1145" s="1" t="s">
        <v>21</v>
      </c>
      <c r="D1145" s="1">
        <f t="shared" si="17"/>
        <v>9</v>
      </c>
    </row>
    <row r="1146" spans="1:4" x14ac:dyDescent="0.35">
      <c r="A1146" s="1">
        <v>45676</v>
      </c>
      <c r="B1146" s="2">
        <v>46267</v>
      </c>
      <c r="C1146" s="1" t="s">
        <v>7</v>
      </c>
      <c r="D1146" s="1">
        <f t="shared" si="17"/>
        <v>9</v>
      </c>
    </row>
    <row r="1147" spans="1:4" x14ac:dyDescent="0.35">
      <c r="A1147" s="1">
        <v>45675</v>
      </c>
      <c r="B1147" s="2">
        <v>46267</v>
      </c>
      <c r="C1147" s="1" t="s">
        <v>7</v>
      </c>
      <c r="D1147" s="1">
        <f t="shared" si="17"/>
        <v>9</v>
      </c>
    </row>
    <row r="1148" spans="1:4" x14ac:dyDescent="0.35">
      <c r="A1148" s="1">
        <v>45674</v>
      </c>
      <c r="B1148" s="2">
        <v>46267</v>
      </c>
      <c r="C1148" s="1" t="s">
        <v>7</v>
      </c>
      <c r="D1148" s="1">
        <f t="shared" si="17"/>
        <v>9</v>
      </c>
    </row>
    <row r="1149" spans="1:4" x14ac:dyDescent="0.35">
      <c r="A1149" s="1">
        <v>45672</v>
      </c>
      <c r="B1149" s="2">
        <v>46267</v>
      </c>
      <c r="C1149" s="1" t="s">
        <v>4</v>
      </c>
      <c r="D1149" s="1">
        <f t="shared" si="17"/>
        <v>9</v>
      </c>
    </row>
    <row r="1150" spans="1:4" x14ac:dyDescent="0.35">
      <c r="A1150" s="1">
        <v>45671</v>
      </c>
      <c r="B1150" s="2">
        <v>46267</v>
      </c>
      <c r="C1150" s="1" t="s">
        <v>21</v>
      </c>
      <c r="D1150" s="1">
        <f t="shared" si="17"/>
        <v>9</v>
      </c>
    </row>
    <row r="1151" spans="1:4" x14ac:dyDescent="0.35">
      <c r="A1151" s="1">
        <v>45670</v>
      </c>
      <c r="B1151" s="2">
        <v>46267</v>
      </c>
      <c r="C1151" s="1" t="s">
        <v>4</v>
      </c>
      <c r="D1151" s="1">
        <f t="shared" si="17"/>
        <v>9</v>
      </c>
    </row>
    <row r="1152" spans="1:4" x14ac:dyDescent="0.35">
      <c r="A1152" s="1">
        <v>45668</v>
      </c>
      <c r="B1152" s="2">
        <v>46267</v>
      </c>
      <c r="C1152" s="1" t="s">
        <v>21</v>
      </c>
      <c r="D1152" s="1">
        <f t="shared" si="17"/>
        <v>9</v>
      </c>
    </row>
    <row r="1153" spans="1:4" x14ac:dyDescent="0.35">
      <c r="A1153" s="1">
        <v>45662</v>
      </c>
      <c r="B1153" s="2">
        <v>46267</v>
      </c>
      <c r="C1153" s="1" t="s">
        <v>21</v>
      </c>
      <c r="D1153" s="1">
        <f t="shared" si="17"/>
        <v>9</v>
      </c>
    </row>
    <row r="1154" spans="1:4" x14ac:dyDescent="0.35">
      <c r="A1154" s="1">
        <v>45658</v>
      </c>
      <c r="B1154" s="2">
        <v>46267</v>
      </c>
      <c r="C1154" s="1" t="s">
        <v>21</v>
      </c>
      <c r="D1154" s="1">
        <f t="shared" ref="D1154:D1217" si="18">MONTH(B1154)</f>
        <v>9</v>
      </c>
    </row>
    <row r="1155" spans="1:4" x14ac:dyDescent="0.35">
      <c r="A1155" s="1">
        <v>45781</v>
      </c>
      <c r="B1155" s="2">
        <v>46268</v>
      </c>
      <c r="C1155" s="1" t="s">
        <v>17</v>
      </c>
      <c r="D1155" s="1">
        <f t="shared" si="18"/>
        <v>9</v>
      </c>
    </row>
    <row r="1156" spans="1:4" x14ac:dyDescent="0.35">
      <c r="A1156" s="1">
        <v>45780</v>
      </c>
      <c r="B1156" s="2">
        <v>46268</v>
      </c>
      <c r="C1156" s="1" t="s">
        <v>17</v>
      </c>
      <c r="D1156" s="1">
        <f t="shared" si="18"/>
        <v>9</v>
      </c>
    </row>
    <row r="1157" spans="1:4" x14ac:dyDescent="0.35">
      <c r="A1157" s="1">
        <v>45779</v>
      </c>
      <c r="B1157" s="2">
        <v>46268</v>
      </c>
      <c r="C1157" s="1" t="s">
        <v>16</v>
      </c>
      <c r="D1157" s="1">
        <f t="shared" si="18"/>
        <v>9</v>
      </c>
    </row>
    <row r="1158" spans="1:4" x14ac:dyDescent="0.35">
      <c r="A1158" s="1">
        <v>45778</v>
      </c>
      <c r="B1158" s="2">
        <v>46268</v>
      </c>
      <c r="C1158" s="1" t="s">
        <v>16</v>
      </c>
      <c r="D1158" s="1">
        <f t="shared" si="18"/>
        <v>9</v>
      </c>
    </row>
    <row r="1159" spans="1:4" x14ac:dyDescent="0.35">
      <c r="A1159" s="1">
        <v>45777</v>
      </c>
      <c r="B1159" s="2">
        <v>46268</v>
      </c>
      <c r="C1159" s="1" t="s">
        <v>9</v>
      </c>
      <c r="D1159" s="1">
        <f t="shared" si="18"/>
        <v>9</v>
      </c>
    </row>
    <row r="1160" spans="1:4" x14ac:dyDescent="0.35">
      <c r="A1160" s="1">
        <v>45776</v>
      </c>
      <c r="B1160" s="2">
        <v>46268</v>
      </c>
      <c r="C1160" s="1" t="s">
        <v>9</v>
      </c>
      <c r="D1160" s="1">
        <f t="shared" si="18"/>
        <v>9</v>
      </c>
    </row>
    <row r="1161" spans="1:4" x14ac:dyDescent="0.35">
      <c r="A1161" s="1">
        <v>45775</v>
      </c>
      <c r="B1161" s="2">
        <v>46268</v>
      </c>
      <c r="C1161" s="1" t="s">
        <v>9</v>
      </c>
      <c r="D1161" s="1">
        <f t="shared" si="18"/>
        <v>9</v>
      </c>
    </row>
    <row r="1162" spans="1:4" x14ac:dyDescent="0.35">
      <c r="A1162" s="1">
        <v>45774</v>
      </c>
      <c r="B1162" s="2">
        <v>46268</v>
      </c>
      <c r="C1162" s="1" t="s">
        <v>9</v>
      </c>
      <c r="D1162" s="1">
        <f t="shared" si="18"/>
        <v>9</v>
      </c>
    </row>
    <row r="1163" spans="1:4" x14ac:dyDescent="0.35">
      <c r="A1163" s="1">
        <v>45773</v>
      </c>
      <c r="B1163" s="2">
        <v>46268</v>
      </c>
      <c r="C1163" s="1" t="s">
        <v>6</v>
      </c>
      <c r="D1163" s="1">
        <f t="shared" si="18"/>
        <v>9</v>
      </c>
    </row>
    <row r="1164" spans="1:4" x14ac:dyDescent="0.35">
      <c r="A1164" s="1">
        <v>45772</v>
      </c>
      <c r="B1164" s="2">
        <v>46268</v>
      </c>
      <c r="C1164" s="1" t="s">
        <v>23</v>
      </c>
      <c r="D1164" s="1">
        <f t="shared" si="18"/>
        <v>9</v>
      </c>
    </row>
    <row r="1165" spans="1:4" x14ac:dyDescent="0.35">
      <c r="A1165" s="1">
        <v>45771</v>
      </c>
      <c r="B1165" s="2">
        <v>46268</v>
      </c>
      <c r="C1165" s="1" t="s">
        <v>23</v>
      </c>
      <c r="D1165" s="1">
        <f t="shared" si="18"/>
        <v>9</v>
      </c>
    </row>
    <row r="1166" spans="1:4" x14ac:dyDescent="0.35">
      <c r="A1166" s="1">
        <v>45770</v>
      </c>
      <c r="B1166" s="2">
        <v>46268</v>
      </c>
      <c r="C1166" s="1" t="s">
        <v>24</v>
      </c>
      <c r="D1166" s="1">
        <f t="shared" si="18"/>
        <v>9</v>
      </c>
    </row>
    <row r="1167" spans="1:4" x14ac:dyDescent="0.35">
      <c r="A1167" s="1">
        <v>45769</v>
      </c>
      <c r="B1167" s="2">
        <v>46268</v>
      </c>
      <c r="C1167" s="1" t="s">
        <v>24</v>
      </c>
      <c r="D1167" s="1">
        <f t="shared" si="18"/>
        <v>9</v>
      </c>
    </row>
    <row r="1168" spans="1:4" x14ac:dyDescent="0.35">
      <c r="A1168" s="1">
        <v>45768</v>
      </c>
      <c r="B1168" s="2">
        <v>46268</v>
      </c>
      <c r="C1168" s="1" t="s">
        <v>24</v>
      </c>
      <c r="D1168" s="1">
        <f t="shared" si="18"/>
        <v>9</v>
      </c>
    </row>
    <row r="1169" spans="1:4" x14ac:dyDescent="0.35">
      <c r="A1169" s="1">
        <v>45767</v>
      </c>
      <c r="B1169" s="2">
        <v>46268</v>
      </c>
      <c r="C1169" s="1" t="s">
        <v>24</v>
      </c>
      <c r="D1169" s="1">
        <f t="shared" si="18"/>
        <v>9</v>
      </c>
    </row>
    <row r="1170" spans="1:4" x14ac:dyDescent="0.35">
      <c r="A1170" s="1">
        <v>45766</v>
      </c>
      <c r="B1170" s="2">
        <v>46268</v>
      </c>
      <c r="C1170" s="1" t="s">
        <v>24</v>
      </c>
      <c r="D1170" s="1">
        <f t="shared" si="18"/>
        <v>9</v>
      </c>
    </row>
    <row r="1171" spans="1:4" x14ac:dyDescent="0.35">
      <c r="A1171" s="1">
        <v>45765</v>
      </c>
      <c r="B1171" s="2">
        <v>46268</v>
      </c>
      <c r="C1171" s="1" t="s">
        <v>24</v>
      </c>
      <c r="D1171" s="1">
        <f t="shared" si="18"/>
        <v>9</v>
      </c>
    </row>
    <row r="1172" spans="1:4" x14ac:dyDescent="0.35">
      <c r="A1172" s="1">
        <v>45764</v>
      </c>
      <c r="B1172" s="2">
        <v>46268</v>
      </c>
      <c r="C1172" s="1" t="s">
        <v>21</v>
      </c>
      <c r="D1172" s="1">
        <f t="shared" si="18"/>
        <v>9</v>
      </c>
    </row>
    <row r="1173" spans="1:4" x14ac:dyDescent="0.35">
      <c r="A1173" s="1">
        <v>45763</v>
      </c>
      <c r="B1173" s="2">
        <v>46268</v>
      </c>
      <c r="C1173" s="1" t="s">
        <v>21</v>
      </c>
      <c r="D1173" s="1">
        <f t="shared" si="18"/>
        <v>9</v>
      </c>
    </row>
    <row r="1174" spans="1:4" x14ac:dyDescent="0.35">
      <c r="A1174" s="1">
        <v>45759</v>
      </c>
      <c r="B1174" s="2">
        <v>46268</v>
      </c>
      <c r="C1174" s="1" t="s">
        <v>4</v>
      </c>
      <c r="D1174" s="1">
        <f t="shared" si="18"/>
        <v>9</v>
      </c>
    </row>
    <row r="1175" spans="1:4" x14ac:dyDescent="0.35">
      <c r="A1175" s="1">
        <v>45758</v>
      </c>
      <c r="B1175" s="2">
        <v>46268</v>
      </c>
      <c r="C1175" s="1" t="s">
        <v>4</v>
      </c>
      <c r="D1175" s="1">
        <f t="shared" si="18"/>
        <v>9</v>
      </c>
    </row>
    <row r="1176" spans="1:4" x14ac:dyDescent="0.35">
      <c r="A1176" s="1">
        <v>45757</v>
      </c>
      <c r="B1176" s="2">
        <v>46268</v>
      </c>
      <c r="C1176" s="1" t="s">
        <v>10</v>
      </c>
      <c r="D1176" s="1">
        <f t="shared" si="18"/>
        <v>9</v>
      </c>
    </row>
    <row r="1177" spans="1:4" x14ac:dyDescent="0.35">
      <c r="A1177" s="1">
        <v>45756</v>
      </c>
      <c r="B1177" s="2">
        <v>46268</v>
      </c>
      <c r="C1177" s="1" t="s">
        <v>10</v>
      </c>
      <c r="D1177" s="1">
        <f t="shared" si="18"/>
        <v>9</v>
      </c>
    </row>
    <row r="1178" spans="1:4" x14ac:dyDescent="0.35">
      <c r="A1178" s="1">
        <v>45750</v>
      </c>
      <c r="B1178" s="2">
        <v>46268</v>
      </c>
      <c r="C1178" s="1" t="s">
        <v>6</v>
      </c>
      <c r="D1178" s="1">
        <f t="shared" si="18"/>
        <v>9</v>
      </c>
    </row>
    <row r="1179" spans="1:4" x14ac:dyDescent="0.35">
      <c r="A1179" s="1">
        <v>45747</v>
      </c>
      <c r="B1179" s="2">
        <v>46268</v>
      </c>
      <c r="C1179" s="1" t="s">
        <v>3</v>
      </c>
      <c r="D1179" s="1">
        <f t="shared" si="18"/>
        <v>9</v>
      </c>
    </row>
    <row r="1180" spans="1:4" x14ac:dyDescent="0.35">
      <c r="A1180" s="1">
        <v>45746</v>
      </c>
      <c r="B1180" s="2">
        <v>46268</v>
      </c>
      <c r="C1180" s="1" t="s">
        <v>3</v>
      </c>
      <c r="D1180" s="1">
        <f t="shared" si="18"/>
        <v>9</v>
      </c>
    </row>
    <row r="1181" spans="1:4" x14ac:dyDescent="0.35">
      <c r="A1181" s="1">
        <v>45745</v>
      </c>
      <c r="B1181" s="2">
        <v>46268</v>
      </c>
      <c r="C1181" s="1" t="s">
        <v>3</v>
      </c>
      <c r="D1181" s="1">
        <f t="shared" si="18"/>
        <v>9</v>
      </c>
    </row>
    <row r="1182" spans="1:4" x14ac:dyDescent="0.35">
      <c r="A1182" s="1">
        <v>45744</v>
      </c>
      <c r="B1182" s="2">
        <v>46268</v>
      </c>
      <c r="C1182" s="1" t="s">
        <v>7</v>
      </c>
      <c r="D1182" s="1">
        <f t="shared" si="18"/>
        <v>9</v>
      </c>
    </row>
    <row r="1183" spans="1:4" x14ac:dyDescent="0.35">
      <c r="A1183" s="1">
        <v>45743</v>
      </c>
      <c r="B1183" s="2">
        <v>46268</v>
      </c>
      <c r="C1183" s="1" t="s">
        <v>7</v>
      </c>
      <c r="D1183" s="1">
        <f t="shared" si="18"/>
        <v>9</v>
      </c>
    </row>
    <row r="1184" spans="1:4" x14ac:dyDescent="0.35">
      <c r="A1184" s="1">
        <v>45741</v>
      </c>
      <c r="B1184" s="2">
        <v>46268</v>
      </c>
      <c r="C1184" s="1" t="s">
        <v>21</v>
      </c>
      <c r="D1184" s="1">
        <f t="shared" si="18"/>
        <v>9</v>
      </c>
    </row>
    <row r="1185" spans="1:4" x14ac:dyDescent="0.35">
      <c r="A1185" s="1">
        <v>45737</v>
      </c>
      <c r="B1185" s="2">
        <v>46268</v>
      </c>
      <c r="C1185" s="1" t="s">
        <v>21</v>
      </c>
      <c r="D1185" s="1">
        <f t="shared" si="18"/>
        <v>9</v>
      </c>
    </row>
    <row r="1186" spans="1:4" x14ac:dyDescent="0.35">
      <c r="A1186" s="1">
        <v>45736</v>
      </c>
      <c r="B1186" s="2">
        <v>46268</v>
      </c>
      <c r="C1186" s="1" t="s">
        <v>5</v>
      </c>
      <c r="D1186" s="1">
        <f t="shared" si="18"/>
        <v>9</v>
      </c>
    </row>
    <row r="1187" spans="1:4" x14ac:dyDescent="0.35">
      <c r="A1187" s="1">
        <v>45735</v>
      </c>
      <c r="B1187" s="2">
        <v>46268</v>
      </c>
      <c r="C1187" s="1" t="s">
        <v>5</v>
      </c>
      <c r="D1187" s="1">
        <f t="shared" si="18"/>
        <v>9</v>
      </c>
    </row>
    <row r="1188" spans="1:4" x14ac:dyDescent="0.35">
      <c r="A1188" s="1">
        <v>45733</v>
      </c>
      <c r="B1188" s="2">
        <v>46268</v>
      </c>
      <c r="C1188" s="1" t="s">
        <v>5</v>
      </c>
      <c r="D1188" s="1">
        <f t="shared" si="18"/>
        <v>9</v>
      </c>
    </row>
    <row r="1189" spans="1:4" x14ac:dyDescent="0.35">
      <c r="A1189" s="1">
        <v>45731</v>
      </c>
      <c r="B1189" s="2">
        <v>46268</v>
      </c>
      <c r="C1189" s="1" t="s">
        <v>5</v>
      </c>
      <c r="D1189" s="1">
        <f t="shared" si="18"/>
        <v>9</v>
      </c>
    </row>
    <row r="1190" spans="1:4" x14ac:dyDescent="0.35">
      <c r="A1190" s="1">
        <v>45730</v>
      </c>
      <c r="B1190" s="2">
        <v>46268</v>
      </c>
      <c r="C1190" s="1" t="s">
        <v>5</v>
      </c>
      <c r="D1190" s="1">
        <f t="shared" si="18"/>
        <v>9</v>
      </c>
    </row>
    <row r="1191" spans="1:4" x14ac:dyDescent="0.35">
      <c r="A1191" s="1">
        <v>45729</v>
      </c>
      <c r="B1191" s="2">
        <v>46268</v>
      </c>
      <c r="C1191" s="1" t="s">
        <v>5</v>
      </c>
      <c r="D1191" s="1">
        <f t="shared" si="18"/>
        <v>9</v>
      </c>
    </row>
    <row r="1192" spans="1:4" x14ac:dyDescent="0.35">
      <c r="A1192" s="1">
        <v>45728</v>
      </c>
      <c r="B1192" s="2">
        <v>46268</v>
      </c>
      <c r="C1192" s="1" t="s">
        <v>5</v>
      </c>
      <c r="D1192" s="1">
        <f t="shared" si="18"/>
        <v>9</v>
      </c>
    </row>
    <row r="1193" spans="1:4" x14ac:dyDescent="0.35">
      <c r="A1193" s="1">
        <v>45726</v>
      </c>
      <c r="B1193" s="2">
        <v>46268</v>
      </c>
      <c r="C1193" s="1" t="s">
        <v>3</v>
      </c>
      <c r="D1193" s="1">
        <f t="shared" si="18"/>
        <v>9</v>
      </c>
    </row>
    <row r="1194" spans="1:4" x14ac:dyDescent="0.35">
      <c r="A1194" s="1">
        <v>45724</v>
      </c>
      <c r="B1194" s="2">
        <v>46268</v>
      </c>
      <c r="C1194" s="1" t="s">
        <v>3</v>
      </c>
      <c r="D1194" s="1">
        <f t="shared" si="18"/>
        <v>9</v>
      </c>
    </row>
    <row r="1195" spans="1:4" x14ac:dyDescent="0.35">
      <c r="A1195" s="1">
        <v>45723</v>
      </c>
      <c r="B1195" s="2">
        <v>46268</v>
      </c>
      <c r="C1195" s="1" t="s">
        <v>3</v>
      </c>
      <c r="D1195" s="1">
        <f t="shared" si="18"/>
        <v>9</v>
      </c>
    </row>
    <row r="1196" spans="1:4" x14ac:dyDescent="0.35">
      <c r="A1196" s="1">
        <v>45811</v>
      </c>
      <c r="B1196" s="2">
        <v>46269</v>
      </c>
      <c r="C1196" s="1" t="s">
        <v>10</v>
      </c>
      <c r="D1196" s="1">
        <f t="shared" si="18"/>
        <v>9</v>
      </c>
    </row>
    <row r="1197" spans="1:4" x14ac:dyDescent="0.35">
      <c r="A1197" s="1">
        <v>45810</v>
      </c>
      <c r="B1197" s="2">
        <v>46269</v>
      </c>
      <c r="C1197" s="1" t="s">
        <v>9</v>
      </c>
      <c r="D1197" s="1">
        <f t="shared" si="18"/>
        <v>9</v>
      </c>
    </row>
    <row r="1198" spans="1:4" x14ac:dyDescent="0.35">
      <c r="A1198" s="1">
        <v>45809</v>
      </c>
      <c r="B1198" s="2">
        <v>46269</v>
      </c>
      <c r="C1198" s="1" t="s">
        <v>9</v>
      </c>
      <c r="D1198" s="1">
        <f t="shared" si="18"/>
        <v>9</v>
      </c>
    </row>
    <row r="1199" spans="1:4" x14ac:dyDescent="0.35">
      <c r="A1199" s="1">
        <v>45808</v>
      </c>
      <c r="B1199" s="2">
        <v>46269</v>
      </c>
      <c r="C1199" s="1" t="s">
        <v>9</v>
      </c>
      <c r="D1199" s="1">
        <f t="shared" si="18"/>
        <v>9</v>
      </c>
    </row>
    <row r="1200" spans="1:4" x14ac:dyDescent="0.35">
      <c r="A1200" s="1">
        <v>45806</v>
      </c>
      <c r="B1200" s="2">
        <v>46269</v>
      </c>
      <c r="C1200" s="1" t="s">
        <v>17</v>
      </c>
      <c r="D1200" s="1">
        <f t="shared" si="18"/>
        <v>9</v>
      </c>
    </row>
    <row r="1201" spans="1:4" x14ac:dyDescent="0.35">
      <c r="A1201" s="1">
        <v>45805</v>
      </c>
      <c r="B1201" s="2">
        <v>46269</v>
      </c>
      <c r="C1201" s="1" t="s">
        <v>23</v>
      </c>
      <c r="D1201" s="1">
        <f t="shared" si="18"/>
        <v>9</v>
      </c>
    </row>
    <row r="1202" spans="1:4" x14ac:dyDescent="0.35">
      <c r="A1202" s="1">
        <v>45804</v>
      </c>
      <c r="B1202" s="2">
        <v>46269</v>
      </c>
      <c r="C1202" s="1" t="s">
        <v>23</v>
      </c>
      <c r="D1202" s="1">
        <f t="shared" si="18"/>
        <v>9</v>
      </c>
    </row>
    <row r="1203" spans="1:4" x14ac:dyDescent="0.35">
      <c r="A1203" s="1">
        <v>45803</v>
      </c>
      <c r="B1203" s="2">
        <v>46269</v>
      </c>
      <c r="C1203" s="1" t="s">
        <v>24</v>
      </c>
      <c r="D1203" s="1">
        <f t="shared" si="18"/>
        <v>9</v>
      </c>
    </row>
    <row r="1204" spans="1:4" x14ac:dyDescent="0.35">
      <c r="A1204" s="1">
        <v>45802</v>
      </c>
      <c r="B1204" s="2">
        <v>46269</v>
      </c>
      <c r="C1204" s="1" t="s">
        <v>24</v>
      </c>
      <c r="D1204" s="1">
        <f t="shared" si="18"/>
        <v>9</v>
      </c>
    </row>
    <row r="1205" spans="1:4" x14ac:dyDescent="0.35">
      <c r="A1205" s="1">
        <v>45801</v>
      </c>
      <c r="B1205" s="2">
        <v>46269</v>
      </c>
      <c r="C1205" s="1" t="s">
        <v>24</v>
      </c>
      <c r="D1205" s="1">
        <f t="shared" si="18"/>
        <v>9</v>
      </c>
    </row>
    <row r="1206" spans="1:4" x14ac:dyDescent="0.35">
      <c r="A1206" s="1">
        <v>45800</v>
      </c>
      <c r="B1206" s="2">
        <v>46269</v>
      </c>
      <c r="C1206" s="1" t="s">
        <v>24</v>
      </c>
      <c r="D1206" s="1">
        <f t="shared" si="18"/>
        <v>9</v>
      </c>
    </row>
    <row r="1207" spans="1:4" x14ac:dyDescent="0.35">
      <c r="A1207" s="1">
        <v>45799</v>
      </c>
      <c r="B1207" s="2">
        <v>46269</v>
      </c>
      <c r="C1207" s="1" t="s">
        <v>24</v>
      </c>
      <c r="D1207" s="1">
        <f t="shared" si="18"/>
        <v>9</v>
      </c>
    </row>
    <row r="1208" spans="1:4" x14ac:dyDescent="0.35">
      <c r="A1208" s="1">
        <v>45798</v>
      </c>
      <c r="B1208" s="2">
        <v>46269</v>
      </c>
      <c r="C1208" s="1" t="s">
        <v>6</v>
      </c>
      <c r="D1208" s="1">
        <f t="shared" si="18"/>
        <v>9</v>
      </c>
    </row>
    <row r="1209" spans="1:4" x14ac:dyDescent="0.35">
      <c r="A1209" s="1">
        <v>45797</v>
      </c>
      <c r="B1209" s="2">
        <v>46269</v>
      </c>
      <c r="C1209" s="1" t="s">
        <v>6</v>
      </c>
      <c r="D1209" s="1">
        <f t="shared" si="18"/>
        <v>9</v>
      </c>
    </row>
    <row r="1210" spans="1:4" x14ac:dyDescent="0.35">
      <c r="A1210" s="1">
        <v>45796</v>
      </c>
      <c r="B1210" s="2">
        <v>46269</v>
      </c>
      <c r="C1210" s="1" t="s">
        <v>3</v>
      </c>
      <c r="D1210" s="1">
        <f t="shared" si="18"/>
        <v>9</v>
      </c>
    </row>
    <row r="1211" spans="1:4" x14ac:dyDescent="0.35">
      <c r="A1211" s="1">
        <v>45795</v>
      </c>
      <c r="B1211" s="2">
        <v>46269</v>
      </c>
      <c r="C1211" s="1" t="s">
        <v>7</v>
      </c>
      <c r="D1211" s="1">
        <f t="shared" si="18"/>
        <v>9</v>
      </c>
    </row>
    <row r="1212" spans="1:4" x14ac:dyDescent="0.35">
      <c r="A1212" s="1">
        <v>45794</v>
      </c>
      <c r="B1212" s="2">
        <v>46269</v>
      </c>
      <c r="C1212" s="1" t="s">
        <v>8</v>
      </c>
      <c r="D1212" s="1">
        <f t="shared" si="18"/>
        <v>9</v>
      </c>
    </row>
    <row r="1213" spans="1:4" x14ac:dyDescent="0.35">
      <c r="A1213" s="1">
        <v>45793</v>
      </c>
      <c r="B1213" s="2">
        <v>46269</v>
      </c>
      <c r="C1213" s="1" t="s">
        <v>8</v>
      </c>
      <c r="D1213" s="1">
        <f t="shared" si="18"/>
        <v>9</v>
      </c>
    </row>
    <row r="1214" spans="1:4" x14ac:dyDescent="0.35">
      <c r="A1214" s="1">
        <v>45792</v>
      </c>
      <c r="B1214" s="2">
        <v>46269</v>
      </c>
      <c r="C1214" s="1" t="s">
        <v>4</v>
      </c>
      <c r="D1214" s="1">
        <f t="shared" si="18"/>
        <v>9</v>
      </c>
    </row>
    <row r="1215" spans="1:4" x14ac:dyDescent="0.35">
      <c r="A1215" s="1">
        <v>45790</v>
      </c>
      <c r="B1215" s="2">
        <v>46269</v>
      </c>
      <c r="C1215" s="1" t="s">
        <v>4</v>
      </c>
      <c r="D1215" s="1">
        <f t="shared" si="18"/>
        <v>9</v>
      </c>
    </row>
    <row r="1216" spans="1:4" x14ac:dyDescent="0.35">
      <c r="A1216" s="1">
        <v>45789</v>
      </c>
      <c r="B1216" s="2">
        <v>46269</v>
      </c>
      <c r="C1216" s="1" t="s">
        <v>4</v>
      </c>
      <c r="D1216" s="1">
        <f t="shared" si="18"/>
        <v>9</v>
      </c>
    </row>
    <row r="1217" spans="1:4" x14ac:dyDescent="0.35">
      <c r="A1217" s="1">
        <v>45788</v>
      </c>
      <c r="B1217" s="2">
        <v>46269</v>
      </c>
      <c r="C1217" s="1" t="s">
        <v>3</v>
      </c>
      <c r="D1217" s="1">
        <f t="shared" si="18"/>
        <v>9</v>
      </c>
    </row>
    <row r="1218" spans="1:4" x14ac:dyDescent="0.35">
      <c r="A1218" s="1">
        <v>45786</v>
      </c>
      <c r="B1218" s="2">
        <v>46269</v>
      </c>
      <c r="C1218" s="1" t="s">
        <v>24</v>
      </c>
      <c r="D1218" s="1">
        <f t="shared" ref="D1218:D1281" si="19">MONTH(B1218)</f>
        <v>9</v>
      </c>
    </row>
    <row r="1219" spans="1:4" x14ac:dyDescent="0.35">
      <c r="A1219" s="1">
        <v>45785</v>
      </c>
      <c r="B1219" s="2">
        <v>46269</v>
      </c>
      <c r="C1219" s="1" t="s">
        <v>10</v>
      </c>
      <c r="D1219" s="1">
        <f t="shared" si="19"/>
        <v>9</v>
      </c>
    </row>
    <row r="1220" spans="1:4" x14ac:dyDescent="0.35">
      <c r="A1220" s="1">
        <v>45828</v>
      </c>
      <c r="B1220" s="2">
        <v>46270</v>
      </c>
      <c r="C1220" s="1" t="s">
        <v>23</v>
      </c>
      <c r="D1220" s="1">
        <f t="shared" si="19"/>
        <v>9</v>
      </c>
    </row>
    <row r="1221" spans="1:4" x14ac:dyDescent="0.35">
      <c r="A1221" s="1">
        <v>45827</v>
      </c>
      <c r="B1221" s="2">
        <v>46270</v>
      </c>
      <c r="C1221" s="1" t="s">
        <v>23</v>
      </c>
      <c r="D1221" s="1">
        <f t="shared" si="19"/>
        <v>9</v>
      </c>
    </row>
    <row r="1222" spans="1:4" x14ac:dyDescent="0.35">
      <c r="A1222" s="1">
        <v>45826</v>
      </c>
      <c r="B1222" s="2">
        <v>46270</v>
      </c>
      <c r="C1222" s="1" t="s">
        <v>17</v>
      </c>
      <c r="D1222" s="1">
        <f t="shared" si="19"/>
        <v>9</v>
      </c>
    </row>
    <row r="1223" spans="1:4" x14ac:dyDescent="0.35">
      <c r="A1223" s="1">
        <v>45825</v>
      </c>
      <c r="B1223" s="2">
        <v>46270</v>
      </c>
      <c r="C1223" s="1" t="s">
        <v>17</v>
      </c>
      <c r="D1223" s="1">
        <f t="shared" si="19"/>
        <v>9</v>
      </c>
    </row>
    <row r="1224" spans="1:4" x14ac:dyDescent="0.35">
      <c r="A1224" s="1">
        <v>45824</v>
      </c>
      <c r="B1224" s="2">
        <v>46270</v>
      </c>
      <c r="C1224" s="1" t="s">
        <v>4</v>
      </c>
      <c r="D1224" s="1">
        <f t="shared" si="19"/>
        <v>9</v>
      </c>
    </row>
    <row r="1225" spans="1:4" x14ac:dyDescent="0.35">
      <c r="A1225" s="1">
        <v>45823</v>
      </c>
      <c r="B1225" s="2">
        <v>46270</v>
      </c>
      <c r="C1225" s="1" t="s">
        <v>4</v>
      </c>
      <c r="D1225" s="1">
        <f t="shared" si="19"/>
        <v>9</v>
      </c>
    </row>
    <row r="1226" spans="1:4" x14ac:dyDescent="0.35">
      <c r="A1226" s="1">
        <v>45822</v>
      </c>
      <c r="B1226" s="2">
        <v>46270</v>
      </c>
      <c r="C1226" s="1" t="s">
        <v>10</v>
      </c>
      <c r="D1226" s="1">
        <f t="shared" si="19"/>
        <v>9</v>
      </c>
    </row>
    <row r="1227" spans="1:4" x14ac:dyDescent="0.35">
      <c r="A1227" s="1">
        <v>45821</v>
      </c>
      <c r="B1227" s="2">
        <v>46270</v>
      </c>
      <c r="C1227" s="1" t="s">
        <v>10</v>
      </c>
      <c r="D1227" s="1">
        <f t="shared" si="19"/>
        <v>9</v>
      </c>
    </row>
    <row r="1228" spans="1:4" x14ac:dyDescent="0.35">
      <c r="A1228" s="1">
        <v>45820</v>
      </c>
      <c r="B1228" s="2">
        <v>46270</v>
      </c>
      <c r="C1228" s="1" t="s">
        <v>10</v>
      </c>
      <c r="D1228" s="1">
        <f t="shared" si="19"/>
        <v>9</v>
      </c>
    </row>
    <row r="1229" spans="1:4" x14ac:dyDescent="0.35">
      <c r="A1229" s="1">
        <v>45819</v>
      </c>
      <c r="B1229" s="2">
        <v>46270</v>
      </c>
      <c r="C1229" s="1" t="s">
        <v>10</v>
      </c>
      <c r="D1229" s="1">
        <f t="shared" si="19"/>
        <v>9</v>
      </c>
    </row>
    <row r="1230" spans="1:4" x14ac:dyDescent="0.35">
      <c r="A1230" s="1">
        <v>45815</v>
      </c>
      <c r="B1230" s="2">
        <v>46270</v>
      </c>
      <c r="C1230" s="1" t="s">
        <v>6</v>
      </c>
      <c r="D1230" s="1">
        <f t="shared" si="19"/>
        <v>9</v>
      </c>
    </row>
    <row r="1231" spans="1:4" x14ac:dyDescent="0.35">
      <c r="A1231" s="1">
        <v>45814</v>
      </c>
      <c r="B1231" s="2">
        <v>46270</v>
      </c>
      <c r="C1231" s="1" t="s">
        <v>6</v>
      </c>
      <c r="D1231" s="1">
        <f t="shared" si="19"/>
        <v>9</v>
      </c>
    </row>
    <row r="1232" spans="1:4" x14ac:dyDescent="0.35">
      <c r="A1232" s="1">
        <v>45813</v>
      </c>
      <c r="B1232" s="2">
        <v>46270</v>
      </c>
      <c r="C1232" s="1" t="s">
        <v>8</v>
      </c>
      <c r="D1232" s="1">
        <f t="shared" si="19"/>
        <v>9</v>
      </c>
    </row>
    <row r="1233" spans="1:4" x14ac:dyDescent="0.35">
      <c r="A1233" s="1">
        <v>45812</v>
      </c>
      <c r="B1233" s="2">
        <v>46270</v>
      </c>
      <c r="C1233" s="1" t="s">
        <v>8</v>
      </c>
      <c r="D1233" s="1">
        <f t="shared" si="19"/>
        <v>9</v>
      </c>
    </row>
    <row r="1234" spans="1:4" x14ac:dyDescent="0.35">
      <c r="A1234" s="1">
        <v>45839</v>
      </c>
      <c r="B1234" s="2">
        <v>46271</v>
      </c>
      <c r="C1234" s="1" t="s">
        <v>17</v>
      </c>
      <c r="D1234" s="1">
        <f t="shared" si="19"/>
        <v>9</v>
      </c>
    </row>
    <row r="1235" spans="1:4" x14ac:dyDescent="0.35">
      <c r="A1235" s="1">
        <v>45838</v>
      </c>
      <c r="B1235" s="2">
        <v>46271</v>
      </c>
      <c r="C1235" s="1" t="s">
        <v>17</v>
      </c>
      <c r="D1235" s="1">
        <f t="shared" si="19"/>
        <v>9</v>
      </c>
    </row>
    <row r="1236" spans="1:4" x14ac:dyDescent="0.35">
      <c r="A1236" s="1">
        <v>45841</v>
      </c>
      <c r="B1236" s="2">
        <v>46272</v>
      </c>
      <c r="C1236" s="1" t="s">
        <v>8</v>
      </c>
      <c r="D1236" s="1">
        <f t="shared" si="19"/>
        <v>9</v>
      </c>
    </row>
    <row r="1237" spans="1:4" x14ac:dyDescent="0.35">
      <c r="A1237" s="1">
        <v>45840</v>
      </c>
      <c r="B1237" s="2">
        <v>46272</v>
      </c>
      <c r="C1237" s="1" t="s">
        <v>8</v>
      </c>
      <c r="D1237" s="1">
        <f t="shared" si="19"/>
        <v>9</v>
      </c>
    </row>
    <row r="1238" spans="1:4" x14ac:dyDescent="0.35">
      <c r="A1238" s="1">
        <v>45997</v>
      </c>
      <c r="B1238" s="2">
        <v>46273</v>
      </c>
      <c r="C1238" s="1" t="s">
        <v>9</v>
      </c>
      <c r="D1238" s="1">
        <f t="shared" si="19"/>
        <v>9</v>
      </c>
    </row>
    <row r="1239" spans="1:4" x14ac:dyDescent="0.35">
      <c r="A1239" s="1">
        <v>45996</v>
      </c>
      <c r="B1239" s="2">
        <v>46273</v>
      </c>
      <c r="C1239" s="1" t="s">
        <v>9</v>
      </c>
      <c r="D1239" s="1">
        <f t="shared" si="19"/>
        <v>9</v>
      </c>
    </row>
    <row r="1240" spans="1:4" x14ac:dyDescent="0.35">
      <c r="A1240" s="1">
        <v>45994</v>
      </c>
      <c r="B1240" s="2">
        <v>46273</v>
      </c>
      <c r="C1240" s="1" t="s">
        <v>9</v>
      </c>
      <c r="D1240" s="1">
        <f t="shared" si="19"/>
        <v>9</v>
      </c>
    </row>
    <row r="1241" spans="1:4" x14ac:dyDescent="0.35">
      <c r="A1241" s="1">
        <v>45989</v>
      </c>
      <c r="B1241" s="2">
        <v>46273</v>
      </c>
      <c r="C1241" s="1" t="s">
        <v>10</v>
      </c>
      <c r="D1241" s="1">
        <f t="shared" si="19"/>
        <v>9</v>
      </c>
    </row>
    <row r="1242" spans="1:4" x14ac:dyDescent="0.35">
      <c r="A1242" s="1">
        <v>45988</v>
      </c>
      <c r="B1242" s="2">
        <v>46273</v>
      </c>
      <c r="C1242" s="1" t="s">
        <v>10</v>
      </c>
      <c r="D1242" s="1">
        <f t="shared" si="19"/>
        <v>9</v>
      </c>
    </row>
    <row r="1243" spans="1:4" x14ac:dyDescent="0.35">
      <c r="A1243" s="1">
        <v>45982</v>
      </c>
      <c r="B1243" s="2">
        <v>46273</v>
      </c>
      <c r="C1243" s="1" t="s">
        <v>11</v>
      </c>
      <c r="D1243" s="1">
        <f t="shared" si="19"/>
        <v>9</v>
      </c>
    </row>
    <row r="1244" spans="1:4" x14ac:dyDescent="0.35">
      <c r="A1244" s="1">
        <v>45981</v>
      </c>
      <c r="B1244" s="2">
        <v>46273</v>
      </c>
      <c r="C1244" s="1" t="s">
        <v>11</v>
      </c>
      <c r="D1244" s="1">
        <f t="shared" si="19"/>
        <v>9</v>
      </c>
    </row>
    <row r="1245" spans="1:4" x14ac:dyDescent="0.35">
      <c r="A1245" s="1">
        <v>45980</v>
      </c>
      <c r="B1245" s="2">
        <v>46273</v>
      </c>
      <c r="C1245" s="1" t="s">
        <v>16</v>
      </c>
      <c r="D1245" s="1">
        <f t="shared" si="19"/>
        <v>9</v>
      </c>
    </row>
    <row r="1246" spans="1:4" x14ac:dyDescent="0.35">
      <c r="A1246" s="1">
        <v>45978</v>
      </c>
      <c r="B1246" s="2">
        <v>46273</v>
      </c>
      <c r="C1246" s="1" t="s">
        <v>16</v>
      </c>
      <c r="D1246" s="1">
        <f t="shared" si="19"/>
        <v>9</v>
      </c>
    </row>
    <row r="1247" spans="1:4" x14ac:dyDescent="0.35">
      <c r="A1247" s="1">
        <v>45975</v>
      </c>
      <c r="B1247" s="2">
        <v>46273</v>
      </c>
      <c r="C1247" s="1" t="s">
        <v>6</v>
      </c>
      <c r="D1247" s="1">
        <f t="shared" si="19"/>
        <v>9</v>
      </c>
    </row>
    <row r="1248" spans="1:4" x14ac:dyDescent="0.35">
      <c r="A1248" s="1">
        <v>45974</v>
      </c>
      <c r="B1248" s="2">
        <v>46273</v>
      </c>
      <c r="C1248" s="1" t="s">
        <v>6</v>
      </c>
      <c r="D1248" s="1">
        <f t="shared" si="19"/>
        <v>9</v>
      </c>
    </row>
    <row r="1249" spans="1:4" x14ac:dyDescent="0.35">
      <c r="A1249" s="1">
        <v>45970</v>
      </c>
      <c r="B1249" s="2">
        <v>46273</v>
      </c>
      <c r="C1249" s="1" t="s">
        <v>3</v>
      </c>
      <c r="D1249" s="1">
        <f t="shared" si="19"/>
        <v>9</v>
      </c>
    </row>
    <row r="1250" spans="1:4" x14ac:dyDescent="0.35">
      <c r="A1250" s="1">
        <v>45969</v>
      </c>
      <c r="B1250" s="2">
        <v>46273</v>
      </c>
      <c r="C1250" s="1" t="s">
        <v>24</v>
      </c>
      <c r="D1250" s="1">
        <f t="shared" si="19"/>
        <v>9</v>
      </c>
    </row>
    <row r="1251" spans="1:4" x14ac:dyDescent="0.35">
      <c r="A1251" s="1">
        <v>45968</v>
      </c>
      <c r="B1251" s="2">
        <v>46273</v>
      </c>
      <c r="C1251" s="1" t="s">
        <v>3</v>
      </c>
      <c r="D1251" s="1">
        <f t="shared" si="19"/>
        <v>9</v>
      </c>
    </row>
    <row r="1252" spans="1:4" x14ac:dyDescent="0.35">
      <c r="A1252" s="1">
        <v>45967</v>
      </c>
      <c r="B1252" s="2">
        <v>46273</v>
      </c>
      <c r="C1252" s="1" t="s">
        <v>24</v>
      </c>
      <c r="D1252" s="1">
        <f t="shared" si="19"/>
        <v>9</v>
      </c>
    </row>
    <row r="1253" spans="1:4" x14ac:dyDescent="0.35">
      <c r="A1253" s="1">
        <v>45966</v>
      </c>
      <c r="B1253" s="2">
        <v>46273</v>
      </c>
      <c r="C1253" s="1" t="s">
        <v>8</v>
      </c>
      <c r="D1253" s="1">
        <f t="shared" si="19"/>
        <v>9</v>
      </c>
    </row>
    <row r="1254" spans="1:4" x14ac:dyDescent="0.35">
      <c r="A1254" s="1">
        <v>45965</v>
      </c>
      <c r="B1254" s="2">
        <v>46273</v>
      </c>
      <c r="C1254" s="1" t="s">
        <v>24</v>
      </c>
      <c r="D1254" s="1">
        <f t="shared" si="19"/>
        <v>9</v>
      </c>
    </row>
    <row r="1255" spans="1:4" x14ac:dyDescent="0.35">
      <c r="A1255" s="1">
        <v>45964</v>
      </c>
      <c r="B1255" s="2">
        <v>46273</v>
      </c>
      <c r="C1255" s="1" t="s">
        <v>24</v>
      </c>
      <c r="D1255" s="1">
        <f t="shared" si="19"/>
        <v>9</v>
      </c>
    </row>
    <row r="1256" spans="1:4" x14ac:dyDescent="0.35">
      <c r="A1256" s="1">
        <v>45963</v>
      </c>
      <c r="B1256" s="2">
        <v>46273</v>
      </c>
      <c r="C1256" s="1" t="s">
        <v>8</v>
      </c>
      <c r="D1256" s="1">
        <f t="shared" si="19"/>
        <v>9</v>
      </c>
    </row>
    <row r="1257" spans="1:4" x14ac:dyDescent="0.35">
      <c r="A1257" s="1">
        <v>45946</v>
      </c>
      <c r="B1257" s="2">
        <v>46273</v>
      </c>
      <c r="C1257" s="1" t="s">
        <v>7</v>
      </c>
      <c r="D1257" s="1">
        <f t="shared" si="19"/>
        <v>9</v>
      </c>
    </row>
    <row r="1258" spans="1:4" x14ac:dyDescent="0.35">
      <c r="A1258" s="1">
        <v>45945</v>
      </c>
      <c r="B1258" s="2">
        <v>46273</v>
      </c>
      <c r="C1258" s="1" t="s">
        <v>7</v>
      </c>
      <c r="D1258" s="1">
        <f t="shared" si="19"/>
        <v>9</v>
      </c>
    </row>
    <row r="1259" spans="1:4" x14ac:dyDescent="0.35">
      <c r="A1259" s="1">
        <v>45929</v>
      </c>
      <c r="B1259" s="2">
        <v>46273</v>
      </c>
      <c r="C1259" s="1" t="s">
        <v>3</v>
      </c>
      <c r="D1259" s="1">
        <f t="shared" si="19"/>
        <v>9</v>
      </c>
    </row>
    <row r="1260" spans="1:4" x14ac:dyDescent="0.35">
      <c r="A1260" s="1">
        <v>45922</v>
      </c>
      <c r="B1260" s="2">
        <v>46273</v>
      </c>
      <c r="C1260" s="1" t="s">
        <v>19</v>
      </c>
      <c r="D1260" s="1">
        <f t="shared" si="19"/>
        <v>9</v>
      </c>
    </row>
    <row r="1261" spans="1:4" x14ac:dyDescent="0.35">
      <c r="A1261" s="1">
        <v>45921</v>
      </c>
      <c r="B1261" s="2">
        <v>46273</v>
      </c>
      <c r="C1261" s="1" t="s">
        <v>19</v>
      </c>
      <c r="D1261" s="1">
        <f t="shared" si="19"/>
        <v>9</v>
      </c>
    </row>
    <row r="1262" spans="1:4" x14ac:dyDescent="0.35">
      <c r="A1262" s="1">
        <v>46048</v>
      </c>
      <c r="B1262" s="2">
        <v>46274</v>
      </c>
      <c r="C1262" s="1" t="s">
        <v>10</v>
      </c>
      <c r="D1262" s="1">
        <f t="shared" si="19"/>
        <v>9</v>
      </c>
    </row>
    <row r="1263" spans="1:4" x14ac:dyDescent="0.35">
      <c r="A1263" s="1">
        <v>46047</v>
      </c>
      <c r="B1263" s="2">
        <v>46274</v>
      </c>
      <c r="C1263" s="1" t="s">
        <v>10</v>
      </c>
      <c r="D1263" s="1">
        <f t="shared" si="19"/>
        <v>9</v>
      </c>
    </row>
    <row r="1264" spans="1:4" x14ac:dyDescent="0.35">
      <c r="A1264" s="1">
        <v>46036</v>
      </c>
      <c r="B1264" s="2">
        <v>46274</v>
      </c>
      <c r="C1264" s="1" t="s">
        <v>3</v>
      </c>
      <c r="D1264" s="1">
        <f t="shared" si="19"/>
        <v>9</v>
      </c>
    </row>
    <row r="1265" spans="1:4" x14ac:dyDescent="0.35">
      <c r="A1265" s="1">
        <v>46026</v>
      </c>
      <c r="B1265" s="2">
        <v>46274</v>
      </c>
      <c r="C1265" s="1" t="s">
        <v>17</v>
      </c>
      <c r="D1265" s="1">
        <f t="shared" si="19"/>
        <v>9</v>
      </c>
    </row>
    <row r="1266" spans="1:4" x14ac:dyDescent="0.35">
      <c r="A1266" s="1">
        <v>46025</v>
      </c>
      <c r="B1266" s="2">
        <v>46274</v>
      </c>
      <c r="C1266" s="1" t="s">
        <v>17</v>
      </c>
      <c r="D1266" s="1">
        <f t="shared" si="19"/>
        <v>9</v>
      </c>
    </row>
    <row r="1267" spans="1:4" x14ac:dyDescent="0.35">
      <c r="A1267" s="1">
        <v>46024</v>
      </c>
      <c r="B1267" s="2">
        <v>46274</v>
      </c>
      <c r="C1267" s="1" t="s">
        <v>17</v>
      </c>
      <c r="D1267" s="1">
        <f t="shared" si="19"/>
        <v>9</v>
      </c>
    </row>
    <row r="1268" spans="1:4" x14ac:dyDescent="0.35">
      <c r="A1268" s="1">
        <v>46023</v>
      </c>
      <c r="B1268" s="2">
        <v>46274</v>
      </c>
      <c r="C1268" s="1" t="s">
        <v>17</v>
      </c>
      <c r="D1268" s="1">
        <f t="shared" si="19"/>
        <v>9</v>
      </c>
    </row>
    <row r="1269" spans="1:4" x14ac:dyDescent="0.35">
      <c r="A1269" s="1">
        <v>46020</v>
      </c>
      <c r="B1269" s="2">
        <v>46274</v>
      </c>
      <c r="C1269" s="1" t="s">
        <v>9</v>
      </c>
      <c r="D1269" s="1">
        <f t="shared" si="19"/>
        <v>9</v>
      </c>
    </row>
    <row r="1270" spans="1:4" x14ac:dyDescent="0.35">
      <c r="A1270" s="1">
        <v>46019</v>
      </c>
      <c r="B1270" s="2">
        <v>46274</v>
      </c>
      <c r="C1270" s="1" t="s">
        <v>9</v>
      </c>
      <c r="D1270" s="1">
        <f t="shared" si="19"/>
        <v>9</v>
      </c>
    </row>
    <row r="1271" spans="1:4" x14ac:dyDescent="0.35">
      <c r="A1271" s="1">
        <v>46016</v>
      </c>
      <c r="B1271" s="2">
        <v>46274</v>
      </c>
      <c r="C1271" s="1" t="s">
        <v>3</v>
      </c>
      <c r="D1271" s="1">
        <f t="shared" si="19"/>
        <v>9</v>
      </c>
    </row>
    <row r="1272" spans="1:4" x14ac:dyDescent="0.35">
      <c r="A1272" s="1">
        <v>46014</v>
      </c>
      <c r="B1272" s="2">
        <v>46274</v>
      </c>
      <c r="C1272" s="1" t="s">
        <v>7</v>
      </c>
      <c r="D1272" s="1">
        <f t="shared" si="19"/>
        <v>9</v>
      </c>
    </row>
    <row r="1273" spans="1:4" x14ac:dyDescent="0.35">
      <c r="A1273" s="1">
        <v>46012</v>
      </c>
      <c r="B1273" s="2">
        <v>46274</v>
      </c>
      <c r="C1273" s="1" t="s">
        <v>3</v>
      </c>
      <c r="D1273" s="1">
        <f t="shared" si="19"/>
        <v>9</v>
      </c>
    </row>
    <row r="1274" spans="1:4" x14ac:dyDescent="0.35">
      <c r="A1274" s="1">
        <v>46011</v>
      </c>
      <c r="B1274" s="2">
        <v>46274</v>
      </c>
      <c r="C1274" s="1" t="s">
        <v>3</v>
      </c>
      <c r="D1274" s="1">
        <f t="shared" si="19"/>
        <v>9</v>
      </c>
    </row>
    <row r="1275" spans="1:4" x14ac:dyDescent="0.35">
      <c r="A1275" s="1">
        <v>46010</v>
      </c>
      <c r="B1275" s="2">
        <v>46274</v>
      </c>
      <c r="C1275" s="1" t="s">
        <v>3</v>
      </c>
      <c r="D1275" s="1">
        <f t="shared" si="19"/>
        <v>9</v>
      </c>
    </row>
    <row r="1276" spans="1:4" x14ac:dyDescent="0.35">
      <c r="A1276" s="1">
        <v>46003</v>
      </c>
      <c r="B1276" s="2">
        <v>46274</v>
      </c>
      <c r="C1276" s="1" t="s">
        <v>5</v>
      </c>
      <c r="D1276" s="1">
        <f t="shared" si="19"/>
        <v>9</v>
      </c>
    </row>
    <row r="1277" spans="1:4" x14ac:dyDescent="0.35">
      <c r="A1277" s="1">
        <v>46002</v>
      </c>
      <c r="B1277" s="2">
        <v>46274</v>
      </c>
      <c r="C1277" s="1" t="s">
        <v>5</v>
      </c>
      <c r="D1277" s="1">
        <f t="shared" si="19"/>
        <v>9</v>
      </c>
    </row>
    <row r="1278" spans="1:4" x14ac:dyDescent="0.35">
      <c r="A1278" s="1">
        <v>46001</v>
      </c>
      <c r="B1278" s="2">
        <v>46274</v>
      </c>
      <c r="C1278" s="1" t="s">
        <v>5</v>
      </c>
      <c r="D1278" s="1">
        <f t="shared" si="19"/>
        <v>9</v>
      </c>
    </row>
    <row r="1279" spans="1:4" x14ac:dyDescent="0.35">
      <c r="A1279" s="1">
        <v>46000</v>
      </c>
      <c r="B1279" s="2">
        <v>46274</v>
      </c>
      <c r="C1279" s="1" t="s">
        <v>5</v>
      </c>
      <c r="D1279" s="1">
        <f t="shared" si="19"/>
        <v>9</v>
      </c>
    </row>
    <row r="1280" spans="1:4" x14ac:dyDescent="0.35">
      <c r="A1280" s="1">
        <v>45999</v>
      </c>
      <c r="B1280" s="2">
        <v>46274</v>
      </c>
      <c r="C1280" s="1" t="s">
        <v>5</v>
      </c>
      <c r="D1280" s="1">
        <f t="shared" si="19"/>
        <v>9</v>
      </c>
    </row>
    <row r="1281" spans="1:4" x14ac:dyDescent="0.35">
      <c r="A1281" s="1">
        <v>45998</v>
      </c>
      <c r="B1281" s="2">
        <v>46274</v>
      </c>
      <c r="C1281" s="1" t="s">
        <v>5</v>
      </c>
      <c r="D1281" s="1">
        <f t="shared" si="19"/>
        <v>9</v>
      </c>
    </row>
    <row r="1282" spans="1:4" x14ac:dyDescent="0.35">
      <c r="A1282" s="1">
        <v>46086</v>
      </c>
      <c r="B1282" s="2">
        <v>46275</v>
      </c>
      <c r="C1282" s="1" t="s">
        <v>16</v>
      </c>
      <c r="D1282" s="1">
        <f t="shared" ref="D1282:D1345" si="20">MONTH(B1282)</f>
        <v>9</v>
      </c>
    </row>
    <row r="1283" spans="1:4" x14ac:dyDescent="0.35">
      <c r="A1283" s="1">
        <v>46085</v>
      </c>
      <c r="B1283" s="2">
        <v>46275</v>
      </c>
      <c r="C1283" s="1" t="s">
        <v>16</v>
      </c>
      <c r="D1283" s="1">
        <f t="shared" si="20"/>
        <v>9</v>
      </c>
    </row>
    <row r="1284" spans="1:4" x14ac:dyDescent="0.35">
      <c r="A1284" s="1">
        <v>46084</v>
      </c>
      <c r="B1284" s="2">
        <v>46275</v>
      </c>
      <c r="C1284" s="1" t="s">
        <v>9</v>
      </c>
      <c r="D1284" s="1">
        <f t="shared" si="20"/>
        <v>9</v>
      </c>
    </row>
    <row r="1285" spans="1:4" x14ac:dyDescent="0.35">
      <c r="A1285" s="1">
        <v>46083</v>
      </c>
      <c r="B1285" s="2">
        <v>46275</v>
      </c>
      <c r="C1285" s="1" t="s">
        <v>9</v>
      </c>
      <c r="D1285" s="1">
        <f t="shared" si="20"/>
        <v>9</v>
      </c>
    </row>
    <row r="1286" spans="1:4" x14ac:dyDescent="0.35">
      <c r="A1286" s="1">
        <v>46082</v>
      </c>
      <c r="B1286" s="2">
        <v>46275</v>
      </c>
      <c r="C1286" s="1" t="s">
        <v>9</v>
      </c>
      <c r="D1286" s="1">
        <f t="shared" si="20"/>
        <v>9</v>
      </c>
    </row>
    <row r="1287" spans="1:4" x14ac:dyDescent="0.35">
      <c r="A1287" s="1">
        <v>46081</v>
      </c>
      <c r="B1287" s="2">
        <v>46275</v>
      </c>
      <c r="C1287" s="1" t="s">
        <v>9</v>
      </c>
      <c r="D1287" s="1">
        <f t="shared" si="20"/>
        <v>9</v>
      </c>
    </row>
    <row r="1288" spans="1:4" x14ac:dyDescent="0.35">
      <c r="A1288" s="1">
        <v>46075</v>
      </c>
      <c r="B1288" s="2">
        <v>46275</v>
      </c>
      <c r="C1288" s="1" t="s">
        <v>3</v>
      </c>
      <c r="D1288" s="1">
        <f t="shared" si="20"/>
        <v>9</v>
      </c>
    </row>
    <row r="1289" spans="1:4" x14ac:dyDescent="0.35">
      <c r="A1289" s="1">
        <v>46074</v>
      </c>
      <c r="B1289" s="2">
        <v>46275</v>
      </c>
      <c r="C1289" s="1" t="s">
        <v>3</v>
      </c>
      <c r="D1289" s="1">
        <f t="shared" si="20"/>
        <v>9</v>
      </c>
    </row>
    <row r="1290" spans="1:4" x14ac:dyDescent="0.35">
      <c r="A1290" s="1">
        <v>46073</v>
      </c>
      <c r="B1290" s="2">
        <v>46275</v>
      </c>
      <c r="C1290" s="1" t="s">
        <v>24</v>
      </c>
      <c r="D1290" s="1">
        <f t="shared" si="20"/>
        <v>9</v>
      </c>
    </row>
    <row r="1291" spans="1:4" x14ac:dyDescent="0.35">
      <c r="A1291" s="1">
        <v>46072</v>
      </c>
      <c r="B1291" s="2">
        <v>46275</v>
      </c>
      <c r="C1291" s="1" t="s">
        <v>24</v>
      </c>
      <c r="D1291" s="1">
        <f t="shared" si="20"/>
        <v>9</v>
      </c>
    </row>
    <row r="1292" spans="1:4" x14ac:dyDescent="0.35">
      <c r="A1292" s="1">
        <v>46071</v>
      </c>
      <c r="B1292" s="2">
        <v>46275</v>
      </c>
      <c r="C1292" s="1" t="s">
        <v>24</v>
      </c>
      <c r="D1292" s="1">
        <f t="shared" si="20"/>
        <v>9</v>
      </c>
    </row>
    <row r="1293" spans="1:4" x14ac:dyDescent="0.35">
      <c r="A1293" s="1">
        <v>46070</v>
      </c>
      <c r="B1293" s="2">
        <v>46275</v>
      </c>
      <c r="C1293" s="1" t="s">
        <v>24</v>
      </c>
      <c r="D1293" s="1">
        <f t="shared" si="20"/>
        <v>9</v>
      </c>
    </row>
    <row r="1294" spans="1:4" x14ac:dyDescent="0.35">
      <c r="A1294" s="1">
        <v>46069</v>
      </c>
      <c r="B1294" s="2">
        <v>46275</v>
      </c>
      <c r="C1294" s="1" t="s">
        <v>24</v>
      </c>
      <c r="D1294" s="1">
        <f t="shared" si="20"/>
        <v>9</v>
      </c>
    </row>
    <row r="1295" spans="1:4" x14ac:dyDescent="0.35">
      <c r="A1295" s="1">
        <v>46068</v>
      </c>
      <c r="B1295" s="2">
        <v>46275</v>
      </c>
      <c r="C1295" s="1" t="s">
        <v>24</v>
      </c>
      <c r="D1295" s="1">
        <f t="shared" si="20"/>
        <v>9</v>
      </c>
    </row>
    <row r="1296" spans="1:4" x14ac:dyDescent="0.35">
      <c r="A1296" s="1">
        <v>46067</v>
      </c>
      <c r="B1296" s="2">
        <v>46275</v>
      </c>
      <c r="C1296" s="1" t="s">
        <v>24</v>
      </c>
      <c r="D1296" s="1">
        <f t="shared" si="20"/>
        <v>9</v>
      </c>
    </row>
    <row r="1297" spans="1:4" x14ac:dyDescent="0.35">
      <c r="A1297" s="1">
        <v>46066</v>
      </c>
      <c r="B1297" s="2">
        <v>46275</v>
      </c>
      <c r="C1297" s="1" t="s">
        <v>24</v>
      </c>
      <c r="D1297" s="1">
        <f t="shared" si="20"/>
        <v>9</v>
      </c>
    </row>
    <row r="1298" spans="1:4" x14ac:dyDescent="0.35">
      <c r="A1298" s="1">
        <v>46065</v>
      </c>
      <c r="B1298" s="2">
        <v>46275</v>
      </c>
      <c r="C1298" s="1" t="s">
        <v>24</v>
      </c>
      <c r="D1298" s="1">
        <f t="shared" si="20"/>
        <v>9</v>
      </c>
    </row>
    <row r="1299" spans="1:4" x14ac:dyDescent="0.35">
      <c r="A1299" s="1">
        <v>46063</v>
      </c>
      <c r="B1299" s="2">
        <v>46275</v>
      </c>
      <c r="C1299" s="1" t="s">
        <v>10</v>
      </c>
      <c r="D1299" s="1">
        <f t="shared" si="20"/>
        <v>9</v>
      </c>
    </row>
    <row r="1300" spans="1:4" x14ac:dyDescent="0.35">
      <c r="A1300" s="1">
        <v>46058</v>
      </c>
      <c r="B1300" s="2">
        <v>46275</v>
      </c>
      <c r="C1300" s="1" t="s">
        <v>7</v>
      </c>
      <c r="D1300" s="1">
        <f t="shared" si="20"/>
        <v>9</v>
      </c>
    </row>
    <row r="1301" spans="1:4" x14ac:dyDescent="0.35">
      <c r="A1301" s="1">
        <v>46057</v>
      </c>
      <c r="B1301" s="2">
        <v>46275</v>
      </c>
      <c r="C1301" s="1" t="s">
        <v>7</v>
      </c>
      <c r="D1301" s="1">
        <f t="shared" si="20"/>
        <v>9</v>
      </c>
    </row>
    <row r="1302" spans="1:4" x14ac:dyDescent="0.35">
      <c r="A1302" s="1">
        <v>46056</v>
      </c>
      <c r="B1302" s="2">
        <v>46275</v>
      </c>
      <c r="C1302" s="1" t="s">
        <v>8</v>
      </c>
      <c r="D1302" s="1">
        <f t="shared" si="20"/>
        <v>9</v>
      </c>
    </row>
    <row r="1303" spans="1:4" x14ac:dyDescent="0.35">
      <c r="A1303" s="1">
        <v>46055</v>
      </c>
      <c r="B1303" s="2">
        <v>46275</v>
      </c>
      <c r="C1303" s="1" t="s">
        <v>8</v>
      </c>
      <c r="D1303" s="1">
        <f t="shared" si="20"/>
        <v>9</v>
      </c>
    </row>
    <row r="1304" spans="1:4" x14ac:dyDescent="0.35">
      <c r="A1304" s="1">
        <v>46054</v>
      </c>
      <c r="B1304" s="2">
        <v>46275</v>
      </c>
      <c r="C1304" s="1" t="s">
        <v>15</v>
      </c>
      <c r="D1304" s="1">
        <f t="shared" si="20"/>
        <v>9</v>
      </c>
    </row>
    <row r="1305" spans="1:4" x14ac:dyDescent="0.35">
      <c r="A1305" s="1">
        <v>46053</v>
      </c>
      <c r="B1305" s="2">
        <v>46275</v>
      </c>
      <c r="C1305" s="1" t="s">
        <v>15</v>
      </c>
      <c r="D1305" s="1">
        <f t="shared" si="20"/>
        <v>9</v>
      </c>
    </row>
    <row r="1306" spans="1:4" x14ac:dyDescent="0.35">
      <c r="A1306" s="1">
        <v>46129</v>
      </c>
      <c r="B1306" s="2">
        <v>46276</v>
      </c>
      <c r="C1306" s="1" t="s">
        <v>10</v>
      </c>
      <c r="D1306" s="1">
        <f t="shared" si="20"/>
        <v>9</v>
      </c>
    </row>
    <row r="1307" spans="1:4" x14ac:dyDescent="0.35">
      <c r="A1307" s="1">
        <v>46128</v>
      </c>
      <c r="B1307" s="2">
        <v>46276</v>
      </c>
      <c r="C1307" s="1" t="s">
        <v>10</v>
      </c>
      <c r="D1307" s="1">
        <f t="shared" si="20"/>
        <v>9</v>
      </c>
    </row>
    <row r="1308" spans="1:4" x14ac:dyDescent="0.35">
      <c r="A1308" s="1">
        <v>46127</v>
      </c>
      <c r="B1308" s="2">
        <v>46276</v>
      </c>
      <c r="C1308" s="1" t="s">
        <v>15</v>
      </c>
      <c r="D1308" s="1">
        <f t="shared" si="20"/>
        <v>9</v>
      </c>
    </row>
    <row r="1309" spans="1:4" x14ac:dyDescent="0.35">
      <c r="A1309" s="1">
        <v>46126</v>
      </c>
      <c r="B1309" s="2">
        <v>46276</v>
      </c>
      <c r="C1309" s="1" t="s">
        <v>23</v>
      </c>
      <c r="D1309" s="1">
        <f t="shared" si="20"/>
        <v>9</v>
      </c>
    </row>
    <row r="1310" spans="1:4" x14ac:dyDescent="0.35">
      <c r="A1310" s="1">
        <v>46125</v>
      </c>
      <c r="B1310" s="2">
        <v>46276</v>
      </c>
      <c r="C1310" s="1" t="s">
        <v>23</v>
      </c>
      <c r="D1310" s="1">
        <f t="shared" si="20"/>
        <v>9</v>
      </c>
    </row>
    <row r="1311" spans="1:4" x14ac:dyDescent="0.35">
      <c r="A1311" s="1">
        <v>46124</v>
      </c>
      <c r="B1311" s="2">
        <v>46276</v>
      </c>
      <c r="C1311" s="1" t="s">
        <v>24</v>
      </c>
      <c r="D1311" s="1">
        <f t="shared" si="20"/>
        <v>9</v>
      </c>
    </row>
    <row r="1312" spans="1:4" x14ac:dyDescent="0.35">
      <c r="A1312" s="1">
        <v>46123</v>
      </c>
      <c r="B1312" s="2">
        <v>46276</v>
      </c>
      <c r="C1312" s="1" t="s">
        <v>3</v>
      </c>
      <c r="D1312" s="1">
        <f t="shared" si="20"/>
        <v>9</v>
      </c>
    </row>
    <row r="1313" spans="1:4" x14ac:dyDescent="0.35">
      <c r="A1313" s="1">
        <v>46122</v>
      </c>
      <c r="B1313" s="2">
        <v>46276</v>
      </c>
      <c r="C1313" s="1" t="s">
        <v>9</v>
      </c>
      <c r="D1313" s="1">
        <f t="shared" si="20"/>
        <v>9</v>
      </c>
    </row>
    <row r="1314" spans="1:4" x14ac:dyDescent="0.35">
      <c r="A1314" s="1">
        <v>46121</v>
      </c>
      <c r="B1314" s="2">
        <v>46276</v>
      </c>
      <c r="C1314" s="1" t="s">
        <v>9</v>
      </c>
      <c r="D1314" s="1">
        <f t="shared" si="20"/>
        <v>9</v>
      </c>
    </row>
    <row r="1315" spans="1:4" x14ac:dyDescent="0.35">
      <c r="A1315" s="1">
        <v>46120</v>
      </c>
      <c r="B1315" s="2">
        <v>46276</v>
      </c>
      <c r="C1315" s="1" t="s">
        <v>9</v>
      </c>
      <c r="D1315" s="1">
        <f t="shared" si="20"/>
        <v>9</v>
      </c>
    </row>
    <row r="1316" spans="1:4" x14ac:dyDescent="0.35">
      <c r="A1316" s="1">
        <v>46118</v>
      </c>
      <c r="B1316" s="2">
        <v>46276</v>
      </c>
      <c r="C1316" s="1" t="s">
        <v>9</v>
      </c>
      <c r="D1316" s="1">
        <f t="shared" si="20"/>
        <v>9</v>
      </c>
    </row>
    <row r="1317" spans="1:4" x14ac:dyDescent="0.35">
      <c r="A1317" s="1">
        <v>46117</v>
      </c>
      <c r="B1317" s="2">
        <v>46276</v>
      </c>
      <c r="C1317" s="1" t="s">
        <v>9</v>
      </c>
      <c r="D1317" s="1">
        <f t="shared" si="20"/>
        <v>9</v>
      </c>
    </row>
    <row r="1318" spans="1:4" x14ac:dyDescent="0.35">
      <c r="A1318" s="1">
        <v>46116</v>
      </c>
      <c r="B1318" s="2">
        <v>46276</v>
      </c>
      <c r="C1318" s="1" t="s">
        <v>28</v>
      </c>
      <c r="D1318" s="1">
        <f t="shared" si="20"/>
        <v>9</v>
      </c>
    </row>
    <row r="1319" spans="1:4" x14ac:dyDescent="0.35">
      <c r="A1319" s="1">
        <v>46115</v>
      </c>
      <c r="B1319" s="2">
        <v>46276</v>
      </c>
      <c r="C1319" s="1" t="s">
        <v>28</v>
      </c>
      <c r="D1319" s="1">
        <f t="shared" si="20"/>
        <v>9</v>
      </c>
    </row>
    <row r="1320" spans="1:4" x14ac:dyDescent="0.35">
      <c r="A1320" s="1">
        <v>46114</v>
      </c>
      <c r="B1320" s="2">
        <v>46276</v>
      </c>
      <c r="C1320" s="1" t="s">
        <v>28</v>
      </c>
      <c r="D1320" s="1">
        <f t="shared" si="20"/>
        <v>9</v>
      </c>
    </row>
    <row r="1321" spans="1:4" x14ac:dyDescent="0.35">
      <c r="A1321" s="1">
        <v>46113</v>
      </c>
      <c r="B1321" s="2">
        <v>46276</v>
      </c>
      <c r="C1321" s="1" t="s">
        <v>28</v>
      </c>
      <c r="D1321" s="1">
        <f t="shared" si="20"/>
        <v>9</v>
      </c>
    </row>
    <row r="1322" spans="1:4" x14ac:dyDescent="0.35">
      <c r="A1322" s="1">
        <v>46112</v>
      </c>
      <c r="B1322" s="2">
        <v>46276</v>
      </c>
      <c r="C1322" s="1" t="s">
        <v>28</v>
      </c>
      <c r="D1322" s="1">
        <f t="shared" si="20"/>
        <v>9</v>
      </c>
    </row>
    <row r="1323" spans="1:4" x14ac:dyDescent="0.35">
      <c r="A1323" s="1">
        <v>46111</v>
      </c>
      <c r="B1323" s="2">
        <v>46276</v>
      </c>
      <c r="C1323" s="1" t="s">
        <v>24</v>
      </c>
      <c r="D1323" s="1">
        <f t="shared" si="20"/>
        <v>9</v>
      </c>
    </row>
    <row r="1324" spans="1:4" x14ac:dyDescent="0.35">
      <c r="A1324" s="1">
        <v>46110</v>
      </c>
      <c r="B1324" s="2">
        <v>46276</v>
      </c>
      <c r="C1324" s="1" t="s">
        <v>24</v>
      </c>
      <c r="D1324" s="1">
        <f t="shared" si="20"/>
        <v>9</v>
      </c>
    </row>
    <row r="1325" spans="1:4" x14ac:dyDescent="0.35">
      <c r="A1325" s="1">
        <v>46109</v>
      </c>
      <c r="B1325" s="2">
        <v>46276</v>
      </c>
      <c r="C1325" s="1" t="s">
        <v>24</v>
      </c>
      <c r="D1325" s="1">
        <f t="shared" si="20"/>
        <v>9</v>
      </c>
    </row>
    <row r="1326" spans="1:4" x14ac:dyDescent="0.35">
      <c r="A1326" s="1">
        <v>46108</v>
      </c>
      <c r="B1326" s="2">
        <v>46276</v>
      </c>
      <c r="C1326" s="1" t="s">
        <v>24</v>
      </c>
      <c r="D1326" s="1">
        <f t="shared" si="20"/>
        <v>9</v>
      </c>
    </row>
    <row r="1327" spans="1:4" x14ac:dyDescent="0.35">
      <c r="A1327" s="1">
        <v>46107</v>
      </c>
      <c r="B1327" s="2">
        <v>46276</v>
      </c>
      <c r="C1327" s="1" t="s">
        <v>6</v>
      </c>
      <c r="D1327" s="1">
        <f t="shared" si="20"/>
        <v>9</v>
      </c>
    </row>
    <row r="1328" spans="1:4" x14ac:dyDescent="0.35">
      <c r="A1328" s="1">
        <v>46106</v>
      </c>
      <c r="B1328" s="2">
        <v>46276</v>
      </c>
      <c r="C1328" s="1" t="s">
        <v>6</v>
      </c>
      <c r="D1328" s="1">
        <f t="shared" si="20"/>
        <v>9</v>
      </c>
    </row>
    <row r="1329" spans="1:4" x14ac:dyDescent="0.35">
      <c r="A1329" s="1">
        <v>46105</v>
      </c>
      <c r="B1329" s="2">
        <v>46276</v>
      </c>
      <c r="C1329" s="1" t="s">
        <v>6</v>
      </c>
      <c r="D1329" s="1">
        <f t="shared" si="20"/>
        <v>9</v>
      </c>
    </row>
    <row r="1330" spans="1:4" x14ac:dyDescent="0.35">
      <c r="A1330" s="1">
        <v>46103</v>
      </c>
      <c r="B1330" s="2">
        <v>46276</v>
      </c>
      <c r="C1330" s="1" t="s">
        <v>3</v>
      </c>
      <c r="D1330" s="1">
        <f t="shared" si="20"/>
        <v>9</v>
      </c>
    </row>
    <row r="1331" spans="1:4" x14ac:dyDescent="0.35">
      <c r="A1331" s="1">
        <v>46102</v>
      </c>
      <c r="B1331" s="2">
        <v>46276</v>
      </c>
      <c r="C1331" s="1" t="s">
        <v>3</v>
      </c>
      <c r="D1331" s="1">
        <f t="shared" si="20"/>
        <v>9</v>
      </c>
    </row>
    <row r="1332" spans="1:4" x14ac:dyDescent="0.35">
      <c r="A1332" s="1">
        <v>46101</v>
      </c>
      <c r="B1332" s="2">
        <v>46276</v>
      </c>
      <c r="C1332" s="1" t="s">
        <v>3</v>
      </c>
      <c r="D1332" s="1">
        <f t="shared" si="20"/>
        <v>9</v>
      </c>
    </row>
    <row r="1333" spans="1:4" x14ac:dyDescent="0.35">
      <c r="A1333" s="1">
        <v>46100</v>
      </c>
      <c r="B1333" s="2">
        <v>46276</v>
      </c>
      <c r="C1333" s="1" t="s">
        <v>7</v>
      </c>
      <c r="D1333" s="1">
        <f t="shared" si="20"/>
        <v>9</v>
      </c>
    </row>
    <row r="1334" spans="1:4" x14ac:dyDescent="0.35">
      <c r="A1334" s="1">
        <v>46098</v>
      </c>
      <c r="B1334" s="2">
        <v>46276</v>
      </c>
      <c r="C1334" s="1" t="s">
        <v>4</v>
      </c>
      <c r="D1334" s="1">
        <f t="shared" si="20"/>
        <v>9</v>
      </c>
    </row>
    <row r="1335" spans="1:4" x14ac:dyDescent="0.35">
      <c r="A1335" s="1">
        <v>46097</v>
      </c>
      <c r="B1335" s="2">
        <v>46276</v>
      </c>
      <c r="C1335" s="1" t="s">
        <v>17</v>
      </c>
      <c r="D1335" s="1">
        <f t="shared" si="20"/>
        <v>9</v>
      </c>
    </row>
    <row r="1336" spans="1:4" x14ac:dyDescent="0.35">
      <c r="A1336" s="1">
        <v>46096</v>
      </c>
      <c r="B1336" s="2">
        <v>46276</v>
      </c>
      <c r="C1336" s="1" t="s">
        <v>4</v>
      </c>
      <c r="D1336" s="1">
        <f t="shared" si="20"/>
        <v>9</v>
      </c>
    </row>
    <row r="1337" spans="1:4" x14ac:dyDescent="0.35">
      <c r="A1337" s="1">
        <v>46095</v>
      </c>
      <c r="B1337" s="2">
        <v>46276</v>
      </c>
      <c r="C1337" s="1" t="s">
        <v>17</v>
      </c>
      <c r="D1337" s="1">
        <f t="shared" si="20"/>
        <v>9</v>
      </c>
    </row>
    <row r="1338" spans="1:4" x14ac:dyDescent="0.35">
      <c r="A1338" s="1">
        <v>46091</v>
      </c>
      <c r="B1338" s="2">
        <v>46276</v>
      </c>
      <c r="C1338" s="1" t="s">
        <v>15</v>
      </c>
      <c r="D1338" s="1">
        <f t="shared" si="20"/>
        <v>9</v>
      </c>
    </row>
    <row r="1339" spans="1:4" x14ac:dyDescent="0.35">
      <c r="A1339" s="1">
        <v>46089</v>
      </c>
      <c r="B1339" s="2">
        <v>46276</v>
      </c>
      <c r="C1339" s="1" t="s">
        <v>8</v>
      </c>
      <c r="D1339" s="1">
        <f t="shared" si="20"/>
        <v>9</v>
      </c>
    </row>
    <row r="1340" spans="1:4" x14ac:dyDescent="0.35">
      <c r="A1340" s="1">
        <v>46088</v>
      </c>
      <c r="B1340" s="2">
        <v>46276</v>
      </c>
      <c r="C1340" s="1" t="s">
        <v>8</v>
      </c>
      <c r="D1340" s="1">
        <f t="shared" si="20"/>
        <v>9</v>
      </c>
    </row>
    <row r="1341" spans="1:4" x14ac:dyDescent="0.35">
      <c r="A1341" s="1">
        <v>46087</v>
      </c>
      <c r="B1341" s="2">
        <v>46276</v>
      </c>
      <c r="C1341" s="1" t="s">
        <v>4</v>
      </c>
      <c r="D1341" s="1">
        <f t="shared" si="20"/>
        <v>9</v>
      </c>
    </row>
    <row r="1342" spans="1:4" x14ac:dyDescent="0.35">
      <c r="A1342" s="1">
        <v>46133</v>
      </c>
      <c r="B1342" s="2">
        <v>46277</v>
      </c>
      <c r="C1342" s="1" t="s">
        <v>23</v>
      </c>
      <c r="D1342" s="1">
        <f t="shared" si="20"/>
        <v>9</v>
      </c>
    </row>
    <row r="1343" spans="1:4" x14ac:dyDescent="0.35">
      <c r="A1343" s="1">
        <v>46132</v>
      </c>
      <c r="B1343" s="2">
        <v>46277</v>
      </c>
      <c r="C1343" s="1" t="s">
        <v>23</v>
      </c>
      <c r="D1343" s="1">
        <f t="shared" si="20"/>
        <v>9</v>
      </c>
    </row>
    <row r="1344" spans="1:4" x14ac:dyDescent="0.35">
      <c r="A1344" s="1">
        <v>46131</v>
      </c>
      <c r="B1344" s="2">
        <v>46277</v>
      </c>
      <c r="C1344" s="1" t="s">
        <v>6</v>
      </c>
      <c r="D1344" s="1">
        <f t="shared" si="20"/>
        <v>9</v>
      </c>
    </row>
    <row r="1345" spans="1:4" x14ac:dyDescent="0.35">
      <c r="A1345" s="1">
        <v>46130</v>
      </c>
      <c r="B1345" s="2">
        <v>46277</v>
      </c>
      <c r="C1345" s="1" t="s">
        <v>6</v>
      </c>
      <c r="D1345" s="1">
        <f t="shared" si="20"/>
        <v>9</v>
      </c>
    </row>
    <row r="1346" spans="1:4" x14ac:dyDescent="0.35">
      <c r="A1346" s="1">
        <v>46136</v>
      </c>
      <c r="B1346" s="2">
        <v>46278</v>
      </c>
      <c r="C1346" s="1" t="s">
        <v>17</v>
      </c>
      <c r="D1346" s="1">
        <f t="shared" ref="D1346:D1409" si="21">MONTH(B1346)</f>
        <v>9</v>
      </c>
    </row>
    <row r="1347" spans="1:4" x14ac:dyDescent="0.35">
      <c r="A1347" s="1">
        <v>46135</v>
      </c>
      <c r="B1347" s="2">
        <v>46278</v>
      </c>
      <c r="C1347" s="1" t="s">
        <v>17</v>
      </c>
      <c r="D1347" s="1">
        <f t="shared" si="21"/>
        <v>9</v>
      </c>
    </row>
    <row r="1348" spans="1:4" x14ac:dyDescent="0.35">
      <c r="A1348" s="1">
        <v>46134</v>
      </c>
      <c r="B1348" s="2">
        <v>46278</v>
      </c>
      <c r="C1348" s="1" t="s">
        <v>17</v>
      </c>
      <c r="D1348" s="1">
        <f t="shared" si="21"/>
        <v>9</v>
      </c>
    </row>
    <row r="1349" spans="1:4" x14ac:dyDescent="0.35">
      <c r="A1349" s="1">
        <v>46184</v>
      </c>
      <c r="B1349" s="2">
        <v>46279</v>
      </c>
      <c r="C1349" s="1" t="s">
        <v>3</v>
      </c>
      <c r="D1349" s="1">
        <f t="shared" si="21"/>
        <v>9</v>
      </c>
    </row>
    <row r="1350" spans="1:4" x14ac:dyDescent="0.35">
      <c r="A1350" s="1">
        <v>46183</v>
      </c>
      <c r="B1350" s="2">
        <v>46279</v>
      </c>
      <c r="C1350" s="1" t="s">
        <v>28</v>
      </c>
      <c r="D1350" s="1">
        <f t="shared" si="21"/>
        <v>9</v>
      </c>
    </row>
    <row r="1351" spans="1:4" x14ac:dyDescent="0.35">
      <c r="A1351" s="1">
        <v>46182</v>
      </c>
      <c r="B1351" s="2">
        <v>46279</v>
      </c>
      <c r="C1351" s="1" t="s">
        <v>10</v>
      </c>
      <c r="D1351" s="1">
        <f t="shared" si="21"/>
        <v>9</v>
      </c>
    </row>
    <row r="1352" spans="1:4" x14ac:dyDescent="0.35">
      <c r="A1352" s="1">
        <v>46181</v>
      </c>
      <c r="B1352" s="2">
        <v>46279</v>
      </c>
      <c r="C1352" s="1" t="s">
        <v>10</v>
      </c>
      <c r="D1352" s="1">
        <f t="shared" si="21"/>
        <v>9</v>
      </c>
    </row>
    <row r="1353" spans="1:4" x14ac:dyDescent="0.35">
      <c r="A1353" s="1">
        <v>46180</v>
      </c>
      <c r="B1353" s="2">
        <v>46279</v>
      </c>
      <c r="C1353" s="1" t="s">
        <v>24</v>
      </c>
      <c r="D1353" s="1">
        <f t="shared" si="21"/>
        <v>9</v>
      </c>
    </row>
    <row r="1354" spans="1:4" x14ac:dyDescent="0.35">
      <c r="A1354" s="1">
        <v>46179</v>
      </c>
      <c r="B1354" s="2">
        <v>46279</v>
      </c>
      <c r="C1354" s="1" t="s">
        <v>24</v>
      </c>
      <c r="D1354" s="1">
        <f t="shared" si="21"/>
        <v>9</v>
      </c>
    </row>
    <row r="1355" spans="1:4" x14ac:dyDescent="0.35">
      <c r="A1355" s="1">
        <v>46178</v>
      </c>
      <c r="B1355" s="2">
        <v>46279</v>
      </c>
      <c r="C1355" s="1" t="s">
        <v>24</v>
      </c>
      <c r="D1355" s="1">
        <f t="shared" si="21"/>
        <v>9</v>
      </c>
    </row>
    <row r="1356" spans="1:4" x14ac:dyDescent="0.35">
      <c r="A1356" s="1">
        <v>46177</v>
      </c>
      <c r="B1356" s="2">
        <v>46279</v>
      </c>
      <c r="C1356" s="1" t="s">
        <v>24</v>
      </c>
      <c r="D1356" s="1">
        <f t="shared" si="21"/>
        <v>9</v>
      </c>
    </row>
    <row r="1357" spans="1:4" x14ac:dyDescent="0.35">
      <c r="A1357" s="1">
        <v>46176</v>
      </c>
      <c r="B1357" s="2">
        <v>46279</v>
      </c>
      <c r="C1357" s="1" t="s">
        <v>24</v>
      </c>
      <c r="D1357" s="1">
        <f t="shared" si="21"/>
        <v>9</v>
      </c>
    </row>
    <row r="1358" spans="1:4" x14ac:dyDescent="0.35">
      <c r="A1358" s="1">
        <v>46175</v>
      </c>
      <c r="B1358" s="2">
        <v>46279</v>
      </c>
      <c r="C1358" s="1" t="s">
        <v>24</v>
      </c>
      <c r="D1358" s="1">
        <f t="shared" si="21"/>
        <v>9</v>
      </c>
    </row>
    <row r="1359" spans="1:4" x14ac:dyDescent="0.35">
      <c r="A1359" s="1">
        <v>46174</v>
      </c>
      <c r="B1359" s="2">
        <v>46279</v>
      </c>
      <c r="C1359" s="1" t="s">
        <v>3</v>
      </c>
      <c r="D1359" s="1">
        <f t="shared" si="21"/>
        <v>9</v>
      </c>
    </row>
    <row r="1360" spans="1:4" x14ac:dyDescent="0.35">
      <c r="A1360" s="1">
        <v>46173</v>
      </c>
      <c r="B1360" s="2">
        <v>46279</v>
      </c>
      <c r="C1360" s="1" t="s">
        <v>28</v>
      </c>
      <c r="D1360" s="1">
        <f t="shared" si="21"/>
        <v>9</v>
      </c>
    </row>
    <row r="1361" spans="1:4" x14ac:dyDescent="0.35">
      <c r="A1361" s="1">
        <v>46172</v>
      </c>
      <c r="B1361" s="2">
        <v>46279</v>
      </c>
      <c r="C1361" s="1" t="s">
        <v>6</v>
      </c>
      <c r="D1361" s="1">
        <f t="shared" si="21"/>
        <v>9</v>
      </c>
    </row>
    <row r="1362" spans="1:4" x14ac:dyDescent="0.35">
      <c r="A1362" s="1">
        <v>46171</v>
      </c>
      <c r="B1362" s="2">
        <v>46279</v>
      </c>
      <c r="C1362" s="1" t="s">
        <v>3</v>
      </c>
      <c r="D1362" s="1">
        <f t="shared" si="21"/>
        <v>9</v>
      </c>
    </row>
    <row r="1363" spans="1:4" x14ac:dyDescent="0.35">
      <c r="A1363" s="1">
        <v>46170</v>
      </c>
      <c r="B1363" s="2">
        <v>46279</v>
      </c>
      <c r="C1363" s="1" t="s">
        <v>3</v>
      </c>
      <c r="D1363" s="1">
        <f t="shared" si="21"/>
        <v>9</v>
      </c>
    </row>
    <row r="1364" spans="1:4" x14ac:dyDescent="0.35">
      <c r="A1364" s="1">
        <v>46168</v>
      </c>
      <c r="B1364" s="2">
        <v>46279</v>
      </c>
      <c r="C1364" s="1" t="s">
        <v>7</v>
      </c>
      <c r="D1364" s="1">
        <f t="shared" si="21"/>
        <v>9</v>
      </c>
    </row>
    <row r="1365" spans="1:4" x14ac:dyDescent="0.35">
      <c r="A1365" s="1">
        <v>46167</v>
      </c>
      <c r="B1365" s="2">
        <v>46279</v>
      </c>
      <c r="C1365" s="1" t="s">
        <v>7</v>
      </c>
      <c r="D1365" s="1">
        <f t="shared" si="21"/>
        <v>9</v>
      </c>
    </row>
    <row r="1366" spans="1:4" x14ac:dyDescent="0.35">
      <c r="A1366" s="1">
        <v>46151</v>
      </c>
      <c r="B1366" s="2">
        <v>46279</v>
      </c>
      <c r="C1366" s="1" t="s">
        <v>19</v>
      </c>
      <c r="D1366" s="1">
        <f t="shared" si="21"/>
        <v>9</v>
      </c>
    </row>
    <row r="1367" spans="1:4" x14ac:dyDescent="0.35">
      <c r="A1367" s="1">
        <v>46144</v>
      </c>
      <c r="B1367" s="2">
        <v>46279</v>
      </c>
      <c r="C1367" s="1" t="s">
        <v>19</v>
      </c>
      <c r="D1367" s="1">
        <f t="shared" si="21"/>
        <v>9</v>
      </c>
    </row>
    <row r="1368" spans="1:4" x14ac:dyDescent="0.35">
      <c r="A1368" s="1">
        <v>46143</v>
      </c>
      <c r="B1368" s="2">
        <v>46279</v>
      </c>
      <c r="C1368" s="1" t="s">
        <v>19</v>
      </c>
      <c r="D1368" s="1">
        <f t="shared" si="21"/>
        <v>9</v>
      </c>
    </row>
    <row r="1369" spans="1:4" x14ac:dyDescent="0.35">
      <c r="A1369" s="1">
        <v>46142</v>
      </c>
      <c r="B1369" s="2">
        <v>46279</v>
      </c>
      <c r="C1369" s="1" t="s">
        <v>19</v>
      </c>
      <c r="D1369" s="1">
        <f t="shared" si="21"/>
        <v>9</v>
      </c>
    </row>
    <row r="1370" spans="1:4" x14ac:dyDescent="0.35">
      <c r="A1370" s="1">
        <v>46141</v>
      </c>
      <c r="B1370" s="2">
        <v>46279</v>
      </c>
      <c r="C1370" s="1" t="s">
        <v>19</v>
      </c>
      <c r="D1370" s="1">
        <f t="shared" si="21"/>
        <v>9</v>
      </c>
    </row>
    <row r="1371" spans="1:4" x14ac:dyDescent="0.35">
      <c r="A1371" s="1">
        <v>46140</v>
      </c>
      <c r="B1371" s="2">
        <v>46279</v>
      </c>
      <c r="C1371" s="1" t="s">
        <v>19</v>
      </c>
      <c r="D1371" s="1">
        <f t="shared" si="21"/>
        <v>9</v>
      </c>
    </row>
    <row r="1372" spans="1:4" x14ac:dyDescent="0.35">
      <c r="A1372" s="1">
        <v>46139</v>
      </c>
      <c r="B1372" s="2">
        <v>46279</v>
      </c>
      <c r="C1372" s="1" t="s">
        <v>19</v>
      </c>
      <c r="D1372" s="1">
        <f t="shared" si="21"/>
        <v>9</v>
      </c>
    </row>
    <row r="1373" spans="1:4" x14ac:dyDescent="0.35">
      <c r="A1373" s="1">
        <v>46138</v>
      </c>
      <c r="B1373" s="2">
        <v>46279</v>
      </c>
      <c r="C1373" s="1" t="s">
        <v>8</v>
      </c>
      <c r="D1373" s="1">
        <f t="shared" si="21"/>
        <v>9</v>
      </c>
    </row>
    <row r="1374" spans="1:4" x14ac:dyDescent="0.35">
      <c r="A1374" s="1">
        <v>46137</v>
      </c>
      <c r="B1374" s="2">
        <v>46279</v>
      </c>
      <c r="C1374" s="1" t="s">
        <v>8</v>
      </c>
      <c r="D1374" s="1">
        <f t="shared" si="21"/>
        <v>9</v>
      </c>
    </row>
    <row r="1375" spans="1:4" x14ac:dyDescent="0.35">
      <c r="A1375" s="1">
        <v>46193</v>
      </c>
      <c r="B1375" s="2">
        <v>46279</v>
      </c>
      <c r="C1375" s="1" t="s">
        <v>23</v>
      </c>
      <c r="D1375" s="1">
        <f t="shared" si="21"/>
        <v>9</v>
      </c>
    </row>
    <row r="1376" spans="1:4" x14ac:dyDescent="0.35">
      <c r="A1376" s="1">
        <v>46192</v>
      </c>
      <c r="B1376" s="2">
        <v>46279</v>
      </c>
      <c r="C1376" s="1" t="s">
        <v>17</v>
      </c>
      <c r="D1376" s="1">
        <f t="shared" si="21"/>
        <v>9</v>
      </c>
    </row>
    <row r="1377" spans="1:4" x14ac:dyDescent="0.35">
      <c r="A1377" s="1">
        <v>46191</v>
      </c>
      <c r="B1377" s="2">
        <v>46279</v>
      </c>
      <c r="C1377" s="1" t="s">
        <v>23</v>
      </c>
      <c r="D1377" s="1">
        <f t="shared" si="21"/>
        <v>9</v>
      </c>
    </row>
    <row r="1378" spans="1:4" x14ac:dyDescent="0.35">
      <c r="A1378" s="1">
        <v>46187</v>
      </c>
      <c r="B1378" s="2">
        <v>46279</v>
      </c>
      <c r="C1378" s="1" t="s">
        <v>17</v>
      </c>
      <c r="D1378" s="1">
        <f t="shared" si="21"/>
        <v>9</v>
      </c>
    </row>
    <row r="1379" spans="1:4" x14ac:dyDescent="0.35">
      <c r="A1379" s="1">
        <v>46186</v>
      </c>
      <c r="B1379" s="2">
        <v>46279</v>
      </c>
      <c r="C1379" s="1" t="s">
        <v>24</v>
      </c>
      <c r="D1379" s="1">
        <f t="shared" si="21"/>
        <v>9</v>
      </c>
    </row>
    <row r="1380" spans="1:4" x14ac:dyDescent="0.35">
      <c r="A1380" s="1">
        <v>46242</v>
      </c>
      <c r="B1380" s="2">
        <v>46280</v>
      </c>
      <c r="C1380" s="1" t="s">
        <v>4</v>
      </c>
      <c r="D1380" s="1">
        <f t="shared" si="21"/>
        <v>9</v>
      </c>
    </row>
    <row r="1381" spans="1:4" x14ac:dyDescent="0.35">
      <c r="A1381" s="1">
        <v>46241</v>
      </c>
      <c r="B1381" s="2">
        <v>46280</v>
      </c>
      <c r="C1381" s="1" t="s">
        <v>4</v>
      </c>
      <c r="D1381" s="1">
        <f t="shared" si="21"/>
        <v>9</v>
      </c>
    </row>
    <row r="1382" spans="1:4" x14ac:dyDescent="0.35">
      <c r="A1382" s="1">
        <v>46240</v>
      </c>
      <c r="B1382" s="2">
        <v>46280</v>
      </c>
      <c r="C1382" s="1" t="s">
        <v>4</v>
      </c>
      <c r="D1382" s="1">
        <f t="shared" si="21"/>
        <v>9</v>
      </c>
    </row>
    <row r="1383" spans="1:4" x14ac:dyDescent="0.35">
      <c r="A1383" s="1">
        <v>46239</v>
      </c>
      <c r="B1383" s="2">
        <v>46280</v>
      </c>
      <c r="C1383" s="1" t="s">
        <v>6</v>
      </c>
      <c r="D1383" s="1">
        <f t="shared" si="21"/>
        <v>9</v>
      </c>
    </row>
    <row r="1384" spans="1:4" x14ac:dyDescent="0.35">
      <c r="A1384" s="1">
        <v>46238</v>
      </c>
      <c r="B1384" s="2">
        <v>46280</v>
      </c>
      <c r="C1384" s="1" t="s">
        <v>6</v>
      </c>
      <c r="D1384" s="1">
        <f t="shared" si="21"/>
        <v>9</v>
      </c>
    </row>
    <row r="1385" spans="1:4" x14ac:dyDescent="0.35">
      <c r="A1385" s="1">
        <v>46234</v>
      </c>
      <c r="B1385" s="2">
        <v>46280</v>
      </c>
      <c r="C1385" s="1" t="s">
        <v>17</v>
      </c>
      <c r="D1385" s="1">
        <f t="shared" si="21"/>
        <v>9</v>
      </c>
    </row>
    <row r="1386" spans="1:4" x14ac:dyDescent="0.35">
      <c r="A1386" s="1">
        <v>46233</v>
      </c>
      <c r="B1386" s="2">
        <v>46280</v>
      </c>
      <c r="C1386" s="1" t="s">
        <v>17</v>
      </c>
      <c r="D1386" s="1">
        <f t="shared" si="21"/>
        <v>9</v>
      </c>
    </row>
    <row r="1387" spans="1:4" x14ac:dyDescent="0.35">
      <c r="A1387" s="1">
        <v>46232</v>
      </c>
      <c r="B1387" s="2">
        <v>46280</v>
      </c>
      <c r="C1387" s="1" t="s">
        <v>24</v>
      </c>
      <c r="D1387" s="1">
        <f t="shared" si="21"/>
        <v>9</v>
      </c>
    </row>
    <row r="1388" spans="1:4" x14ac:dyDescent="0.35">
      <c r="A1388" s="1">
        <v>46231</v>
      </c>
      <c r="B1388" s="2">
        <v>46280</v>
      </c>
      <c r="C1388" s="1" t="s">
        <v>3</v>
      </c>
      <c r="D1388" s="1">
        <f t="shared" si="21"/>
        <v>9</v>
      </c>
    </row>
    <row r="1389" spans="1:4" x14ac:dyDescent="0.35">
      <c r="A1389" s="1">
        <v>46230</v>
      </c>
      <c r="B1389" s="2">
        <v>46280</v>
      </c>
      <c r="C1389" s="1" t="s">
        <v>23</v>
      </c>
      <c r="D1389" s="1">
        <f t="shared" si="21"/>
        <v>9</v>
      </c>
    </row>
    <row r="1390" spans="1:4" x14ac:dyDescent="0.35">
      <c r="A1390" s="1">
        <v>46229</v>
      </c>
      <c r="B1390" s="2">
        <v>46280</v>
      </c>
      <c r="C1390" s="1" t="s">
        <v>23</v>
      </c>
      <c r="D1390" s="1">
        <f t="shared" si="21"/>
        <v>9</v>
      </c>
    </row>
    <row r="1391" spans="1:4" x14ac:dyDescent="0.35">
      <c r="A1391" s="1">
        <v>46228</v>
      </c>
      <c r="B1391" s="2">
        <v>46280</v>
      </c>
      <c r="C1391" s="1" t="s">
        <v>3</v>
      </c>
      <c r="D1391" s="1">
        <f t="shared" si="21"/>
        <v>9</v>
      </c>
    </row>
    <row r="1392" spans="1:4" x14ac:dyDescent="0.35">
      <c r="A1392" s="1">
        <v>46227</v>
      </c>
      <c r="B1392" s="2">
        <v>46280</v>
      </c>
      <c r="C1392" s="1" t="s">
        <v>28</v>
      </c>
      <c r="D1392" s="1">
        <f t="shared" si="21"/>
        <v>9</v>
      </c>
    </row>
    <row r="1393" spans="1:4" x14ac:dyDescent="0.35">
      <c r="A1393" s="1">
        <v>46225</v>
      </c>
      <c r="B1393" s="2">
        <v>46280</v>
      </c>
      <c r="C1393" s="1" t="s">
        <v>7</v>
      </c>
      <c r="D1393" s="1">
        <f t="shared" si="21"/>
        <v>9</v>
      </c>
    </row>
    <row r="1394" spans="1:4" x14ac:dyDescent="0.35">
      <c r="A1394" s="1">
        <v>46221</v>
      </c>
      <c r="B1394" s="2">
        <v>46280</v>
      </c>
      <c r="C1394" s="1" t="s">
        <v>3</v>
      </c>
      <c r="D1394" s="1">
        <f t="shared" si="21"/>
        <v>9</v>
      </c>
    </row>
    <row r="1395" spans="1:4" x14ac:dyDescent="0.35">
      <c r="A1395" s="1">
        <v>46219</v>
      </c>
      <c r="B1395" s="2">
        <v>46280</v>
      </c>
      <c r="C1395" s="1" t="s">
        <v>3</v>
      </c>
      <c r="D1395" s="1">
        <f t="shared" si="21"/>
        <v>9</v>
      </c>
    </row>
    <row r="1396" spans="1:4" x14ac:dyDescent="0.35">
      <c r="A1396" s="1">
        <v>46218</v>
      </c>
      <c r="B1396" s="2">
        <v>46280</v>
      </c>
      <c r="C1396" s="1" t="s">
        <v>3</v>
      </c>
      <c r="D1396" s="1">
        <f t="shared" si="21"/>
        <v>9</v>
      </c>
    </row>
    <row r="1397" spans="1:4" x14ac:dyDescent="0.35">
      <c r="A1397" s="1">
        <v>46215</v>
      </c>
      <c r="B1397" s="2">
        <v>46280</v>
      </c>
      <c r="C1397" s="1" t="s">
        <v>7</v>
      </c>
      <c r="D1397" s="1">
        <f t="shared" si="21"/>
        <v>9</v>
      </c>
    </row>
    <row r="1398" spans="1:4" x14ac:dyDescent="0.35">
      <c r="A1398" s="1">
        <v>46214</v>
      </c>
      <c r="B1398" s="2">
        <v>46280</v>
      </c>
      <c r="C1398" s="1" t="s">
        <v>9</v>
      </c>
      <c r="D1398" s="1">
        <f t="shared" si="21"/>
        <v>9</v>
      </c>
    </row>
    <row r="1399" spans="1:4" x14ac:dyDescent="0.35">
      <c r="A1399" s="1">
        <v>46211</v>
      </c>
      <c r="B1399" s="2">
        <v>46280</v>
      </c>
      <c r="C1399" s="1" t="s">
        <v>24</v>
      </c>
      <c r="D1399" s="1">
        <f t="shared" si="21"/>
        <v>9</v>
      </c>
    </row>
    <row r="1400" spans="1:4" x14ac:dyDescent="0.35">
      <c r="A1400" s="1">
        <v>46210</v>
      </c>
      <c r="B1400" s="2">
        <v>46280</v>
      </c>
      <c r="C1400" s="1" t="s">
        <v>24</v>
      </c>
      <c r="D1400" s="1">
        <f t="shared" si="21"/>
        <v>9</v>
      </c>
    </row>
    <row r="1401" spans="1:4" x14ac:dyDescent="0.35">
      <c r="A1401" s="1">
        <v>46209</v>
      </c>
      <c r="B1401" s="2">
        <v>46280</v>
      </c>
      <c r="C1401" s="1" t="s">
        <v>24</v>
      </c>
      <c r="D1401" s="1">
        <f t="shared" si="21"/>
        <v>9</v>
      </c>
    </row>
    <row r="1402" spans="1:4" x14ac:dyDescent="0.35">
      <c r="A1402" s="1">
        <v>46208</v>
      </c>
      <c r="B1402" s="2">
        <v>46280</v>
      </c>
      <c r="C1402" s="1" t="s">
        <v>24</v>
      </c>
      <c r="D1402" s="1">
        <f t="shared" si="21"/>
        <v>9</v>
      </c>
    </row>
    <row r="1403" spans="1:4" x14ac:dyDescent="0.35">
      <c r="A1403" s="1">
        <v>46207</v>
      </c>
      <c r="B1403" s="2">
        <v>46280</v>
      </c>
      <c r="C1403" s="1" t="s">
        <v>24</v>
      </c>
      <c r="D1403" s="1">
        <f t="shared" si="21"/>
        <v>9</v>
      </c>
    </row>
    <row r="1404" spans="1:4" x14ac:dyDescent="0.35">
      <c r="A1404" s="1">
        <v>46206</v>
      </c>
      <c r="B1404" s="2">
        <v>46280</v>
      </c>
      <c r="C1404" s="1" t="s">
        <v>9</v>
      </c>
      <c r="D1404" s="1">
        <f t="shared" si="21"/>
        <v>9</v>
      </c>
    </row>
    <row r="1405" spans="1:4" x14ac:dyDescent="0.35">
      <c r="A1405" s="1">
        <v>46205</v>
      </c>
      <c r="B1405" s="2">
        <v>46280</v>
      </c>
      <c r="C1405" s="1" t="s">
        <v>8</v>
      </c>
      <c r="D1405" s="1">
        <f t="shared" si="21"/>
        <v>9</v>
      </c>
    </row>
    <row r="1406" spans="1:4" x14ac:dyDescent="0.35">
      <c r="A1406" s="1">
        <v>46204</v>
      </c>
      <c r="B1406" s="2">
        <v>46280</v>
      </c>
      <c r="C1406" s="1" t="s">
        <v>8</v>
      </c>
      <c r="D1406" s="1">
        <f t="shared" si="21"/>
        <v>9</v>
      </c>
    </row>
    <row r="1407" spans="1:4" x14ac:dyDescent="0.35">
      <c r="A1407" s="1">
        <v>46195</v>
      </c>
      <c r="B1407" s="2">
        <v>46280</v>
      </c>
      <c r="C1407" s="1" t="s">
        <v>19</v>
      </c>
      <c r="D1407" s="1">
        <f t="shared" si="21"/>
        <v>9</v>
      </c>
    </row>
    <row r="1408" spans="1:4" x14ac:dyDescent="0.35">
      <c r="A1408" s="1">
        <v>46194</v>
      </c>
      <c r="B1408" s="2">
        <v>46280</v>
      </c>
      <c r="C1408" s="1" t="s">
        <v>19</v>
      </c>
      <c r="D1408" s="1">
        <f t="shared" si="21"/>
        <v>9</v>
      </c>
    </row>
    <row r="1409" spans="1:4" x14ac:dyDescent="0.35">
      <c r="A1409" s="1">
        <v>46247</v>
      </c>
      <c r="B1409" s="2">
        <v>46281</v>
      </c>
      <c r="C1409" s="1" t="s">
        <v>9</v>
      </c>
      <c r="D1409" s="1">
        <f t="shared" si="21"/>
        <v>9</v>
      </c>
    </row>
    <row r="1410" spans="1:4" x14ac:dyDescent="0.35">
      <c r="A1410" s="1">
        <v>46246</v>
      </c>
      <c r="B1410" s="2">
        <v>46281</v>
      </c>
      <c r="C1410" s="1" t="s">
        <v>19</v>
      </c>
      <c r="D1410" s="1">
        <f t="shared" ref="D1410:D1473" si="22">MONTH(B1410)</f>
        <v>9</v>
      </c>
    </row>
    <row r="1411" spans="1:4" x14ac:dyDescent="0.35">
      <c r="A1411" s="1">
        <v>46245</v>
      </c>
      <c r="B1411" s="2">
        <v>46281</v>
      </c>
      <c r="C1411" s="1" t="s">
        <v>19</v>
      </c>
      <c r="D1411" s="1">
        <f t="shared" si="22"/>
        <v>9</v>
      </c>
    </row>
    <row r="1412" spans="1:4" x14ac:dyDescent="0.35">
      <c r="A1412" s="1">
        <v>46244</v>
      </c>
      <c r="B1412" s="2">
        <v>46281</v>
      </c>
      <c r="C1412" s="1" t="s">
        <v>8</v>
      </c>
      <c r="D1412" s="1">
        <f t="shared" si="22"/>
        <v>9</v>
      </c>
    </row>
    <row r="1413" spans="1:4" x14ac:dyDescent="0.35">
      <c r="A1413" s="1">
        <v>46243</v>
      </c>
      <c r="B1413" s="2">
        <v>46281</v>
      </c>
      <c r="C1413" s="1" t="s">
        <v>8</v>
      </c>
      <c r="D1413" s="1">
        <f t="shared" si="22"/>
        <v>9</v>
      </c>
    </row>
    <row r="1414" spans="1:4" x14ac:dyDescent="0.35">
      <c r="A1414" s="1">
        <v>46295</v>
      </c>
      <c r="B1414" s="2">
        <v>46281</v>
      </c>
      <c r="C1414" s="1" t="s">
        <v>11</v>
      </c>
      <c r="D1414" s="1">
        <f t="shared" si="22"/>
        <v>9</v>
      </c>
    </row>
    <row r="1415" spans="1:4" x14ac:dyDescent="0.35">
      <c r="A1415" s="1">
        <v>46294</v>
      </c>
      <c r="B1415" s="2">
        <v>46281</v>
      </c>
      <c r="C1415" s="1" t="s">
        <v>10</v>
      </c>
      <c r="D1415" s="1">
        <f t="shared" si="22"/>
        <v>9</v>
      </c>
    </row>
    <row r="1416" spans="1:4" x14ac:dyDescent="0.35">
      <c r="A1416" s="1">
        <v>46293</v>
      </c>
      <c r="B1416" s="2">
        <v>46281</v>
      </c>
      <c r="C1416" s="1" t="s">
        <v>10</v>
      </c>
      <c r="D1416" s="1">
        <f t="shared" si="22"/>
        <v>9</v>
      </c>
    </row>
    <row r="1417" spans="1:4" x14ac:dyDescent="0.35">
      <c r="A1417" s="1">
        <v>46292</v>
      </c>
      <c r="B1417" s="2">
        <v>46281</v>
      </c>
      <c r="C1417" s="1" t="s">
        <v>4</v>
      </c>
      <c r="D1417" s="1">
        <f t="shared" si="22"/>
        <v>9</v>
      </c>
    </row>
    <row r="1418" spans="1:4" x14ac:dyDescent="0.35">
      <c r="A1418" s="1">
        <v>46291</v>
      </c>
      <c r="B1418" s="2">
        <v>46281</v>
      </c>
      <c r="C1418" s="1" t="s">
        <v>4</v>
      </c>
      <c r="D1418" s="1">
        <f t="shared" si="22"/>
        <v>9</v>
      </c>
    </row>
    <row r="1419" spans="1:4" x14ac:dyDescent="0.35">
      <c r="A1419" s="1">
        <v>46290</v>
      </c>
      <c r="B1419" s="2">
        <v>46281</v>
      </c>
      <c r="C1419" s="1" t="s">
        <v>4</v>
      </c>
      <c r="D1419" s="1">
        <f t="shared" si="22"/>
        <v>9</v>
      </c>
    </row>
    <row r="1420" spans="1:4" x14ac:dyDescent="0.35">
      <c r="A1420" s="1">
        <v>46289</v>
      </c>
      <c r="B1420" s="2">
        <v>46281</v>
      </c>
      <c r="C1420" s="1" t="s">
        <v>6</v>
      </c>
      <c r="D1420" s="1">
        <f t="shared" si="22"/>
        <v>9</v>
      </c>
    </row>
    <row r="1421" spans="1:4" x14ac:dyDescent="0.35">
      <c r="A1421" s="1">
        <v>46288</v>
      </c>
      <c r="B1421" s="2">
        <v>46281</v>
      </c>
      <c r="C1421" s="1" t="s">
        <v>6</v>
      </c>
      <c r="D1421" s="1">
        <f t="shared" si="22"/>
        <v>9</v>
      </c>
    </row>
    <row r="1422" spans="1:4" x14ac:dyDescent="0.35">
      <c r="A1422" s="1">
        <v>46287</v>
      </c>
      <c r="B1422" s="2">
        <v>46281</v>
      </c>
      <c r="C1422" s="1" t="s">
        <v>17</v>
      </c>
      <c r="D1422" s="1">
        <f t="shared" si="22"/>
        <v>9</v>
      </c>
    </row>
    <row r="1423" spans="1:4" x14ac:dyDescent="0.35">
      <c r="A1423" s="1">
        <v>46286</v>
      </c>
      <c r="B1423" s="2">
        <v>46281</v>
      </c>
      <c r="C1423" s="1" t="s">
        <v>24</v>
      </c>
      <c r="D1423" s="1">
        <f t="shared" si="22"/>
        <v>9</v>
      </c>
    </row>
    <row r="1424" spans="1:4" x14ac:dyDescent="0.35">
      <c r="A1424" s="1">
        <v>46285</v>
      </c>
      <c r="B1424" s="2">
        <v>46281</v>
      </c>
      <c r="C1424" s="1" t="s">
        <v>24</v>
      </c>
      <c r="D1424" s="1">
        <f t="shared" si="22"/>
        <v>9</v>
      </c>
    </row>
    <row r="1425" spans="1:4" x14ac:dyDescent="0.35">
      <c r="A1425" s="1">
        <v>46283</v>
      </c>
      <c r="B1425" s="2">
        <v>46281</v>
      </c>
      <c r="C1425" s="1" t="s">
        <v>24</v>
      </c>
      <c r="D1425" s="1">
        <f t="shared" si="22"/>
        <v>9</v>
      </c>
    </row>
    <row r="1426" spans="1:4" x14ac:dyDescent="0.35">
      <c r="A1426" s="1">
        <v>46282</v>
      </c>
      <c r="B1426" s="2">
        <v>46281</v>
      </c>
      <c r="C1426" s="1" t="s">
        <v>24</v>
      </c>
      <c r="D1426" s="1">
        <f t="shared" si="22"/>
        <v>9</v>
      </c>
    </row>
    <row r="1427" spans="1:4" x14ac:dyDescent="0.35">
      <c r="A1427" s="1">
        <v>46277</v>
      </c>
      <c r="B1427" s="2">
        <v>46281</v>
      </c>
      <c r="C1427" s="1" t="s">
        <v>7</v>
      </c>
      <c r="D1427" s="1">
        <f t="shared" si="22"/>
        <v>9</v>
      </c>
    </row>
    <row r="1428" spans="1:4" x14ac:dyDescent="0.35">
      <c r="A1428" s="1">
        <v>46256</v>
      </c>
      <c r="B1428" s="2">
        <v>46281</v>
      </c>
      <c r="C1428" s="1" t="s">
        <v>3</v>
      </c>
      <c r="D1428" s="1">
        <f t="shared" si="22"/>
        <v>9</v>
      </c>
    </row>
    <row r="1429" spans="1:4" x14ac:dyDescent="0.35">
      <c r="A1429" s="1">
        <v>46255</v>
      </c>
      <c r="B1429" s="2">
        <v>46281</v>
      </c>
      <c r="C1429" s="1" t="s">
        <v>28</v>
      </c>
      <c r="D1429" s="1">
        <f t="shared" si="22"/>
        <v>9</v>
      </c>
    </row>
    <row r="1430" spans="1:4" x14ac:dyDescent="0.35">
      <c r="A1430" s="1">
        <v>46253</v>
      </c>
      <c r="B1430" s="2">
        <v>46281</v>
      </c>
      <c r="C1430" s="1" t="s">
        <v>3</v>
      </c>
      <c r="D1430" s="1">
        <f t="shared" si="22"/>
        <v>9</v>
      </c>
    </row>
    <row r="1431" spans="1:4" x14ac:dyDescent="0.35">
      <c r="A1431" s="1">
        <v>46252</v>
      </c>
      <c r="B1431" s="2">
        <v>46281</v>
      </c>
      <c r="C1431" s="1" t="s">
        <v>3</v>
      </c>
      <c r="D1431" s="1">
        <f t="shared" si="22"/>
        <v>9</v>
      </c>
    </row>
    <row r="1432" spans="1:4" x14ac:dyDescent="0.35">
      <c r="A1432" s="1">
        <v>46249</v>
      </c>
      <c r="B1432" s="2">
        <v>46281</v>
      </c>
      <c r="C1432" s="1" t="s">
        <v>3</v>
      </c>
      <c r="D1432" s="1">
        <f t="shared" si="22"/>
        <v>9</v>
      </c>
    </row>
    <row r="1433" spans="1:4" x14ac:dyDescent="0.35">
      <c r="A1433" s="1">
        <v>46248</v>
      </c>
      <c r="B1433" s="2">
        <v>46281</v>
      </c>
      <c r="C1433" s="1" t="s">
        <v>9</v>
      </c>
      <c r="D1433" s="1">
        <f t="shared" si="22"/>
        <v>9</v>
      </c>
    </row>
    <row r="1434" spans="1:4" x14ac:dyDescent="0.35">
      <c r="A1434" s="1">
        <v>46338</v>
      </c>
      <c r="B1434" s="2">
        <v>46282</v>
      </c>
      <c r="C1434" s="1" t="s">
        <v>11</v>
      </c>
      <c r="D1434" s="1">
        <f t="shared" si="22"/>
        <v>9</v>
      </c>
    </row>
    <row r="1435" spans="1:4" x14ac:dyDescent="0.35">
      <c r="A1435" s="1">
        <v>46337</v>
      </c>
      <c r="B1435" s="2">
        <v>46282</v>
      </c>
      <c r="C1435" s="1" t="s">
        <v>11</v>
      </c>
      <c r="D1435" s="1">
        <f t="shared" si="22"/>
        <v>9</v>
      </c>
    </row>
    <row r="1436" spans="1:4" x14ac:dyDescent="0.35">
      <c r="A1436" s="1">
        <v>46299</v>
      </c>
      <c r="B1436" s="2">
        <v>46282</v>
      </c>
      <c r="C1436" s="1" t="s">
        <v>3</v>
      </c>
      <c r="D1436" s="1">
        <f t="shared" si="22"/>
        <v>9</v>
      </c>
    </row>
    <row r="1437" spans="1:4" x14ac:dyDescent="0.35">
      <c r="A1437" s="1">
        <v>46303</v>
      </c>
      <c r="B1437" s="2">
        <v>46282</v>
      </c>
      <c r="C1437" s="1" t="s">
        <v>3</v>
      </c>
      <c r="D1437" s="1">
        <f t="shared" si="22"/>
        <v>9</v>
      </c>
    </row>
    <row r="1438" spans="1:4" x14ac:dyDescent="0.35">
      <c r="A1438" s="1">
        <v>46302</v>
      </c>
      <c r="B1438" s="2">
        <v>46282</v>
      </c>
      <c r="C1438" s="1" t="s">
        <v>3</v>
      </c>
      <c r="D1438" s="1">
        <f t="shared" si="22"/>
        <v>9</v>
      </c>
    </row>
    <row r="1439" spans="1:4" x14ac:dyDescent="0.35">
      <c r="A1439" s="1">
        <v>46329</v>
      </c>
      <c r="B1439" s="2">
        <v>46282</v>
      </c>
      <c r="C1439" s="1" t="s">
        <v>24</v>
      </c>
      <c r="D1439" s="1">
        <f t="shared" si="22"/>
        <v>9</v>
      </c>
    </row>
    <row r="1440" spans="1:4" x14ac:dyDescent="0.35">
      <c r="A1440" s="1">
        <v>46336</v>
      </c>
      <c r="B1440" s="2">
        <v>46282</v>
      </c>
      <c r="C1440" s="1" t="s">
        <v>20</v>
      </c>
      <c r="D1440" s="1">
        <f t="shared" si="22"/>
        <v>9</v>
      </c>
    </row>
    <row r="1441" spans="1:4" x14ac:dyDescent="0.35">
      <c r="A1441" s="1">
        <v>46335</v>
      </c>
      <c r="B1441" s="2">
        <v>46282</v>
      </c>
      <c r="C1441" s="1" t="s">
        <v>20</v>
      </c>
      <c r="D1441" s="1">
        <f t="shared" si="22"/>
        <v>9</v>
      </c>
    </row>
    <row r="1442" spans="1:4" x14ac:dyDescent="0.35">
      <c r="A1442" s="1">
        <v>46334</v>
      </c>
      <c r="B1442" s="2">
        <v>46282</v>
      </c>
      <c r="C1442" s="1" t="s">
        <v>23</v>
      </c>
      <c r="D1442" s="1">
        <f t="shared" si="22"/>
        <v>9</v>
      </c>
    </row>
    <row r="1443" spans="1:4" x14ac:dyDescent="0.35">
      <c r="A1443" s="1">
        <v>46333</v>
      </c>
      <c r="B1443" s="2">
        <v>46282</v>
      </c>
      <c r="C1443" s="1" t="s">
        <v>23</v>
      </c>
      <c r="D1443" s="1">
        <f t="shared" si="22"/>
        <v>9</v>
      </c>
    </row>
    <row r="1444" spans="1:4" x14ac:dyDescent="0.35">
      <c r="A1444" s="1">
        <v>46328</v>
      </c>
      <c r="B1444" s="2">
        <v>46282</v>
      </c>
      <c r="C1444" s="1" t="s">
        <v>24</v>
      </c>
      <c r="D1444" s="1">
        <f t="shared" si="22"/>
        <v>9</v>
      </c>
    </row>
    <row r="1445" spans="1:4" x14ac:dyDescent="0.35">
      <c r="A1445" s="1">
        <v>46327</v>
      </c>
      <c r="B1445" s="2">
        <v>46282</v>
      </c>
      <c r="C1445" s="1" t="s">
        <v>24</v>
      </c>
      <c r="D1445" s="1">
        <f t="shared" si="22"/>
        <v>9</v>
      </c>
    </row>
    <row r="1446" spans="1:4" x14ac:dyDescent="0.35">
      <c r="A1446" s="1">
        <v>46326</v>
      </c>
      <c r="B1446" s="2">
        <v>46282</v>
      </c>
      <c r="C1446" s="1" t="s">
        <v>9</v>
      </c>
      <c r="D1446" s="1">
        <f t="shared" si="22"/>
        <v>9</v>
      </c>
    </row>
    <row r="1447" spans="1:4" x14ac:dyDescent="0.35">
      <c r="A1447" s="1">
        <v>46325</v>
      </c>
      <c r="B1447" s="2">
        <v>46282</v>
      </c>
      <c r="C1447" s="1" t="s">
        <v>9</v>
      </c>
      <c r="D1447" s="1">
        <f t="shared" si="22"/>
        <v>9</v>
      </c>
    </row>
    <row r="1448" spans="1:4" x14ac:dyDescent="0.35">
      <c r="A1448" s="1">
        <v>46298</v>
      </c>
      <c r="B1448" s="2">
        <v>46282</v>
      </c>
      <c r="C1448" s="1" t="s">
        <v>19</v>
      </c>
      <c r="D1448" s="1">
        <f t="shared" si="22"/>
        <v>9</v>
      </c>
    </row>
    <row r="1449" spans="1:4" x14ac:dyDescent="0.35">
      <c r="A1449" s="1">
        <v>46324</v>
      </c>
      <c r="B1449" s="2">
        <v>46282</v>
      </c>
      <c r="C1449" s="1" t="s">
        <v>8</v>
      </c>
      <c r="D1449" s="1">
        <f t="shared" si="22"/>
        <v>9</v>
      </c>
    </row>
    <row r="1450" spans="1:4" x14ac:dyDescent="0.35">
      <c r="A1450" s="1">
        <v>46323</v>
      </c>
      <c r="B1450" s="2">
        <v>46282</v>
      </c>
      <c r="C1450" s="1" t="s">
        <v>8</v>
      </c>
      <c r="D1450" s="1">
        <f t="shared" si="22"/>
        <v>9</v>
      </c>
    </row>
    <row r="1451" spans="1:4" x14ac:dyDescent="0.35">
      <c r="A1451" s="1">
        <v>46305</v>
      </c>
      <c r="B1451" s="2">
        <v>46282</v>
      </c>
      <c r="C1451" s="1" t="s">
        <v>17</v>
      </c>
      <c r="D1451" s="1">
        <f t="shared" si="22"/>
        <v>9</v>
      </c>
    </row>
    <row r="1452" spans="1:4" x14ac:dyDescent="0.35">
      <c r="A1452" s="1">
        <v>46304</v>
      </c>
      <c r="B1452" s="2">
        <v>46282</v>
      </c>
      <c r="C1452" s="1" t="s">
        <v>17</v>
      </c>
      <c r="D1452" s="1">
        <f t="shared" si="22"/>
        <v>9</v>
      </c>
    </row>
    <row r="1453" spans="1:4" x14ac:dyDescent="0.35">
      <c r="A1453" s="1">
        <v>46297</v>
      </c>
      <c r="B1453" s="2">
        <v>46282</v>
      </c>
      <c r="C1453" s="1" t="s">
        <v>19</v>
      </c>
      <c r="D1453" s="1">
        <f t="shared" si="22"/>
        <v>9</v>
      </c>
    </row>
    <row r="1454" spans="1:4" x14ac:dyDescent="0.35">
      <c r="A1454" s="1">
        <v>46296</v>
      </c>
      <c r="B1454" s="2">
        <v>46282</v>
      </c>
      <c r="C1454" s="1" t="s">
        <v>19</v>
      </c>
      <c r="D1454" s="1">
        <f t="shared" si="22"/>
        <v>9</v>
      </c>
    </row>
    <row r="1455" spans="1:4" x14ac:dyDescent="0.35">
      <c r="A1455" s="1">
        <v>46342</v>
      </c>
      <c r="B1455" s="2">
        <v>46283</v>
      </c>
      <c r="C1455" s="1" t="s">
        <v>8</v>
      </c>
      <c r="D1455" s="1">
        <f t="shared" si="22"/>
        <v>9</v>
      </c>
    </row>
    <row r="1456" spans="1:4" x14ac:dyDescent="0.35">
      <c r="A1456" s="1">
        <v>46341</v>
      </c>
      <c r="B1456" s="2">
        <v>46283</v>
      </c>
      <c r="C1456" s="1" t="s">
        <v>8</v>
      </c>
      <c r="D1456" s="1">
        <f t="shared" si="22"/>
        <v>9</v>
      </c>
    </row>
    <row r="1457" spans="1:4" x14ac:dyDescent="0.35">
      <c r="A1457" s="1">
        <v>46340</v>
      </c>
      <c r="B1457" s="2">
        <v>46283</v>
      </c>
      <c r="C1457" s="1" t="s">
        <v>3</v>
      </c>
      <c r="D1457" s="1">
        <f t="shared" si="22"/>
        <v>9</v>
      </c>
    </row>
    <row r="1458" spans="1:4" x14ac:dyDescent="0.35">
      <c r="A1458" s="1">
        <v>46339</v>
      </c>
      <c r="B1458" s="2">
        <v>46283</v>
      </c>
      <c r="C1458" s="1" t="s">
        <v>3</v>
      </c>
      <c r="D1458" s="1">
        <f t="shared" si="22"/>
        <v>9</v>
      </c>
    </row>
    <row r="1459" spans="1:4" x14ac:dyDescent="0.35">
      <c r="A1459" s="1">
        <v>46369</v>
      </c>
      <c r="B1459" s="2">
        <v>46283</v>
      </c>
      <c r="C1459" s="1" t="s">
        <v>10</v>
      </c>
      <c r="D1459" s="1">
        <f t="shared" si="22"/>
        <v>9</v>
      </c>
    </row>
    <row r="1460" spans="1:4" x14ac:dyDescent="0.35">
      <c r="A1460" s="1">
        <v>46368</v>
      </c>
      <c r="B1460" s="2">
        <v>46283</v>
      </c>
      <c r="C1460" s="1" t="s">
        <v>10</v>
      </c>
      <c r="D1460" s="1">
        <f t="shared" si="22"/>
        <v>9</v>
      </c>
    </row>
    <row r="1461" spans="1:4" x14ac:dyDescent="0.35">
      <c r="A1461" s="1">
        <v>46367</v>
      </c>
      <c r="B1461" s="2">
        <v>46283</v>
      </c>
      <c r="C1461" s="1" t="s">
        <v>17</v>
      </c>
      <c r="D1461" s="1">
        <f t="shared" si="22"/>
        <v>9</v>
      </c>
    </row>
    <row r="1462" spans="1:4" x14ac:dyDescent="0.35">
      <c r="A1462" s="1">
        <v>46366</v>
      </c>
      <c r="B1462" s="2">
        <v>46283</v>
      </c>
      <c r="C1462" s="1" t="s">
        <v>17</v>
      </c>
      <c r="D1462" s="1">
        <f t="shared" si="22"/>
        <v>9</v>
      </c>
    </row>
    <row r="1463" spans="1:4" x14ac:dyDescent="0.35">
      <c r="A1463" s="1">
        <v>46365</v>
      </c>
      <c r="B1463" s="2">
        <v>46283</v>
      </c>
      <c r="C1463" s="1" t="s">
        <v>4</v>
      </c>
      <c r="D1463" s="1">
        <f t="shared" si="22"/>
        <v>9</v>
      </c>
    </row>
    <row r="1464" spans="1:4" x14ac:dyDescent="0.35">
      <c r="A1464" s="1">
        <v>46364</v>
      </c>
      <c r="B1464" s="2">
        <v>46283</v>
      </c>
      <c r="C1464" s="1" t="s">
        <v>4</v>
      </c>
      <c r="D1464" s="1">
        <f t="shared" si="22"/>
        <v>9</v>
      </c>
    </row>
    <row r="1465" spans="1:4" x14ac:dyDescent="0.35">
      <c r="A1465" s="1">
        <v>46360</v>
      </c>
      <c r="B1465" s="2">
        <v>46283</v>
      </c>
      <c r="C1465" s="1" t="s">
        <v>3</v>
      </c>
      <c r="D1465" s="1">
        <f t="shared" si="22"/>
        <v>9</v>
      </c>
    </row>
    <row r="1466" spans="1:4" x14ac:dyDescent="0.35">
      <c r="A1466" s="1">
        <v>46355</v>
      </c>
      <c r="B1466" s="2">
        <v>46283</v>
      </c>
      <c r="C1466" s="1" t="s">
        <v>3</v>
      </c>
      <c r="D1466" s="1">
        <f t="shared" si="22"/>
        <v>9</v>
      </c>
    </row>
    <row r="1467" spans="1:4" x14ac:dyDescent="0.35">
      <c r="A1467" s="1">
        <v>46354</v>
      </c>
      <c r="B1467" s="2">
        <v>46283</v>
      </c>
      <c r="C1467" s="1" t="s">
        <v>23</v>
      </c>
      <c r="D1467" s="1">
        <f t="shared" si="22"/>
        <v>9</v>
      </c>
    </row>
    <row r="1468" spans="1:4" x14ac:dyDescent="0.35">
      <c r="A1468" s="1">
        <v>46353</v>
      </c>
      <c r="B1468" s="2">
        <v>46283</v>
      </c>
      <c r="C1468" s="1" t="s">
        <v>23</v>
      </c>
      <c r="D1468" s="1">
        <f t="shared" si="22"/>
        <v>9</v>
      </c>
    </row>
    <row r="1469" spans="1:4" x14ac:dyDescent="0.35">
      <c r="A1469" s="1">
        <v>46352</v>
      </c>
      <c r="B1469" s="2">
        <v>46283</v>
      </c>
      <c r="C1469" s="1" t="s">
        <v>3</v>
      </c>
      <c r="D1469" s="1">
        <f t="shared" si="22"/>
        <v>9</v>
      </c>
    </row>
    <row r="1470" spans="1:4" x14ac:dyDescent="0.35">
      <c r="A1470" s="1">
        <v>46350</v>
      </c>
      <c r="B1470" s="2">
        <v>46283</v>
      </c>
      <c r="C1470" s="1" t="s">
        <v>7</v>
      </c>
      <c r="D1470" s="1">
        <f t="shared" si="22"/>
        <v>9</v>
      </c>
    </row>
    <row r="1471" spans="1:4" x14ac:dyDescent="0.35">
      <c r="A1471" s="1">
        <v>46349</v>
      </c>
      <c r="B1471" s="2">
        <v>46283</v>
      </c>
      <c r="C1471" s="1" t="s">
        <v>7</v>
      </c>
      <c r="D1471" s="1">
        <f t="shared" si="22"/>
        <v>9</v>
      </c>
    </row>
    <row r="1472" spans="1:4" x14ac:dyDescent="0.35">
      <c r="A1472" s="1">
        <v>46347</v>
      </c>
      <c r="B1472" s="2">
        <v>46283</v>
      </c>
      <c r="C1472" s="1" t="s">
        <v>19</v>
      </c>
      <c r="D1472" s="1">
        <f t="shared" si="22"/>
        <v>9</v>
      </c>
    </row>
    <row r="1473" spans="1:4" x14ac:dyDescent="0.35">
      <c r="A1473" s="1">
        <v>46346</v>
      </c>
      <c r="B1473" s="2">
        <v>46283</v>
      </c>
      <c r="C1473" s="1" t="s">
        <v>9</v>
      </c>
      <c r="D1473" s="1">
        <f t="shared" si="22"/>
        <v>9</v>
      </c>
    </row>
    <row r="1474" spans="1:4" x14ac:dyDescent="0.35">
      <c r="A1474" s="1">
        <v>46344</v>
      </c>
      <c r="B1474" s="2">
        <v>46283</v>
      </c>
      <c r="C1474" s="1" t="s">
        <v>3</v>
      </c>
      <c r="D1474" s="1">
        <f t="shared" ref="D1474:D1537" si="23">MONTH(B1474)</f>
        <v>9</v>
      </c>
    </row>
    <row r="1475" spans="1:4" x14ac:dyDescent="0.35">
      <c r="A1475" s="1">
        <v>46384</v>
      </c>
      <c r="B1475" s="2">
        <v>46284</v>
      </c>
      <c r="C1475" s="1" t="s">
        <v>23</v>
      </c>
      <c r="D1475" s="1">
        <f t="shared" si="23"/>
        <v>9</v>
      </c>
    </row>
    <row r="1476" spans="1:4" x14ac:dyDescent="0.35">
      <c r="A1476" s="1">
        <v>46382</v>
      </c>
      <c r="B1476" s="2">
        <v>46284</v>
      </c>
      <c r="C1476" s="1" t="s">
        <v>10</v>
      </c>
      <c r="D1476" s="1">
        <f t="shared" si="23"/>
        <v>9</v>
      </c>
    </row>
    <row r="1477" spans="1:4" x14ac:dyDescent="0.35">
      <c r="A1477" s="1">
        <v>46381</v>
      </c>
      <c r="B1477" s="2">
        <v>46284</v>
      </c>
      <c r="C1477" s="1" t="s">
        <v>10</v>
      </c>
      <c r="D1477" s="1">
        <f t="shared" si="23"/>
        <v>9</v>
      </c>
    </row>
    <row r="1478" spans="1:4" x14ac:dyDescent="0.35">
      <c r="A1478" s="1">
        <v>46371</v>
      </c>
      <c r="B1478" s="2">
        <v>46284</v>
      </c>
      <c r="C1478" s="1" t="s">
        <v>8</v>
      </c>
      <c r="D1478" s="1">
        <f t="shared" si="23"/>
        <v>9</v>
      </c>
    </row>
    <row r="1479" spans="1:4" x14ac:dyDescent="0.35">
      <c r="A1479" s="1">
        <v>46370</v>
      </c>
      <c r="B1479" s="2">
        <v>46284</v>
      </c>
      <c r="C1479" s="1" t="s">
        <v>8</v>
      </c>
      <c r="D1479" s="1">
        <f t="shared" si="23"/>
        <v>9</v>
      </c>
    </row>
    <row r="1480" spans="1:4" x14ac:dyDescent="0.35">
      <c r="A1480" s="1">
        <v>46386</v>
      </c>
      <c r="B1480" s="2">
        <v>46285</v>
      </c>
      <c r="C1480" s="1" t="s">
        <v>17</v>
      </c>
      <c r="D1480" s="1">
        <f t="shared" si="23"/>
        <v>9</v>
      </c>
    </row>
    <row r="1481" spans="1:4" x14ac:dyDescent="0.35">
      <c r="A1481" s="1">
        <v>46385</v>
      </c>
      <c r="B1481" s="2">
        <v>46285</v>
      </c>
      <c r="C1481" s="1" t="s">
        <v>17</v>
      </c>
      <c r="D1481" s="1">
        <f t="shared" si="23"/>
        <v>9</v>
      </c>
    </row>
    <row r="1482" spans="1:4" x14ac:dyDescent="0.35">
      <c r="A1482" s="1">
        <v>46419</v>
      </c>
      <c r="B1482" s="2">
        <v>46286</v>
      </c>
      <c r="C1482" s="1" t="s">
        <v>10</v>
      </c>
      <c r="D1482" s="1">
        <f t="shared" si="23"/>
        <v>9</v>
      </c>
    </row>
    <row r="1483" spans="1:4" x14ac:dyDescent="0.35">
      <c r="A1483" s="1">
        <v>46418</v>
      </c>
      <c r="B1483" s="2">
        <v>46286</v>
      </c>
      <c r="C1483" s="1" t="s">
        <v>10</v>
      </c>
      <c r="D1483" s="1">
        <f t="shared" si="23"/>
        <v>9</v>
      </c>
    </row>
    <row r="1484" spans="1:4" x14ac:dyDescent="0.35">
      <c r="A1484" s="1">
        <v>46417</v>
      </c>
      <c r="B1484" s="2">
        <v>46286</v>
      </c>
      <c r="C1484" s="1" t="s">
        <v>11</v>
      </c>
      <c r="D1484" s="1">
        <f t="shared" si="23"/>
        <v>9</v>
      </c>
    </row>
    <row r="1485" spans="1:4" x14ac:dyDescent="0.35">
      <c r="A1485" s="1">
        <v>46416</v>
      </c>
      <c r="B1485" s="2">
        <v>46286</v>
      </c>
      <c r="C1485" s="1" t="s">
        <v>11</v>
      </c>
      <c r="D1485" s="1">
        <f t="shared" si="23"/>
        <v>9</v>
      </c>
    </row>
    <row r="1486" spans="1:4" x14ac:dyDescent="0.35">
      <c r="A1486" s="1">
        <v>46408</v>
      </c>
      <c r="B1486" s="2">
        <v>46286</v>
      </c>
      <c r="C1486" s="1" t="s">
        <v>23</v>
      </c>
      <c r="D1486" s="1">
        <f t="shared" si="23"/>
        <v>9</v>
      </c>
    </row>
    <row r="1487" spans="1:4" x14ac:dyDescent="0.35">
      <c r="A1487" s="1">
        <v>46407</v>
      </c>
      <c r="B1487" s="2">
        <v>46286</v>
      </c>
      <c r="C1487" s="1" t="s">
        <v>23</v>
      </c>
      <c r="D1487" s="1">
        <f t="shared" si="23"/>
        <v>9</v>
      </c>
    </row>
    <row r="1488" spans="1:4" x14ac:dyDescent="0.35">
      <c r="A1488" s="1">
        <v>46406</v>
      </c>
      <c r="B1488" s="2">
        <v>46286</v>
      </c>
      <c r="C1488" s="1" t="s">
        <v>6</v>
      </c>
      <c r="D1488" s="1">
        <f t="shared" si="23"/>
        <v>9</v>
      </c>
    </row>
    <row r="1489" spans="1:4" x14ac:dyDescent="0.35">
      <c r="A1489" s="1">
        <v>46405</v>
      </c>
      <c r="B1489" s="2">
        <v>46286</v>
      </c>
      <c r="C1489" s="1" t="s">
        <v>6</v>
      </c>
      <c r="D1489" s="1">
        <f t="shared" si="23"/>
        <v>9</v>
      </c>
    </row>
    <row r="1490" spans="1:4" x14ac:dyDescent="0.35">
      <c r="A1490" s="1">
        <v>46404</v>
      </c>
      <c r="B1490" s="2">
        <v>46286</v>
      </c>
      <c r="C1490" s="1" t="s">
        <v>9</v>
      </c>
      <c r="D1490" s="1">
        <f t="shared" si="23"/>
        <v>9</v>
      </c>
    </row>
    <row r="1491" spans="1:4" x14ac:dyDescent="0.35">
      <c r="A1491" s="1">
        <v>46403</v>
      </c>
      <c r="B1491" s="2">
        <v>46286</v>
      </c>
      <c r="C1491" s="1" t="s">
        <v>9</v>
      </c>
      <c r="D1491" s="1">
        <f t="shared" si="23"/>
        <v>9</v>
      </c>
    </row>
    <row r="1492" spans="1:4" x14ac:dyDescent="0.35">
      <c r="A1492" s="1">
        <v>46402</v>
      </c>
      <c r="B1492" s="2">
        <v>46286</v>
      </c>
      <c r="C1492" s="1" t="s">
        <v>9</v>
      </c>
      <c r="D1492" s="1">
        <f t="shared" si="23"/>
        <v>9</v>
      </c>
    </row>
    <row r="1493" spans="1:4" x14ac:dyDescent="0.35">
      <c r="A1493" s="1">
        <v>46401</v>
      </c>
      <c r="B1493" s="2">
        <v>46286</v>
      </c>
      <c r="C1493" s="1" t="s">
        <v>3</v>
      </c>
      <c r="D1493" s="1">
        <f t="shared" si="23"/>
        <v>9</v>
      </c>
    </row>
    <row r="1494" spans="1:4" x14ac:dyDescent="0.35">
      <c r="A1494" s="1">
        <v>46399</v>
      </c>
      <c r="B1494" s="2">
        <v>46286</v>
      </c>
      <c r="C1494" s="1" t="s">
        <v>3</v>
      </c>
      <c r="D1494" s="1">
        <f t="shared" si="23"/>
        <v>9</v>
      </c>
    </row>
    <row r="1495" spans="1:4" x14ac:dyDescent="0.35">
      <c r="A1495" s="1">
        <v>46398</v>
      </c>
      <c r="B1495" s="2">
        <v>46286</v>
      </c>
      <c r="C1495" s="1" t="s">
        <v>3</v>
      </c>
      <c r="D1495" s="1">
        <f t="shared" si="23"/>
        <v>9</v>
      </c>
    </row>
    <row r="1496" spans="1:4" x14ac:dyDescent="0.35">
      <c r="A1496" s="1">
        <v>46395</v>
      </c>
      <c r="B1496" s="2">
        <v>46286</v>
      </c>
      <c r="C1496" s="1" t="s">
        <v>7</v>
      </c>
      <c r="D1496" s="1">
        <f t="shared" si="23"/>
        <v>9</v>
      </c>
    </row>
    <row r="1497" spans="1:4" x14ac:dyDescent="0.35">
      <c r="A1497" s="1">
        <v>46393</v>
      </c>
      <c r="B1497" s="2">
        <v>46286</v>
      </c>
      <c r="C1497" s="1" t="s">
        <v>21</v>
      </c>
      <c r="D1497" s="1">
        <f t="shared" si="23"/>
        <v>9</v>
      </c>
    </row>
    <row r="1498" spans="1:4" x14ac:dyDescent="0.35">
      <c r="A1498" s="1">
        <v>46391</v>
      </c>
      <c r="B1498" s="2">
        <v>46286</v>
      </c>
      <c r="C1498" s="1" t="s">
        <v>21</v>
      </c>
      <c r="D1498" s="1">
        <f t="shared" si="23"/>
        <v>9</v>
      </c>
    </row>
    <row r="1499" spans="1:4" x14ac:dyDescent="0.35">
      <c r="A1499" s="1">
        <v>46390</v>
      </c>
      <c r="B1499" s="2">
        <v>46286</v>
      </c>
      <c r="C1499" s="1" t="s">
        <v>20</v>
      </c>
      <c r="D1499" s="1">
        <f t="shared" si="23"/>
        <v>9</v>
      </c>
    </row>
    <row r="1500" spans="1:4" x14ac:dyDescent="0.35">
      <c r="A1500" s="1">
        <v>46389</v>
      </c>
      <c r="B1500" s="2">
        <v>46286</v>
      </c>
      <c r="C1500" s="1" t="s">
        <v>20</v>
      </c>
      <c r="D1500" s="1">
        <f t="shared" si="23"/>
        <v>9</v>
      </c>
    </row>
    <row r="1501" spans="1:4" x14ac:dyDescent="0.35">
      <c r="A1501" s="1">
        <v>46388</v>
      </c>
      <c r="B1501" s="2">
        <v>46286</v>
      </c>
      <c r="C1501" s="1" t="s">
        <v>8</v>
      </c>
      <c r="D1501" s="1">
        <f t="shared" si="23"/>
        <v>9</v>
      </c>
    </row>
    <row r="1502" spans="1:4" x14ac:dyDescent="0.35">
      <c r="A1502" s="1">
        <v>46387</v>
      </c>
      <c r="B1502" s="2">
        <v>46286</v>
      </c>
      <c r="C1502" s="1" t="s">
        <v>8</v>
      </c>
      <c r="D1502" s="1">
        <f t="shared" si="23"/>
        <v>9</v>
      </c>
    </row>
    <row r="1503" spans="1:4" x14ac:dyDescent="0.35">
      <c r="A1503" s="1">
        <v>46424</v>
      </c>
      <c r="B1503" s="2">
        <v>46287</v>
      </c>
      <c r="C1503" s="1" t="s">
        <v>9</v>
      </c>
      <c r="D1503" s="1">
        <f t="shared" si="23"/>
        <v>9</v>
      </c>
    </row>
    <row r="1504" spans="1:4" x14ac:dyDescent="0.35">
      <c r="A1504" s="1">
        <v>46423</v>
      </c>
      <c r="B1504" s="2">
        <v>46287</v>
      </c>
      <c r="C1504" s="1" t="s">
        <v>4</v>
      </c>
      <c r="D1504" s="1">
        <f t="shared" si="23"/>
        <v>9</v>
      </c>
    </row>
    <row r="1505" spans="1:4" x14ac:dyDescent="0.35">
      <c r="A1505" s="1">
        <v>46421</v>
      </c>
      <c r="B1505" s="2">
        <v>46287</v>
      </c>
      <c r="C1505" s="1" t="s">
        <v>19</v>
      </c>
      <c r="D1505" s="1">
        <f t="shared" si="23"/>
        <v>9</v>
      </c>
    </row>
    <row r="1506" spans="1:4" x14ac:dyDescent="0.35">
      <c r="A1506" s="1">
        <v>46420</v>
      </c>
      <c r="B1506" s="2">
        <v>46287</v>
      </c>
      <c r="C1506" s="1" t="s">
        <v>3</v>
      </c>
      <c r="D1506" s="1">
        <f t="shared" si="23"/>
        <v>9</v>
      </c>
    </row>
    <row r="1507" spans="1:4" x14ac:dyDescent="0.35">
      <c r="A1507" s="1">
        <v>46503</v>
      </c>
      <c r="B1507" s="2">
        <v>46287</v>
      </c>
      <c r="C1507" s="1" t="s">
        <v>28</v>
      </c>
      <c r="D1507" s="1">
        <f t="shared" si="23"/>
        <v>9</v>
      </c>
    </row>
    <row r="1508" spans="1:4" x14ac:dyDescent="0.35">
      <c r="A1508" s="1">
        <v>46502</v>
      </c>
      <c r="B1508" s="2">
        <v>46287</v>
      </c>
      <c r="C1508" s="1" t="s">
        <v>28</v>
      </c>
      <c r="D1508" s="1">
        <f t="shared" si="23"/>
        <v>9</v>
      </c>
    </row>
    <row r="1509" spans="1:4" x14ac:dyDescent="0.35">
      <c r="A1509" s="1">
        <v>46501</v>
      </c>
      <c r="B1509" s="2">
        <v>46287</v>
      </c>
      <c r="C1509" s="1" t="s">
        <v>28</v>
      </c>
      <c r="D1509" s="1">
        <f t="shared" si="23"/>
        <v>9</v>
      </c>
    </row>
    <row r="1510" spans="1:4" x14ac:dyDescent="0.35">
      <c r="A1510" s="1">
        <v>46500</v>
      </c>
      <c r="B1510" s="2">
        <v>46287</v>
      </c>
      <c r="C1510" s="1" t="s">
        <v>28</v>
      </c>
      <c r="D1510" s="1">
        <f t="shared" si="23"/>
        <v>9</v>
      </c>
    </row>
    <row r="1511" spans="1:4" x14ac:dyDescent="0.35">
      <c r="A1511" s="1">
        <v>46499</v>
      </c>
      <c r="B1511" s="2">
        <v>46287</v>
      </c>
      <c r="C1511" s="1" t="s">
        <v>28</v>
      </c>
      <c r="D1511" s="1">
        <f t="shared" si="23"/>
        <v>9</v>
      </c>
    </row>
    <row r="1512" spans="1:4" x14ac:dyDescent="0.35">
      <c r="A1512" s="1">
        <v>46498</v>
      </c>
      <c r="B1512" s="2">
        <v>46287</v>
      </c>
      <c r="C1512" s="1" t="s">
        <v>28</v>
      </c>
      <c r="D1512" s="1">
        <f t="shared" si="23"/>
        <v>9</v>
      </c>
    </row>
    <row r="1513" spans="1:4" x14ac:dyDescent="0.35">
      <c r="A1513" s="1">
        <v>46497</v>
      </c>
      <c r="B1513" s="2">
        <v>46287</v>
      </c>
      <c r="C1513" s="1" t="s">
        <v>28</v>
      </c>
      <c r="D1513" s="1">
        <f t="shared" si="23"/>
        <v>9</v>
      </c>
    </row>
    <row r="1514" spans="1:4" x14ac:dyDescent="0.35">
      <c r="A1514" s="1">
        <v>46496</v>
      </c>
      <c r="B1514" s="2">
        <v>46287</v>
      </c>
      <c r="C1514" s="1" t="s">
        <v>28</v>
      </c>
      <c r="D1514" s="1">
        <f t="shared" si="23"/>
        <v>9</v>
      </c>
    </row>
    <row r="1515" spans="1:4" x14ac:dyDescent="0.35">
      <c r="A1515" s="1">
        <v>46495</v>
      </c>
      <c r="B1515" s="2">
        <v>46287</v>
      </c>
      <c r="C1515" s="1" t="s">
        <v>28</v>
      </c>
      <c r="D1515" s="1">
        <f t="shared" si="23"/>
        <v>9</v>
      </c>
    </row>
    <row r="1516" spans="1:4" x14ac:dyDescent="0.35">
      <c r="A1516" s="1">
        <v>46494</v>
      </c>
      <c r="B1516" s="2">
        <v>46287</v>
      </c>
      <c r="C1516" s="1" t="s">
        <v>28</v>
      </c>
      <c r="D1516" s="1">
        <f t="shared" si="23"/>
        <v>9</v>
      </c>
    </row>
    <row r="1517" spans="1:4" x14ac:dyDescent="0.35">
      <c r="A1517" s="1">
        <v>46493</v>
      </c>
      <c r="B1517" s="2">
        <v>46287</v>
      </c>
      <c r="C1517" s="1" t="s">
        <v>28</v>
      </c>
      <c r="D1517" s="1">
        <f t="shared" si="23"/>
        <v>9</v>
      </c>
    </row>
    <row r="1518" spans="1:4" x14ac:dyDescent="0.35">
      <c r="A1518" s="1">
        <v>46492</v>
      </c>
      <c r="B1518" s="2">
        <v>46287</v>
      </c>
      <c r="C1518" s="1" t="s">
        <v>28</v>
      </c>
      <c r="D1518" s="1">
        <f t="shared" si="23"/>
        <v>9</v>
      </c>
    </row>
    <row r="1519" spans="1:4" x14ac:dyDescent="0.35">
      <c r="A1519" s="1">
        <v>46491</v>
      </c>
      <c r="B1519" s="2">
        <v>46287</v>
      </c>
      <c r="C1519" s="1" t="s">
        <v>28</v>
      </c>
      <c r="D1519" s="1">
        <f t="shared" si="23"/>
        <v>9</v>
      </c>
    </row>
    <row r="1520" spans="1:4" x14ac:dyDescent="0.35">
      <c r="A1520" s="1">
        <v>46487</v>
      </c>
      <c r="B1520" s="2">
        <v>46287</v>
      </c>
      <c r="C1520" s="1" t="s">
        <v>23</v>
      </c>
      <c r="D1520" s="1">
        <f t="shared" si="23"/>
        <v>9</v>
      </c>
    </row>
    <row r="1521" spans="1:4" x14ac:dyDescent="0.35">
      <c r="A1521" s="1">
        <v>46486</v>
      </c>
      <c r="B1521" s="2">
        <v>46287</v>
      </c>
      <c r="C1521" s="1" t="s">
        <v>23</v>
      </c>
      <c r="D1521" s="1">
        <f t="shared" si="23"/>
        <v>9</v>
      </c>
    </row>
    <row r="1522" spans="1:4" x14ac:dyDescent="0.35">
      <c r="A1522" s="1">
        <v>46484</v>
      </c>
      <c r="B1522" s="2">
        <v>46287</v>
      </c>
      <c r="C1522" s="1" t="s">
        <v>9</v>
      </c>
      <c r="D1522" s="1">
        <f t="shared" si="23"/>
        <v>9</v>
      </c>
    </row>
    <row r="1523" spans="1:4" x14ac:dyDescent="0.35">
      <c r="A1523" s="1">
        <v>46483</v>
      </c>
      <c r="B1523" s="2">
        <v>46287</v>
      </c>
      <c r="C1523" s="1" t="s">
        <v>22</v>
      </c>
      <c r="D1523" s="1">
        <f t="shared" si="23"/>
        <v>9</v>
      </c>
    </row>
    <row r="1524" spans="1:4" x14ac:dyDescent="0.35">
      <c r="A1524" s="1">
        <v>46482</v>
      </c>
      <c r="B1524" s="2">
        <v>46287</v>
      </c>
      <c r="C1524" s="1" t="s">
        <v>22</v>
      </c>
      <c r="D1524" s="1">
        <f t="shared" si="23"/>
        <v>9</v>
      </c>
    </row>
    <row r="1525" spans="1:4" x14ac:dyDescent="0.35">
      <c r="A1525" s="1">
        <v>46481</v>
      </c>
      <c r="B1525" s="2">
        <v>46287</v>
      </c>
      <c r="C1525" s="1" t="s">
        <v>9</v>
      </c>
      <c r="D1525" s="1">
        <f t="shared" si="23"/>
        <v>9</v>
      </c>
    </row>
    <row r="1526" spans="1:4" x14ac:dyDescent="0.35">
      <c r="A1526" s="1">
        <v>46480</v>
      </c>
      <c r="B1526" s="2">
        <v>46287</v>
      </c>
      <c r="C1526" s="1" t="s">
        <v>3</v>
      </c>
      <c r="D1526" s="1">
        <f t="shared" si="23"/>
        <v>9</v>
      </c>
    </row>
    <row r="1527" spans="1:4" x14ac:dyDescent="0.35">
      <c r="A1527" s="1">
        <v>46479</v>
      </c>
      <c r="B1527" s="2">
        <v>46287</v>
      </c>
      <c r="C1527" s="1" t="s">
        <v>22</v>
      </c>
      <c r="D1527" s="1">
        <f t="shared" si="23"/>
        <v>9</v>
      </c>
    </row>
    <row r="1528" spans="1:4" x14ac:dyDescent="0.35">
      <c r="A1528" s="1">
        <v>46478</v>
      </c>
      <c r="B1528" s="2">
        <v>46287</v>
      </c>
      <c r="C1528" s="1" t="s">
        <v>3</v>
      </c>
      <c r="D1528" s="1">
        <f t="shared" si="23"/>
        <v>9</v>
      </c>
    </row>
    <row r="1529" spans="1:4" x14ac:dyDescent="0.35">
      <c r="A1529" s="1">
        <v>46477</v>
      </c>
      <c r="B1529" s="2">
        <v>46287</v>
      </c>
      <c r="C1529" s="1" t="s">
        <v>9</v>
      </c>
      <c r="D1529" s="1">
        <f t="shared" si="23"/>
        <v>9</v>
      </c>
    </row>
    <row r="1530" spans="1:4" x14ac:dyDescent="0.35">
      <c r="A1530" s="1">
        <v>46476</v>
      </c>
      <c r="B1530" s="2">
        <v>46287</v>
      </c>
      <c r="C1530" s="1" t="s">
        <v>22</v>
      </c>
      <c r="D1530" s="1">
        <f t="shared" si="23"/>
        <v>9</v>
      </c>
    </row>
    <row r="1531" spans="1:4" x14ac:dyDescent="0.35">
      <c r="A1531" s="1">
        <v>46475</v>
      </c>
      <c r="B1531" s="2">
        <v>46287</v>
      </c>
      <c r="C1531" s="1" t="s">
        <v>22</v>
      </c>
      <c r="D1531" s="1">
        <f t="shared" si="23"/>
        <v>9</v>
      </c>
    </row>
    <row r="1532" spans="1:4" x14ac:dyDescent="0.35">
      <c r="A1532" s="1">
        <v>46474</v>
      </c>
      <c r="B1532" s="2">
        <v>46287</v>
      </c>
      <c r="C1532" s="1" t="s">
        <v>22</v>
      </c>
      <c r="D1532" s="1">
        <f t="shared" si="23"/>
        <v>9</v>
      </c>
    </row>
    <row r="1533" spans="1:4" x14ac:dyDescent="0.35">
      <c r="A1533" s="1">
        <v>46473</v>
      </c>
      <c r="B1533" s="2">
        <v>46287</v>
      </c>
      <c r="C1533" s="1" t="s">
        <v>22</v>
      </c>
      <c r="D1533" s="1">
        <f t="shared" si="23"/>
        <v>9</v>
      </c>
    </row>
    <row r="1534" spans="1:4" x14ac:dyDescent="0.35">
      <c r="A1534" s="1">
        <v>46472</v>
      </c>
      <c r="B1534" s="2">
        <v>46287</v>
      </c>
      <c r="C1534" s="1" t="s">
        <v>22</v>
      </c>
      <c r="D1534" s="1">
        <f t="shared" si="23"/>
        <v>9</v>
      </c>
    </row>
    <row r="1535" spans="1:4" x14ac:dyDescent="0.35">
      <c r="A1535" s="1">
        <v>46471</v>
      </c>
      <c r="B1535" s="2">
        <v>46287</v>
      </c>
      <c r="C1535" s="1" t="s">
        <v>22</v>
      </c>
      <c r="D1535" s="1">
        <f t="shared" si="23"/>
        <v>9</v>
      </c>
    </row>
    <row r="1536" spans="1:4" x14ac:dyDescent="0.35">
      <c r="A1536" s="1">
        <v>46470</v>
      </c>
      <c r="B1536" s="2">
        <v>46287</v>
      </c>
      <c r="C1536" s="1" t="s">
        <v>22</v>
      </c>
      <c r="D1536" s="1">
        <f t="shared" si="23"/>
        <v>9</v>
      </c>
    </row>
    <row r="1537" spans="1:4" x14ac:dyDescent="0.35">
      <c r="A1537" s="1">
        <v>46469</v>
      </c>
      <c r="B1537" s="2">
        <v>46287</v>
      </c>
      <c r="C1537" s="1" t="s">
        <v>22</v>
      </c>
      <c r="D1537" s="1">
        <f t="shared" si="23"/>
        <v>9</v>
      </c>
    </row>
    <row r="1538" spans="1:4" x14ac:dyDescent="0.35">
      <c r="A1538" s="1">
        <v>46468</v>
      </c>
      <c r="B1538" s="2">
        <v>46287</v>
      </c>
      <c r="C1538" s="1" t="s">
        <v>22</v>
      </c>
      <c r="D1538" s="1">
        <f t="shared" ref="D1538:D1601" si="24">MONTH(B1538)</f>
        <v>9</v>
      </c>
    </row>
    <row r="1539" spans="1:4" x14ac:dyDescent="0.35">
      <c r="A1539" s="1">
        <v>46467</v>
      </c>
      <c r="B1539" s="2">
        <v>46287</v>
      </c>
      <c r="C1539" s="1" t="s">
        <v>22</v>
      </c>
      <c r="D1539" s="1">
        <f t="shared" si="24"/>
        <v>9</v>
      </c>
    </row>
    <row r="1540" spans="1:4" x14ac:dyDescent="0.35">
      <c r="A1540" s="1">
        <v>46466</v>
      </c>
      <c r="B1540" s="2">
        <v>46287</v>
      </c>
      <c r="C1540" s="1" t="s">
        <v>22</v>
      </c>
      <c r="D1540" s="1">
        <f t="shared" si="24"/>
        <v>9</v>
      </c>
    </row>
    <row r="1541" spans="1:4" x14ac:dyDescent="0.35">
      <c r="A1541" s="1">
        <v>46464</v>
      </c>
      <c r="B1541" s="2">
        <v>46287</v>
      </c>
      <c r="C1541" s="1" t="s">
        <v>22</v>
      </c>
      <c r="D1541" s="1">
        <f t="shared" si="24"/>
        <v>9</v>
      </c>
    </row>
    <row r="1542" spans="1:4" x14ac:dyDescent="0.35">
      <c r="A1542" s="1">
        <v>46463</v>
      </c>
      <c r="B1542" s="2">
        <v>46287</v>
      </c>
      <c r="C1542" s="1" t="s">
        <v>22</v>
      </c>
      <c r="D1542" s="1">
        <f t="shared" si="24"/>
        <v>9</v>
      </c>
    </row>
    <row r="1543" spans="1:4" x14ac:dyDescent="0.35">
      <c r="A1543" s="1">
        <v>46462</v>
      </c>
      <c r="B1543" s="2">
        <v>46287</v>
      </c>
      <c r="C1543" s="1" t="s">
        <v>22</v>
      </c>
      <c r="D1543" s="1">
        <f t="shared" si="24"/>
        <v>9</v>
      </c>
    </row>
    <row r="1544" spans="1:4" x14ac:dyDescent="0.35">
      <c r="A1544" s="1">
        <v>46461</v>
      </c>
      <c r="B1544" s="2">
        <v>46287</v>
      </c>
      <c r="C1544" s="1" t="s">
        <v>22</v>
      </c>
      <c r="D1544" s="1">
        <f t="shared" si="24"/>
        <v>9</v>
      </c>
    </row>
    <row r="1545" spans="1:4" x14ac:dyDescent="0.35">
      <c r="A1545" s="1">
        <v>46460</v>
      </c>
      <c r="B1545" s="2">
        <v>46287</v>
      </c>
      <c r="C1545" s="1" t="s">
        <v>22</v>
      </c>
      <c r="D1545" s="1">
        <f t="shared" si="24"/>
        <v>9</v>
      </c>
    </row>
    <row r="1546" spans="1:4" x14ac:dyDescent="0.35">
      <c r="A1546" s="1">
        <v>46459</v>
      </c>
      <c r="B1546" s="2">
        <v>46287</v>
      </c>
      <c r="C1546" s="1" t="s">
        <v>22</v>
      </c>
      <c r="D1546" s="1">
        <f t="shared" si="24"/>
        <v>9</v>
      </c>
    </row>
    <row r="1547" spans="1:4" x14ac:dyDescent="0.35">
      <c r="A1547" s="1">
        <v>46458</v>
      </c>
      <c r="B1547" s="2">
        <v>46287</v>
      </c>
      <c r="C1547" s="1" t="s">
        <v>22</v>
      </c>
      <c r="D1547" s="1">
        <f t="shared" si="24"/>
        <v>9</v>
      </c>
    </row>
    <row r="1548" spans="1:4" x14ac:dyDescent="0.35">
      <c r="A1548" s="1">
        <v>46457</v>
      </c>
      <c r="B1548" s="2">
        <v>46287</v>
      </c>
      <c r="C1548" s="1" t="s">
        <v>22</v>
      </c>
      <c r="D1548" s="1">
        <f t="shared" si="24"/>
        <v>9</v>
      </c>
    </row>
    <row r="1549" spans="1:4" x14ac:dyDescent="0.35">
      <c r="A1549" s="1">
        <v>46456</v>
      </c>
      <c r="B1549" s="2">
        <v>46287</v>
      </c>
      <c r="C1549" s="1" t="s">
        <v>22</v>
      </c>
      <c r="D1549" s="1">
        <f t="shared" si="24"/>
        <v>9</v>
      </c>
    </row>
    <row r="1550" spans="1:4" x14ac:dyDescent="0.35">
      <c r="A1550" s="1">
        <v>46452</v>
      </c>
      <c r="B1550" s="2">
        <v>46287</v>
      </c>
      <c r="C1550" s="1" t="s">
        <v>7</v>
      </c>
      <c r="D1550" s="1">
        <f t="shared" si="24"/>
        <v>9</v>
      </c>
    </row>
    <row r="1551" spans="1:4" x14ac:dyDescent="0.35">
      <c r="A1551" s="1">
        <v>46446</v>
      </c>
      <c r="B1551" s="2">
        <v>46287</v>
      </c>
      <c r="C1551" s="1" t="s">
        <v>10</v>
      </c>
      <c r="D1551" s="1">
        <f t="shared" si="24"/>
        <v>9</v>
      </c>
    </row>
    <row r="1552" spans="1:4" x14ac:dyDescent="0.35">
      <c r="A1552" s="1">
        <v>46445</v>
      </c>
      <c r="B1552" s="2">
        <v>46287</v>
      </c>
      <c r="C1552" s="1" t="s">
        <v>10</v>
      </c>
      <c r="D1552" s="1">
        <f t="shared" si="24"/>
        <v>9</v>
      </c>
    </row>
    <row r="1553" spans="1:4" x14ac:dyDescent="0.35">
      <c r="A1553" s="1">
        <v>46443</v>
      </c>
      <c r="B1553" s="2">
        <v>46287</v>
      </c>
      <c r="C1553" s="1" t="s">
        <v>3</v>
      </c>
      <c r="D1553" s="1">
        <f t="shared" si="24"/>
        <v>9</v>
      </c>
    </row>
    <row r="1554" spans="1:4" x14ac:dyDescent="0.35">
      <c r="A1554" s="1">
        <v>46438</v>
      </c>
      <c r="B1554" s="2">
        <v>46287</v>
      </c>
      <c r="C1554" s="1" t="s">
        <v>6</v>
      </c>
      <c r="D1554" s="1">
        <f t="shared" si="24"/>
        <v>9</v>
      </c>
    </row>
    <row r="1555" spans="1:4" x14ac:dyDescent="0.35">
      <c r="A1555" s="1">
        <v>46437</v>
      </c>
      <c r="B1555" s="2">
        <v>46287</v>
      </c>
      <c r="C1555" s="1" t="s">
        <v>6</v>
      </c>
      <c r="D1555" s="1">
        <f t="shared" si="24"/>
        <v>9</v>
      </c>
    </row>
    <row r="1556" spans="1:4" x14ac:dyDescent="0.35">
      <c r="A1556" s="1">
        <v>46435</v>
      </c>
      <c r="B1556" s="2">
        <v>46287</v>
      </c>
      <c r="C1556" s="1" t="s">
        <v>3</v>
      </c>
      <c r="D1556" s="1">
        <f t="shared" si="24"/>
        <v>9</v>
      </c>
    </row>
    <row r="1557" spans="1:4" x14ac:dyDescent="0.35">
      <c r="A1557" s="1">
        <v>46433</v>
      </c>
      <c r="B1557" s="2">
        <v>46287</v>
      </c>
      <c r="C1557" s="1" t="s">
        <v>8</v>
      </c>
      <c r="D1557" s="1">
        <f t="shared" si="24"/>
        <v>9</v>
      </c>
    </row>
    <row r="1558" spans="1:4" x14ac:dyDescent="0.35">
      <c r="A1558" s="1">
        <v>46432</v>
      </c>
      <c r="B1558" s="2">
        <v>46287</v>
      </c>
      <c r="C1558" s="1" t="s">
        <v>19</v>
      </c>
      <c r="D1558" s="1">
        <f t="shared" si="24"/>
        <v>9</v>
      </c>
    </row>
    <row r="1559" spans="1:4" x14ac:dyDescent="0.35">
      <c r="A1559" s="1">
        <v>46431</v>
      </c>
      <c r="B1559" s="2">
        <v>46287</v>
      </c>
      <c r="C1559" s="1" t="s">
        <v>8</v>
      </c>
      <c r="D1559" s="1">
        <f t="shared" si="24"/>
        <v>9</v>
      </c>
    </row>
    <row r="1560" spans="1:4" x14ac:dyDescent="0.35">
      <c r="A1560" s="1">
        <v>46429</v>
      </c>
      <c r="B1560" s="2">
        <v>46287</v>
      </c>
      <c r="C1560" s="1" t="s">
        <v>3</v>
      </c>
      <c r="D1560" s="1">
        <f t="shared" si="24"/>
        <v>9</v>
      </c>
    </row>
    <row r="1561" spans="1:4" x14ac:dyDescent="0.35">
      <c r="A1561" s="1">
        <v>46428</v>
      </c>
      <c r="B1561" s="2">
        <v>46287</v>
      </c>
      <c r="C1561" s="1" t="s">
        <v>9</v>
      </c>
      <c r="D1561" s="1">
        <f t="shared" si="24"/>
        <v>9</v>
      </c>
    </row>
    <row r="1562" spans="1:4" x14ac:dyDescent="0.35">
      <c r="A1562" s="1">
        <v>46427</v>
      </c>
      <c r="B1562" s="2">
        <v>46287</v>
      </c>
      <c r="C1562" s="1" t="s">
        <v>4</v>
      </c>
      <c r="D1562" s="1">
        <f t="shared" si="24"/>
        <v>9</v>
      </c>
    </row>
    <row r="1563" spans="1:4" x14ac:dyDescent="0.35">
      <c r="A1563" s="1">
        <v>46426</v>
      </c>
      <c r="B1563" s="2">
        <v>46287</v>
      </c>
      <c r="C1563" s="1" t="s">
        <v>19</v>
      </c>
      <c r="D1563" s="1">
        <f t="shared" si="24"/>
        <v>9</v>
      </c>
    </row>
    <row r="1564" spans="1:4" x14ac:dyDescent="0.35">
      <c r="A1564" s="1">
        <v>46425</v>
      </c>
      <c r="B1564" s="2">
        <v>46287</v>
      </c>
      <c r="C1564" s="1" t="s">
        <v>19</v>
      </c>
      <c r="D1564" s="1">
        <f t="shared" si="24"/>
        <v>9</v>
      </c>
    </row>
    <row r="1565" spans="1:4" x14ac:dyDescent="0.35">
      <c r="A1565" s="1">
        <v>46514</v>
      </c>
      <c r="B1565" s="2">
        <v>46288</v>
      </c>
      <c r="C1565" s="1" t="s">
        <v>21</v>
      </c>
      <c r="D1565" s="1">
        <f t="shared" si="24"/>
        <v>9</v>
      </c>
    </row>
    <row r="1566" spans="1:4" x14ac:dyDescent="0.35">
      <c r="A1566" s="1">
        <v>46513</v>
      </c>
      <c r="B1566" s="2">
        <v>46288</v>
      </c>
      <c r="C1566" s="1" t="s">
        <v>3</v>
      </c>
      <c r="D1566" s="1">
        <f t="shared" si="24"/>
        <v>9</v>
      </c>
    </row>
    <row r="1567" spans="1:4" x14ac:dyDescent="0.35">
      <c r="A1567" s="1">
        <v>46512</v>
      </c>
      <c r="B1567" s="2">
        <v>46288</v>
      </c>
      <c r="C1567" s="1" t="s">
        <v>21</v>
      </c>
      <c r="D1567" s="1">
        <f t="shared" si="24"/>
        <v>9</v>
      </c>
    </row>
    <row r="1568" spans="1:4" x14ac:dyDescent="0.35">
      <c r="A1568" s="1">
        <v>46510</v>
      </c>
      <c r="B1568" s="2">
        <v>46288</v>
      </c>
      <c r="C1568" s="1" t="s">
        <v>8</v>
      </c>
      <c r="D1568" s="1">
        <f t="shared" si="24"/>
        <v>9</v>
      </c>
    </row>
    <row r="1569" spans="1:4" x14ac:dyDescent="0.35">
      <c r="A1569" s="1">
        <v>46509</v>
      </c>
      <c r="B1569" s="2">
        <v>46288</v>
      </c>
      <c r="C1569" s="1" t="s">
        <v>8</v>
      </c>
      <c r="D1569" s="1">
        <f t="shared" si="24"/>
        <v>9</v>
      </c>
    </row>
    <row r="1570" spans="1:4" x14ac:dyDescent="0.35">
      <c r="A1570" s="1">
        <v>46508</v>
      </c>
      <c r="B1570" s="2">
        <v>46288</v>
      </c>
      <c r="C1570" s="1" t="s">
        <v>19</v>
      </c>
      <c r="D1570" s="1">
        <f t="shared" si="24"/>
        <v>9</v>
      </c>
    </row>
    <row r="1571" spans="1:4" x14ac:dyDescent="0.35">
      <c r="A1571" s="1">
        <v>46551</v>
      </c>
      <c r="B1571" s="2">
        <v>46288</v>
      </c>
      <c r="C1571" s="1" t="s">
        <v>10</v>
      </c>
      <c r="D1571" s="1">
        <f t="shared" si="24"/>
        <v>9</v>
      </c>
    </row>
    <row r="1572" spans="1:4" x14ac:dyDescent="0.35">
      <c r="A1572" s="1">
        <v>46550</v>
      </c>
      <c r="B1572" s="2">
        <v>46288</v>
      </c>
      <c r="C1572" s="1" t="s">
        <v>10</v>
      </c>
      <c r="D1572" s="1">
        <f t="shared" si="24"/>
        <v>9</v>
      </c>
    </row>
    <row r="1573" spans="1:4" x14ac:dyDescent="0.35">
      <c r="A1573" s="1">
        <v>46549</v>
      </c>
      <c r="B1573" s="2">
        <v>46288</v>
      </c>
      <c r="C1573" s="1" t="s">
        <v>11</v>
      </c>
      <c r="D1573" s="1">
        <f t="shared" si="24"/>
        <v>9</v>
      </c>
    </row>
    <row r="1574" spans="1:4" x14ac:dyDescent="0.35">
      <c r="A1574" s="1">
        <v>46548</v>
      </c>
      <c r="B1574" s="2">
        <v>46288</v>
      </c>
      <c r="C1574" s="1" t="s">
        <v>6</v>
      </c>
      <c r="D1574" s="1">
        <f t="shared" si="24"/>
        <v>9</v>
      </c>
    </row>
    <row r="1575" spans="1:4" x14ac:dyDescent="0.35">
      <c r="A1575" s="1">
        <v>46547</v>
      </c>
      <c r="B1575" s="2">
        <v>46288</v>
      </c>
      <c r="C1575" s="1" t="s">
        <v>6</v>
      </c>
      <c r="D1575" s="1">
        <f t="shared" si="24"/>
        <v>9</v>
      </c>
    </row>
    <row r="1576" spans="1:4" x14ac:dyDescent="0.35">
      <c r="A1576" s="1">
        <v>46546</v>
      </c>
      <c r="B1576" s="2">
        <v>46288</v>
      </c>
      <c r="C1576" s="1" t="s">
        <v>23</v>
      </c>
      <c r="D1576" s="1">
        <f t="shared" si="24"/>
        <v>9</v>
      </c>
    </row>
    <row r="1577" spans="1:4" x14ac:dyDescent="0.35">
      <c r="A1577" s="1">
        <v>46545</v>
      </c>
      <c r="B1577" s="2">
        <v>46288</v>
      </c>
      <c r="C1577" s="1" t="s">
        <v>23</v>
      </c>
      <c r="D1577" s="1">
        <f t="shared" si="24"/>
        <v>9</v>
      </c>
    </row>
    <row r="1578" spans="1:4" x14ac:dyDescent="0.35">
      <c r="A1578" s="1">
        <v>46544</v>
      </c>
      <c r="B1578" s="2">
        <v>46288</v>
      </c>
      <c r="C1578" s="1" t="s">
        <v>4</v>
      </c>
      <c r="D1578" s="1">
        <f t="shared" si="24"/>
        <v>9</v>
      </c>
    </row>
    <row r="1579" spans="1:4" x14ac:dyDescent="0.35">
      <c r="A1579" s="1">
        <v>46543</v>
      </c>
      <c r="B1579" s="2">
        <v>46288</v>
      </c>
      <c r="C1579" s="1" t="s">
        <v>4</v>
      </c>
      <c r="D1579" s="1">
        <f t="shared" si="24"/>
        <v>9</v>
      </c>
    </row>
    <row r="1580" spans="1:4" x14ac:dyDescent="0.35">
      <c r="A1580" s="1">
        <v>46542</v>
      </c>
      <c r="B1580" s="2">
        <v>46288</v>
      </c>
      <c r="C1580" s="1" t="s">
        <v>4</v>
      </c>
      <c r="D1580" s="1">
        <f t="shared" si="24"/>
        <v>9</v>
      </c>
    </row>
    <row r="1581" spans="1:4" x14ac:dyDescent="0.35">
      <c r="A1581" s="1">
        <v>46541</v>
      </c>
      <c r="B1581" s="2">
        <v>46288</v>
      </c>
      <c r="C1581" s="1" t="s">
        <v>17</v>
      </c>
      <c r="D1581" s="1">
        <f t="shared" si="24"/>
        <v>9</v>
      </c>
    </row>
    <row r="1582" spans="1:4" x14ac:dyDescent="0.35">
      <c r="A1582" s="1">
        <v>46540</v>
      </c>
      <c r="B1582" s="2">
        <v>46288</v>
      </c>
      <c r="C1582" s="1" t="s">
        <v>17</v>
      </c>
      <c r="D1582" s="1">
        <f t="shared" si="24"/>
        <v>9</v>
      </c>
    </row>
    <row r="1583" spans="1:4" x14ac:dyDescent="0.35">
      <c r="A1583" s="1">
        <v>46533</v>
      </c>
      <c r="B1583" s="2">
        <v>46288</v>
      </c>
      <c r="C1583" s="1" t="s">
        <v>3</v>
      </c>
      <c r="D1583" s="1">
        <f t="shared" si="24"/>
        <v>9</v>
      </c>
    </row>
    <row r="1584" spans="1:4" x14ac:dyDescent="0.35">
      <c r="A1584" s="1">
        <v>46531</v>
      </c>
      <c r="B1584" s="2">
        <v>46288</v>
      </c>
      <c r="C1584" s="1" t="s">
        <v>28</v>
      </c>
      <c r="D1584" s="1">
        <f t="shared" si="24"/>
        <v>9</v>
      </c>
    </row>
    <row r="1585" spans="1:4" x14ac:dyDescent="0.35">
      <c r="A1585" s="1">
        <v>46529</v>
      </c>
      <c r="B1585" s="2">
        <v>46288</v>
      </c>
      <c r="C1585" s="1" t="s">
        <v>3</v>
      </c>
      <c r="D1585" s="1">
        <f t="shared" si="24"/>
        <v>9</v>
      </c>
    </row>
    <row r="1586" spans="1:4" x14ac:dyDescent="0.35">
      <c r="A1586" s="1">
        <v>46528</v>
      </c>
      <c r="B1586" s="2">
        <v>46288</v>
      </c>
      <c r="C1586" s="1" t="s">
        <v>28</v>
      </c>
      <c r="D1586" s="1">
        <f t="shared" si="24"/>
        <v>9</v>
      </c>
    </row>
    <row r="1587" spans="1:4" x14ac:dyDescent="0.35">
      <c r="A1587" s="1">
        <v>46527</v>
      </c>
      <c r="B1587" s="2">
        <v>46288</v>
      </c>
      <c r="C1587" s="1" t="s">
        <v>28</v>
      </c>
      <c r="D1587" s="1">
        <f t="shared" si="24"/>
        <v>9</v>
      </c>
    </row>
    <row r="1588" spans="1:4" x14ac:dyDescent="0.35">
      <c r="A1588" s="1">
        <v>46526</v>
      </c>
      <c r="B1588" s="2">
        <v>46288</v>
      </c>
      <c r="C1588" s="1" t="s">
        <v>28</v>
      </c>
      <c r="D1588" s="1">
        <f t="shared" si="24"/>
        <v>9</v>
      </c>
    </row>
    <row r="1589" spans="1:4" x14ac:dyDescent="0.35">
      <c r="A1589" s="1">
        <v>46525</v>
      </c>
      <c r="B1589" s="2">
        <v>46288</v>
      </c>
      <c r="C1589" s="1" t="s">
        <v>28</v>
      </c>
      <c r="D1589" s="1">
        <f t="shared" si="24"/>
        <v>9</v>
      </c>
    </row>
    <row r="1590" spans="1:4" x14ac:dyDescent="0.35">
      <c r="A1590" s="1">
        <v>46524</v>
      </c>
      <c r="B1590" s="2">
        <v>46288</v>
      </c>
      <c r="C1590" s="1" t="s">
        <v>9</v>
      </c>
      <c r="D1590" s="1">
        <f t="shared" si="24"/>
        <v>9</v>
      </c>
    </row>
    <row r="1591" spans="1:4" x14ac:dyDescent="0.35">
      <c r="A1591" s="1">
        <v>46523</v>
      </c>
      <c r="B1591" s="2">
        <v>46288</v>
      </c>
      <c r="C1591" s="1" t="s">
        <v>9</v>
      </c>
      <c r="D1591" s="1">
        <f t="shared" si="24"/>
        <v>9</v>
      </c>
    </row>
    <row r="1592" spans="1:4" x14ac:dyDescent="0.35">
      <c r="A1592" s="1">
        <v>46522</v>
      </c>
      <c r="B1592" s="2">
        <v>46288</v>
      </c>
      <c r="C1592" s="1" t="s">
        <v>21</v>
      </c>
      <c r="D1592" s="1">
        <f t="shared" si="24"/>
        <v>9</v>
      </c>
    </row>
    <row r="1593" spans="1:4" x14ac:dyDescent="0.35">
      <c r="A1593" s="1">
        <v>46521</v>
      </c>
      <c r="B1593" s="2">
        <v>46288</v>
      </c>
      <c r="C1593" s="1" t="s">
        <v>21</v>
      </c>
      <c r="D1593" s="1">
        <f t="shared" si="24"/>
        <v>9</v>
      </c>
    </row>
    <row r="1594" spans="1:4" x14ac:dyDescent="0.35">
      <c r="A1594" s="1">
        <v>46519</v>
      </c>
      <c r="B1594" s="2">
        <v>46288</v>
      </c>
      <c r="C1594" s="1" t="s">
        <v>9</v>
      </c>
      <c r="D1594" s="1">
        <f t="shared" si="24"/>
        <v>9</v>
      </c>
    </row>
    <row r="1595" spans="1:4" x14ac:dyDescent="0.35">
      <c r="A1595" s="1">
        <v>46517</v>
      </c>
      <c r="B1595" s="2">
        <v>46288</v>
      </c>
      <c r="C1595" s="1" t="s">
        <v>19</v>
      </c>
      <c r="D1595" s="1">
        <f t="shared" si="24"/>
        <v>9</v>
      </c>
    </row>
    <row r="1596" spans="1:4" x14ac:dyDescent="0.35">
      <c r="A1596" s="1">
        <v>46516</v>
      </c>
      <c r="B1596" s="2">
        <v>46288</v>
      </c>
      <c r="C1596" s="1" t="s">
        <v>3</v>
      </c>
      <c r="D1596" s="1">
        <f t="shared" si="24"/>
        <v>9</v>
      </c>
    </row>
    <row r="1597" spans="1:4" x14ac:dyDescent="0.35">
      <c r="A1597" s="1">
        <v>46515</v>
      </c>
      <c r="B1597" s="2">
        <v>46288</v>
      </c>
      <c r="C1597" s="1" t="s">
        <v>21</v>
      </c>
      <c r="D1597" s="1">
        <f t="shared" si="24"/>
        <v>9</v>
      </c>
    </row>
    <row r="1598" spans="1:4" x14ac:dyDescent="0.35">
      <c r="A1598" s="1">
        <v>46580</v>
      </c>
      <c r="B1598" s="2">
        <v>46289</v>
      </c>
      <c r="C1598" s="1" t="s">
        <v>17</v>
      </c>
      <c r="D1598" s="1">
        <f t="shared" si="24"/>
        <v>9</v>
      </c>
    </row>
    <row r="1599" spans="1:4" x14ac:dyDescent="0.35">
      <c r="A1599" s="1">
        <v>46579</v>
      </c>
      <c r="B1599" s="2">
        <v>46289</v>
      </c>
      <c r="C1599" s="1" t="s">
        <v>17</v>
      </c>
      <c r="D1599" s="1">
        <f t="shared" si="24"/>
        <v>9</v>
      </c>
    </row>
    <row r="1600" spans="1:4" x14ac:dyDescent="0.35">
      <c r="A1600" s="1">
        <v>46578</v>
      </c>
      <c r="B1600" s="2">
        <v>46289</v>
      </c>
      <c r="C1600" s="1" t="s">
        <v>23</v>
      </c>
      <c r="D1600" s="1">
        <f t="shared" si="24"/>
        <v>9</v>
      </c>
    </row>
    <row r="1601" spans="1:4" x14ac:dyDescent="0.35">
      <c r="A1601" s="1">
        <v>46577</v>
      </c>
      <c r="B1601" s="2">
        <v>46289</v>
      </c>
      <c r="C1601" s="1" t="s">
        <v>23</v>
      </c>
      <c r="D1601" s="1">
        <f t="shared" si="24"/>
        <v>9</v>
      </c>
    </row>
    <row r="1602" spans="1:4" x14ac:dyDescent="0.35">
      <c r="A1602" s="1">
        <v>46576</v>
      </c>
      <c r="B1602" s="2">
        <v>46289</v>
      </c>
      <c r="C1602" s="1" t="s">
        <v>9</v>
      </c>
      <c r="D1602" s="1">
        <f t="shared" ref="D1602:D1665" si="25">MONTH(B1602)</f>
        <v>9</v>
      </c>
    </row>
    <row r="1603" spans="1:4" x14ac:dyDescent="0.35">
      <c r="A1603" s="1">
        <v>46575</v>
      </c>
      <c r="B1603" s="2">
        <v>46289</v>
      </c>
      <c r="C1603" s="1" t="s">
        <v>17</v>
      </c>
      <c r="D1603" s="1">
        <f t="shared" si="25"/>
        <v>9</v>
      </c>
    </row>
    <row r="1604" spans="1:4" x14ac:dyDescent="0.35">
      <c r="A1604" s="1">
        <v>46574</v>
      </c>
      <c r="B1604" s="2">
        <v>46289</v>
      </c>
      <c r="C1604" s="1" t="s">
        <v>9</v>
      </c>
      <c r="D1604" s="1">
        <f t="shared" si="25"/>
        <v>9</v>
      </c>
    </row>
    <row r="1605" spans="1:4" x14ac:dyDescent="0.35">
      <c r="A1605" s="1">
        <v>46573</v>
      </c>
      <c r="B1605" s="2">
        <v>46289</v>
      </c>
      <c r="C1605" s="1" t="s">
        <v>9</v>
      </c>
      <c r="D1605" s="1">
        <f t="shared" si="25"/>
        <v>9</v>
      </c>
    </row>
    <row r="1606" spans="1:4" x14ac:dyDescent="0.35">
      <c r="A1606" s="1">
        <v>46571</v>
      </c>
      <c r="B1606" s="2">
        <v>46289</v>
      </c>
      <c r="C1606" s="1" t="s">
        <v>7</v>
      </c>
      <c r="D1606" s="1">
        <f t="shared" si="25"/>
        <v>9</v>
      </c>
    </row>
    <row r="1607" spans="1:4" x14ac:dyDescent="0.35">
      <c r="A1607" s="1">
        <v>46570</v>
      </c>
      <c r="B1607" s="2">
        <v>46289</v>
      </c>
      <c r="C1607" s="1" t="s">
        <v>4</v>
      </c>
      <c r="D1607" s="1">
        <f t="shared" si="25"/>
        <v>9</v>
      </c>
    </row>
    <row r="1608" spans="1:4" x14ac:dyDescent="0.35">
      <c r="A1608" s="1">
        <v>46569</v>
      </c>
      <c r="B1608" s="2">
        <v>46289</v>
      </c>
      <c r="C1608" s="1" t="s">
        <v>6</v>
      </c>
      <c r="D1608" s="1">
        <f t="shared" si="25"/>
        <v>9</v>
      </c>
    </row>
    <row r="1609" spans="1:4" x14ac:dyDescent="0.35">
      <c r="A1609" s="1">
        <v>46568</v>
      </c>
      <c r="B1609" s="2">
        <v>46289</v>
      </c>
      <c r="C1609" s="1" t="s">
        <v>6</v>
      </c>
      <c r="D1609" s="1">
        <f t="shared" si="25"/>
        <v>9</v>
      </c>
    </row>
    <row r="1610" spans="1:4" x14ac:dyDescent="0.35">
      <c r="A1610" s="1">
        <v>46567</v>
      </c>
      <c r="B1610" s="2">
        <v>46289</v>
      </c>
      <c r="C1610" s="1" t="s">
        <v>4</v>
      </c>
      <c r="D1610" s="1">
        <f t="shared" si="25"/>
        <v>9</v>
      </c>
    </row>
    <row r="1611" spans="1:4" x14ac:dyDescent="0.35">
      <c r="A1611" s="1">
        <v>46566</v>
      </c>
      <c r="B1611" s="2">
        <v>46289</v>
      </c>
      <c r="C1611" s="1" t="s">
        <v>10</v>
      </c>
      <c r="D1611" s="1">
        <f t="shared" si="25"/>
        <v>9</v>
      </c>
    </row>
    <row r="1612" spans="1:4" x14ac:dyDescent="0.35">
      <c r="A1612" s="1">
        <v>46565</v>
      </c>
      <c r="B1612" s="2">
        <v>46289</v>
      </c>
      <c r="C1612" s="1" t="s">
        <v>10</v>
      </c>
      <c r="D1612" s="1">
        <f t="shared" si="25"/>
        <v>9</v>
      </c>
    </row>
    <row r="1613" spans="1:4" x14ac:dyDescent="0.35">
      <c r="A1613" s="1">
        <v>46564</v>
      </c>
      <c r="B1613" s="2">
        <v>46289</v>
      </c>
      <c r="C1613" s="1" t="s">
        <v>3</v>
      </c>
      <c r="D1613" s="1">
        <f t="shared" si="25"/>
        <v>9</v>
      </c>
    </row>
    <row r="1614" spans="1:4" x14ac:dyDescent="0.35">
      <c r="A1614" s="1">
        <v>46563</v>
      </c>
      <c r="B1614" s="2">
        <v>46289</v>
      </c>
      <c r="C1614" s="1" t="s">
        <v>3</v>
      </c>
      <c r="D1614" s="1">
        <f t="shared" si="25"/>
        <v>9</v>
      </c>
    </row>
    <row r="1615" spans="1:4" x14ac:dyDescent="0.35">
      <c r="A1615" s="1">
        <v>46562</v>
      </c>
      <c r="B1615" s="2">
        <v>46289</v>
      </c>
      <c r="C1615" s="1" t="s">
        <v>3</v>
      </c>
      <c r="D1615" s="1">
        <f t="shared" si="25"/>
        <v>9</v>
      </c>
    </row>
    <row r="1616" spans="1:4" x14ac:dyDescent="0.35">
      <c r="A1616" s="1">
        <v>46561</v>
      </c>
      <c r="B1616" s="2">
        <v>46289</v>
      </c>
      <c r="C1616" s="1" t="s">
        <v>3</v>
      </c>
      <c r="D1616" s="1">
        <f t="shared" si="25"/>
        <v>9</v>
      </c>
    </row>
    <row r="1617" spans="1:4" x14ac:dyDescent="0.35">
      <c r="A1617" s="1">
        <v>46560</v>
      </c>
      <c r="B1617" s="2">
        <v>46289</v>
      </c>
      <c r="C1617" s="1" t="s">
        <v>3</v>
      </c>
      <c r="D1617" s="1">
        <f t="shared" si="25"/>
        <v>9</v>
      </c>
    </row>
    <row r="1618" spans="1:4" x14ac:dyDescent="0.35">
      <c r="A1618" s="1">
        <v>46559</v>
      </c>
      <c r="B1618" s="2">
        <v>46289</v>
      </c>
      <c r="C1618" s="1" t="s">
        <v>19</v>
      </c>
      <c r="D1618" s="1">
        <f t="shared" si="25"/>
        <v>9</v>
      </c>
    </row>
    <row r="1619" spans="1:4" x14ac:dyDescent="0.35">
      <c r="A1619" s="1">
        <v>46558</v>
      </c>
      <c r="B1619" s="2">
        <v>46289</v>
      </c>
      <c r="C1619" s="1" t="s">
        <v>19</v>
      </c>
      <c r="D1619" s="1">
        <f t="shared" si="25"/>
        <v>9</v>
      </c>
    </row>
    <row r="1620" spans="1:4" x14ac:dyDescent="0.35">
      <c r="A1620" s="1">
        <v>46557</v>
      </c>
      <c r="B1620" s="2">
        <v>46289</v>
      </c>
      <c r="C1620" s="1" t="s">
        <v>9</v>
      </c>
      <c r="D1620" s="1">
        <f t="shared" si="25"/>
        <v>9</v>
      </c>
    </row>
    <row r="1621" spans="1:4" x14ac:dyDescent="0.35">
      <c r="A1621" s="1">
        <v>46556</v>
      </c>
      <c r="B1621" s="2">
        <v>46289</v>
      </c>
      <c r="C1621" s="1" t="s">
        <v>9</v>
      </c>
      <c r="D1621" s="1">
        <f t="shared" si="25"/>
        <v>9</v>
      </c>
    </row>
    <row r="1622" spans="1:4" x14ac:dyDescent="0.35">
      <c r="A1622" s="1">
        <v>46555</v>
      </c>
      <c r="B1622" s="2">
        <v>46289</v>
      </c>
      <c r="C1622" s="1" t="s">
        <v>7</v>
      </c>
      <c r="D1622" s="1">
        <f t="shared" si="25"/>
        <v>9</v>
      </c>
    </row>
    <row r="1623" spans="1:4" x14ac:dyDescent="0.35">
      <c r="A1623" s="1">
        <v>46628</v>
      </c>
      <c r="B1623" s="2">
        <v>46290</v>
      </c>
      <c r="C1623" s="1" t="s">
        <v>17</v>
      </c>
      <c r="D1623" s="1">
        <f t="shared" si="25"/>
        <v>9</v>
      </c>
    </row>
    <row r="1624" spans="1:4" x14ac:dyDescent="0.35">
      <c r="A1624" s="1">
        <v>46627</v>
      </c>
      <c r="B1624" s="2">
        <v>46290</v>
      </c>
      <c r="C1624" s="1" t="s">
        <v>17</v>
      </c>
      <c r="D1624" s="1">
        <f t="shared" si="25"/>
        <v>9</v>
      </c>
    </row>
    <row r="1625" spans="1:4" x14ac:dyDescent="0.35">
      <c r="A1625" s="1">
        <v>46619</v>
      </c>
      <c r="B1625" s="2">
        <v>46290</v>
      </c>
      <c r="C1625" s="1" t="s">
        <v>10</v>
      </c>
      <c r="D1625" s="1">
        <f t="shared" si="25"/>
        <v>9</v>
      </c>
    </row>
    <row r="1626" spans="1:4" x14ac:dyDescent="0.35">
      <c r="A1626" s="1">
        <v>46618</v>
      </c>
      <c r="B1626" s="2">
        <v>46290</v>
      </c>
      <c r="C1626" s="1" t="s">
        <v>10</v>
      </c>
      <c r="D1626" s="1">
        <f t="shared" si="25"/>
        <v>9</v>
      </c>
    </row>
    <row r="1627" spans="1:4" x14ac:dyDescent="0.35">
      <c r="A1627" s="1">
        <v>46617</v>
      </c>
      <c r="B1627" s="2">
        <v>46290</v>
      </c>
      <c r="C1627" s="1" t="s">
        <v>6</v>
      </c>
      <c r="D1627" s="1">
        <f t="shared" si="25"/>
        <v>9</v>
      </c>
    </row>
    <row r="1628" spans="1:4" x14ac:dyDescent="0.35">
      <c r="A1628" s="1">
        <v>46616</v>
      </c>
      <c r="B1628" s="2">
        <v>46290</v>
      </c>
      <c r="C1628" s="1" t="s">
        <v>6</v>
      </c>
      <c r="D1628" s="1">
        <f t="shared" si="25"/>
        <v>9</v>
      </c>
    </row>
    <row r="1629" spans="1:4" x14ac:dyDescent="0.35">
      <c r="A1629" s="1">
        <v>46611</v>
      </c>
      <c r="B1629" s="2">
        <v>46290</v>
      </c>
      <c r="C1629" s="1" t="s">
        <v>5</v>
      </c>
      <c r="D1629" s="1">
        <f t="shared" si="25"/>
        <v>9</v>
      </c>
    </row>
    <row r="1630" spans="1:4" x14ac:dyDescent="0.35">
      <c r="A1630" s="1">
        <v>46610</v>
      </c>
      <c r="B1630" s="2">
        <v>46290</v>
      </c>
      <c r="C1630" s="1" t="s">
        <v>5</v>
      </c>
      <c r="D1630" s="1">
        <f t="shared" si="25"/>
        <v>9</v>
      </c>
    </row>
    <row r="1631" spans="1:4" x14ac:dyDescent="0.35">
      <c r="A1631" s="1">
        <v>46609</v>
      </c>
      <c r="B1631" s="2">
        <v>46290</v>
      </c>
      <c r="C1631" s="1" t="s">
        <v>5</v>
      </c>
      <c r="D1631" s="1">
        <f t="shared" si="25"/>
        <v>9</v>
      </c>
    </row>
    <row r="1632" spans="1:4" x14ac:dyDescent="0.35">
      <c r="A1632" s="1">
        <v>46607</v>
      </c>
      <c r="B1632" s="2">
        <v>46290</v>
      </c>
      <c r="C1632" s="1" t="s">
        <v>4</v>
      </c>
      <c r="D1632" s="1">
        <f t="shared" si="25"/>
        <v>9</v>
      </c>
    </row>
    <row r="1633" spans="1:4" x14ac:dyDescent="0.35">
      <c r="A1633" s="1">
        <v>46606</v>
      </c>
      <c r="B1633" s="2">
        <v>46290</v>
      </c>
      <c r="C1633" s="1" t="s">
        <v>4</v>
      </c>
      <c r="D1633" s="1">
        <f t="shared" si="25"/>
        <v>9</v>
      </c>
    </row>
    <row r="1634" spans="1:4" x14ac:dyDescent="0.35">
      <c r="A1634" s="1">
        <v>46604</v>
      </c>
      <c r="B1634" s="2">
        <v>46290</v>
      </c>
      <c r="C1634" s="1" t="s">
        <v>7</v>
      </c>
      <c r="D1634" s="1">
        <f t="shared" si="25"/>
        <v>9</v>
      </c>
    </row>
    <row r="1635" spans="1:4" x14ac:dyDescent="0.35">
      <c r="A1635" s="1">
        <v>46603</v>
      </c>
      <c r="B1635" s="2">
        <v>46290</v>
      </c>
      <c r="C1635" s="1" t="s">
        <v>7</v>
      </c>
      <c r="D1635" s="1">
        <f t="shared" si="25"/>
        <v>9</v>
      </c>
    </row>
    <row r="1636" spans="1:4" x14ac:dyDescent="0.35">
      <c r="A1636" s="1">
        <v>46602</v>
      </c>
      <c r="B1636" s="2">
        <v>46290</v>
      </c>
      <c r="C1636" s="1" t="s">
        <v>19</v>
      </c>
      <c r="D1636" s="1">
        <f t="shared" si="25"/>
        <v>9</v>
      </c>
    </row>
    <row r="1637" spans="1:4" x14ac:dyDescent="0.35">
      <c r="A1637" s="1">
        <v>46600</v>
      </c>
      <c r="B1637" s="2">
        <v>46290</v>
      </c>
      <c r="C1637" s="1" t="s">
        <v>9</v>
      </c>
      <c r="D1637" s="1">
        <f t="shared" si="25"/>
        <v>9</v>
      </c>
    </row>
    <row r="1638" spans="1:4" x14ac:dyDescent="0.35">
      <c r="A1638" s="1">
        <v>46599</v>
      </c>
      <c r="B1638" s="2">
        <v>46290</v>
      </c>
      <c r="C1638" s="1" t="s">
        <v>9</v>
      </c>
      <c r="D1638" s="1">
        <f t="shared" si="25"/>
        <v>9</v>
      </c>
    </row>
    <row r="1639" spans="1:4" x14ac:dyDescent="0.35">
      <c r="A1639" s="1">
        <v>46597</v>
      </c>
      <c r="B1639" s="2">
        <v>46290</v>
      </c>
      <c r="C1639" s="1" t="s">
        <v>24</v>
      </c>
      <c r="D1639" s="1">
        <f t="shared" si="25"/>
        <v>9</v>
      </c>
    </row>
    <row r="1640" spans="1:4" x14ac:dyDescent="0.35">
      <c r="A1640" s="1">
        <v>46596</v>
      </c>
      <c r="B1640" s="2">
        <v>46290</v>
      </c>
      <c r="C1640" s="1" t="s">
        <v>24</v>
      </c>
      <c r="D1640" s="1">
        <f t="shared" si="25"/>
        <v>9</v>
      </c>
    </row>
    <row r="1641" spans="1:4" x14ac:dyDescent="0.35">
      <c r="A1641" s="1">
        <v>46595</v>
      </c>
      <c r="B1641" s="2">
        <v>46290</v>
      </c>
      <c r="C1641" s="1" t="s">
        <v>24</v>
      </c>
      <c r="D1641" s="1">
        <f t="shared" si="25"/>
        <v>9</v>
      </c>
    </row>
    <row r="1642" spans="1:4" x14ac:dyDescent="0.35">
      <c r="A1642" s="1">
        <v>46594</v>
      </c>
      <c r="B1642" s="2">
        <v>46290</v>
      </c>
      <c r="C1642" s="1" t="s">
        <v>24</v>
      </c>
      <c r="D1642" s="1">
        <f t="shared" si="25"/>
        <v>9</v>
      </c>
    </row>
    <row r="1643" spans="1:4" x14ac:dyDescent="0.35">
      <c r="A1643" s="1">
        <v>46593</v>
      </c>
      <c r="B1643" s="2">
        <v>46290</v>
      </c>
      <c r="C1643" s="1" t="s">
        <v>24</v>
      </c>
      <c r="D1643" s="1">
        <f t="shared" si="25"/>
        <v>9</v>
      </c>
    </row>
    <row r="1644" spans="1:4" x14ac:dyDescent="0.35">
      <c r="A1644" s="1">
        <v>46592</v>
      </c>
      <c r="B1644" s="2">
        <v>46290</v>
      </c>
      <c r="C1644" s="1" t="s">
        <v>24</v>
      </c>
      <c r="D1644" s="1">
        <f t="shared" si="25"/>
        <v>9</v>
      </c>
    </row>
    <row r="1645" spans="1:4" x14ac:dyDescent="0.35">
      <c r="A1645" s="1">
        <v>46591</v>
      </c>
      <c r="B1645" s="2">
        <v>46290</v>
      </c>
      <c r="C1645" s="1" t="s">
        <v>24</v>
      </c>
      <c r="D1645" s="1">
        <f t="shared" si="25"/>
        <v>9</v>
      </c>
    </row>
    <row r="1646" spans="1:4" x14ac:dyDescent="0.35">
      <c r="A1646" s="1">
        <v>46590</v>
      </c>
      <c r="B1646" s="2">
        <v>46290</v>
      </c>
      <c r="C1646" s="1" t="s">
        <v>24</v>
      </c>
      <c r="D1646" s="1">
        <f t="shared" si="25"/>
        <v>9</v>
      </c>
    </row>
    <row r="1647" spans="1:4" x14ac:dyDescent="0.35">
      <c r="A1647" s="1">
        <v>46589</v>
      </c>
      <c r="B1647" s="2">
        <v>46290</v>
      </c>
      <c r="C1647" s="1" t="s">
        <v>24</v>
      </c>
      <c r="D1647" s="1">
        <f t="shared" si="25"/>
        <v>9</v>
      </c>
    </row>
    <row r="1648" spans="1:4" x14ac:dyDescent="0.35">
      <c r="A1648" s="1">
        <v>46588</v>
      </c>
      <c r="B1648" s="2">
        <v>46290</v>
      </c>
      <c r="C1648" s="1" t="s">
        <v>24</v>
      </c>
      <c r="D1648" s="1">
        <f t="shared" si="25"/>
        <v>9</v>
      </c>
    </row>
    <row r="1649" spans="1:4" x14ac:dyDescent="0.35">
      <c r="A1649" s="1">
        <v>46587</v>
      </c>
      <c r="B1649" s="2">
        <v>46290</v>
      </c>
      <c r="C1649" s="1" t="s">
        <v>24</v>
      </c>
      <c r="D1649" s="1">
        <f t="shared" si="25"/>
        <v>9</v>
      </c>
    </row>
    <row r="1650" spans="1:4" x14ac:dyDescent="0.35">
      <c r="A1650" s="1">
        <v>46586</v>
      </c>
      <c r="B1650" s="2">
        <v>46290</v>
      </c>
      <c r="C1650" s="1" t="s">
        <v>24</v>
      </c>
      <c r="D1650" s="1">
        <f t="shared" si="25"/>
        <v>9</v>
      </c>
    </row>
    <row r="1651" spans="1:4" x14ac:dyDescent="0.35">
      <c r="A1651" s="1">
        <v>46585</v>
      </c>
      <c r="B1651" s="2">
        <v>46290</v>
      </c>
      <c r="C1651" s="1" t="s">
        <v>24</v>
      </c>
      <c r="D1651" s="1">
        <f t="shared" si="25"/>
        <v>9</v>
      </c>
    </row>
    <row r="1652" spans="1:4" x14ac:dyDescent="0.35">
      <c r="A1652" s="1">
        <v>46584</v>
      </c>
      <c r="B1652" s="2">
        <v>46290</v>
      </c>
      <c r="C1652" s="1" t="s">
        <v>24</v>
      </c>
      <c r="D1652" s="1">
        <f t="shared" si="25"/>
        <v>9</v>
      </c>
    </row>
    <row r="1653" spans="1:4" x14ac:dyDescent="0.35">
      <c r="A1653" s="1">
        <v>46583</v>
      </c>
      <c r="B1653" s="2">
        <v>46290</v>
      </c>
      <c r="C1653" s="1" t="s">
        <v>24</v>
      </c>
      <c r="D1653" s="1">
        <f t="shared" si="25"/>
        <v>9</v>
      </c>
    </row>
    <row r="1654" spans="1:4" x14ac:dyDescent="0.35">
      <c r="A1654" s="1">
        <v>46582</v>
      </c>
      <c r="B1654" s="2">
        <v>46290</v>
      </c>
      <c r="C1654" s="1" t="s">
        <v>8</v>
      </c>
      <c r="D1654" s="1">
        <f t="shared" si="25"/>
        <v>9</v>
      </c>
    </row>
    <row r="1655" spans="1:4" x14ac:dyDescent="0.35">
      <c r="A1655" s="1">
        <v>46581</v>
      </c>
      <c r="B1655" s="2">
        <v>46290</v>
      </c>
      <c r="C1655" s="1" t="s">
        <v>8</v>
      </c>
      <c r="D1655" s="1">
        <f t="shared" si="25"/>
        <v>9</v>
      </c>
    </row>
    <row r="1656" spans="1:4" x14ac:dyDescent="0.35">
      <c r="A1656" s="1">
        <v>46635</v>
      </c>
      <c r="B1656" s="2">
        <v>46291</v>
      </c>
      <c r="C1656" s="1" t="s">
        <v>10</v>
      </c>
      <c r="D1656" s="1">
        <f t="shared" si="25"/>
        <v>9</v>
      </c>
    </row>
    <row r="1657" spans="1:4" x14ac:dyDescent="0.35">
      <c r="A1657" s="1">
        <v>46634</v>
      </c>
      <c r="B1657" s="2">
        <v>46291</v>
      </c>
      <c r="C1657" s="1" t="s">
        <v>10</v>
      </c>
      <c r="D1657" s="1">
        <f t="shared" si="25"/>
        <v>9</v>
      </c>
    </row>
    <row r="1658" spans="1:4" x14ac:dyDescent="0.35">
      <c r="A1658" s="1">
        <v>46633</v>
      </c>
      <c r="B1658" s="2">
        <v>46291</v>
      </c>
      <c r="C1658" s="1" t="s">
        <v>6</v>
      </c>
      <c r="D1658" s="1">
        <f t="shared" si="25"/>
        <v>9</v>
      </c>
    </row>
    <row r="1659" spans="1:4" x14ac:dyDescent="0.35">
      <c r="A1659" s="1">
        <v>46632</v>
      </c>
      <c r="B1659" s="2">
        <v>46291</v>
      </c>
      <c r="C1659" s="1" t="s">
        <v>6</v>
      </c>
      <c r="D1659" s="1">
        <f t="shared" si="25"/>
        <v>9</v>
      </c>
    </row>
    <row r="1660" spans="1:4" x14ac:dyDescent="0.35">
      <c r="A1660" s="1">
        <v>46630</v>
      </c>
      <c r="B1660" s="2">
        <v>46291</v>
      </c>
      <c r="C1660" s="1" t="s">
        <v>8</v>
      </c>
      <c r="D1660" s="1">
        <f t="shared" si="25"/>
        <v>9</v>
      </c>
    </row>
    <row r="1661" spans="1:4" x14ac:dyDescent="0.35">
      <c r="A1661" s="1">
        <v>46629</v>
      </c>
      <c r="B1661" s="2">
        <v>46291</v>
      </c>
      <c r="C1661" s="1" t="s">
        <v>8</v>
      </c>
      <c r="D1661" s="1">
        <f t="shared" si="25"/>
        <v>9</v>
      </c>
    </row>
    <row r="1662" spans="1:4" x14ac:dyDescent="0.35">
      <c r="A1662" s="1">
        <v>46637</v>
      </c>
      <c r="B1662" s="2">
        <v>46292</v>
      </c>
      <c r="C1662" s="1" t="s">
        <v>17</v>
      </c>
      <c r="D1662" s="1">
        <f t="shared" si="25"/>
        <v>9</v>
      </c>
    </row>
    <row r="1663" spans="1:4" x14ac:dyDescent="0.35">
      <c r="A1663" s="1">
        <v>46636</v>
      </c>
      <c r="B1663" s="2">
        <v>46292</v>
      </c>
      <c r="C1663" s="1" t="s">
        <v>17</v>
      </c>
      <c r="D1663" s="1">
        <f t="shared" si="25"/>
        <v>9</v>
      </c>
    </row>
    <row r="1664" spans="1:4" x14ac:dyDescent="0.35">
      <c r="A1664" s="1">
        <v>46688</v>
      </c>
      <c r="B1664" s="2">
        <v>46293</v>
      </c>
      <c r="C1664" s="1" t="s">
        <v>10</v>
      </c>
      <c r="D1664" s="1">
        <f t="shared" si="25"/>
        <v>9</v>
      </c>
    </row>
    <row r="1665" spans="1:4" x14ac:dyDescent="0.35">
      <c r="A1665" s="1">
        <v>46687</v>
      </c>
      <c r="B1665" s="2">
        <v>46293</v>
      </c>
      <c r="C1665" s="1" t="s">
        <v>10</v>
      </c>
      <c r="D1665" s="1">
        <f t="shared" si="25"/>
        <v>9</v>
      </c>
    </row>
    <row r="1666" spans="1:4" x14ac:dyDescent="0.35">
      <c r="A1666" s="1">
        <v>46676</v>
      </c>
      <c r="B1666" s="2">
        <v>46293</v>
      </c>
      <c r="C1666" s="1" t="s">
        <v>9</v>
      </c>
      <c r="D1666" s="1">
        <f t="shared" ref="D1666:D1729" si="26">MONTH(B1666)</f>
        <v>9</v>
      </c>
    </row>
    <row r="1667" spans="1:4" x14ac:dyDescent="0.35">
      <c r="A1667" s="1">
        <v>46675</v>
      </c>
      <c r="B1667" s="2">
        <v>46293</v>
      </c>
      <c r="C1667" s="1" t="s">
        <v>9</v>
      </c>
      <c r="D1667" s="1">
        <f t="shared" si="26"/>
        <v>9</v>
      </c>
    </row>
    <row r="1668" spans="1:4" x14ac:dyDescent="0.35">
      <c r="A1668" s="1">
        <v>46674</v>
      </c>
      <c r="B1668" s="2">
        <v>46293</v>
      </c>
      <c r="C1668" s="1" t="s">
        <v>19</v>
      </c>
      <c r="D1668" s="1">
        <f t="shared" si="26"/>
        <v>9</v>
      </c>
    </row>
    <row r="1669" spans="1:4" x14ac:dyDescent="0.35">
      <c r="A1669" s="1">
        <v>46673</v>
      </c>
      <c r="B1669" s="2">
        <v>46293</v>
      </c>
      <c r="C1669" s="1" t="s">
        <v>19</v>
      </c>
      <c r="D1669" s="1">
        <f t="shared" si="26"/>
        <v>9</v>
      </c>
    </row>
    <row r="1670" spans="1:4" x14ac:dyDescent="0.35">
      <c r="A1670" s="1">
        <v>46672</v>
      </c>
      <c r="B1670" s="2">
        <v>46293</v>
      </c>
      <c r="C1670" s="1" t="s">
        <v>19</v>
      </c>
      <c r="D1670" s="1">
        <f t="shared" si="26"/>
        <v>9</v>
      </c>
    </row>
    <row r="1671" spans="1:4" x14ac:dyDescent="0.35">
      <c r="A1671" s="1">
        <v>46671</v>
      </c>
      <c r="B1671" s="2">
        <v>46293</v>
      </c>
      <c r="C1671" s="1" t="s">
        <v>19</v>
      </c>
      <c r="D1671" s="1">
        <f t="shared" si="26"/>
        <v>9</v>
      </c>
    </row>
    <row r="1672" spans="1:4" x14ac:dyDescent="0.35">
      <c r="A1672" s="1">
        <v>46665</v>
      </c>
      <c r="B1672" s="2">
        <v>46293</v>
      </c>
      <c r="C1672" s="1" t="s">
        <v>23</v>
      </c>
      <c r="D1672" s="1">
        <f t="shared" si="26"/>
        <v>9</v>
      </c>
    </row>
    <row r="1673" spans="1:4" x14ac:dyDescent="0.35">
      <c r="A1673" s="1">
        <v>46664</v>
      </c>
      <c r="B1673" s="2">
        <v>46293</v>
      </c>
      <c r="C1673" s="1" t="s">
        <v>23</v>
      </c>
      <c r="D1673" s="1">
        <f t="shared" si="26"/>
        <v>9</v>
      </c>
    </row>
    <row r="1674" spans="1:4" x14ac:dyDescent="0.35">
      <c r="A1674" s="1">
        <v>46663</v>
      </c>
      <c r="B1674" s="2">
        <v>46293</v>
      </c>
      <c r="C1674" s="1" t="s">
        <v>24</v>
      </c>
      <c r="D1674" s="1">
        <f t="shared" si="26"/>
        <v>9</v>
      </c>
    </row>
    <row r="1675" spans="1:4" x14ac:dyDescent="0.35">
      <c r="A1675" s="1">
        <v>46662</v>
      </c>
      <c r="B1675" s="2">
        <v>46293</v>
      </c>
      <c r="C1675" s="1" t="s">
        <v>24</v>
      </c>
      <c r="D1675" s="1">
        <f t="shared" si="26"/>
        <v>9</v>
      </c>
    </row>
    <row r="1676" spans="1:4" x14ac:dyDescent="0.35">
      <c r="A1676" s="1">
        <v>46661</v>
      </c>
      <c r="B1676" s="2">
        <v>46293</v>
      </c>
      <c r="C1676" s="1" t="s">
        <v>9</v>
      </c>
      <c r="D1676" s="1">
        <f t="shared" si="26"/>
        <v>9</v>
      </c>
    </row>
    <row r="1677" spans="1:4" x14ac:dyDescent="0.35">
      <c r="A1677" s="1">
        <v>46660</v>
      </c>
      <c r="B1677" s="2">
        <v>46293</v>
      </c>
      <c r="C1677" s="1" t="s">
        <v>24</v>
      </c>
      <c r="D1677" s="1">
        <f t="shared" si="26"/>
        <v>9</v>
      </c>
    </row>
    <row r="1678" spans="1:4" x14ac:dyDescent="0.35">
      <c r="A1678" s="1">
        <v>46659</v>
      </c>
      <c r="B1678" s="2">
        <v>46293</v>
      </c>
      <c r="C1678" s="1" t="s">
        <v>24</v>
      </c>
      <c r="D1678" s="1">
        <f t="shared" si="26"/>
        <v>9</v>
      </c>
    </row>
    <row r="1679" spans="1:4" x14ac:dyDescent="0.35">
      <c r="A1679" s="1">
        <v>46658</v>
      </c>
      <c r="B1679" s="2">
        <v>46293</v>
      </c>
      <c r="C1679" s="1" t="s">
        <v>24</v>
      </c>
      <c r="D1679" s="1">
        <f t="shared" si="26"/>
        <v>9</v>
      </c>
    </row>
    <row r="1680" spans="1:4" x14ac:dyDescent="0.35">
      <c r="A1680" s="1">
        <v>46657</v>
      </c>
      <c r="B1680" s="2">
        <v>46293</v>
      </c>
      <c r="C1680" s="1" t="s">
        <v>24</v>
      </c>
      <c r="D1680" s="1">
        <f t="shared" si="26"/>
        <v>9</v>
      </c>
    </row>
    <row r="1681" spans="1:4" x14ac:dyDescent="0.35">
      <c r="A1681" s="1">
        <v>46656</v>
      </c>
      <c r="B1681" s="2">
        <v>46293</v>
      </c>
      <c r="C1681" s="1" t="s">
        <v>103</v>
      </c>
      <c r="D1681" s="1">
        <f t="shared" si="26"/>
        <v>9</v>
      </c>
    </row>
    <row r="1682" spans="1:4" x14ac:dyDescent="0.35">
      <c r="A1682" s="1">
        <v>46655</v>
      </c>
      <c r="B1682" s="2">
        <v>46293</v>
      </c>
      <c r="C1682" s="1" t="s">
        <v>3</v>
      </c>
      <c r="D1682" s="1">
        <f t="shared" si="26"/>
        <v>9</v>
      </c>
    </row>
    <row r="1683" spans="1:4" x14ac:dyDescent="0.35">
      <c r="A1683" s="1">
        <v>46654</v>
      </c>
      <c r="B1683" s="2">
        <v>46293</v>
      </c>
      <c r="C1683" s="1" t="s">
        <v>103</v>
      </c>
      <c r="D1683" s="1">
        <f t="shared" si="26"/>
        <v>9</v>
      </c>
    </row>
    <row r="1684" spans="1:4" x14ac:dyDescent="0.35">
      <c r="A1684" s="1">
        <v>46653</v>
      </c>
      <c r="B1684" s="2">
        <v>46293</v>
      </c>
      <c r="C1684" s="1" t="s">
        <v>3</v>
      </c>
      <c r="D1684" s="1">
        <f t="shared" si="26"/>
        <v>9</v>
      </c>
    </row>
    <row r="1685" spans="1:4" x14ac:dyDescent="0.35">
      <c r="A1685" s="1">
        <v>46651</v>
      </c>
      <c r="B1685" s="2">
        <v>46293</v>
      </c>
      <c r="C1685" s="1" t="s">
        <v>3</v>
      </c>
      <c r="D1685" s="1">
        <f t="shared" si="26"/>
        <v>9</v>
      </c>
    </row>
    <row r="1686" spans="1:4" x14ac:dyDescent="0.35">
      <c r="A1686" s="1">
        <v>46650</v>
      </c>
      <c r="B1686" s="2">
        <v>46293</v>
      </c>
      <c r="C1686" s="1" t="s">
        <v>3</v>
      </c>
      <c r="D1686" s="1">
        <f t="shared" si="26"/>
        <v>9</v>
      </c>
    </row>
    <row r="1687" spans="1:4" x14ac:dyDescent="0.35">
      <c r="A1687" s="1">
        <v>46647</v>
      </c>
      <c r="B1687" s="2">
        <v>46293</v>
      </c>
      <c r="C1687" s="1" t="s">
        <v>7</v>
      </c>
      <c r="D1687" s="1">
        <f t="shared" si="26"/>
        <v>9</v>
      </c>
    </row>
    <row r="1688" spans="1:4" x14ac:dyDescent="0.35">
      <c r="A1688" s="1">
        <v>46646</v>
      </c>
      <c r="B1688" s="2">
        <v>46293</v>
      </c>
      <c r="C1688" s="1" t="s">
        <v>6</v>
      </c>
      <c r="D1688" s="1">
        <f t="shared" si="26"/>
        <v>9</v>
      </c>
    </row>
    <row r="1689" spans="1:4" x14ac:dyDescent="0.35">
      <c r="A1689" s="1">
        <v>46645</v>
      </c>
      <c r="B1689" s="2">
        <v>46293</v>
      </c>
      <c r="C1689" s="1" t="s">
        <v>6</v>
      </c>
      <c r="D1689" s="1">
        <f t="shared" si="26"/>
        <v>9</v>
      </c>
    </row>
    <row r="1690" spans="1:4" x14ac:dyDescent="0.35">
      <c r="A1690" s="1">
        <v>46639</v>
      </c>
      <c r="B1690" s="2">
        <v>46293</v>
      </c>
      <c r="C1690" s="1" t="s">
        <v>8</v>
      </c>
      <c r="D1690" s="1">
        <f t="shared" si="26"/>
        <v>9</v>
      </c>
    </row>
    <row r="1691" spans="1:4" x14ac:dyDescent="0.35">
      <c r="A1691" s="1">
        <v>46638</v>
      </c>
      <c r="B1691" s="2">
        <v>46293</v>
      </c>
      <c r="C1691" s="1" t="s">
        <v>8</v>
      </c>
      <c r="D1691" s="1">
        <f t="shared" si="26"/>
        <v>9</v>
      </c>
    </row>
    <row r="1692" spans="1:4" x14ac:dyDescent="0.35">
      <c r="A1692" s="1">
        <v>46715</v>
      </c>
      <c r="B1692" s="2">
        <v>46294</v>
      </c>
      <c r="C1692" s="1" t="s">
        <v>9</v>
      </c>
      <c r="D1692" s="1">
        <f t="shared" si="26"/>
        <v>9</v>
      </c>
    </row>
    <row r="1693" spans="1:4" x14ac:dyDescent="0.35">
      <c r="A1693" s="1">
        <v>46714</v>
      </c>
      <c r="B1693" s="2">
        <v>46294</v>
      </c>
      <c r="C1693" s="1" t="s">
        <v>9</v>
      </c>
      <c r="D1693" s="1">
        <f t="shared" si="26"/>
        <v>9</v>
      </c>
    </row>
    <row r="1694" spans="1:4" x14ac:dyDescent="0.35">
      <c r="A1694" s="1">
        <v>46713</v>
      </c>
      <c r="B1694" s="2">
        <v>46294</v>
      </c>
      <c r="C1694" s="1" t="s">
        <v>9</v>
      </c>
      <c r="D1694" s="1">
        <f t="shared" si="26"/>
        <v>9</v>
      </c>
    </row>
    <row r="1695" spans="1:4" x14ac:dyDescent="0.35">
      <c r="A1695" s="1">
        <v>46712</v>
      </c>
      <c r="B1695" s="2">
        <v>46294</v>
      </c>
      <c r="C1695" s="1" t="s">
        <v>10</v>
      </c>
      <c r="D1695" s="1">
        <f t="shared" si="26"/>
        <v>9</v>
      </c>
    </row>
    <row r="1696" spans="1:4" x14ac:dyDescent="0.35">
      <c r="A1696" s="1">
        <v>46711</v>
      </c>
      <c r="B1696" s="2">
        <v>46294</v>
      </c>
      <c r="C1696" s="1" t="s">
        <v>10</v>
      </c>
      <c r="D1696" s="1">
        <f t="shared" si="26"/>
        <v>9</v>
      </c>
    </row>
    <row r="1697" spans="1:4" x14ac:dyDescent="0.35">
      <c r="A1697" s="1">
        <v>46710</v>
      </c>
      <c r="B1697" s="2">
        <v>46294</v>
      </c>
      <c r="C1697" s="1" t="s">
        <v>103</v>
      </c>
      <c r="D1697" s="1">
        <f t="shared" si="26"/>
        <v>9</v>
      </c>
    </row>
    <row r="1698" spans="1:4" x14ac:dyDescent="0.35">
      <c r="A1698" s="1">
        <v>46709</v>
      </c>
      <c r="B1698" s="2">
        <v>46294</v>
      </c>
      <c r="C1698" s="1" t="s">
        <v>103</v>
      </c>
      <c r="D1698" s="1">
        <f t="shared" si="26"/>
        <v>9</v>
      </c>
    </row>
    <row r="1699" spans="1:4" x14ac:dyDescent="0.35">
      <c r="A1699" s="1">
        <v>46708</v>
      </c>
      <c r="B1699" s="2">
        <v>46294</v>
      </c>
      <c r="C1699" s="1" t="s">
        <v>3</v>
      </c>
      <c r="D1699" s="1">
        <f t="shared" si="26"/>
        <v>9</v>
      </c>
    </row>
    <row r="1700" spans="1:4" x14ac:dyDescent="0.35">
      <c r="A1700" s="1">
        <v>46707</v>
      </c>
      <c r="B1700" s="2">
        <v>46294</v>
      </c>
      <c r="C1700" s="1" t="s">
        <v>3</v>
      </c>
      <c r="D1700" s="1">
        <f t="shared" si="26"/>
        <v>9</v>
      </c>
    </row>
    <row r="1701" spans="1:4" x14ac:dyDescent="0.35">
      <c r="A1701" s="1">
        <v>46706</v>
      </c>
      <c r="B1701" s="2">
        <v>46294</v>
      </c>
      <c r="C1701" s="1" t="s">
        <v>3</v>
      </c>
      <c r="D1701" s="1">
        <f t="shared" si="26"/>
        <v>9</v>
      </c>
    </row>
    <row r="1702" spans="1:4" x14ac:dyDescent="0.35">
      <c r="A1702" s="1">
        <v>46700</v>
      </c>
      <c r="B1702" s="2">
        <v>46294</v>
      </c>
      <c r="C1702" s="1" t="s">
        <v>7</v>
      </c>
      <c r="D1702" s="1">
        <f t="shared" si="26"/>
        <v>9</v>
      </c>
    </row>
    <row r="1703" spans="1:4" x14ac:dyDescent="0.35">
      <c r="A1703" s="1">
        <v>46697</v>
      </c>
      <c r="B1703" s="2">
        <v>46294</v>
      </c>
      <c r="C1703" s="1" t="s">
        <v>7</v>
      </c>
      <c r="D1703" s="1">
        <f t="shared" si="26"/>
        <v>9</v>
      </c>
    </row>
    <row r="1704" spans="1:4" x14ac:dyDescent="0.35">
      <c r="A1704" s="1">
        <v>46696</v>
      </c>
      <c r="B1704" s="2">
        <v>46294</v>
      </c>
      <c r="C1704" s="1" t="s">
        <v>3</v>
      </c>
      <c r="D1704" s="1">
        <f t="shared" si="26"/>
        <v>9</v>
      </c>
    </row>
    <row r="1705" spans="1:4" x14ac:dyDescent="0.35">
      <c r="A1705" s="1">
        <v>46694</v>
      </c>
      <c r="B1705" s="2">
        <v>46294</v>
      </c>
      <c r="C1705" s="1" t="s">
        <v>3</v>
      </c>
      <c r="D1705" s="1">
        <f t="shared" si="26"/>
        <v>9</v>
      </c>
    </row>
    <row r="1706" spans="1:4" x14ac:dyDescent="0.35">
      <c r="A1706" s="1">
        <v>46693</v>
      </c>
      <c r="B1706" s="2">
        <v>46294</v>
      </c>
      <c r="C1706" s="1" t="s">
        <v>3</v>
      </c>
      <c r="D1706" s="1">
        <f t="shared" si="26"/>
        <v>9</v>
      </c>
    </row>
    <row r="1707" spans="1:4" x14ac:dyDescent="0.35">
      <c r="A1707" s="1">
        <v>46692</v>
      </c>
      <c r="B1707" s="2">
        <v>46294</v>
      </c>
      <c r="C1707" s="1" t="s">
        <v>3</v>
      </c>
      <c r="D1707" s="1">
        <f t="shared" si="26"/>
        <v>9</v>
      </c>
    </row>
    <row r="1708" spans="1:4" x14ac:dyDescent="0.35">
      <c r="A1708" s="1">
        <v>46691</v>
      </c>
      <c r="B1708" s="2">
        <v>46294</v>
      </c>
      <c r="C1708" s="1" t="s">
        <v>8</v>
      </c>
      <c r="D1708" s="1">
        <f t="shared" si="26"/>
        <v>9</v>
      </c>
    </row>
    <row r="1709" spans="1:4" x14ac:dyDescent="0.35">
      <c r="A1709" s="1">
        <v>46690</v>
      </c>
      <c r="B1709" s="2">
        <v>46294</v>
      </c>
      <c r="C1709" s="1" t="s">
        <v>8</v>
      </c>
      <c r="D1709" s="1">
        <f t="shared" si="26"/>
        <v>9</v>
      </c>
    </row>
    <row r="1710" spans="1:4" x14ac:dyDescent="0.35">
      <c r="A1710" s="1">
        <v>46689</v>
      </c>
      <c r="B1710" s="2">
        <v>46294</v>
      </c>
      <c r="C1710" s="1" t="s">
        <v>3</v>
      </c>
      <c r="D1710" s="1">
        <f t="shared" si="26"/>
        <v>9</v>
      </c>
    </row>
    <row r="1711" spans="1:4" x14ac:dyDescent="0.35">
      <c r="A1711" s="1">
        <v>46717</v>
      </c>
      <c r="B1711" s="2">
        <v>46295</v>
      </c>
      <c r="C1711" s="1" t="s">
        <v>19</v>
      </c>
      <c r="D1711" s="1">
        <f t="shared" si="26"/>
        <v>9</v>
      </c>
    </row>
    <row r="1712" spans="1:4" x14ac:dyDescent="0.35">
      <c r="A1712" s="1">
        <v>46752</v>
      </c>
      <c r="B1712" s="2">
        <v>46295</v>
      </c>
      <c r="C1712" s="1" t="s">
        <v>10</v>
      </c>
      <c r="D1712" s="1">
        <f t="shared" si="26"/>
        <v>9</v>
      </c>
    </row>
    <row r="1713" spans="1:4" x14ac:dyDescent="0.35">
      <c r="A1713" s="1">
        <v>46751</v>
      </c>
      <c r="B1713" s="2">
        <v>46295</v>
      </c>
      <c r="C1713" s="1" t="s">
        <v>10</v>
      </c>
      <c r="D1713" s="1">
        <f t="shared" si="26"/>
        <v>9</v>
      </c>
    </row>
    <row r="1714" spans="1:4" x14ac:dyDescent="0.35">
      <c r="A1714" s="1">
        <v>46747</v>
      </c>
      <c r="B1714" s="2">
        <v>46295</v>
      </c>
      <c r="C1714" s="1" t="s">
        <v>7</v>
      </c>
      <c r="D1714" s="1">
        <f t="shared" si="26"/>
        <v>9</v>
      </c>
    </row>
    <row r="1715" spans="1:4" x14ac:dyDescent="0.35">
      <c r="A1715" s="1">
        <v>46735</v>
      </c>
      <c r="B1715" s="2">
        <v>46295</v>
      </c>
      <c r="C1715" s="1" t="s">
        <v>19</v>
      </c>
      <c r="D1715" s="1">
        <f t="shared" si="26"/>
        <v>9</v>
      </c>
    </row>
    <row r="1716" spans="1:4" x14ac:dyDescent="0.35">
      <c r="A1716" s="1">
        <v>46734</v>
      </c>
      <c r="B1716" s="2">
        <v>46295</v>
      </c>
      <c r="C1716" s="1" t="s">
        <v>3</v>
      </c>
      <c r="D1716" s="1">
        <f t="shared" si="26"/>
        <v>9</v>
      </c>
    </row>
    <row r="1717" spans="1:4" x14ac:dyDescent="0.35">
      <c r="A1717" s="1">
        <v>46732</v>
      </c>
      <c r="B1717" s="2">
        <v>46295</v>
      </c>
      <c r="C1717" s="1" t="s">
        <v>6</v>
      </c>
      <c r="D1717" s="1">
        <f t="shared" si="26"/>
        <v>9</v>
      </c>
    </row>
    <row r="1718" spans="1:4" x14ac:dyDescent="0.35">
      <c r="A1718" s="1">
        <v>46731</v>
      </c>
      <c r="B1718" s="2">
        <v>46295</v>
      </c>
      <c r="C1718" s="1" t="s">
        <v>6</v>
      </c>
      <c r="D1718" s="1">
        <f t="shared" si="26"/>
        <v>9</v>
      </c>
    </row>
    <row r="1719" spans="1:4" x14ac:dyDescent="0.35">
      <c r="A1719" s="1">
        <v>46730</v>
      </c>
      <c r="B1719" s="2">
        <v>46295</v>
      </c>
      <c r="C1719" s="1" t="s">
        <v>7</v>
      </c>
      <c r="D1719" s="1">
        <f t="shared" si="26"/>
        <v>9</v>
      </c>
    </row>
    <row r="1720" spans="1:4" x14ac:dyDescent="0.35">
      <c r="A1720" s="1">
        <v>46729</v>
      </c>
      <c r="B1720" s="2">
        <v>46295</v>
      </c>
      <c r="C1720" s="1" t="s">
        <v>22</v>
      </c>
      <c r="D1720" s="1">
        <f t="shared" si="26"/>
        <v>9</v>
      </c>
    </row>
    <row r="1721" spans="1:4" x14ac:dyDescent="0.35">
      <c r="A1721" s="1">
        <v>46728</v>
      </c>
      <c r="B1721" s="2">
        <v>46295</v>
      </c>
      <c r="C1721" s="1" t="s">
        <v>22</v>
      </c>
      <c r="D1721" s="1">
        <f t="shared" si="26"/>
        <v>9</v>
      </c>
    </row>
    <row r="1722" spans="1:4" x14ac:dyDescent="0.35">
      <c r="A1722" s="1">
        <v>46727</v>
      </c>
      <c r="B1722" s="2">
        <v>46295</v>
      </c>
      <c r="C1722" s="1" t="s">
        <v>22</v>
      </c>
      <c r="D1722" s="1">
        <f t="shared" si="26"/>
        <v>9</v>
      </c>
    </row>
    <row r="1723" spans="1:4" x14ac:dyDescent="0.35">
      <c r="A1723" s="1">
        <v>46726</v>
      </c>
      <c r="B1723" s="2">
        <v>46295</v>
      </c>
      <c r="C1723" s="1" t="s">
        <v>22</v>
      </c>
      <c r="D1723" s="1">
        <f t="shared" si="26"/>
        <v>9</v>
      </c>
    </row>
    <row r="1724" spans="1:4" x14ac:dyDescent="0.35">
      <c r="A1724" s="1">
        <v>46725</v>
      </c>
      <c r="B1724" s="2">
        <v>46295</v>
      </c>
      <c r="C1724" s="1" t="s">
        <v>22</v>
      </c>
      <c r="D1724" s="1">
        <f t="shared" si="26"/>
        <v>9</v>
      </c>
    </row>
    <row r="1725" spans="1:4" x14ac:dyDescent="0.35">
      <c r="A1725" s="1">
        <v>46724</v>
      </c>
      <c r="B1725" s="2">
        <v>46295</v>
      </c>
      <c r="C1725" s="1" t="s">
        <v>22</v>
      </c>
      <c r="D1725" s="1">
        <f t="shared" si="26"/>
        <v>9</v>
      </c>
    </row>
    <row r="1726" spans="1:4" x14ac:dyDescent="0.35">
      <c r="A1726" s="1">
        <v>46723</v>
      </c>
      <c r="B1726" s="2">
        <v>46295</v>
      </c>
      <c r="C1726" s="1" t="s">
        <v>22</v>
      </c>
      <c r="D1726" s="1">
        <f t="shared" si="26"/>
        <v>9</v>
      </c>
    </row>
    <row r="1727" spans="1:4" x14ac:dyDescent="0.35">
      <c r="A1727" s="1">
        <v>46722</v>
      </c>
      <c r="B1727" s="2">
        <v>46295</v>
      </c>
      <c r="C1727" s="1" t="s">
        <v>22</v>
      </c>
      <c r="D1727" s="1">
        <f t="shared" si="26"/>
        <v>9</v>
      </c>
    </row>
    <row r="1728" spans="1:4" x14ac:dyDescent="0.35">
      <c r="A1728" s="1">
        <v>46720</v>
      </c>
      <c r="B1728" s="2">
        <v>46295</v>
      </c>
      <c r="C1728" s="1" t="s">
        <v>8</v>
      </c>
      <c r="D1728" s="1">
        <f t="shared" si="26"/>
        <v>9</v>
      </c>
    </row>
    <row r="1729" spans="1:4" x14ac:dyDescent="0.35">
      <c r="A1729" s="1">
        <v>46719</v>
      </c>
      <c r="B1729" s="2">
        <v>46295</v>
      </c>
      <c r="C1729" s="1" t="s">
        <v>8</v>
      </c>
      <c r="D1729" s="1">
        <f t="shared" si="26"/>
        <v>9</v>
      </c>
    </row>
    <row r="1730" spans="1:4" x14ac:dyDescent="0.35">
      <c r="A1730" s="1">
        <v>46718</v>
      </c>
      <c r="B1730" s="2">
        <v>46295</v>
      </c>
      <c r="C1730" s="1" t="s">
        <v>19</v>
      </c>
      <c r="D1730" s="1">
        <f t="shared" ref="D1730:D1793" si="27">MONTH(B1730)</f>
        <v>9</v>
      </c>
    </row>
    <row r="1731" spans="1:4" x14ac:dyDescent="0.35">
      <c r="A1731" s="1">
        <v>46781</v>
      </c>
      <c r="B1731" s="2">
        <v>46296</v>
      </c>
      <c r="C1731" s="1" t="s">
        <v>11</v>
      </c>
      <c r="D1731" s="1">
        <f t="shared" si="27"/>
        <v>10</v>
      </c>
    </row>
    <row r="1732" spans="1:4" x14ac:dyDescent="0.35">
      <c r="A1732" s="1">
        <v>46779</v>
      </c>
      <c r="B1732" s="2">
        <v>46296</v>
      </c>
      <c r="C1732" s="1" t="s">
        <v>22</v>
      </c>
      <c r="D1732" s="1">
        <f t="shared" si="27"/>
        <v>10</v>
      </c>
    </row>
    <row r="1733" spans="1:4" x14ac:dyDescent="0.35">
      <c r="A1733" s="1">
        <v>46778</v>
      </c>
      <c r="B1733" s="2">
        <v>46296</v>
      </c>
      <c r="C1733" s="1" t="s">
        <v>4</v>
      </c>
      <c r="D1733" s="1">
        <f t="shared" si="27"/>
        <v>10</v>
      </c>
    </row>
    <row r="1734" spans="1:4" x14ac:dyDescent="0.35">
      <c r="A1734" s="1">
        <v>46777</v>
      </c>
      <c r="B1734" s="2">
        <v>46296</v>
      </c>
      <c r="C1734" s="1" t="s">
        <v>4</v>
      </c>
      <c r="D1734" s="1">
        <f t="shared" si="27"/>
        <v>10</v>
      </c>
    </row>
    <row r="1735" spans="1:4" x14ac:dyDescent="0.35">
      <c r="A1735" s="1">
        <v>46774</v>
      </c>
      <c r="B1735" s="2">
        <v>46296</v>
      </c>
      <c r="C1735" s="1" t="s">
        <v>9</v>
      </c>
      <c r="D1735" s="1">
        <f t="shared" si="27"/>
        <v>10</v>
      </c>
    </row>
    <row r="1736" spans="1:4" x14ac:dyDescent="0.35">
      <c r="A1736" s="1">
        <v>46772</v>
      </c>
      <c r="B1736" s="2">
        <v>46296</v>
      </c>
      <c r="C1736" s="1" t="s">
        <v>9</v>
      </c>
      <c r="D1736" s="1">
        <f t="shared" si="27"/>
        <v>10</v>
      </c>
    </row>
    <row r="1737" spans="1:4" x14ac:dyDescent="0.35">
      <c r="A1737" s="1">
        <v>46771</v>
      </c>
      <c r="B1737" s="2">
        <v>46296</v>
      </c>
      <c r="C1737" s="1" t="s">
        <v>24</v>
      </c>
      <c r="D1737" s="1">
        <f t="shared" si="27"/>
        <v>10</v>
      </c>
    </row>
    <row r="1738" spans="1:4" x14ac:dyDescent="0.35">
      <c r="A1738" s="1">
        <v>46770</v>
      </c>
      <c r="B1738" s="2">
        <v>46296</v>
      </c>
      <c r="C1738" s="1" t="s">
        <v>24</v>
      </c>
      <c r="D1738" s="1">
        <f t="shared" si="27"/>
        <v>10</v>
      </c>
    </row>
    <row r="1739" spans="1:4" x14ac:dyDescent="0.35">
      <c r="A1739" s="1">
        <v>46769</v>
      </c>
      <c r="B1739" s="2">
        <v>46296</v>
      </c>
      <c r="C1739" s="1" t="s">
        <v>24</v>
      </c>
      <c r="D1739" s="1">
        <f t="shared" si="27"/>
        <v>10</v>
      </c>
    </row>
    <row r="1740" spans="1:4" x14ac:dyDescent="0.35">
      <c r="A1740" s="1">
        <v>46768</v>
      </c>
      <c r="B1740" s="2">
        <v>46296</v>
      </c>
      <c r="C1740" s="1" t="s">
        <v>24</v>
      </c>
      <c r="D1740" s="1">
        <f t="shared" si="27"/>
        <v>10</v>
      </c>
    </row>
    <row r="1741" spans="1:4" x14ac:dyDescent="0.35">
      <c r="A1741" s="1">
        <v>46767</v>
      </c>
      <c r="B1741" s="2">
        <v>46296</v>
      </c>
      <c r="C1741" s="1" t="s">
        <v>24</v>
      </c>
      <c r="D1741" s="1">
        <f t="shared" si="27"/>
        <v>10</v>
      </c>
    </row>
    <row r="1742" spans="1:4" x14ac:dyDescent="0.35">
      <c r="A1742" s="1">
        <v>46765</v>
      </c>
      <c r="B1742" s="2">
        <v>46296</v>
      </c>
      <c r="C1742" s="1" t="s">
        <v>7</v>
      </c>
      <c r="D1742" s="1">
        <f t="shared" si="27"/>
        <v>10</v>
      </c>
    </row>
    <row r="1743" spans="1:4" x14ac:dyDescent="0.35">
      <c r="A1743" s="1">
        <v>46764</v>
      </c>
      <c r="B1743" s="2">
        <v>46296</v>
      </c>
      <c r="C1743" s="1" t="s">
        <v>10</v>
      </c>
      <c r="D1743" s="1">
        <f t="shared" si="27"/>
        <v>10</v>
      </c>
    </row>
    <row r="1744" spans="1:4" x14ac:dyDescent="0.35">
      <c r="A1744" s="1">
        <v>46763</v>
      </c>
      <c r="B1744" s="2">
        <v>46296</v>
      </c>
      <c r="C1744" s="1" t="s">
        <v>10</v>
      </c>
      <c r="D1744" s="1">
        <f t="shared" si="27"/>
        <v>10</v>
      </c>
    </row>
    <row r="1745" spans="1:4" x14ac:dyDescent="0.35">
      <c r="A1745" s="1">
        <v>46762</v>
      </c>
      <c r="B1745" s="2">
        <v>46296</v>
      </c>
      <c r="C1745" s="1" t="s">
        <v>19</v>
      </c>
      <c r="D1745" s="1">
        <f t="shared" si="27"/>
        <v>10</v>
      </c>
    </row>
    <row r="1746" spans="1:4" x14ac:dyDescent="0.35">
      <c r="A1746" s="1">
        <v>46760</v>
      </c>
      <c r="B1746" s="2">
        <v>46296</v>
      </c>
      <c r="C1746" s="1" t="s">
        <v>7</v>
      </c>
      <c r="D1746" s="1">
        <f t="shared" si="27"/>
        <v>10</v>
      </c>
    </row>
    <row r="1747" spans="1:4" x14ac:dyDescent="0.35">
      <c r="A1747" s="1">
        <v>46759</v>
      </c>
      <c r="B1747" s="2">
        <v>46296</v>
      </c>
      <c r="C1747" s="1" t="s">
        <v>9</v>
      </c>
      <c r="D1747" s="1">
        <f t="shared" si="27"/>
        <v>10</v>
      </c>
    </row>
    <row r="1748" spans="1:4" x14ac:dyDescent="0.35">
      <c r="A1748" s="1">
        <v>46758</v>
      </c>
      <c r="B1748" s="2">
        <v>46296</v>
      </c>
      <c r="C1748" s="1" t="s">
        <v>19</v>
      </c>
      <c r="D1748" s="1">
        <f t="shared" si="27"/>
        <v>10</v>
      </c>
    </row>
    <row r="1749" spans="1:4" x14ac:dyDescent="0.35">
      <c r="A1749" s="1">
        <v>46757</v>
      </c>
      <c r="B1749" s="2">
        <v>46296</v>
      </c>
      <c r="C1749" s="1" t="s">
        <v>19</v>
      </c>
      <c r="D1749" s="1">
        <f t="shared" si="27"/>
        <v>10</v>
      </c>
    </row>
    <row r="1750" spans="1:4" x14ac:dyDescent="0.35">
      <c r="A1750" s="1">
        <v>46755</v>
      </c>
      <c r="B1750" s="2">
        <v>46296</v>
      </c>
      <c r="C1750" s="1" t="s">
        <v>8</v>
      </c>
      <c r="D1750" s="1">
        <f t="shared" si="27"/>
        <v>10</v>
      </c>
    </row>
    <row r="1751" spans="1:4" x14ac:dyDescent="0.35">
      <c r="A1751" s="1">
        <v>46754</v>
      </c>
      <c r="B1751" s="2">
        <v>46296</v>
      </c>
      <c r="C1751" s="1" t="s">
        <v>8</v>
      </c>
      <c r="D1751" s="1">
        <f t="shared" si="27"/>
        <v>10</v>
      </c>
    </row>
    <row r="1752" spans="1:4" x14ac:dyDescent="0.35">
      <c r="A1752" s="1">
        <v>46786</v>
      </c>
      <c r="B1752" s="2">
        <v>46297</v>
      </c>
      <c r="C1752" s="1" t="s">
        <v>3</v>
      </c>
      <c r="D1752" s="1">
        <f t="shared" si="27"/>
        <v>10</v>
      </c>
    </row>
    <row r="1753" spans="1:4" x14ac:dyDescent="0.35">
      <c r="A1753" s="1">
        <v>46785</v>
      </c>
      <c r="B1753" s="2">
        <v>46297</v>
      </c>
      <c r="C1753" s="1" t="s">
        <v>3</v>
      </c>
      <c r="D1753" s="1">
        <f t="shared" si="27"/>
        <v>10</v>
      </c>
    </row>
    <row r="1754" spans="1:4" x14ac:dyDescent="0.35">
      <c r="A1754" s="1">
        <v>46822</v>
      </c>
      <c r="B1754" s="2">
        <v>46297</v>
      </c>
      <c r="C1754" s="1" t="s">
        <v>3</v>
      </c>
      <c r="D1754" s="1">
        <f t="shared" si="27"/>
        <v>10</v>
      </c>
    </row>
    <row r="1755" spans="1:4" x14ac:dyDescent="0.35">
      <c r="A1755" s="1">
        <v>46821</v>
      </c>
      <c r="B1755" s="2">
        <v>46297</v>
      </c>
      <c r="C1755" s="1" t="s">
        <v>28</v>
      </c>
      <c r="D1755" s="1">
        <f t="shared" si="27"/>
        <v>10</v>
      </c>
    </row>
    <row r="1756" spans="1:4" x14ac:dyDescent="0.35">
      <c r="A1756" s="1">
        <v>46820</v>
      </c>
      <c r="B1756" s="2">
        <v>46297</v>
      </c>
      <c r="C1756" s="1" t="s">
        <v>28</v>
      </c>
      <c r="D1756" s="1">
        <f t="shared" si="27"/>
        <v>10</v>
      </c>
    </row>
    <row r="1757" spans="1:4" x14ac:dyDescent="0.35">
      <c r="A1757" s="1">
        <v>46804</v>
      </c>
      <c r="B1757" s="2">
        <v>46297</v>
      </c>
      <c r="C1757" s="1" t="s">
        <v>22</v>
      </c>
      <c r="D1757" s="1">
        <f t="shared" si="27"/>
        <v>10</v>
      </c>
    </row>
    <row r="1758" spans="1:4" x14ac:dyDescent="0.35">
      <c r="A1758" s="1">
        <v>46803</v>
      </c>
      <c r="B1758" s="2">
        <v>46297</v>
      </c>
      <c r="C1758" s="1" t="s">
        <v>22</v>
      </c>
      <c r="D1758" s="1">
        <f t="shared" si="27"/>
        <v>10</v>
      </c>
    </row>
    <row r="1759" spans="1:4" x14ac:dyDescent="0.35">
      <c r="A1759" s="1">
        <v>46802</v>
      </c>
      <c r="B1759" s="2">
        <v>46297</v>
      </c>
      <c r="C1759" s="1" t="s">
        <v>22</v>
      </c>
      <c r="D1759" s="1">
        <f t="shared" si="27"/>
        <v>10</v>
      </c>
    </row>
    <row r="1760" spans="1:4" x14ac:dyDescent="0.35">
      <c r="A1760" s="1">
        <v>46801</v>
      </c>
      <c r="B1760" s="2">
        <v>46297</v>
      </c>
      <c r="C1760" s="1" t="s">
        <v>22</v>
      </c>
      <c r="D1760" s="1">
        <f t="shared" si="27"/>
        <v>10</v>
      </c>
    </row>
    <row r="1761" spans="1:4" x14ac:dyDescent="0.35">
      <c r="A1761" s="1">
        <v>46796</v>
      </c>
      <c r="B1761" s="2">
        <v>46297</v>
      </c>
      <c r="C1761" s="1" t="s">
        <v>3</v>
      </c>
      <c r="D1761" s="1">
        <f t="shared" si="27"/>
        <v>10</v>
      </c>
    </row>
    <row r="1762" spans="1:4" x14ac:dyDescent="0.35">
      <c r="A1762" s="1">
        <v>46794</v>
      </c>
      <c r="B1762" s="2">
        <v>46297</v>
      </c>
      <c r="C1762" s="1" t="s">
        <v>28</v>
      </c>
      <c r="D1762" s="1">
        <f t="shared" si="27"/>
        <v>10</v>
      </c>
    </row>
    <row r="1763" spans="1:4" x14ac:dyDescent="0.35">
      <c r="A1763" s="1">
        <v>46793</v>
      </c>
      <c r="B1763" s="2">
        <v>46297</v>
      </c>
      <c r="C1763" s="1" t="s">
        <v>28</v>
      </c>
      <c r="D1763" s="1">
        <f t="shared" si="27"/>
        <v>10</v>
      </c>
    </row>
    <row r="1764" spans="1:4" x14ac:dyDescent="0.35">
      <c r="A1764" s="1">
        <v>46792</v>
      </c>
      <c r="B1764" s="2">
        <v>46297</v>
      </c>
      <c r="C1764" s="1" t="s">
        <v>28</v>
      </c>
      <c r="D1764" s="1">
        <f t="shared" si="27"/>
        <v>10</v>
      </c>
    </row>
    <row r="1765" spans="1:4" x14ac:dyDescent="0.35">
      <c r="A1765" s="1">
        <v>46791</v>
      </c>
      <c r="B1765" s="2">
        <v>46297</v>
      </c>
      <c r="C1765" s="1" t="s">
        <v>3</v>
      </c>
      <c r="D1765" s="1">
        <f t="shared" si="27"/>
        <v>10</v>
      </c>
    </row>
    <row r="1766" spans="1:4" x14ac:dyDescent="0.35">
      <c r="A1766" s="1">
        <v>46790</v>
      </c>
      <c r="B1766" s="2">
        <v>46297</v>
      </c>
      <c r="C1766" s="1" t="s">
        <v>9</v>
      </c>
      <c r="D1766" s="1">
        <f t="shared" si="27"/>
        <v>10</v>
      </c>
    </row>
    <row r="1767" spans="1:4" x14ac:dyDescent="0.35">
      <c r="A1767" s="1">
        <v>46788</v>
      </c>
      <c r="B1767" s="2">
        <v>46297</v>
      </c>
      <c r="C1767" s="1" t="s">
        <v>9</v>
      </c>
      <c r="D1767" s="1">
        <f t="shared" si="27"/>
        <v>10</v>
      </c>
    </row>
    <row r="1768" spans="1:4" x14ac:dyDescent="0.35">
      <c r="A1768" s="1">
        <v>46787</v>
      </c>
      <c r="B1768" s="2">
        <v>46297</v>
      </c>
      <c r="C1768" s="1" t="s">
        <v>3</v>
      </c>
      <c r="D1768" s="1">
        <f t="shared" si="27"/>
        <v>10</v>
      </c>
    </row>
    <row r="1769" spans="1:4" x14ac:dyDescent="0.35">
      <c r="A1769" s="1">
        <v>46828</v>
      </c>
      <c r="B1769" s="2">
        <v>46298</v>
      </c>
      <c r="C1769" s="1" t="s">
        <v>17</v>
      </c>
      <c r="D1769" s="1">
        <f t="shared" si="27"/>
        <v>10</v>
      </c>
    </row>
    <row r="1770" spans="1:4" x14ac:dyDescent="0.35">
      <c r="A1770" s="1">
        <v>46827</v>
      </c>
      <c r="B1770" s="2">
        <v>46298</v>
      </c>
      <c r="C1770" s="1" t="s">
        <v>17</v>
      </c>
      <c r="D1770" s="1">
        <f t="shared" si="27"/>
        <v>10</v>
      </c>
    </row>
    <row r="1771" spans="1:4" x14ac:dyDescent="0.35">
      <c r="A1771" s="1">
        <v>46826</v>
      </c>
      <c r="B1771" s="2">
        <v>46298</v>
      </c>
      <c r="C1771" s="1" t="s">
        <v>17</v>
      </c>
      <c r="D1771" s="1">
        <f t="shared" si="27"/>
        <v>10</v>
      </c>
    </row>
    <row r="1772" spans="1:4" x14ac:dyDescent="0.35">
      <c r="A1772" s="1">
        <v>46825</v>
      </c>
      <c r="B1772" s="2">
        <v>46298</v>
      </c>
      <c r="C1772" s="1" t="s">
        <v>17</v>
      </c>
      <c r="D1772" s="1">
        <f t="shared" si="27"/>
        <v>10</v>
      </c>
    </row>
    <row r="1773" spans="1:4" x14ac:dyDescent="0.35">
      <c r="A1773" s="1">
        <v>46824</v>
      </c>
      <c r="B1773" s="2">
        <v>46298</v>
      </c>
      <c r="C1773" s="1" t="s">
        <v>4</v>
      </c>
      <c r="D1773" s="1">
        <f t="shared" si="27"/>
        <v>10</v>
      </c>
    </row>
    <row r="1774" spans="1:4" x14ac:dyDescent="0.35">
      <c r="A1774" s="1">
        <v>46823</v>
      </c>
      <c r="B1774" s="2">
        <v>46298</v>
      </c>
      <c r="C1774" s="1" t="s">
        <v>4</v>
      </c>
      <c r="D1774" s="1">
        <f t="shared" si="27"/>
        <v>10</v>
      </c>
    </row>
    <row r="1775" spans="1:4" x14ac:dyDescent="0.35">
      <c r="A1775" s="1">
        <v>46835</v>
      </c>
      <c r="B1775" s="2">
        <v>46299</v>
      </c>
      <c r="C1775" s="1" t="s">
        <v>17</v>
      </c>
      <c r="D1775" s="1">
        <f t="shared" si="27"/>
        <v>10</v>
      </c>
    </row>
    <row r="1776" spans="1:4" x14ac:dyDescent="0.35">
      <c r="A1776" s="1">
        <v>46834</v>
      </c>
      <c r="B1776" s="2">
        <v>46299</v>
      </c>
      <c r="C1776" s="1" t="s">
        <v>17</v>
      </c>
      <c r="D1776" s="1">
        <f t="shared" si="27"/>
        <v>10</v>
      </c>
    </row>
    <row r="1777" spans="1:4" x14ac:dyDescent="0.35">
      <c r="A1777" s="1">
        <v>46841</v>
      </c>
      <c r="B1777" s="2">
        <v>46300</v>
      </c>
      <c r="C1777" s="1" t="s">
        <v>3</v>
      </c>
      <c r="D1777" s="1">
        <f t="shared" si="27"/>
        <v>10</v>
      </c>
    </row>
    <row r="1778" spans="1:4" x14ac:dyDescent="0.35">
      <c r="A1778" s="1">
        <v>46840</v>
      </c>
      <c r="B1778" s="2">
        <v>46300</v>
      </c>
      <c r="C1778" s="1" t="s">
        <v>10</v>
      </c>
      <c r="D1778" s="1">
        <f t="shared" si="27"/>
        <v>10</v>
      </c>
    </row>
    <row r="1779" spans="1:4" x14ac:dyDescent="0.35">
      <c r="A1779" s="1">
        <v>46839</v>
      </c>
      <c r="B1779" s="2">
        <v>46300</v>
      </c>
      <c r="C1779" s="1" t="s">
        <v>10</v>
      </c>
      <c r="D1779" s="1">
        <f t="shared" si="27"/>
        <v>10</v>
      </c>
    </row>
    <row r="1780" spans="1:4" x14ac:dyDescent="0.35">
      <c r="A1780" s="1">
        <v>46838</v>
      </c>
      <c r="B1780" s="2">
        <v>46300</v>
      </c>
      <c r="C1780" s="1" t="s">
        <v>11</v>
      </c>
      <c r="D1780" s="1">
        <f t="shared" si="27"/>
        <v>10</v>
      </c>
    </row>
    <row r="1781" spans="1:4" x14ac:dyDescent="0.35">
      <c r="A1781" s="1">
        <v>46836</v>
      </c>
      <c r="B1781" s="2">
        <v>46300</v>
      </c>
      <c r="C1781" s="1" t="s">
        <v>17</v>
      </c>
      <c r="D1781" s="1">
        <f t="shared" si="27"/>
        <v>10</v>
      </c>
    </row>
    <row r="1782" spans="1:4" x14ac:dyDescent="0.35">
      <c r="A1782" s="1">
        <v>46913</v>
      </c>
      <c r="B1782" s="2">
        <v>46301</v>
      </c>
      <c r="C1782" s="1" t="s">
        <v>10</v>
      </c>
      <c r="D1782" s="1">
        <f t="shared" si="27"/>
        <v>10</v>
      </c>
    </row>
    <row r="1783" spans="1:4" x14ac:dyDescent="0.35">
      <c r="A1783" s="1">
        <v>46912</v>
      </c>
      <c r="B1783" s="2">
        <v>46301</v>
      </c>
      <c r="C1783" s="1" t="s">
        <v>10</v>
      </c>
      <c r="D1783" s="1">
        <f t="shared" si="27"/>
        <v>10</v>
      </c>
    </row>
    <row r="1784" spans="1:4" x14ac:dyDescent="0.35">
      <c r="A1784" s="1">
        <v>46903</v>
      </c>
      <c r="B1784" s="2">
        <v>46301</v>
      </c>
      <c r="C1784" s="1" t="s">
        <v>17</v>
      </c>
      <c r="D1784" s="1">
        <f t="shared" si="27"/>
        <v>10</v>
      </c>
    </row>
    <row r="1785" spans="1:4" x14ac:dyDescent="0.35">
      <c r="A1785" s="1">
        <v>46902</v>
      </c>
      <c r="B1785" s="2">
        <v>46301</v>
      </c>
      <c r="C1785" s="1" t="s">
        <v>17</v>
      </c>
      <c r="D1785" s="1">
        <f t="shared" si="27"/>
        <v>10</v>
      </c>
    </row>
    <row r="1786" spans="1:4" x14ac:dyDescent="0.35">
      <c r="A1786" s="1">
        <v>46901</v>
      </c>
      <c r="B1786" s="2">
        <v>46301</v>
      </c>
      <c r="C1786" s="1" t="s">
        <v>24</v>
      </c>
      <c r="D1786" s="1">
        <f t="shared" si="27"/>
        <v>10</v>
      </c>
    </row>
    <row r="1787" spans="1:4" x14ac:dyDescent="0.35">
      <c r="A1787" s="1">
        <v>46900</v>
      </c>
      <c r="B1787" s="2">
        <v>46301</v>
      </c>
      <c r="C1787" s="1" t="s">
        <v>21</v>
      </c>
      <c r="D1787" s="1">
        <f t="shared" si="27"/>
        <v>10</v>
      </c>
    </row>
    <row r="1788" spans="1:4" x14ac:dyDescent="0.35">
      <c r="A1788" s="1">
        <v>46899</v>
      </c>
      <c r="B1788" s="2">
        <v>46301</v>
      </c>
      <c r="C1788" s="1" t="s">
        <v>21</v>
      </c>
      <c r="D1788" s="1">
        <f t="shared" si="27"/>
        <v>10</v>
      </c>
    </row>
    <row r="1789" spans="1:4" x14ac:dyDescent="0.35">
      <c r="A1789" s="1">
        <v>46898</v>
      </c>
      <c r="B1789" s="2">
        <v>46301</v>
      </c>
      <c r="C1789" s="1" t="s">
        <v>21</v>
      </c>
      <c r="D1789" s="1">
        <f t="shared" si="27"/>
        <v>10</v>
      </c>
    </row>
    <row r="1790" spans="1:4" x14ac:dyDescent="0.35">
      <c r="A1790" s="1">
        <v>46897</v>
      </c>
      <c r="B1790" s="2">
        <v>46301</v>
      </c>
      <c r="C1790" s="1" t="s">
        <v>21</v>
      </c>
      <c r="D1790" s="1">
        <f t="shared" si="27"/>
        <v>10</v>
      </c>
    </row>
    <row r="1791" spans="1:4" x14ac:dyDescent="0.35">
      <c r="A1791" s="1">
        <v>46896</v>
      </c>
      <c r="B1791" s="2">
        <v>46301</v>
      </c>
      <c r="C1791" s="1" t="s">
        <v>3</v>
      </c>
      <c r="D1791" s="1">
        <f t="shared" si="27"/>
        <v>10</v>
      </c>
    </row>
    <row r="1792" spans="1:4" x14ac:dyDescent="0.35">
      <c r="A1792" s="1">
        <v>46895</v>
      </c>
      <c r="B1792" s="2">
        <v>46301</v>
      </c>
      <c r="C1792" s="1" t="s">
        <v>22</v>
      </c>
      <c r="D1792" s="1">
        <f t="shared" si="27"/>
        <v>10</v>
      </c>
    </row>
    <row r="1793" spans="1:4" x14ac:dyDescent="0.35">
      <c r="A1793" s="1">
        <v>46894</v>
      </c>
      <c r="B1793" s="2">
        <v>46301</v>
      </c>
      <c r="C1793" s="1" t="s">
        <v>22</v>
      </c>
      <c r="D1793" s="1">
        <f t="shared" si="27"/>
        <v>10</v>
      </c>
    </row>
    <row r="1794" spans="1:4" x14ac:dyDescent="0.35">
      <c r="A1794" s="1">
        <v>46893</v>
      </c>
      <c r="B1794" s="2">
        <v>46301</v>
      </c>
      <c r="C1794" s="1" t="s">
        <v>22</v>
      </c>
      <c r="D1794" s="1">
        <f t="shared" ref="D1794:D1857" si="28">MONTH(B1794)</f>
        <v>10</v>
      </c>
    </row>
    <row r="1795" spans="1:4" x14ac:dyDescent="0.35">
      <c r="A1795" s="1">
        <v>46892</v>
      </c>
      <c r="B1795" s="2">
        <v>46301</v>
      </c>
      <c r="C1795" s="1" t="s">
        <v>3</v>
      </c>
      <c r="D1795" s="1">
        <f t="shared" si="28"/>
        <v>10</v>
      </c>
    </row>
    <row r="1796" spans="1:4" x14ac:dyDescent="0.35">
      <c r="A1796" s="1">
        <v>46890</v>
      </c>
      <c r="B1796" s="2">
        <v>46301</v>
      </c>
      <c r="C1796" s="1" t="s">
        <v>3</v>
      </c>
      <c r="D1796" s="1">
        <f t="shared" si="28"/>
        <v>10</v>
      </c>
    </row>
    <row r="1797" spans="1:4" x14ac:dyDescent="0.35">
      <c r="A1797" s="1">
        <v>46888</v>
      </c>
      <c r="B1797" s="2">
        <v>46301</v>
      </c>
      <c r="C1797" s="1" t="s">
        <v>21</v>
      </c>
      <c r="D1797" s="1">
        <f t="shared" si="28"/>
        <v>10</v>
      </c>
    </row>
    <row r="1798" spans="1:4" x14ac:dyDescent="0.35">
      <c r="A1798" s="1">
        <v>46882</v>
      </c>
      <c r="B1798" s="2">
        <v>46301</v>
      </c>
      <c r="C1798" s="1" t="s">
        <v>3</v>
      </c>
      <c r="D1798" s="1">
        <f t="shared" si="28"/>
        <v>10</v>
      </c>
    </row>
    <row r="1799" spans="1:4" x14ac:dyDescent="0.35">
      <c r="A1799" s="1">
        <v>46881</v>
      </c>
      <c r="B1799" s="2">
        <v>46301</v>
      </c>
      <c r="C1799" s="1" t="s">
        <v>21</v>
      </c>
      <c r="D1799" s="1">
        <f t="shared" si="28"/>
        <v>10</v>
      </c>
    </row>
    <row r="1800" spans="1:4" x14ac:dyDescent="0.35">
      <c r="A1800" s="1">
        <v>46879</v>
      </c>
      <c r="B1800" s="2">
        <v>46301</v>
      </c>
      <c r="C1800" s="1" t="s">
        <v>9</v>
      </c>
      <c r="D1800" s="1">
        <f t="shared" si="28"/>
        <v>10</v>
      </c>
    </row>
    <row r="1801" spans="1:4" x14ac:dyDescent="0.35">
      <c r="A1801" s="1">
        <v>46878</v>
      </c>
      <c r="B1801" s="2">
        <v>46301</v>
      </c>
      <c r="C1801" s="1" t="s">
        <v>9</v>
      </c>
      <c r="D1801" s="1">
        <f t="shared" si="28"/>
        <v>10</v>
      </c>
    </row>
    <row r="1802" spans="1:4" x14ac:dyDescent="0.35">
      <c r="A1802" s="1">
        <v>46877</v>
      </c>
      <c r="B1802" s="2">
        <v>46301</v>
      </c>
      <c r="C1802" s="1" t="s">
        <v>3</v>
      </c>
      <c r="D1802" s="1">
        <f t="shared" si="28"/>
        <v>10</v>
      </c>
    </row>
    <row r="1803" spans="1:4" x14ac:dyDescent="0.35">
      <c r="A1803" s="1">
        <v>46873</v>
      </c>
      <c r="B1803" s="2">
        <v>46301</v>
      </c>
      <c r="C1803" s="1" t="s">
        <v>21</v>
      </c>
      <c r="D1803" s="1">
        <f t="shared" si="28"/>
        <v>10</v>
      </c>
    </row>
    <row r="1804" spans="1:4" x14ac:dyDescent="0.35">
      <c r="A1804" s="1">
        <v>46871</v>
      </c>
      <c r="B1804" s="2">
        <v>46301</v>
      </c>
      <c r="C1804" s="1" t="s">
        <v>24</v>
      </c>
      <c r="D1804" s="1">
        <f t="shared" si="28"/>
        <v>10</v>
      </c>
    </row>
    <row r="1805" spans="1:4" x14ac:dyDescent="0.35">
      <c r="A1805" s="1">
        <v>46870</v>
      </c>
      <c r="B1805" s="2">
        <v>46301</v>
      </c>
      <c r="C1805" s="1" t="s">
        <v>24</v>
      </c>
      <c r="D1805" s="1">
        <f t="shared" si="28"/>
        <v>10</v>
      </c>
    </row>
    <row r="1806" spans="1:4" x14ac:dyDescent="0.35">
      <c r="A1806" s="1">
        <v>46869</v>
      </c>
      <c r="B1806" s="2">
        <v>46301</v>
      </c>
      <c r="C1806" s="1" t="s">
        <v>24</v>
      </c>
      <c r="D1806" s="1">
        <f t="shared" si="28"/>
        <v>10</v>
      </c>
    </row>
    <row r="1807" spans="1:4" x14ac:dyDescent="0.35">
      <c r="A1807" s="1">
        <v>46867</v>
      </c>
      <c r="B1807" s="2">
        <v>46301</v>
      </c>
      <c r="C1807" s="1" t="s">
        <v>19</v>
      </c>
      <c r="D1807" s="1">
        <f t="shared" si="28"/>
        <v>10</v>
      </c>
    </row>
    <row r="1808" spans="1:4" x14ac:dyDescent="0.35">
      <c r="A1808" s="1">
        <v>46865</v>
      </c>
      <c r="B1808" s="2">
        <v>46301</v>
      </c>
      <c r="C1808" s="1" t="s">
        <v>3</v>
      </c>
      <c r="D1808" s="1">
        <f t="shared" si="28"/>
        <v>10</v>
      </c>
    </row>
    <row r="1809" spans="1:4" x14ac:dyDescent="0.35">
      <c r="A1809" s="1">
        <v>46864</v>
      </c>
      <c r="B1809" s="2">
        <v>46301</v>
      </c>
      <c r="C1809" s="1" t="s">
        <v>3</v>
      </c>
      <c r="D1809" s="1">
        <f t="shared" si="28"/>
        <v>10</v>
      </c>
    </row>
    <row r="1810" spans="1:4" x14ac:dyDescent="0.35">
      <c r="A1810" s="1">
        <v>46863</v>
      </c>
      <c r="B1810" s="2">
        <v>46301</v>
      </c>
      <c r="C1810" s="1" t="s">
        <v>28</v>
      </c>
      <c r="D1810" s="1">
        <f t="shared" si="28"/>
        <v>10</v>
      </c>
    </row>
    <row r="1811" spans="1:4" x14ac:dyDescent="0.35">
      <c r="A1811" s="1">
        <v>46862</v>
      </c>
      <c r="B1811" s="2">
        <v>46301</v>
      </c>
      <c r="C1811" s="1" t="s">
        <v>28</v>
      </c>
      <c r="D1811" s="1">
        <f t="shared" si="28"/>
        <v>10</v>
      </c>
    </row>
    <row r="1812" spans="1:4" x14ac:dyDescent="0.35">
      <c r="A1812" s="1">
        <v>46861</v>
      </c>
      <c r="B1812" s="2">
        <v>46301</v>
      </c>
      <c r="C1812" s="1" t="s">
        <v>28</v>
      </c>
      <c r="D1812" s="1">
        <f t="shared" si="28"/>
        <v>10</v>
      </c>
    </row>
    <row r="1813" spans="1:4" x14ac:dyDescent="0.35">
      <c r="A1813" s="1">
        <v>46860</v>
      </c>
      <c r="B1813" s="2">
        <v>46301</v>
      </c>
      <c r="C1813" s="1" t="s">
        <v>28</v>
      </c>
      <c r="D1813" s="1">
        <f t="shared" si="28"/>
        <v>10</v>
      </c>
    </row>
    <row r="1814" spans="1:4" x14ac:dyDescent="0.35">
      <c r="A1814" s="1">
        <v>46854</v>
      </c>
      <c r="B1814" s="2">
        <v>46301</v>
      </c>
      <c r="C1814" s="1" t="s">
        <v>24</v>
      </c>
      <c r="D1814" s="1">
        <f t="shared" si="28"/>
        <v>10</v>
      </c>
    </row>
    <row r="1815" spans="1:4" x14ac:dyDescent="0.35">
      <c r="A1815" s="1">
        <v>46853</v>
      </c>
      <c r="B1815" s="2">
        <v>46301</v>
      </c>
      <c r="C1815" s="1" t="s">
        <v>24</v>
      </c>
      <c r="D1815" s="1">
        <f t="shared" si="28"/>
        <v>10</v>
      </c>
    </row>
    <row r="1816" spans="1:4" x14ac:dyDescent="0.35">
      <c r="A1816" s="1">
        <v>46852</v>
      </c>
      <c r="B1816" s="2">
        <v>46301</v>
      </c>
      <c r="C1816" s="1" t="s">
        <v>24</v>
      </c>
      <c r="D1816" s="1">
        <f t="shared" si="28"/>
        <v>10</v>
      </c>
    </row>
    <row r="1817" spans="1:4" x14ac:dyDescent="0.35">
      <c r="A1817" s="1">
        <v>46851</v>
      </c>
      <c r="B1817" s="2">
        <v>46301</v>
      </c>
      <c r="C1817" s="1" t="s">
        <v>24</v>
      </c>
      <c r="D1817" s="1">
        <f t="shared" si="28"/>
        <v>10</v>
      </c>
    </row>
    <row r="1818" spans="1:4" x14ac:dyDescent="0.35">
      <c r="A1818" s="1">
        <v>46850</v>
      </c>
      <c r="B1818" s="2">
        <v>46301</v>
      </c>
      <c r="C1818" s="1" t="s">
        <v>24</v>
      </c>
      <c r="D1818" s="1">
        <f t="shared" si="28"/>
        <v>10</v>
      </c>
    </row>
    <row r="1819" spans="1:4" x14ac:dyDescent="0.35">
      <c r="A1819" s="1">
        <v>46849</v>
      </c>
      <c r="B1819" s="2">
        <v>46301</v>
      </c>
      <c r="C1819" s="1" t="s">
        <v>3</v>
      </c>
      <c r="D1819" s="1">
        <f t="shared" si="28"/>
        <v>10</v>
      </c>
    </row>
    <row r="1820" spans="1:4" x14ac:dyDescent="0.35">
      <c r="A1820" s="1">
        <v>46848</v>
      </c>
      <c r="B1820" s="2">
        <v>46301</v>
      </c>
      <c r="C1820" s="1" t="s">
        <v>3</v>
      </c>
      <c r="D1820" s="1">
        <f t="shared" si="28"/>
        <v>10</v>
      </c>
    </row>
    <row r="1821" spans="1:4" x14ac:dyDescent="0.35">
      <c r="A1821" s="1">
        <v>46847</v>
      </c>
      <c r="B1821" s="2">
        <v>46301</v>
      </c>
      <c r="C1821" s="1" t="s">
        <v>9</v>
      </c>
      <c r="D1821" s="1">
        <f t="shared" si="28"/>
        <v>10</v>
      </c>
    </row>
    <row r="1822" spans="1:4" x14ac:dyDescent="0.35">
      <c r="A1822" s="1">
        <v>46846</v>
      </c>
      <c r="B1822" s="2">
        <v>46301</v>
      </c>
      <c r="C1822" s="1" t="s">
        <v>9</v>
      </c>
      <c r="D1822" s="1">
        <f t="shared" si="28"/>
        <v>10</v>
      </c>
    </row>
    <row r="1823" spans="1:4" x14ac:dyDescent="0.35">
      <c r="A1823" s="1">
        <v>46845</v>
      </c>
      <c r="B1823" s="2">
        <v>46301</v>
      </c>
      <c r="C1823" s="1" t="s">
        <v>9</v>
      </c>
      <c r="D1823" s="1">
        <f t="shared" si="28"/>
        <v>10</v>
      </c>
    </row>
    <row r="1824" spans="1:4" x14ac:dyDescent="0.35">
      <c r="A1824" s="1">
        <v>46844</v>
      </c>
      <c r="B1824" s="2">
        <v>46301</v>
      </c>
      <c r="C1824" s="1" t="s">
        <v>9</v>
      </c>
      <c r="D1824" s="1">
        <f t="shared" si="28"/>
        <v>10</v>
      </c>
    </row>
    <row r="1825" spans="1:4" x14ac:dyDescent="0.35">
      <c r="A1825" s="1">
        <v>46843</v>
      </c>
      <c r="B1825" s="2">
        <v>46301</v>
      </c>
      <c r="C1825" s="1" t="s">
        <v>9</v>
      </c>
      <c r="D1825" s="1">
        <f t="shared" si="28"/>
        <v>10</v>
      </c>
    </row>
    <row r="1826" spans="1:4" x14ac:dyDescent="0.35">
      <c r="A1826" s="1">
        <v>46842</v>
      </c>
      <c r="B1826" s="2">
        <v>46301</v>
      </c>
      <c r="C1826" s="1" t="s">
        <v>9</v>
      </c>
      <c r="D1826" s="1">
        <f t="shared" si="28"/>
        <v>10</v>
      </c>
    </row>
    <row r="1827" spans="1:4" x14ac:dyDescent="0.35">
      <c r="A1827" s="1">
        <v>46961</v>
      </c>
      <c r="B1827" s="2">
        <v>46302</v>
      </c>
      <c r="C1827" s="1" t="s">
        <v>17</v>
      </c>
      <c r="D1827" s="1">
        <f t="shared" si="28"/>
        <v>10</v>
      </c>
    </row>
    <row r="1828" spans="1:4" x14ac:dyDescent="0.35">
      <c r="A1828" s="1">
        <v>46960</v>
      </c>
      <c r="B1828" s="2">
        <v>46302</v>
      </c>
      <c r="C1828" s="1" t="s">
        <v>17</v>
      </c>
      <c r="D1828" s="1">
        <f t="shared" si="28"/>
        <v>10</v>
      </c>
    </row>
    <row r="1829" spans="1:4" x14ac:dyDescent="0.35">
      <c r="A1829" s="1">
        <v>46956</v>
      </c>
      <c r="B1829" s="2">
        <v>46302</v>
      </c>
      <c r="C1829" s="1" t="s">
        <v>9</v>
      </c>
      <c r="D1829" s="1">
        <f t="shared" si="28"/>
        <v>10</v>
      </c>
    </row>
    <row r="1830" spans="1:4" x14ac:dyDescent="0.35">
      <c r="A1830" s="1">
        <v>46955</v>
      </c>
      <c r="B1830" s="2">
        <v>46302</v>
      </c>
      <c r="C1830" s="1" t="s">
        <v>3</v>
      </c>
      <c r="D1830" s="1">
        <f t="shared" si="28"/>
        <v>10</v>
      </c>
    </row>
    <row r="1831" spans="1:4" x14ac:dyDescent="0.35">
      <c r="A1831" s="1">
        <v>46954</v>
      </c>
      <c r="B1831" s="2">
        <v>46302</v>
      </c>
      <c r="C1831" s="1" t="s">
        <v>9</v>
      </c>
      <c r="D1831" s="1">
        <f t="shared" si="28"/>
        <v>10</v>
      </c>
    </row>
    <row r="1832" spans="1:4" x14ac:dyDescent="0.35">
      <c r="A1832" s="1">
        <v>46953</v>
      </c>
      <c r="B1832" s="2">
        <v>46302</v>
      </c>
      <c r="C1832" s="1" t="s">
        <v>9</v>
      </c>
      <c r="D1832" s="1">
        <f t="shared" si="28"/>
        <v>10</v>
      </c>
    </row>
    <row r="1833" spans="1:4" x14ac:dyDescent="0.35">
      <c r="A1833" s="1">
        <v>46952</v>
      </c>
      <c r="B1833" s="2">
        <v>46302</v>
      </c>
      <c r="C1833" s="1" t="s">
        <v>7</v>
      </c>
      <c r="D1833" s="1">
        <f t="shared" si="28"/>
        <v>10</v>
      </c>
    </row>
    <row r="1834" spans="1:4" x14ac:dyDescent="0.35">
      <c r="A1834" s="1">
        <v>46951</v>
      </c>
      <c r="B1834" s="2">
        <v>46302</v>
      </c>
      <c r="C1834" s="1" t="s">
        <v>7</v>
      </c>
      <c r="D1834" s="1">
        <f t="shared" si="28"/>
        <v>10</v>
      </c>
    </row>
    <row r="1835" spans="1:4" x14ac:dyDescent="0.35">
      <c r="A1835" s="1">
        <v>46950</v>
      </c>
      <c r="B1835" s="2">
        <v>46302</v>
      </c>
      <c r="C1835" s="1" t="s">
        <v>7</v>
      </c>
      <c r="D1835" s="1">
        <f t="shared" si="28"/>
        <v>10</v>
      </c>
    </row>
    <row r="1836" spans="1:4" x14ac:dyDescent="0.35">
      <c r="A1836" s="1">
        <v>46949</v>
      </c>
      <c r="B1836" s="2">
        <v>46302</v>
      </c>
      <c r="C1836" s="1" t="s">
        <v>3</v>
      </c>
      <c r="D1836" s="1">
        <f t="shared" si="28"/>
        <v>10</v>
      </c>
    </row>
    <row r="1837" spans="1:4" x14ac:dyDescent="0.35">
      <c r="A1837" s="1">
        <v>46947</v>
      </c>
      <c r="B1837" s="2">
        <v>46302</v>
      </c>
      <c r="C1837" s="1" t="s">
        <v>19</v>
      </c>
      <c r="D1837" s="1">
        <f t="shared" si="28"/>
        <v>10</v>
      </c>
    </row>
    <row r="1838" spans="1:4" x14ac:dyDescent="0.35">
      <c r="A1838" s="1">
        <v>46945</v>
      </c>
      <c r="B1838" s="2">
        <v>46302</v>
      </c>
      <c r="C1838" s="1" t="s">
        <v>6</v>
      </c>
      <c r="D1838" s="1">
        <f t="shared" si="28"/>
        <v>10</v>
      </c>
    </row>
    <row r="1839" spans="1:4" x14ac:dyDescent="0.35">
      <c r="A1839" s="1">
        <v>46944</v>
      </c>
      <c r="B1839" s="2">
        <v>46302</v>
      </c>
      <c r="C1839" s="1" t="s">
        <v>6</v>
      </c>
      <c r="D1839" s="1">
        <f t="shared" si="28"/>
        <v>10</v>
      </c>
    </row>
    <row r="1840" spans="1:4" x14ac:dyDescent="0.35">
      <c r="A1840" s="1">
        <v>46942</v>
      </c>
      <c r="B1840" s="2">
        <v>46302</v>
      </c>
      <c r="C1840" s="1" t="s">
        <v>3</v>
      </c>
      <c r="D1840" s="1">
        <f t="shared" si="28"/>
        <v>10</v>
      </c>
    </row>
    <row r="1841" spans="1:4" x14ac:dyDescent="0.35">
      <c r="A1841" s="1">
        <v>46974</v>
      </c>
      <c r="B1841" s="2">
        <v>46303</v>
      </c>
      <c r="C1841" s="1" t="s">
        <v>28</v>
      </c>
      <c r="D1841" s="1">
        <f t="shared" si="28"/>
        <v>10</v>
      </c>
    </row>
    <row r="1842" spans="1:4" x14ac:dyDescent="0.35">
      <c r="A1842" s="1">
        <v>46973</v>
      </c>
      <c r="B1842" s="2">
        <v>46303</v>
      </c>
      <c r="C1842" s="1" t="s">
        <v>28</v>
      </c>
      <c r="D1842" s="1">
        <f t="shared" si="28"/>
        <v>10</v>
      </c>
    </row>
    <row r="1843" spans="1:4" x14ac:dyDescent="0.35">
      <c r="A1843" s="1">
        <v>46972</v>
      </c>
      <c r="B1843" s="2">
        <v>46303</v>
      </c>
      <c r="C1843" s="1" t="s">
        <v>21</v>
      </c>
      <c r="D1843" s="1">
        <f t="shared" si="28"/>
        <v>10</v>
      </c>
    </row>
    <row r="1844" spans="1:4" x14ac:dyDescent="0.35">
      <c r="A1844" s="1">
        <v>46971</v>
      </c>
      <c r="B1844" s="2">
        <v>46303</v>
      </c>
      <c r="C1844" s="1" t="s">
        <v>21</v>
      </c>
      <c r="D1844" s="1">
        <f t="shared" si="28"/>
        <v>10</v>
      </c>
    </row>
    <row r="1845" spans="1:4" x14ac:dyDescent="0.35">
      <c r="A1845" s="1">
        <v>46970</v>
      </c>
      <c r="B1845" s="2">
        <v>46303</v>
      </c>
      <c r="C1845" s="1" t="s">
        <v>21</v>
      </c>
      <c r="D1845" s="1">
        <f t="shared" si="28"/>
        <v>10</v>
      </c>
    </row>
    <row r="1846" spans="1:4" x14ac:dyDescent="0.35">
      <c r="A1846" s="1">
        <v>46969</v>
      </c>
      <c r="B1846" s="2">
        <v>46303</v>
      </c>
      <c r="C1846" s="1" t="s">
        <v>21</v>
      </c>
      <c r="D1846" s="1">
        <f t="shared" si="28"/>
        <v>10</v>
      </c>
    </row>
    <row r="1847" spans="1:4" x14ac:dyDescent="0.35">
      <c r="A1847" s="1">
        <v>46968</v>
      </c>
      <c r="B1847" s="2">
        <v>46303</v>
      </c>
      <c r="C1847" s="1" t="s">
        <v>24</v>
      </c>
      <c r="D1847" s="1">
        <f t="shared" si="28"/>
        <v>10</v>
      </c>
    </row>
    <row r="1848" spans="1:4" x14ac:dyDescent="0.35">
      <c r="A1848" s="1">
        <v>46967</v>
      </c>
      <c r="B1848" s="2">
        <v>46303</v>
      </c>
      <c r="C1848" s="1" t="s">
        <v>24</v>
      </c>
      <c r="D1848" s="1">
        <f t="shared" si="28"/>
        <v>10</v>
      </c>
    </row>
    <row r="1849" spans="1:4" x14ac:dyDescent="0.35">
      <c r="A1849" s="1">
        <v>46966</v>
      </c>
      <c r="B1849" s="2">
        <v>46303</v>
      </c>
      <c r="C1849" s="1" t="s">
        <v>24</v>
      </c>
      <c r="D1849" s="1">
        <f t="shared" si="28"/>
        <v>10</v>
      </c>
    </row>
    <row r="1850" spans="1:4" x14ac:dyDescent="0.35">
      <c r="A1850" s="1">
        <v>46965</v>
      </c>
      <c r="B1850" s="2">
        <v>46303</v>
      </c>
      <c r="C1850" s="1" t="s">
        <v>24</v>
      </c>
      <c r="D1850" s="1">
        <f t="shared" si="28"/>
        <v>10</v>
      </c>
    </row>
    <row r="1851" spans="1:4" x14ac:dyDescent="0.35">
      <c r="A1851" s="1">
        <v>46964</v>
      </c>
      <c r="B1851" s="2">
        <v>46303</v>
      </c>
      <c r="C1851" s="1" t="s">
        <v>24</v>
      </c>
      <c r="D1851" s="1">
        <f t="shared" si="28"/>
        <v>10</v>
      </c>
    </row>
    <row r="1852" spans="1:4" x14ac:dyDescent="0.35">
      <c r="A1852" s="1">
        <v>46963</v>
      </c>
      <c r="B1852" s="2">
        <v>46303</v>
      </c>
      <c r="C1852" s="1" t="s">
        <v>4</v>
      </c>
      <c r="D1852" s="1">
        <f t="shared" si="28"/>
        <v>10</v>
      </c>
    </row>
    <row r="1853" spans="1:4" x14ac:dyDescent="0.35">
      <c r="A1853" s="1">
        <v>46962</v>
      </c>
      <c r="B1853" s="2">
        <v>46303</v>
      </c>
      <c r="C1853" s="1" t="s">
        <v>4</v>
      </c>
      <c r="D1853" s="1">
        <f t="shared" si="28"/>
        <v>10</v>
      </c>
    </row>
    <row r="1854" spans="1:4" x14ac:dyDescent="0.35">
      <c r="A1854" s="1">
        <v>47033</v>
      </c>
      <c r="B1854" s="2">
        <v>46303</v>
      </c>
      <c r="C1854" s="1" t="s">
        <v>10</v>
      </c>
      <c r="D1854" s="1">
        <f t="shared" si="28"/>
        <v>10</v>
      </c>
    </row>
    <row r="1855" spans="1:4" x14ac:dyDescent="0.35">
      <c r="A1855" s="1">
        <v>47032</v>
      </c>
      <c r="B1855" s="2">
        <v>46303</v>
      </c>
      <c r="C1855" s="1" t="s">
        <v>10</v>
      </c>
      <c r="D1855" s="1">
        <f t="shared" si="28"/>
        <v>10</v>
      </c>
    </row>
    <row r="1856" spans="1:4" x14ac:dyDescent="0.35">
      <c r="A1856" s="1">
        <v>47018</v>
      </c>
      <c r="B1856" s="2">
        <v>46303</v>
      </c>
      <c r="C1856" s="1" t="s">
        <v>21</v>
      </c>
      <c r="D1856" s="1">
        <f t="shared" si="28"/>
        <v>10</v>
      </c>
    </row>
    <row r="1857" spans="1:4" x14ac:dyDescent="0.35">
      <c r="A1857" s="1">
        <v>47017</v>
      </c>
      <c r="B1857" s="2">
        <v>46303</v>
      </c>
      <c r="C1857" s="1" t="s">
        <v>21</v>
      </c>
      <c r="D1857" s="1">
        <f t="shared" si="28"/>
        <v>10</v>
      </c>
    </row>
    <row r="1858" spans="1:4" x14ac:dyDescent="0.35">
      <c r="A1858" s="1">
        <v>47016</v>
      </c>
      <c r="B1858" s="2">
        <v>46303</v>
      </c>
      <c r="C1858" s="1" t="s">
        <v>3</v>
      </c>
      <c r="D1858" s="1">
        <f t="shared" ref="D1858:D1921" si="29">MONTH(B1858)</f>
        <v>10</v>
      </c>
    </row>
    <row r="1859" spans="1:4" x14ac:dyDescent="0.35">
      <c r="A1859" s="1">
        <v>47015</v>
      </c>
      <c r="B1859" s="2">
        <v>46303</v>
      </c>
      <c r="C1859" s="1" t="s">
        <v>3</v>
      </c>
      <c r="D1859" s="1">
        <f t="shared" si="29"/>
        <v>10</v>
      </c>
    </row>
    <row r="1860" spans="1:4" x14ac:dyDescent="0.35">
      <c r="A1860" s="1">
        <v>47009</v>
      </c>
      <c r="B1860" s="2">
        <v>46303</v>
      </c>
      <c r="C1860" s="1" t="s">
        <v>22</v>
      </c>
      <c r="D1860" s="1">
        <f t="shared" si="29"/>
        <v>10</v>
      </c>
    </row>
    <row r="1861" spans="1:4" x14ac:dyDescent="0.35">
      <c r="A1861" s="1">
        <v>47008</v>
      </c>
      <c r="B1861" s="2">
        <v>46303</v>
      </c>
      <c r="C1861" s="1" t="s">
        <v>22</v>
      </c>
      <c r="D1861" s="1">
        <f t="shared" si="29"/>
        <v>10</v>
      </c>
    </row>
    <row r="1862" spans="1:4" x14ac:dyDescent="0.35">
      <c r="A1862" s="1">
        <v>47007</v>
      </c>
      <c r="B1862" s="2">
        <v>46303</v>
      </c>
      <c r="C1862" s="1" t="s">
        <v>22</v>
      </c>
      <c r="D1862" s="1">
        <f t="shared" si="29"/>
        <v>10</v>
      </c>
    </row>
    <row r="1863" spans="1:4" x14ac:dyDescent="0.35">
      <c r="A1863" s="1">
        <v>47006</v>
      </c>
      <c r="B1863" s="2">
        <v>46303</v>
      </c>
      <c r="C1863" s="1" t="s">
        <v>22</v>
      </c>
      <c r="D1863" s="1">
        <f t="shared" si="29"/>
        <v>10</v>
      </c>
    </row>
    <row r="1864" spans="1:4" x14ac:dyDescent="0.35">
      <c r="A1864" s="1">
        <v>47005</v>
      </c>
      <c r="B1864" s="2">
        <v>46303</v>
      </c>
      <c r="C1864" s="1" t="s">
        <v>22</v>
      </c>
      <c r="D1864" s="1">
        <f t="shared" si="29"/>
        <v>10</v>
      </c>
    </row>
    <row r="1865" spans="1:4" x14ac:dyDescent="0.35">
      <c r="A1865" s="1">
        <v>47004</v>
      </c>
      <c r="B1865" s="2">
        <v>46303</v>
      </c>
      <c r="C1865" s="1" t="s">
        <v>22</v>
      </c>
      <c r="D1865" s="1">
        <f t="shared" si="29"/>
        <v>10</v>
      </c>
    </row>
    <row r="1866" spans="1:4" x14ac:dyDescent="0.35">
      <c r="A1866" s="1">
        <v>47003</v>
      </c>
      <c r="B1866" s="2">
        <v>46303</v>
      </c>
      <c r="C1866" s="1" t="s">
        <v>22</v>
      </c>
      <c r="D1866" s="1">
        <f t="shared" si="29"/>
        <v>10</v>
      </c>
    </row>
    <row r="1867" spans="1:4" x14ac:dyDescent="0.35">
      <c r="A1867" s="1">
        <v>47002</v>
      </c>
      <c r="B1867" s="2">
        <v>46303</v>
      </c>
      <c r="C1867" s="1" t="s">
        <v>22</v>
      </c>
      <c r="D1867" s="1">
        <f t="shared" si="29"/>
        <v>10</v>
      </c>
    </row>
    <row r="1868" spans="1:4" x14ac:dyDescent="0.35">
      <c r="A1868" s="1">
        <v>47001</v>
      </c>
      <c r="B1868" s="2">
        <v>46303</v>
      </c>
      <c r="C1868" s="1" t="s">
        <v>22</v>
      </c>
      <c r="D1868" s="1">
        <f t="shared" si="29"/>
        <v>10</v>
      </c>
    </row>
    <row r="1869" spans="1:4" x14ac:dyDescent="0.35">
      <c r="A1869" s="1">
        <v>47000</v>
      </c>
      <c r="B1869" s="2">
        <v>46303</v>
      </c>
      <c r="C1869" s="1" t="s">
        <v>22</v>
      </c>
      <c r="D1869" s="1">
        <f t="shared" si="29"/>
        <v>10</v>
      </c>
    </row>
    <row r="1870" spans="1:4" x14ac:dyDescent="0.35">
      <c r="A1870" s="1">
        <v>46992</v>
      </c>
      <c r="B1870" s="2">
        <v>46303</v>
      </c>
      <c r="C1870" s="1" t="s">
        <v>19</v>
      </c>
      <c r="D1870" s="1">
        <f t="shared" si="29"/>
        <v>10</v>
      </c>
    </row>
    <row r="1871" spans="1:4" x14ac:dyDescent="0.35">
      <c r="A1871" s="1">
        <v>46991</v>
      </c>
      <c r="B1871" s="2">
        <v>46303</v>
      </c>
      <c r="C1871" s="1" t="s">
        <v>9</v>
      </c>
      <c r="D1871" s="1">
        <f t="shared" si="29"/>
        <v>10</v>
      </c>
    </row>
    <row r="1872" spans="1:4" x14ac:dyDescent="0.35">
      <c r="A1872" s="1">
        <v>46989</v>
      </c>
      <c r="B1872" s="2">
        <v>46303</v>
      </c>
      <c r="C1872" s="1" t="s">
        <v>7</v>
      </c>
      <c r="D1872" s="1">
        <f t="shared" si="29"/>
        <v>10</v>
      </c>
    </row>
    <row r="1873" spans="1:4" x14ac:dyDescent="0.35">
      <c r="A1873" s="1">
        <v>46987</v>
      </c>
      <c r="B1873" s="2">
        <v>46303</v>
      </c>
      <c r="C1873" s="1" t="s">
        <v>21</v>
      </c>
      <c r="D1873" s="1">
        <f t="shared" si="29"/>
        <v>10</v>
      </c>
    </row>
    <row r="1874" spans="1:4" x14ac:dyDescent="0.35">
      <c r="A1874" s="1">
        <v>46985</v>
      </c>
      <c r="B1874" s="2">
        <v>46303</v>
      </c>
      <c r="C1874" s="1" t="s">
        <v>19</v>
      </c>
      <c r="D1874" s="1">
        <f t="shared" si="29"/>
        <v>10</v>
      </c>
    </row>
    <row r="1875" spans="1:4" x14ac:dyDescent="0.35">
      <c r="A1875" s="1">
        <v>46980</v>
      </c>
      <c r="B1875" s="2">
        <v>46303</v>
      </c>
      <c r="C1875" s="1" t="s">
        <v>9</v>
      </c>
      <c r="D1875" s="1">
        <f t="shared" si="29"/>
        <v>10</v>
      </c>
    </row>
    <row r="1876" spans="1:4" x14ac:dyDescent="0.35">
      <c r="A1876" s="1">
        <v>46979</v>
      </c>
      <c r="B1876" s="2">
        <v>46303</v>
      </c>
      <c r="C1876" s="1" t="s">
        <v>21</v>
      </c>
      <c r="D1876" s="1">
        <f t="shared" si="29"/>
        <v>10</v>
      </c>
    </row>
    <row r="1877" spans="1:4" x14ac:dyDescent="0.35">
      <c r="A1877" s="1">
        <v>46978</v>
      </c>
      <c r="B1877" s="2">
        <v>46303</v>
      </c>
      <c r="C1877" s="1" t="s">
        <v>28</v>
      </c>
      <c r="D1877" s="1">
        <f t="shared" si="29"/>
        <v>10</v>
      </c>
    </row>
    <row r="1878" spans="1:4" x14ac:dyDescent="0.35">
      <c r="A1878" s="1">
        <v>46977</v>
      </c>
      <c r="B1878" s="2">
        <v>46303</v>
      </c>
      <c r="C1878" s="1" t="s">
        <v>28</v>
      </c>
      <c r="D1878" s="1">
        <f t="shared" si="29"/>
        <v>10</v>
      </c>
    </row>
    <row r="1879" spans="1:4" x14ac:dyDescent="0.35">
      <c r="A1879" s="1">
        <v>46976</v>
      </c>
      <c r="B1879" s="2">
        <v>46303</v>
      </c>
      <c r="C1879" s="1" t="s">
        <v>28</v>
      </c>
      <c r="D1879" s="1">
        <f t="shared" si="29"/>
        <v>10</v>
      </c>
    </row>
    <row r="1880" spans="1:4" x14ac:dyDescent="0.35">
      <c r="A1880" s="1">
        <v>46975</v>
      </c>
      <c r="B1880" s="2">
        <v>46303</v>
      </c>
      <c r="C1880" s="1" t="s">
        <v>28</v>
      </c>
      <c r="D1880" s="1">
        <f t="shared" si="29"/>
        <v>10</v>
      </c>
    </row>
    <row r="1881" spans="1:4" x14ac:dyDescent="0.35">
      <c r="A1881" s="1">
        <v>47106</v>
      </c>
      <c r="B1881" s="2">
        <v>46304</v>
      </c>
      <c r="C1881" s="1" t="s">
        <v>10</v>
      </c>
      <c r="D1881" s="1">
        <f t="shared" si="29"/>
        <v>10</v>
      </c>
    </row>
    <row r="1882" spans="1:4" x14ac:dyDescent="0.35">
      <c r="A1882" s="1">
        <v>47105</v>
      </c>
      <c r="B1882" s="2">
        <v>46304</v>
      </c>
      <c r="C1882" s="1" t="s">
        <v>10</v>
      </c>
      <c r="D1882" s="1">
        <f t="shared" si="29"/>
        <v>10</v>
      </c>
    </row>
    <row r="1883" spans="1:4" x14ac:dyDescent="0.35">
      <c r="A1883" s="1">
        <v>47100</v>
      </c>
      <c r="B1883" s="2">
        <v>46304</v>
      </c>
      <c r="C1883" s="1" t="s">
        <v>24</v>
      </c>
      <c r="D1883" s="1">
        <f t="shared" si="29"/>
        <v>10</v>
      </c>
    </row>
    <row r="1884" spans="1:4" x14ac:dyDescent="0.35">
      <c r="A1884" s="1">
        <v>47099</v>
      </c>
      <c r="B1884" s="2">
        <v>46304</v>
      </c>
      <c r="C1884" s="1" t="s">
        <v>24</v>
      </c>
      <c r="D1884" s="1">
        <f t="shared" si="29"/>
        <v>10</v>
      </c>
    </row>
    <row r="1885" spans="1:4" x14ac:dyDescent="0.35">
      <c r="A1885" s="1">
        <v>47098</v>
      </c>
      <c r="B1885" s="2">
        <v>46304</v>
      </c>
      <c r="C1885" s="1" t="s">
        <v>24</v>
      </c>
      <c r="D1885" s="1">
        <f t="shared" si="29"/>
        <v>10</v>
      </c>
    </row>
    <row r="1886" spans="1:4" x14ac:dyDescent="0.35">
      <c r="A1886" s="1">
        <v>47097</v>
      </c>
      <c r="B1886" s="2">
        <v>46304</v>
      </c>
      <c r="C1886" s="1" t="s">
        <v>28</v>
      </c>
      <c r="D1886" s="1">
        <f t="shared" si="29"/>
        <v>10</v>
      </c>
    </row>
    <row r="1887" spans="1:4" x14ac:dyDescent="0.35">
      <c r="A1887" s="1">
        <v>47095</v>
      </c>
      <c r="B1887" s="2">
        <v>46304</v>
      </c>
      <c r="C1887" s="1" t="s">
        <v>3</v>
      </c>
      <c r="D1887" s="1">
        <f t="shared" si="29"/>
        <v>10</v>
      </c>
    </row>
    <row r="1888" spans="1:4" x14ac:dyDescent="0.35">
      <c r="A1888" s="1">
        <v>47094</v>
      </c>
      <c r="B1888" s="2">
        <v>46304</v>
      </c>
      <c r="C1888" s="1" t="s">
        <v>21</v>
      </c>
      <c r="D1888" s="1">
        <f t="shared" si="29"/>
        <v>10</v>
      </c>
    </row>
    <row r="1889" spans="1:4" x14ac:dyDescent="0.35">
      <c r="A1889" s="1">
        <v>47092</v>
      </c>
      <c r="B1889" s="2">
        <v>46304</v>
      </c>
      <c r="C1889" s="1" t="s">
        <v>7</v>
      </c>
      <c r="D1889" s="1">
        <f t="shared" si="29"/>
        <v>10</v>
      </c>
    </row>
    <row r="1890" spans="1:4" x14ac:dyDescent="0.35">
      <c r="A1890" s="1">
        <v>47091</v>
      </c>
      <c r="B1890" s="2">
        <v>46304</v>
      </c>
      <c r="C1890" s="1" t="s">
        <v>7</v>
      </c>
      <c r="D1890" s="1">
        <f t="shared" si="29"/>
        <v>10</v>
      </c>
    </row>
    <row r="1891" spans="1:4" x14ac:dyDescent="0.35">
      <c r="A1891" s="1">
        <v>47090</v>
      </c>
      <c r="B1891" s="2">
        <v>46304</v>
      </c>
      <c r="C1891" s="1" t="s">
        <v>28</v>
      </c>
      <c r="D1891" s="1">
        <f t="shared" si="29"/>
        <v>10</v>
      </c>
    </row>
    <row r="1892" spans="1:4" x14ac:dyDescent="0.35">
      <c r="A1892" s="1">
        <v>47089</v>
      </c>
      <c r="B1892" s="2">
        <v>46304</v>
      </c>
      <c r="C1892" s="1" t="s">
        <v>9</v>
      </c>
      <c r="D1892" s="1">
        <f t="shared" si="29"/>
        <v>10</v>
      </c>
    </row>
    <row r="1893" spans="1:4" x14ac:dyDescent="0.35">
      <c r="A1893" s="1">
        <v>47088</v>
      </c>
      <c r="B1893" s="2">
        <v>46304</v>
      </c>
      <c r="C1893" s="1" t="s">
        <v>9</v>
      </c>
      <c r="D1893" s="1">
        <f t="shared" si="29"/>
        <v>10</v>
      </c>
    </row>
    <row r="1894" spans="1:4" x14ac:dyDescent="0.35">
      <c r="A1894" s="1">
        <v>47087</v>
      </c>
      <c r="B1894" s="2">
        <v>46304</v>
      </c>
      <c r="C1894" s="1" t="s">
        <v>19</v>
      </c>
      <c r="D1894" s="1">
        <f t="shared" si="29"/>
        <v>10</v>
      </c>
    </row>
    <row r="1895" spans="1:4" x14ac:dyDescent="0.35">
      <c r="A1895" s="1">
        <v>47082</v>
      </c>
      <c r="B1895" s="2">
        <v>46304</v>
      </c>
      <c r="C1895" s="1" t="s">
        <v>28</v>
      </c>
      <c r="D1895" s="1">
        <f t="shared" si="29"/>
        <v>10</v>
      </c>
    </row>
    <row r="1896" spans="1:4" x14ac:dyDescent="0.35">
      <c r="A1896" s="1">
        <v>47078</v>
      </c>
      <c r="B1896" s="2">
        <v>46304</v>
      </c>
      <c r="C1896" s="1" t="s">
        <v>28</v>
      </c>
      <c r="D1896" s="1">
        <f t="shared" si="29"/>
        <v>10</v>
      </c>
    </row>
    <row r="1897" spans="1:4" x14ac:dyDescent="0.35">
      <c r="A1897" s="1">
        <v>47076</v>
      </c>
      <c r="B1897" s="2">
        <v>46304</v>
      </c>
      <c r="C1897" s="1" t="s">
        <v>24</v>
      </c>
      <c r="D1897" s="1">
        <f t="shared" si="29"/>
        <v>10</v>
      </c>
    </row>
    <row r="1898" spans="1:4" x14ac:dyDescent="0.35">
      <c r="A1898" s="1">
        <v>47075</v>
      </c>
      <c r="B1898" s="2">
        <v>46304</v>
      </c>
      <c r="C1898" s="1" t="s">
        <v>24</v>
      </c>
      <c r="D1898" s="1">
        <f t="shared" si="29"/>
        <v>10</v>
      </c>
    </row>
    <row r="1899" spans="1:4" x14ac:dyDescent="0.35">
      <c r="A1899" s="1">
        <v>47074</v>
      </c>
      <c r="B1899" s="2">
        <v>46304</v>
      </c>
      <c r="C1899" s="1" t="s">
        <v>24</v>
      </c>
      <c r="D1899" s="1">
        <f t="shared" si="29"/>
        <v>10</v>
      </c>
    </row>
    <row r="1900" spans="1:4" x14ac:dyDescent="0.35">
      <c r="A1900" s="1">
        <v>47073</v>
      </c>
      <c r="B1900" s="2">
        <v>46304</v>
      </c>
      <c r="C1900" s="1" t="s">
        <v>24</v>
      </c>
      <c r="D1900" s="1">
        <f t="shared" si="29"/>
        <v>10</v>
      </c>
    </row>
    <row r="1901" spans="1:4" x14ac:dyDescent="0.35">
      <c r="A1901" s="1">
        <v>47071</v>
      </c>
      <c r="B1901" s="2">
        <v>46304</v>
      </c>
      <c r="C1901" s="1" t="s">
        <v>21</v>
      </c>
      <c r="D1901" s="1">
        <f t="shared" si="29"/>
        <v>10</v>
      </c>
    </row>
    <row r="1902" spans="1:4" x14ac:dyDescent="0.35">
      <c r="A1902" s="1">
        <v>47070</v>
      </c>
      <c r="B1902" s="2">
        <v>46304</v>
      </c>
      <c r="C1902" s="1" t="s">
        <v>19</v>
      </c>
      <c r="D1902" s="1">
        <f t="shared" si="29"/>
        <v>10</v>
      </c>
    </row>
    <row r="1903" spans="1:4" x14ac:dyDescent="0.35">
      <c r="A1903" s="1">
        <v>47051</v>
      </c>
      <c r="B1903" s="2">
        <v>46304</v>
      </c>
      <c r="C1903" s="1" t="s">
        <v>19</v>
      </c>
      <c r="D1903" s="1">
        <f t="shared" si="29"/>
        <v>10</v>
      </c>
    </row>
    <row r="1904" spans="1:4" x14ac:dyDescent="0.35">
      <c r="A1904" s="1">
        <v>47049</v>
      </c>
      <c r="B1904" s="2">
        <v>46304</v>
      </c>
      <c r="C1904" s="1" t="s">
        <v>21</v>
      </c>
      <c r="D1904" s="1">
        <f t="shared" si="29"/>
        <v>10</v>
      </c>
    </row>
    <row r="1905" spans="1:4" x14ac:dyDescent="0.35">
      <c r="A1905" s="1">
        <v>47047</v>
      </c>
      <c r="B1905" s="2">
        <v>46304</v>
      </c>
      <c r="C1905" s="1" t="s">
        <v>3</v>
      </c>
      <c r="D1905" s="1">
        <f t="shared" si="29"/>
        <v>10</v>
      </c>
    </row>
    <row r="1906" spans="1:4" x14ac:dyDescent="0.35">
      <c r="A1906" s="1">
        <v>47044</v>
      </c>
      <c r="B1906" s="2">
        <v>46304</v>
      </c>
      <c r="C1906" s="1" t="s">
        <v>19</v>
      </c>
      <c r="D1906" s="1">
        <f t="shared" si="29"/>
        <v>10</v>
      </c>
    </row>
    <row r="1907" spans="1:4" x14ac:dyDescent="0.35">
      <c r="A1907" s="1">
        <v>47039</v>
      </c>
      <c r="B1907" s="2">
        <v>46304</v>
      </c>
      <c r="C1907" s="1" t="s">
        <v>21</v>
      </c>
      <c r="D1907" s="1">
        <f t="shared" si="29"/>
        <v>10</v>
      </c>
    </row>
    <row r="1908" spans="1:4" x14ac:dyDescent="0.35">
      <c r="A1908" s="1">
        <v>47038</v>
      </c>
      <c r="B1908" s="2">
        <v>46304</v>
      </c>
      <c r="C1908" s="1" t="s">
        <v>19</v>
      </c>
      <c r="D1908" s="1">
        <f t="shared" si="29"/>
        <v>10</v>
      </c>
    </row>
    <row r="1909" spans="1:4" x14ac:dyDescent="0.35">
      <c r="A1909" s="1">
        <v>47036</v>
      </c>
      <c r="B1909" s="2">
        <v>46304</v>
      </c>
      <c r="C1909" s="1" t="s">
        <v>9</v>
      </c>
      <c r="D1909" s="1">
        <f t="shared" si="29"/>
        <v>10</v>
      </c>
    </row>
    <row r="1910" spans="1:4" x14ac:dyDescent="0.35">
      <c r="A1910" s="1">
        <v>47117</v>
      </c>
      <c r="B1910" s="2">
        <v>46305</v>
      </c>
      <c r="C1910" s="1" t="s">
        <v>10</v>
      </c>
      <c r="D1910" s="1">
        <f t="shared" si="29"/>
        <v>10</v>
      </c>
    </row>
    <row r="1911" spans="1:4" x14ac:dyDescent="0.35">
      <c r="A1911" s="1">
        <v>47107</v>
      </c>
      <c r="B1911" s="2">
        <v>46305</v>
      </c>
      <c r="C1911" s="1" t="s">
        <v>10</v>
      </c>
      <c r="D1911" s="1">
        <f t="shared" si="29"/>
        <v>10</v>
      </c>
    </row>
    <row r="1912" spans="1:4" x14ac:dyDescent="0.35">
      <c r="A1912" s="1">
        <v>47130</v>
      </c>
      <c r="B1912" s="2">
        <v>46306</v>
      </c>
      <c r="C1912" s="1" t="s">
        <v>17</v>
      </c>
      <c r="D1912" s="1">
        <f t="shared" si="29"/>
        <v>10</v>
      </c>
    </row>
    <row r="1913" spans="1:4" x14ac:dyDescent="0.35">
      <c r="A1913" s="1">
        <v>47129</v>
      </c>
      <c r="B1913" s="2">
        <v>46306</v>
      </c>
      <c r="C1913" s="1" t="s">
        <v>17</v>
      </c>
      <c r="D1913" s="1">
        <f t="shared" si="29"/>
        <v>10</v>
      </c>
    </row>
    <row r="1914" spans="1:4" x14ac:dyDescent="0.35">
      <c r="A1914" s="1">
        <v>47128</v>
      </c>
      <c r="B1914" s="2">
        <v>46306</v>
      </c>
      <c r="C1914" s="1" t="s">
        <v>17</v>
      </c>
      <c r="D1914" s="1">
        <f t="shared" si="29"/>
        <v>10</v>
      </c>
    </row>
    <row r="1915" spans="1:4" x14ac:dyDescent="0.35">
      <c r="A1915" s="1">
        <v>47127</v>
      </c>
      <c r="B1915" s="2">
        <v>46306</v>
      </c>
      <c r="C1915" s="1" t="s">
        <v>17</v>
      </c>
      <c r="D1915" s="1">
        <f t="shared" si="29"/>
        <v>10</v>
      </c>
    </row>
    <row r="1916" spans="1:4" x14ac:dyDescent="0.35">
      <c r="A1916" s="1">
        <v>47170</v>
      </c>
      <c r="B1916" s="2">
        <v>46307</v>
      </c>
      <c r="C1916" s="1" t="s">
        <v>10</v>
      </c>
      <c r="D1916" s="1">
        <f t="shared" si="29"/>
        <v>10</v>
      </c>
    </row>
    <row r="1917" spans="1:4" x14ac:dyDescent="0.35">
      <c r="A1917" s="1">
        <v>47169</v>
      </c>
      <c r="B1917" s="2">
        <v>46307</v>
      </c>
      <c r="C1917" s="1" t="s">
        <v>10</v>
      </c>
      <c r="D1917" s="1">
        <f t="shared" si="29"/>
        <v>10</v>
      </c>
    </row>
    <row r="1918" spans="1:4" x14ac:dyDescent="0.35">
      <c r="A1918" s="1">
        <v>47188</v>
      </c>
      <c r="B1918" s="2">
        <v>46308</v>
      </c>
      <c r="C1918" s="1" t="s">
        <v>3</v>
      </c>
      <c r="D1918" s="1">
        <f t="shared" si="29"/>
        <v>10</v>
      </c>
    </row>
    <row r="1919" spans="1:4" x14ac:dyDescent="0.35">
      <c r="A1919" s="1">
        <v>47187</v>
      </c>
      <c r="B1919" s="2">
        <v>46308</v>
      </c>
      <c r="C1919" s="1" t="s">
        <v>21</v>
      </c>
      <c r="D1919" s="1">
        <f t="shared" si="29"/>
        <v>10</v>
      </c>
    </row>
    <row r="1920" spans="1:4" x14ac:dyDescent="0.35">
      <c r="A1920" s="1">
        <v>47246</v>
      </c>
      <c r="B1920" s="2">
        <v>46308</v>
      </c>
      <c r="C1920" s="1" t="s">
        <v>3</v>
      </c>
      <c r="D1920" s="1">
        <f t="shared" si="29"/>
        <v>10</v>
      </c>
    </row>
    <row r="1921" spans="1:4" x14ac:dyDescent="0.35">
      <c r="A1921" s="1">
        <v>47245</v>
      </c>
      <c r="B1921" s="2">
        <v>46308</v>
      </c>
      <c r="C1921" s="1" t="s">
        <v>10</v>
      </c>
      <c r="D1921" s="1">
        <f t="shared" si="29"/>
        <v>10</v>
      </c>
    </row>
    <row r="1922" spans="1:4" x14ac:dyDescent="0.35">
      <c r="A1922" s="1">
        <v>47244</v>
      </c>
      <c r="B1922" s="2">
        <v>46308</v>
      </c>
      <c r="C1922" s="1" t="s">
        <v>10</v>
      </c>
      <c r="D1922" s="1">
        <f t="shared" ref="D1922:D1985" si="30">MONTH(B1922)</f>
        <v>10</v>
      </c>
    </row>
    <row r="1923" spans="1:4" x14ac:dyDescent="0.35">
      <c r="A1923" s="1">
        <v>47232</v>
      </c>
      <c r="B1923" s="2">
        <v>46308</v>
      </c>
      <c r="C1923" s="1" t="s">
        <v>22</v>
      </c>
      <c r="D1923" s="1">
        <f t="shared" si="30"/>
        <v>10</v>
      </c>
    </row>
    <row r="1924" spans="1:4" x14ac:dyDescent="0.35">
      <c r="A1924" s="1">
        <v>47231</v>
      </c>
      <c r="B1924" s="2">
        <v>46308</v>
      </c>
      <c r="C1924" s="1" t="s">
        <v>22</v>
      </c>
      <c r="D1924" s="1">
        <f t="shared" si="30"/>
        <v>10</v>
      </c>
    </row>
    <row r="1925" spans="1:4" x14ac:dyDescent="0.35">
      <c r="A1925" s="1">
        <v>47230</v>
      </c>
      <c r="B1925" s="2">
        <v>46308</v>
      </c>
      <c r="C1925" s="1" t="s">
        <v>22</v>
      </c>
      <c r="D1925" s="1">
        <f t="shared" si="30"/>
        <v>10</v>
      </c>
    </row>
    <row r="1926" spans="1:4" x14ac:dyDescent="0.35">
      <c r="A1926" s="1">
        <v>47229</v>
      </c>
      <c r="B1926" s="2">
        <v>46308</v>
      </c>
      <c r="C1926" s="1" t="s">
        <v>24</v>
      </c>
      <c r="D1926" s="1">
        <f t="shared" si="30"/>
        <v>10</v>
      </c>
    </row>
    <row r="1927" spans="1:4" x14ac:dyDescent="0.35">
      <c r="A1927" s="1">
        <v>47228</v>
      </c>
      <c r="B1927" s="2">
        <v>46308</v>
      </c>
      <c r="C1927" s="1" t="s">
        <v>24</v>
      </c>
      <c r="D1927" s="1">
        <f t="shared" si="30"/>
        <v>10</v>
      </c>
    </row>
    <row r="1928" spans="1:4" x14ac:dyDescent="0.35">
      <c r="A1928" s="1">
        <v>47227</v>
      </c>
      <c r="B1928" s="2">
        <v>46308</v>
      </c>
      <c r="C1928" s="1" t="s">
        <v>7</v>
      </c>
      <c r="D1928" s="1">
        <f t="shared" si="30"/>
        <v>10</v>
      </c>
    </row>
    <row r="1929" spans="1:4" x14ac:dyDescent="0.35">
      <c r="A1929" s="1">
        <v>47226</v>
      </c>
      <c r="B1929" s="2">
        <v>46308</v>
      </c>
      <c r="C1929" s="1" t="s">
        <v>24</v>
      </c>
      <c r="D1929" s="1">
        <f t="shared" si="30"/>
        <v>10</v>
      </c>
    </row>
    <row r="1930" spans="1:4" x14ac:dyDescent="0.35">
      <c r="A1930" s="1">
        <v>47225</v>
      </c>
      <c r="B1930" s="2">
        <v>46308</v>
      </c>
      <c r="C1930" s="1" t="s">
        <v>24</v>
      </c>
      <c r="D1930" s="1">
        <f t="shared" si="30"/>
        <v>10</v>
      </c>
    </row>
    <row r="1931" spans="1:4" x14ac:dyDescent="0.35">
      <c r="A1931" s="1">
        <v>47220</v>
      </c>
      <c r="B1931" s="2">
        <v>46308</v>
      </c>
      <c r="C1931" s="1" t="s">
        <v>28</v>
      </c>
      <c r="D1931" s="1">
        <f t="shared" si="30"/>
        <v>10</v>
      </c>
    </row>
    <row r="1932" spans="1:4" x14ac:dyDescent="0.35">
      <c r="A1932" s="1">
        <v>47219</v>
      </c>
      <c r="B1932" s="2">
        <v>46308</v>
      </c>
      <c r="C1932" s="1" t="s">
        <v>28</v>
      </c>
      <c r="D1932" s="1">
        <f t="shared" si="30"/>
        <v>10</v>
      </c>
    </row>
    <row r="1933" spans="1:4" x14ac:dyDescent="0.35">
      <c r="A1933" s="1">
        <v>47218</v>
      </c>
      <c r="B1933" s="2">
        <v>46308</v>
      </c>
      <c r="C1933" s="1" t="s">
        <v>28</v>
      </c>
      <c r="D1933" s="1">
        <f t="shared" si="30"/>
        <v>10</v>
      </c>
    </row>
    <row r="1934" spans="1:4" x14ac:dyDescent="0.35">
      <c r="A1934" s="1">
        <v>47216</v>
      </c>
      <c r="B1934" s="2">
        <v>46308</v>
      </c>
      <c r="C1934" s="1" t="s">
        <v>28</v>
      </c>
      <c r="D1934" s="1">
        <f t="shared" si="30"/>
        <v>10</v>
      </c>
    </row>
    <row r="1935" spans="1:4" x14ac:dyDescent="0.35">
      <c r="A1935" s="1">
        <v>47215</v>
      </c>
      <c r="B1935" s="2">
        <v>46308</v>
      </c>
      <c r="C1935" s="1" t="s">
        <v>28</v>
      </c>
      <c r="D1935" s="1">
        <f t="shared" si="30"/>
        <v>10</v>
      </c>
    </row>
    <row r="1936" spans="1:4" x14ac:dyDescent="0.35">
      <c r="A1936" s="1">
        <v>47214</v>
      </c>
      <c r="B1936" s="2">
        <v>46308</v>
      </c>
      <c r="C1936" s="1" t="s">
        <v>21</v>
      </c>
      <c r="D1936" s="1">
        <f t="shared" si="30"/>
        <v>10</v>
      </c>
    </row>
    <row r="1937" spans="1:4" x14ac:dyDescent="0.35">
      <c r="A1937" s="1">
        <v>47213</v>
      </c>
      <c r="B1937" s="2">
        <v>46308</v>
      </c>
      <c r="C1937" s="1" t="s">
        <v>17</v>
      </c>
      <c r="D1937" s="1">
        <f t="shared" si="30"/>
        <v>10</v>
      </c>
    </row>
    <row r="1938" spans="1:4" x14ac:dyDescent="0.35">
      <c r="A1938" s="1">
        <v>47212</v>
      </c>
      <c r="B1938" s="2">
        <v>46308</v>
      </c>
      <c r="C1938" s="1" t="s">
        <v>17</v>
      </c>
      <c r="D1938" s="1">
        <f t="shared" si="30"/>
        <v>10</v>
      </c>
    </row>
    <row r="1939" spans="1:4" x14ac:dyDescent="0.35">
      <c r="A1939" s="1">
        <v>47211</v>
      </c>
      <c r="B1939" s="2">
        <v>46308</v>
      </c>
      <c r="C1939" s="1" t="s">
        <v>17</v>
      </c>
      <c r="D1939" s="1">
        <f t="shared" si="30"/>
        <v>10</v>
      </c>
    </row>
    <row r="1940" spans="1:4" x14ac:dyDescent="0.35">
      <c r="A1940" s="1">
        <v>47210</v>
      </c>
      <c r="B1940" s="2">
        <v>46308</v>
      </c>
      <c r="C1940" s="1" t="s">
        <v>17</v>
      </c>
      <c r="D1940" s="1">
        <f t="shared" si="30"/>
        <v>10</v>
      </c>
    </row>
    <row r="1941" spans="1:4" x14ac:dyDescent="0.35">
      <c r="A1941" s="1">
        <v>47208</v>
      </c>
      <c r="B1941" s="2">
        <v>46308</v>
      </c>
      <c r="C1941" s="1" t="s">
        <v>19</v>
      </c>
      <c r="D1941" s="1">
        <f t="shared" si="30"/>
        <v>10</v>
      </c>
    </row>
    <row r="1942" spans="1:4" x14ac:dyDescent="0.35">
      <c r="A1942" s="1">
        <v>47206</v>
      </c>
      <c r="B1942" s="2">
        <v>46308</v>
      </c>
      <c r="C1942" s="1" t="s">
        <v>9</v>
      </c>
      <c r="D1942" s="1">
        <f t="shared" si="30"/>
        <v>10</v>
      </c>
    </row>
    <row r="1943" spans="1:4" x14ac:dyDescent="0.35">
      <c r="A1943" s="1">
        <v>47203</v>
      </c>
      <c r="B1943" s="2">
        <v>46308</v>
      </c>
      <c r="C1943" s="1" t="s">
        <v>103</v>
      </c>
      <c r="D1943" s="1">
        <f t="shared" si="30"/>
        <v>10</v>
      </c>
    </row>
    <row r="1944" spans="1:4" x14ac:dyDescent="0.35">
      <c r="A1944" s="1">
        <v>47202</v>
      </c>
      <c r="B1944" s="2">
        <v>46308</v>
      </c>
      <c r="C1944" s="1" t="s">
        <v>103</v>
      </c>
      <c r="D1944" s="1">
        <f t="shared" si="30"/>
        <v>10</v>
      </c>
    </row>
    <row r="1945" spans="1:4" x14ac:dyDescent="0.35">
      <c r="A1945" s="1">
        <v>47201</v>
      </c>
      <c r="B1945" s="2">
        <v>46308</v>
      </c>
      <c r="C1945" s="1" t="s">
        <v>7</v>
      </c>
      <c r="D1945" s="1">
        <f t="shared" si="30"/>
        <v>10</v>
      </c>
    </row>
    <row r="1946" spans="1:4" x14ac:dyDescent="0.35">
      <c r="A1946" s="1">
        <v>47200</v>
      </c>
      <c r="B1946" s="2">
        <v>46308</v>
      </c>
      <c r="C1946" s="1" t="s">
        <v>21</v>
      </c>
      <c r="D1946" s="1">
        <f t="shared" si="30"/>
        <v>10</v>
      </c>
    </row>
    <row r="1947" spans="1:4" x14ac:dyDescent="0.35">
      <c r="A1947" s="1">
        <v>47199</v>
      </c>
      <c r="B1947" s="2">
        <v>46308</v>
      </c>
      <c r="C1947" s="1" t="s">
        <v>21</v>
      </c>
      <c r="D1947" s="1">
        <f t="shared" si="30"/>
        <v>10</v>
      </c>
    </row>
    <row r="1948" spans="1:4" x14ac:dyDescent="0.35">
      <c r="A1948" s="1">
        <v>47198</v>
      </c>
      <c r="B1948" s="2">
        <v>46308</v>
      </c>
      <c r="C1948" s="1" t="s">
        <v>15</v>
      </c>
      <c r="D1948" s="1">
        <f t="shared" si="30"/>
        <v>10</v>
      </c>
    </row>
    <row r="1949" spans="1:4" x14ac:dyDescent="0.35">
      <c r="A1949" s="1">
        <v>47197</v>
      </c>
      <c r="B1949" s="2">
        <v>46308</v>
      </c>
      <c r="C1949" s="1" t="s">
        <v>6</v>
      </c>
      <c r="D1949" s="1">
        <f t="shared" si="30"/>
        <v>10</v>
      </c>
    </row>
    <row r="1950" spans="1:4" x14ac:dyDescent="0.35">
      <c r="A1950" s="1">
        <v>47196</v>
      </c>
      <c r="B1950" s="2">
        <v>46308</v>
      </c>
      <c r="C1950" s="1" t="s">
        <v>6</v>
      </c>
      <c r="D1950" s="1">
        <f t="shared" si="30"/>
        <v>10</v>
      </c>
    </row>
    <row r="1951" spans="1:4" x14ac:dyDescent="0.35">
      <c r="A1951" s="1">
        <v>47194</v>
      </c>
      <c r="B1951" s="2">
        <v>46308</v>
      </c>
      <c r="C1951" s="1" t="s">
        <v>9</v>
      </c>
      <c r="D1951" s="1">
        <f t="shared" si="30"/>
        <v>10</v>
      </c>
    </row>
    <row r="1952" spans="1:4" x14ac:dyDescent="0.35">
      <c r="A1952" s="1">
        <v>47193</v>
      </c>
      <c r="B1952" s="2">
        <v>46308</v>
      </c>
      <c r="C1952" s="1" t="s">
        <v>19</v>
      </c>
      <c r="D1952" s="1">
        <f t="shared" si="30"/>
        <v>10</v>
      </c>
    </row>
    <row r="1953" spans="1:4" x14ac:dyDescent="0.35">
      <c r="A1953" s="1">
        <v>47192</v>
      </c>
      <c r="B1953" s="2">
        <v>46308</v>
      </c>
      <c r="C1953" s="1" t="s">
        <v>21</v>
      </c>
      <c r="D1953" s="1">
        <f t="shared" si="30"/>
        <v>10</v>
      </c>
    </row>
    <row r="1954" spans="1:4" x14ac:dyDescent="0.35">
      <c r="A1954" s="1">
        <v>47191</v>
      </c>
      <c r="B1954" s="2">
        <v>46308</v>
      </c>
      <c r="C1954" s="1" t="s">
        <v>19</v>
      </c>
      <c r="D1954" s="1">
        <f t="shared" si="30"/>
        <v>10</v>
      </c>
    </row>
    <row r="1955" spans="1:4" x14ac:dyDescent="0.35">
      <c r="A1955" s="1">
        <v>47190</v>
      </c>
      <c r="B1955" s="2">
        <v>46308</v>
      </c>
      <c r="C1955" s="1" t="s">
        <v>9</v>
      </c>
      <c r="D1955" s="1">
        <f t="shared" si="30"/>
        <v>10</v>
      </c>
    </row>
    <row r="1956" spans="1:4" x14ac:dyDescent="0.35">
      <c r="A1956" s="1">
        <v>47189</v>
      </c>
      <c r="B1956" s="2">
        <v>46308</v>
      </c>
      <c r="C1956" s="1" t="s">
        <v>3</v>
      </c>
      <c r="D1956" s="1">
        <f t="shared" si="30"/>
        <v>10</v>
      </c>
    </row>
    <row r="1957" spans="1:4" x14ac:dyDescent="0.35">
      <c r="A1957" s="1">
        <v>47289</v>
      </c>
      <c r="B1957" s="2">
        <v>46309</v>
      </c>
      <c r="C1957" s="1" t="s">
        <v>3</v>
      </c>
      <c r="D1957" s="1">
        <f t="shared" si="30"/>
        <v>10</v>
      </c>
    </row>
    <row r="1958" spans="1:4" x14ac:dyDescent="0.35">
      <c r="A1958" s="1">
        <v>47281</v>
      </c>
      <c r="B1958" s="2">
        <v>46309</v>
      </c>
      <c r="C1958" s="1" t="s">
        <v>21</v>
      </c>
      <c r="D1958" s="1">
        <f t="shared" si="30"/>
        <v>10</v>
      </c>
    </row>
    <row r="1959" spans="1:4" x14ac:dyDescent="0.35">
      <c r="A1959" s="1">
        <v>47280</v>
      </c>
      <c r="B1959" s="2">
        <v>46309</v>
      </c>
      <c r="C1959" s="1" t="s">
        <v>21</v>
      </c>
      <c r="D1959" s="1">
        <f t="shared" si="30"/>
        <v>10</v>
      </c>
    </row>
    <row r="1960" spans="1:4" x14ac:dyDescent="0.35">
      <c r="A1960" s="1">
        <v>47277</v>
      </c>
      <c r="B1960" s="2">
        <v>46309</v>
      </c>
      <c r="C1960" s="1" t="s">
        <v>17</v>
      </c>
      <c r="D1960" s="1">
        <f t="shared" si="30"/>
        <v>10</v>
      </c>
    </row>
    <row r="1961" spans="1:4" x14ac:dyDescent="0.35">
      <c r="A1961" s="1">
        <v>47276</v>
      </c>
      <c r="B1961" s="2">
        <v>46309</v>
      </c>
      <c r="C1961" s="1" t="s">
        <v>17</v>
      </c>
      <c r="D1961" s="1">
        <f t="shared" si="30"/>
        <v>10</v>
      </c>
    </row>
    <row r="1962" spans="1:4" x14ac:dyDescent="0.35">
      <c r="A1962" s="1">
        <v>47275</v>
      </c>
      <c r="B1962" s="2">
        <v>46309</v>
      </c>
      <c r="C1962" s="1" t="s">
        <v>17</v>
      </c>
      <c r="D1962" s="1">
        <f t="shared" si="30"/>
        <v>10</v>
      </c>
    </row>
    <row r="1963" spans="1:4" x14ac:dyDescent="0.35">
      <c r="A1963" s="1">
        <v>47274</v>
      </c>
      <c r="B1963" s="2">
        <v>46309</v>
      </c>
      <c r="C1963" s="1" t="s">
        <v>7</v>
      </c>
      <c r="D1963" s="1">
        <f t="shared" si="30"/>
        <v>10</v>
      </c>
    </row>
    <row r="1964" spans="1:4" x14ac:dyDescent="0.35">
      <c r="A1964" s="1">
        <v>47273</v>
      </c>
      <c r="B1964" s="2">
        <v>46309</v>
      </c>
      <c r="C1964" s="1" t="s">
        <v>7</v>
      </c>
      <c r="D1964" s="1">
        <f t="shared" si="30"/>
        <v>10</v>
      </c>
    </row>
    <row r="1965" spans="1:4" x14ac:dyDescent="0.35">
      <c r="A1965" s="1">
        <v>47268</v>
      </c>
      <c r="B1965" s="2">
        <v>46309</v>
      </c>
      <c r="C1965" s="1" t="s">
        <v>6</v>
      </c>
      <c r="D1965" s="1">
        <f t="shared" si="30"/>
        <v>10</v>
      </c>
    </row>
    <row r="1966" spans="1:4" x14ac:dyDescent="0.35">
      <c r="A1966" s="1">
        <v>47267</v>
      </c>
      <c r="B1966" s="2">
        <v>46309</v>
      </c>
      <c r="C1966" s="1" t="s">
        <v>6</v>
      </c>
      <c r="D1966" s="1">
        <f t="shared" si="30"/>
        <v>10</v>
      </c>
    </row>
    <row r="1967" spans="1:4" x14ac:dyDescent="0.35">
      <c r="A1967" s="1">
        <v>47266</v>
      </c>
      <c r="B1967" s="2">
        <v>46309</v>
      </c>
      <c r="C1967" s="1" t="s">
        <v>21</v>
      </c>
      <c r="D1967" s="1">
        <f t="shared" si="30"/>
        <v>10</v>
      </c>
    </row>
    <row r="1968" spans="1:4" x14ac:dyDescent="0.35">
      <c r="A1968" s="1">
        <v>47265</v>
      </c>
      <c r="B1968" s="2">
        <v>46309</v>
      </c>
      <c r="C1968" s="1" t="s">
        <v>21</v>
      </c>
      <c r="D1968" s="1">
        <f t="shared" si="30"/>
        <v>10</v>
      </c>
    </row>
    <row r="1969" spans="1:4" x14ac:dyDescent="0.35">
      <c r="A1969" s="1">
        <v>47264</v>
      </c>
      <c r="B1969" s="2">
        <v>46309</v>
      </c>
      <c r="C1969" s="1" t="s">
        <v>10</v>
      </c>
      <c r="D1969" s="1">
        <f t="shared" si="30"/>
        <v>10</v>
      </c>
    </row>
    <row r="1970" spans="1:4" x14ac:dyDescent="0.35">
      <c r="A1970" s="1">
        <v>47263</v>
      </c>
      <c r="B1970" s="2">
        <v>46309</v>
      </c>
      <c r="C1970" s="1" t="s">
        <v>10</v>
      </c>
      <c r="D1970" s="1">
        <f t="shared" si="30"/>
        <v>10</v>
      </c>
    </row>
    <row r="1971" spans="1:4" x14ac:dyDescent="0.35">
      <c r="A1971" s="1">
        <v>47262</v>
      </c>
      <c r="B1971" s="2">
        <v>46309</v>
      </c>
      <c r="C1971" s="1" t="s">
        <v>3</v>
      </c>
      <c r="D1971" s="1">
        <f t="shared" si="30"/>
        <v>10</v>
      </c>
    </row>
    <row r="1972" spans="1:4" x14ac:dyDescent="0.35">
      <c r="A1972" s="1">
        <v>47261</v>
      </c>
      <c r="B1972" s="2">
        <v>46309</v>
      </c>
      <c r="C1972" s="1" t="s">
        <v>21</v>
      </c>
      <c r="D1972" s="1">
        <f t="shared" si="30"/>
        <v>10</v>
      </c>
    </row>
    <row r="1973" spans="1:4" x14ac:dyDescent="0.35">
      <c r="A1973" s="1">
        <v>47260</v>
      </c>
      <c r="B1973" s="2">
        <v>46309</v>
      </c>
      <c r="C1973" s="1" t="s">
        <v>21</v>
      </c>
      <c r="D1973" s="1">
        <f t="shared" si="30"/>
        <v>10</v>
      </c>
    </row>
    <row r="1974" spans="1:4" x14ac:dyDescent="0.35">
      <c r="A1974" s="1">
        <v>47255</v>
      </c>
      <c r="B1974" s="2">
        <v>46309</v>
      </c>
      <c r="C1974" s="1" t="s">
        <v>3</v>
      </c>
      <c r="D1974" s="1">
        <f t="shared" si="30"/>
        <v>10</v>
      </c>
    </row>
    <row r="1975" spans="1:4" x14ac:dyDescent="0.35">
      <c r="A1975" s="1">
        <v>47254</v>
      </c>
      <c r="B1975" s="2">
        <v>46309</v>
      </c>
      <c r="C1975" s="1" t="s">
        <v>3</v>
      </c>
      <c r="D1975" s="1">
        <f t="shared" si="30"/>
        <v>10</v>
      </c>
    </row>
    <row r="1976" spans="1:4" x14ac:dyDescent="0.35">
      <c r="A1976" s="1">
        <v>47349</v>
      </c>
      <c r="B1976" s="2">
        <v>46310</v>
      </c>
      <c r="C1976" s="1" t="s">
        <v>11</v>
      </c>
      <c r="D1976" s="1">
        <f t="shared" si="30"/>
        <v>10</v>
      </c>
    </row>
    <row r="1977" spans="1:4" x14ac:dyDescent="0.35">
      <c r="A1977" s="1">
        <v>47339</v>
      </c>
      <c r="B1977" s="2">
        <v>46310</v>
      </c>
      <c r="C1977" s="1" t="s">
        <v>21</v>
      </c>
      <c r="D1977" s="1">
        <f t="shared" si="30"/>
        <v>10</v>
      </c>
    </row>
    <row r="1978" spans="1:4" x14ac:dyDescent="0.35">
      <c r="A1978" s="1">
        <v>47338</v>
      </c>
      <c r="B1978" s="2">
        <v>46310</v>
      </c>
      <c r="C1978" s="1" t="s">
        <v>21</v>
      </c>
      <c r="D1978" s="1">
        <f t="shared" si="30"/>
        <v>10</v>
      </c>
    </row>
    <row r="1979" spans="1:4" x14ac:dyDescent="0.35">
      <c r="A1979" s="1">
        <v>47337</v>
      </c>
      <c r="B1979" s="2">
        <v>46310</v>
      </c>
      <c r="C1979" s="1" t="s">
        <v>21</v>
      </c>
      <c r="D1979" s="1">
        <f t="shared" si="30"/>
        <v>10</v>
      </c>
    </row>
    <row r="1980" spans="1:4" x14ac:dyDescent="0.35">
      <c r="A1980" s="1">
        <v>47336</v>
      </c>
      <c r="B1980" s="2">
        <v>46310</v>
      </c>
      <c r="C1980" s="1" t="s">
        <v>10</v>
      </c>
      <c r="D1980" s="1">
        <f t="shared" si="30"/>
        <v>10</v>
      </c>
    </row>
    <row r="1981" spans="1:4" x14ac:dyDescent="0.35">
      <c r="A1981" s="1">
        <v>47335</v>
      </c>
      <c r="B1981" s="2">
        <v>46310</v>
      </c>
      <c r="C1981" s="1" t="s">
        <v>10</v>
      </c>
      <c r="D1981" s="1">
        <f t="shared" si="30"/>
        <v>10</v>
      </c>
    </row>
    <row r="1982" spans="1:4" x14ac:dyDescent="0.35">
      <c r="A1982" s="1">
        <v>47332</v>
      </c>
      <c r="B1982" s="2">
        <v>46310</v>
      </c>
      <c r="C1982" s="1" t="s">
        <v>103</v>
      </c>
      <c r="D1982" s="1">
        <f t="shared" si="30"/>
        <v>10</v>
      </c>
    </row>
    <row r="1983" spans="1:4" x14ac:dyDescent="0.35">
      <c r="A1983" s="1">
        <v>47331</v>
      </c>
      <c r="B1983" s="2">
        <v>46310</v>
      </c>
      <c r="C1983" s="1" t="s">
        <v>103</v>
      </c>
      <c r="D1983" s="1">
        <f t="shared" si="30"/>
        <v>10</v>
      </c>
    </row>
    <row r="1984" spans="1:4" x14ac:dyDescent="0.35">
      <c r="A1984" s="1">
        <v>47328</v>
      </c>
      <c r="B1984" s="2">
        <v>46310</v>
      </c>
      <c r="C1984" s="1" t="s">
        <v>9</v>
      </c>
      <c r="D1984" s="1">
        <f t="shared" si="30"/>
        <v>10</v>
      </c>
    </row>
    <row r="1985" spans="1:4" x14ac:dyDescent="0.35">
      <c r="A1985" s="1">
        <v>47319</v>
      </c>
      <c r="B1985" s="2">
        <v>46310</v>
      </c>
      <c r="C1985" s="1" t="s">
        <v>17</v>
      </c>
      <c r="D1985" s="1">
        <f t="shared" si="30"/>
        <v>10</v>
      </c>
    </row>
    <row r="1986" spans="1:4" x14ac:dyDescent="0.35">
      <c r="A1986" s="1">
        <v>47318</v>
      </c>
      <c r="B1986" s="2">
        <v>46310</v>
      </c>
      <c r="C1986" s="1" t="s">
        <v>17</v>
      </c>
      <c r="D1986" s="1">
        <f t="shared" ref="D1986:D2049" si="31">MONTH(B1986)</f>
        <v>10</v>
      </c>
    </row>
    <row r="1987" spans="1:4" x14ac:dyDescent="0.35">
      <c r="A1987" s="1">
        <v>47315</v>
      </c>
      <c r="B1987" s="2">
        <v>46310</v>
      </c>
      <c r="C1987" s="1" t="s">
        <v>9</v>
      </c>
      <c r="D1987" s="1">
        <f t="shared" si="31"/>
        <v>10</v>
      </c>
    </row>
    <row r="1988" spans="1:4" x14ac:dyDescent="0.35">
      <c r="A1988" s="1">
        <v>47312</v>
      </c>
      <c r="B1988" s="2">
        <v>46310</v>
      </c>
      <c r="C1988" s="1" t="s">
        <v>7</v>
      </c>
      <c r="D1988" s="1">
        <f t="shared" si="31"/>
        <v>10</v>
      </c>
    </row>
    <row r="1989" spans="1:4" x14ac:dyDescent="0.35">
      <c r="A1989" s="1">
        <v>47311</v>
      </c>
      <c r="B1989" s="2">
        <v>46310</v>
      </c>
      <c r="C1989" s="1" t="s">
        <v>9</v>
      </c>
      <c r="D1989" s="1">
        <f t="shared" si="31"/>
        <v>10</v>
      </c>
    </row>
    <row r="1990" spans="1:4" x14ac:dyDescent="0.35">
      <c r="A1990" s="1">
        <v>47310</v>
      </c>
      <c r="B1990" s="2">
        <v>46310</v>
      </c>
      <c r="C1990" s="1" t="s">
        <v>9</v>
      </c>
      <c r="D1990" s="1">
        <f t="shared" si="31"/>
        <v>10</v>
      </c>
    </row>
    <row r="1991" spans="1:4" x14ac:dyDescent="0.35">
      <c r="A1991" s="1">
        <v>47309</v>
      </c>
      <c r="B1991" s="2">
        <v>46310</v>
      </c>
      <c r="C1991" s="1" t="s">
        <v>9</v>
      </c>
      <c r="D1991" s="1">
        <f t="shared" si="31"/>
        <v>10</v>
      </c>
    </row>
    <row r="1992" spans="1:4" x14ac:dyDescent="0.35">
      <c r="A1992" s="1">
        <v>47308</v>
      </c>
      <c r="B1992" s="2">
        <v>46310</v>
      </c>
      <c r="C1992" s="1" t="s">
        <v>9</v>
      </c>
      <c r="D1992" s="1">
        <f t="shared" si="31"/>
        <v>10</v>
      </c>
    </row>
    <row r="1993" spans="1:4" x14ac:dyDescent="0.35">
      <c r="A1993" s="1">
        <v>47306</v>
      </c>
      <c r="B1993" s="2">
        <v>46310</v>
      </c>
      <c r="C1993" s="1" t="s">
        <v>9</v>
      </c>
      <c r="D1993" s="1">
        <f t="shared" si="31"/>
        <v>10</v>
      </c>
    </row>
    <row r="1994" spans="1:4" x14ac:dyDescent="0.35">
      <c r="A1994" s="1">
        <v>47305</v>
      </c>
      <c r="B1994" s="2">
        <v>46310</v>
      </c>
      <c r="C1994" s="1" t="s">
        <v>9</v>
      </c>
      <c r="D1994" s="1">
        <f t="shared" si="31"/>
        <v>10</v>
      </c>
    </row>
    <row r="1995" spans="1:4" x14ac:dyDescent="0.35">
      <c r="A1995" s="1">
        <v>47304</v>
      </c>
      <c r="B1995" s="2">
        <v>46310</v>
      </c>
      <c r="C1995" s="1" t="s">
        <v>3</v>
      </c>
      <c r="D1995" s="1">
        <f t="shared" si="31"/>
        <v>10</v>
      </c>
    </row>
    <row r="1996" spans="1:4" x14ac:dyDescent="0.35">
      <c r="A1996" s="1">
        <v>47303</v>
      </c>
      <c r="B1996" s="2">
        <v>46310</v>
      </c>
      <c r="C1996" s="1" t="s">
        <v>3</v>
      </c>
      <c r="D1996" s="1">
        <f t="shared" si="31"/>
        <v>10</v>
      </c>
    </row>
    <row r="1997" spans="1:4" x14ac:dyDescent="0.35">
      <c r="A1997" s="1">
        <v>47299</v>
      </c>
      <c r="B1997" s="2">
        <v>46310</v>
      </c>
      <c r="C1997" s="1" t="s">
        <v>9</v>
      </c>
      <c r="D1997" s="1">
        <f t="shared" si="31"/>
        <v>10</v>
      </c>
    </row>
    <row r="1998" spans="1:4" x14ac:dyDescent="0.35">
      <c r="A1998" s="1">
        <v>47298</v>
      </c>
      <c r="B1998" s="2">
        <v>46310</v>
      </c>
      <c r="C1998" s="1" t="s">
        <v>19</v>
      </c>
      <c r="D1998" s="1">
        <f t="shared" si="31"/>
        <v>10</v>
      </c>
    </row>
    <row r="1999" spans="1:4" x14ac:dyDescent="0.35">
      <c r="A1999" s="1">
        <v>47297</v>
      </c>
      <c r="B1999" s="2">
        <v>46310</v>
      </c>
      <c r="C1999" s="1" t="s">
        <v>19</v>
      </c>
      <c r="D1999" s="1">
        <f t="shared" si="31"/>
        <v>10</v>
      </c>
    </row>
    <row r="2000" spans="1:4" x14ac:dyDescent="0.35">
      <c r="A2000" s="1">
        <v>47294</v>
      </c>
      <c r="B2000" s="2">
        <v>46310</v>
      </c>
      <c r="C2000" s="1" t="s">
        <v>9</v>
      </c>
      <c r="D2000" s="1">
        <f t="shared" si="31"/>
        <v>10</v>
      </c>
    </row>
    <row r="2001" spans="1:4" x14ac:dyDescent="0.35">
      <c r="A2001" s="1">
        <v>47293</v>
      </c>
      <c r="B2001" s="2">
        <v>46310</v>
      </c>
      <c r="C2001" s="1" t="s">
        <v>21</v>
      </c>
      <c r="D2001" s="1">
        <f t="shared" si="31"/>
        <v>10</v>
      </c>
    </row>
    <row r="2002" spans="1:4" x14ac:dyDescent="0.35">
      <c r="A2002" s="1">
        <v>47292</v>
      </c>
      <c r="B2002" s="2">
        <v>46310</v>
      </c>
      <c r="C2002" s="1" t="s">
        <v>19</v>
      </c>
      <c r="D2002" s="1">
        <f t="shared" si="31"/>
        <v>10</v>
      </c>
    </row>
    <row r="2003" spans="1:4" x14ac:dyDescent="0.35">
      <c r="A2003" s="1">
        <v>47354</v>
      </c>
      <c r="B2003" s="2">
        <v>46311</v>
      </c>
      <c r="C2003" s="1" t="s">
        <v>3</v>
      </c>
      <c r="D2003" s="1">
        <f t="shared" si="31"/>
        <v>10</v>
      </c>
    </row>
    <row r="2004" spans="1:4" x14ac:dyDescent="0.35">
      <c r="A2004" s="1">
        <v>47352</v>
      </c>
      <c r="B2004" s="2">
        <v>46311</v>
      </c>
      <c r="C2004" s="1" t="s">
        <v>3</v>
      </c>
      <c r="D2004" s="1">
        <f t="shared" si="31"/>
        <v>10</v>
      </c>
    </row>
    <row r="2005" spans="1:4" x14ac:dyDescent="0.35">
      <c r="A2005" s="1">
        <v>47350</v>
      </c>
      <c r="B2005" s="2">
        <v>46311</v>
      </c>
      <c r="C2005" s="1" t="s">
        <v>21</v>
      </c>
      <c r="D2005" s="1">
        <f t="shared" si="31"/>
        <v>10</v>
      </c>
    </row>
    <row r="2006" spans="1:4" x14ac:dyDescent="0.35">
      <c r="A2006" s="1">
        <v>47348</v>
      </c>
      <c r="B2006" s="2">
        <v>46311</v>
      </c>
      <c r="C2006" s="1" t="s">
        <v>21</v>
      </c>
      <c r="D2006" s="1">
        <f t="shared" si="31"/>
        <v>10</v>
      </c>
    </row>
    <row r="2007" spans="1:4" x14ac:dyDescent="0.35">
      <c r="A2007" s="1">
        <v>47346</v>
      </c>
      <c r="B2007" s="2">
        <v>46311</v>
      </c>
      <c r="C2007" s="1" t="s">
        <v>9</v>
      </c>
      <c r="D2007" s="1">
        <f t="shared" si="31"/>
        <v>10</v>
      </c>
    </row>
    <row r="2008" spans="1:4" x14ac:dyDescent="0.35">
      <c r="A2008" s="1">
        <v>47345</v>
      </c>
      <c r="B2008" s="2">
        <v>46311</v>
      </c>
      <c r="C2008" s="1" t="s">
        <v>9</v>
      </c>
      <c r="D2008" s="1">
        <f t="shared" si="31"/>
        <v>10</v>
      </c>
    </row>
    <row r="2009" spans="1:4" x14ac:dyDescent="0.35">
      <c r="A2009" s="1">
        <v>47343</v>
      </c>
      <c r="B2009" s="2">
        <v>46311</v>
      </c>
      <c r="C2009" s="1" t="s">
        <v>9</v>
      </c>
      <c r="D2009" s="1">
        <f t="shared" si="31"/>
        <v>10</v>
      </c>
    </row>
    <row r="2010" spans="1:4" x14ac:dyDescent="0.35">
      <c r="A2010" s="1">
        <v>47340</v>
      </c>
      <c r="B2010" s="2">
        <v>46311</v>
      </c>
      <c r="C2010" s="1" t="s">
        <v>19</v>
      </c>
      <c r="D2010" s="1">
        <f t="shared" si="31"/>
        <v>10</v>
      </c>
    </row>
    <row r="2011" spans="1:4" x14ac:dyDescent="0.35">
      <c r="A2011" s="1">
        <v>47405</v>
      </c>
      <c r="B2011" s="2">
        <v>46311</v>
      </c>
      <c r="C2011" s="1" t="s">
        <v>15</v>
      </c>
      <c r="D2011" s="1">
        <f t="shared" si="31"/>
        <v>10</v>
      </c>
    </row>
    <row r="2012" spans="1:4" x14ac:dyDescent="0.35">
      <c r="A2012" s="1">
        <v>47404</v>
      </c>
      <c r="B2012" s="2">
        <v>46311</v>
      </c>
      <c r="C2012" s="1" t="s">
        <v>15</v>
      </c>
      <c r="D2012" s="1">
        <f t="shared" si="31"/>
        <v>10</v>
      </c>
    </row>
    <row r="2013" spans="1:4" x14ac:dyDescent="0.35">
      <c r="A2013" s="1">
        <v>47403</v>
      </c>
      <c r="B2013" s="2">
        <v>46311</v>
      </c>
      <c r="C2013" s="1" t="s">
        <v>15</v>
      </c>
      <c r="D2013" s="1">
        <f t="shared" si="31"/>
        <v>10</v>
      </c>
    </row>
    <row r="2014" spans="1:4" x14ac:dyDescent="0.35">
      <c r="A2014" s="1">
        <v>47402</v>
      </c>
      <c r="B2014" s="2">
        <v>46311</v>
      </c>
      <c r="C2014" s="1" t="s">
        <v>10</v>
      </c>
      <c r="D2014" s="1">
        <f t="shared" si="31"/>
        <v>10</v>
      </c>
    </row>
    <row r="2015" spans="1:4" x14ac:dyDescent="0.35">
      <c r="A2015" s="1">
        <v>47401</v>
      </c>
      <c r="B2015" s="2">
        <v>46311</v>
      </c>
      <c r="C2015" s="1" t="s">
        <v>9</v>
      </c>
      <c r="D2015" s="1">
        <f t="shared" si="31"/>
        <v>10</v>
      </c>
    </row>
    <row r="2016" spans="1:4" x14ac:dyDescent="0.35">
      <c r="A2016" s="1">
        <v>47398</v>
      </c>
      <c r="B2016" s="2">
        <v>46311</v>
      </c>
      <c r="C2016" s="1" t="s">
        <v>21</v>
      </c>
      <c r="D2016" s="1">
        <f t="shared" si="31"/>
        <v>10</v>
      </c>
    </row>
    <row r="2017" spans="1:4" x14ac:dyDescent="0.35">
      <c r="A2017" s="1">
        <v>47395</v>
      </c>
      <c r="B2017" s="2">
        <v>46311</v>
      </c>
      <c r="C2017" s="1" t="s">
        <v>9</v>
      </c>
      <c r="D2017" s="1">
        <f t="shared" si="31"/>
        <v>10</v>
      </c>
    </row>
    <row r="2018" spans="1:4" x14ac:dyDescent="0.35">
      <c r="A2018" s="1">
        <v>47394</v>
      </c>
      <c r="B2018" s="2">
        <v>46311</v>
      </c>
      <c r="C2018" s="1" t="s">
        <v>9</v>
      </c>
      <c r="D2018" s="1">
        <f t="shared" si="31"/>
        <v>10</v>
      </c>
    </row>
    <row r="2019" spans="1:4" x14ac:dyDescent="0.35">
      <c r="A2019" s="1">
        <v>47391</v>
      </c>
      <c r="B2019" s="2">
        <v>46311</v>
      </c>
      <c r="C2019" s="1" t="s">
        <v>22</v>
      </c>
      <c r="D2019" s="1">
        <f t="shared" si="31"/>
        <v>10</v>
      </c>
    </row>
    <row r="2020" spans="1:4" x14ac:dyDescent="0.35">
      <c r="A2020" s="1">
        <v>47390</v>
      </c>
      <c r="B2020" s="2">
        <v>46311</v>
      </c>
      <c r="C2020" s="1" t="s">
        <v>22</v>
      </c>
      <c r="D2020" s="1">
        <f t="shared" si="31"/>
        <v>10</v>
      </c>
    </row>
    <row r="2021" spans="1:4" x14ac:dyDescent="0.35">
      <c r="A2021" s="1">
        <v>47389</v>
      </c>
      <c r="B2021" s="2">
        <v>46311</v>
      </c>
      <c r="C2021" s="1" t="s">
        <v>22</v>
      </c>
      <c r="D2021" s="1">
        <f t="shared" si="31"/>
        <v>10</v>
      </c>
    </row>
    <row r="2022" spans="1:4" x14ac:dyDescent="0.35">
      <c r="A2022" s="1">
        <v>47387</v>
      </c>
      <c r="B2022" s="2">
        <v>46311</v>
      </c>
      <c r="C2022" s="1" t="s">
        <v>22</v>
      </c>
      <c r="D2022" s="1">
        <f t="shared" si="31"/>
        <v>10</v>
      </c>
    </row>
    <row r="2023" spans="1:4" x14ac:dyDescent="0.35">
      <c r="A2023" s="1">
        <v>47386</v>
      </c>
      <c r="B2023" s="2">
        <v>46311</v>
      </c>
      <c r="C2023" s="1" t="s">
        <v>22</v>
      </c>
      <c r="D2023" s="1">
        <f t="shared" si="31"/>
        <v>10</v>
      </c>
    </row>
    <row r="2024" spans="1:4" x14ac:dyDescent="0.35">
      <c r="A2024" s="1">
        <v>47384</v>
      </c>
      <c r="B2024" s="2">
        <v>46311</v>
      </c>
      <c r="C2024" s="1" t="s">
        <v>22</v>
      </c>
      <c r="D2024" s="1">
        <f t="shared" si="31"/>
        <v>10</v>
      </c>
    </row>
    <row r="2025" spans="1:4" x14ac:dyDescent="0.35">
      <c r="A2025" s="1">
        <v>47382</v>
      </c>
      <c r="B2025" s="2">
        <v>46311</v>
      </c>
      <c r="C2025" s="1" t="s">
        <v>22</v>
      </c>
      <c r="D2025" s="1">
        <f t="shared" si="31"/>
        <v>10</v>
      </c>
    </row>
    <row r="2026" spans="1:4" x14ac:dyDescent="0.35">
      <c r="A2026" s="1">
        <v>47381</v>
      </c>
      <c r="B2026" s="2">
        <v>46311</v>
      </c>
      <c r="C2026" s="1" t="s">
        <v>22</v>
      </c>
      <c r="D2026" s="1">
        <f t="shared" si="31"/>
        <v>10</v>
      </c>
    </row>
    <row r="2027" spans="1:4" x14ac:dyDescent="0.35">
      <c r="A2027" s="1">
        <v>47379</v>
      </c>
      <c r="B2027" s="2">
        <v>46311</v>
      </c>
      <c r="C2027" s="1" t="s">
        <v>22</v>
      </c>
      <c r="D2027" s="1">
        <f t="shared" si="31"/>
        <v>10</v>
      </c>
    </row>
    <row r="2028" spans="1:4" x14ac:dyDescent="0.35">
      <c r="A2028" s="1">
        <v>47378</v>
      </c>
      <c r="B2028" s="2">
        <v>46311</v>
      </c>
      <c r="C2028" s="1" t="s">
        <v>22</v>
      </c>
      <c r="D2028" s="1">
        <f t="shared" si="31"/>
        <v>10</v>
      </c>
    </row>
    <row r="2029" spans="1:4" x14ac:dyDescent="0.35">
      <c r="A2029" s="1">
        <v>47376</v>
      </c>
      <c r="B2029" s="2">
        <v>46311</v>
      </c>
      <c r="C2029" s="1" t="s">
        <v>22</v>
      </c>
      <c r="D2029" s="1">
        <f t="shared" si="31"/>
        <v>10</v>
      </c>
    </row>
    <row r="2030" spans="1:4" x14ac:dyDescent="0.35">
      <c r="A2030" s="1">
        <v>47374</v>
      </c>
      <c r="B2030" s="2">
        <v>46311</v>
      </c>
      <c r="C2030" s="1" t="s">
        <v>22</v>
      </c>
      <c r="D2030" s="1">
        <f t="shared" si="31"/>
        <v>10</v>
      </c>
    </row>
    <row r="2031" spans="1:4" x14ac:dyDescent="0.35">
      <c r="A2031" s="1">
        <v>47372</v>
      </c>
      <c r="B2031" s="2">
        <v>46311</v>
      </c>
      <c r="C2031" s="1" t="s">
        <v>22</v>
      </c>
      <c r="D2031" s="1">
        <f t="shared" si="31"/>
        <v>10</v>
      </c>
    </row>
    <row r="2032" spans="1:4" x14ac:dyDescent="0.35">
      <c r="A2032" s="1">
        <v>47371</v>
      </c>
      <c r="B2032" s="2">
        <v>46311</v>
      </c>
      <c r="C2032" s="1" t="s">
        <v>22</v>
      </c>
      <c r="D2032" s="1">
        <f t="shared" si="31"/>
        <v>10</v>
      </c>
    </row>
    <row r="2033" spans="1:4" x14ac:dyDescent="0.35">
      <c r="A2033" s="1">
        <v>47365</v>
      </c>
      <c r="B2033" s="2">
        <v>46311</v>
      </c>
      <c r="C2033" s="1" t="s">
        <v>7</v>
      </c>
      <c r="D2033" s="1">
        <f t="shared" si="31"/>
        <v>10</v>
      </c>
    </row>
    <row r="2034" spans="1:4" x14ac:dyDescent="0.35">
      <c r="A2034" s="1">
        <v>47363</v>
      </c>
      <c r="B2034" s="2">
        <v>46311</v>
      </c>
      <c r="C2034" s="1" t="s">
        <v>7</v>
      </c>
      <c r="D2034" s="1">
        <f t="shared" si="31"/>
        <v>10</v>
      </c>
    </row>
    <row r="2035" spans="1:4" x14ac:dyDescent="0.35">
      <c r="A2035" s="1">
        <v>47360</v>
      </c>
      <c r="B2035" s="2">
        <v>46311</v>
      </c>
      <c r="C2035" s="1" t="s">
        <v>6</v>
      </c>
      <c r="D2035" s="1">
        <f t="shared" si="31"/>
        <v>10</v>
      </c>
    </row>
    <row r="2036" spans="1:4" x14ac:dyDescent="0.35">
      <c r="A2036" s="1">
        <v>47359</v>
      </c>
      <c r="B2036" s="2">
        <v>46311</v>
      </c>
      <c r="C2036" s="1" t="s">
        <v>6</v>
      </c>
      <c r="D2036" s="1">
        <f t="shared" si="31"/>
        <v>10</v>
      </c>
    </row>
    <row r="2037" spans="1:4" x14ac:dyDescent="0.35">
      <c r="A2037" s="1">
        <v>47424</v>
      </c>
      <c r="B2037" s="2">
        <v>46312</v>
      </c>
      <c r="C2037" s="1" t="s">
        <v>10</v>
      </c>
      <c r="D2037" s="1">
        <f t="shared" si="31"/>
        <v>10</v>
      </c>
    </row>
    <row r="2038" spans="1:4" x14ac:dyDescent="0.35">
      <c r="A2038" s="1">
        <v>47417</v>
      </c>
      <c r="B2038" s="2">
        <v>46312</v>
      </c>
      <c r="C2038" s="1" t="s">
        <v>10</v>
      </c>
      <c r="D2038" s="1">
        <f t="shared" si="31"/>
        <v>10</v>
      </c>
    </row>
    <row r="2039" spans="1:4" x14ac:dyDescent="0.35">
      <c r="A2039" s="1">
        <v>47414</v>
      </c>
      <c r="B2039" s="2">
        <v>46312</v>
      </c>
      <c r="C2039" s="1" t="s">
        <v>17</v>
      </c>
      <c r="D2039" s="1">
        <f t="shared" si="31"/>
        <v>10</v>
      </c>
    </row>
    <row r="2040" spans="1:4" x14ac:dyDescent="0.35">
      <c r="A2040" s="1">
        <v>47413</v>
      </c>
      <c r="B2040" s="2">
        <v>46312</v>
      </c>
      <c r="C2040" s="1" t="s">
        <v>17</v>
      </c>
      <c r="D2040" s="1">
        <f t="shared" si="31"/>
        <v>10</v>
      </c>
    </row>
    <row r="2041" spans="1:4" x14ac:dyDescent="0.35">
      <c r="A2041" s="1">
        <v>47412</v>
      </c>
      <c r="B2041" s="2">
        <v>46312</v>
      </c>
      <c r="C2041" s="1" t="s">
        <v>17</v>
      </c>
      <c r="D2041" s="1">
        <f t="shared" si="31"/>
        <v>10</v>
      </c>
    </row>
    <row r="2042" spans="1:4" x14ac:dyDescent="0.35">
      <c r="A2042" s="1">
        <v>47407</v>
      </c>
      <c r="B2042" s="2">
        <v>46312</v>
      </c>
      <c r="C2042" s="1" t="s">
        <v>10</v>
      </c>
      <c r="D2042" s="1">
        <f t="shared" si="31"/>
        <v>10</v>
      </c>
    </row>
    <row r="2043" spans="1:4" x14ac:dyDescent="0.35">
      <c r="A2043" s="1">
        <v>47489</v>
      </c>
      <c r="B2043" s="2">
        <v>46314</v>
      </c>
      <c r="C2043" s="1" t="s">
        <v>3</v>
      </c>
      <c r="D2043" s="1">
        <f t="shared" si="31"/>
        <v>10</v>
      </c>
    </row>
    <row r="2044" spans="1:4" x14ac:dyDescent="0.35">
      <c r="A2044" s="1">
        <v>47476</v>
      </c>
      <c r="B2044" s="2">
        <v>46314</v>
      </c>
      <c r="C2044" s="1" t="s">
        <v>10</v>
      </c>
      <c r="D2044" s="1">
        <f t="shared" si="31"/>
        <v>10</v>
      </c>
    </row>
    <row r="2045" spans="1:4" x14ac:dyDescent="0.35">
      <c r="A2045" s="1">
        <v>47475</v>
      </c>
      <c r="B2045" s="2">
        <v>46314</v>
      </c>
      <c r="C2045" s="1" t="s">
        <v>10</v>
      </c>
      <c r="D2045" s="1">
        <f t="shared" si="31"/>
        <v>10</v>
      </c>
    </row>
    <row r="2046" spans="1:4" x14ac:dyDescent="0.35">
      <c r="A2046" s="1">
        <v>47470</v>
      </c>
      <c r="B2046" s="2">
        <v>46314</v>
      </c>
      <c r="C2046" s="1" t="s">
        <v>7</v>
      </c>
      <c r="D2046" s="1">
        <f t="shared" si="31"/>
        <v>10</v>
      </c>
    </row>
    <row r="2047" spans="1:4" x14ac:dyDescent="0.35">
      <c r="A2047" s="1">
        <v>47469</v>
      </c>
      <c r="B2047" s="2">
        <v>46314</v>
      </c>
      <c r="C2047" s="1" t="s">
        <v>22</v>
      </c>
      <c r="D2047" s="1">
        <f t="shared" si="31"/>
        <v>10</v>
      </c>
    </row>
    <row r="2048" spans="1:4" x14ac:dyDescent="0.35">
      <c r="A2048" s="1">
        <v>47468</v>
      </c>
      <c r="B2048" s="2">
        <v>46314</v>
      </c>
      <c r="C2048" s="1" t="s">
        <v>22</v>
      </c>
      <c r="D2048" s="1">
        <f t="shared" si="31"/>
        <v>10</v>
      </c>
    </row>
    <row r="2049" spans="1:4" x14ac:dyDescent="0.35">
      <c r="A2049" s="1">
        <v>47467</v>
      </c>
      <c r="B2049" s="2">
        <v>46314</v>
      </c>
      <c r="C2049" s="1" t="s">
        <v>9</v>
      </c>
      <c r="D2049" s="1">
        <f t="shared" si="31"/>
        <v>10</v>
      </c>
    </row>
    <row r="2050" spans="1:4" x14ac:dyDescent="0.35">
      <c r="A2050" s="1">
        <v>47466</v>
      </c>
      <c r="B2050" s="2">
        <v>46314</v>
      </c>
      <c r="C2050" s="1" t="s">
        <v>22</v>
      </c>
      <c r="D2050" s="1">
        <f t="shared" ref="D2050:D2113" si="32">MONTH(B2050)</f>
        <v>10</v>
      </c>
    </row>
    <row r="2051" spans="1:4" x14ac:dyDescent="0.35">
      <c r="A2051" s="1">
        <v>47465</v>
      </c>
      <c r="B2051" s="2">
        <v>46314</v>
      </c>
      <c r="C2051" s="1" t="s">
        <v>9</v>
      </c>
      <c r="D2051" s="1">
        <f t="shared" si="32"/>
        <v>10</v>
      </c>
    </row>
    <row r="2052" spans="1:4" x14ac:dyDescent="0.35">
      <c r="A2052" s="1">
        <v>47464</v>
      </c>
      <c r="B2052" s="2">
        <v>46314</v>
      </c>
      <c r="C2052" s="1" t="s">
        <v>22</v>
      </c>
      <c r="D2052" s="1">
        <f t="shared" si="32"/>
        <v>10</v>
      </c>
    </row>
    <row r="2053" spans="1:4" x14ac:dyDescent="0.35">
      <c r="A2053" s="1">
        <v>47461</v>
      </c>
      <c r="B2053" s="2">
        <v>46314</v>
      </c>
      <c r="C2053" s="1" t="s">
        <v>3</v>
      </c>
      <c r="D2053" s="1">
        <f t="shared" si="32"/>
        <v>10</v>
      </c>
    </row>
    <row r="2054" spans="1:4" x14ac:dyDescent="0.35">
      <c r="A2054" s="1">
        <v>47460</v>
      </c>
      <c r="B2054" s="2">
        <v>46314</v>
      </c>
      <c r="C2054" s="1" t="s">
        <v>6</v>
      </c>
      <c r="D2054" s="1">
        <f t="shared" si="32"/>
        <v>10</v>
      </c>
    </row>
    <row r="2055" spans="1:4" x14ac:dyDescent="0.35">
      <c r="A2055" s="1">
        <v>47459</v>
      </c>
      <c r="B2055" s="2">
        <v>46314</v>
      </c>
      <c r="C2055" s="1" t="s">
        <v>6</v>
      </c>
      <c r="D2055" s="1">
        <f t="shared" si="32"/>
        <v>10</v>
      </c>
    </row>
    <row r="2056" spans="1:4" x14ac:dyDescent="0.35">
      <c r="A2056" s="1">
        <v>47457</v>
      </c>
      <c r="B2056" s="2">
        <v>46314</v>
      </c>
      <c r="C2056" s="1" t="s">
        <v>17</v>
      </c>
      <c r="D2056" s="1">
        <f t="shared" si="32"/>
        <v>10</v>
      </c>
    </row>
    <row r="2057" spans="1:4" x14ac:dyDescent="0.35">
      <c r="A2057" s="1">
        <v>47456</v>
      </c>
      <c r="B2057" s="2">
        <v>46314</v>
      </c>
      <c r="C2057" s="1" t="s">
        <v>17</v>
      </c>
      <c r="D2057" s="1">
        <f t="shared" si="32"/>
        <v>10</v>
      </c>
    </row>
    <row r="2058" spans="1:4" x14ac:dyDescent="0.35">
      <c r="A2058" s="1">
        <v>47455</v>
      </c>
      <c r="B2058" s="2">
        <v>46314</v>
      </c>
      <c r="C2058" s="1" t="s">
        <v>17</v>
      </c>
      <c r="D2058" s="1">
        <f t="shared" si="32"/>
        <v>10</v>
      </c>
    </row>
    <row r="2059" spans="1:4" x14ac:dyDescent="0.35">
      <c r="A2059" s="1">
        <v>47453</v>
      </c>
      <c r="B2059" s="2">
        <v>46314</v>
      </c>
      <c r="C2059" s="1" t="s">
        <v>3</v>
      </c>
      <c r="D2059" s="1">
        <f t="shared" si="32"/>
        <v>10</v>
      </c>
    </row>
    <row r="2060" spans="1:4" x14ac:dyDescent="0.35">
      <c r="A2060" s="1">
        <v>47452</v>
      </c>
      <c r="B2060" s="2">
        <v>46314</v>
      </c>
      <c r="C2060" s="1" t="s">
        <v>3</v>
      </c>
      <c r="D2060" s="1">
        <f t="shared" si="32"/>
        <v>10</v>
      </c>
    </row>
    <row r="2061" spans="1:4" x14ac:dyDescent="0.35">
      <c r="A2061" s="1">
        <v>47451</v>
      </c>
      <c r="B2061" s="2">
        <v>46314</v>
      </c>
      <c r="C2061" s="1" t="s">
        <v>9</v>
      </c>
      <c r="D2061" s="1">
        <f t="shared" si="32"/>
        <v>10</v>
      </c>
    </row>
    <row r="2062" spans="1:4" x14ac:dyDescent="0.35">
      <c r="A2062" s="1">
        <v>47448</v>
      </c>
      <c r="B2062" s="2">
        <v>46314</v>
      </c>
      <c r="C2062" s="1" t="s">
        <v>5</v>
      </c>
      <c r="D2062" s="1">
        <f t="shared" si="32"/>
        <v>10</v>
      </c>
    </row>
    <row r="2063" spans="1:4" x14ac:dyDescent="0.35">
      <c r="A2063" s="1">
        <v>47445</v>
      </c>
      <c r="B2063" s="2">
        <v>46314</v>
      </c>
      <c r="C2063" s="1" t="s">
        <v>9</v>
      </c>
      <c r="D2063" s="1">
        <f t="shared" si="32"/>
        <v>10</v>
      </c>
    </row>
    <row r="2064" spans="1:4" x14ac:dyDescent="0.35">
      <c r="A2064" s="1">
        <v>47526</v>
      </c>
      <c r="B2064" s="2">
        <v>46314</v>
      </c>
      <c r="C2064" s="1" t="s">
        <v>11</v>
      </c>
      <c r="D2064" s="1">
        <f t="shared" si="32"/>
        <v>10</v>
      </c>
    </row>
    <row r="2065" spans="1:4" x14ac:dyDescent="0.35">
      <c r="A2065" s="1">
        <v>47506</v>
      </c>
      <c r="B2065" s="2">
        <v>46314</v>
      </c>
      <c r="C2065" s="1" t="s">
        <v>21</v>
      </c>
      <c r="D2065" s="1">
        <f t="shared" si="32"/>
        <v>10</v>
      </c>
    </row>
    <row r="2066" spans="1:4" x14ac:dyDescent="0.35">
      <c r="A2066" s="1">
        <v>47505</v>
      </c>
      <c r="B2066" s="2">
        <v>46314</v>
      </c>
      <c r="C2066" s="1" t="s">
        <v>21</v>
      </c>
      <c r="D2066" s="1">
        <f t="shared" si="32"/>
        <v>10</v>
      </c>
    </row>
    <row r="2067" spans="1:4" x14ac:dyDescent="0.35">
      <c r="A2067" s="1">
        <v>47504</v>
      </c>
      <c r="B2067" s="2">
        <v>46314</v>
      </c>
      <c r="C2067" s="1" t="s">
        <v>21</v>
      </c>
      <c r="D2067" s="1">
        <f t="shared" si="32"/>
        <v>10</v>
      </c>
    </row>
    <row r="2068" spans="1:4" x14ac:dyDescent="0.35">
      <c r="A2068" s="1">
        <v>47502</v>
      </c>
      <c r="B2068" s="2">
        <v>46314</v>
      </c>
      <c r="C2068" s="1" t="s">
        <v>21</v>
      </c>
      <c r="D2068" s="1">
        <f t="shared" si="32"/>
        <v>10</v>
      </c>
    </row>
    <row r="2069" spans="1:4" x14ac:dyDescent="0.35">
      <c r="A2069" s="1">
        <v>47501</v>
      </c>
      <c r="B2069" s="2">
        <v>46314</v>
      </c>
      <c r="C2069" s="1" t="s">
        <v>21</v>
      </c>
      <c r="D2069" s="1">
        <f t="shared" si="32"/>
        <v>10</v>
      </c>
    </row>
    <row r="2070" spans="1:4" x14ac:dyDescent="0.35">
      <c r="A2070" s="1">
        <v>47647</v>
      </c>
      <c r="B2070" s="2">
        <v>46314</v>
      </c>
      <c r="C2070" s="1" t="s">
        <v>21</v>
      </c>
      <c r="D2070" s="1">
        <f t="shared" si="32"/>
        <v>10</v>
      </c>
    </row>
    <row r="2071" spans="1:4" x14ac:dyDescent="0.35">
      <c r="A2071" s="1">
        <v>47646</v>
      </c>
      <c r="B2071" s="2">
        <v>46314</v>
      </c>
      <c r="C2071" s="1" t="s">
        <v>21</v>
      </c>
      <c r="D2071" s="1">
        <f t="shared" si="32"/>
        <v>10</v>
      </c>
    </row>
    <row r="2072" spans="1:4" x14ac:dyDescent="0.35">
      <c r="A2072" s="1">
        <v>47659</v>
      </c>
      <c r="B2072" s="2">
        <v>46314</v>
      </c>
      <c r="C2072" s="1" t="s">
        <v>21</v>
      </c>
      <c r="D2072" s="1">
        <f t="shared" si="32"/>
        <v>10</v>
      </c>
    </row>
    <row r="2073" spans="1:4" x14ac:dyDescent="0.35">
      <c r="A2073" s="1">
        <v>47658</v>
      </c>
      <c r="B2073" s="2">
        <v>46314</v>
      </c>
      <c r="C2073" s="1" t="s">
        <v>21</v>
      </c>
      <c r="D2073" s="1">
        <f t="shared" si="32"/>
        <v>10</v>
      </c>
    </row>
    <row r="2074" spans="1:4" x14ac:dyDescent="0.35">
      <c r="A2074" s="1">
        <v>47657</v>
      </c>
      <c r="B2074" s="2">
        <v>46314</v>
      </c>
      <c r="C2074" s="1" t="s">
        <v>21</v>
      </c>
      <c r="D2074" s="1">
        <f t="shared" si="32"/>
        <v>10</v>
      </c>
    </row>
    <row r="2075" spans="1:4" x14ac:dyDescent="0.35">
      <c r="A2075" s="1">
        <v>47655</v>
      </c>
      <c r="B2075" s="2">
        <v>46314</v>
      </c>
      <c r="C2075" s="1" t="s">
        <v>21</v>
      </c>
      <c r="D2075" s="1">
        <f t="shared" si="32"/>
        <v>10</v>
      </c>
    </row>
    <row r="2076" spans="1:4" x14ac:dyDescent="0.35">
      <c r="A2076" s="1">
        <v>47653</v>
      </c>
      <c r="B2076" s="2">
        <v>46314</v>
      </c>
      <c r="C2076" s="1" t="s">
        <v>21</v>
      </c>
      <c r="D2076" s="1">
        <f t="shared" si="32"/>
        <v>10</v>
      </c>
    </row>
    <row r="2077" spans="1:4" x14ac:dyDescent="0.35">
      <c r="A2077" s="1">
        <v>47535</v>
      </c>
      <c r="B2077" s="2">
        <v>46315</v>
      </c>
      <c r="C2077" s="1" t="s">
        <v>10</v>
      </c>
      <c r="D2077" s="1">
        <f t="shared" si="32"/>
        <v>10</v>
      </c>
    </row>
    <row r="2078" spans="1:4" x14ac:dyDescent="0.35">
      <c r="A2078" s="1">
        <v>47534</v>
      </c>
      <c r="B2078" s="2">
        <v>46315</v>
      </c>
      <c r="C2078" s="1" t="s">
        <v>10</v>
      </c>
      <c r="D2078" s="1">
        <f t="shared" si="32"/>
        <v>10</v>
      </c>
    </row>
    <row r="2079" spans="1:4" x14ac:dyDescent="0.35">
      <c r="A2079" s="1">
        <v>47533</v>
      </c>
      <c r="B2079" s="2">
        <v>46315</v>
      </c>
      <c r="C2079" s="1" t="s">
        <v>103</v>
      </c>
      <c r="D2079" s="1">
        <f t="shared" si="32"/>
        <v>10</v>
      </c>
    </row>
    <row r="2080" spans="1:4" x14ac:dyDescent="0.35">
      <c r="A2080" s="1">
        <v>47532</v>
      </c>
      <c r="B2080" s="2">
        <v>46315</v>
      </c>
      <c r="C2080" s="1" t="s">
        <v>103</v>
      </c>
      <c r="D2080" s="1">
        <f t="shared" si="32"/>
        <v>10</v>
      </c>
    </row>
    <row r="2081" spans="1:4" x14ac:dyDescent="0.35">
      <c r="A2081" s="1">
        <v>47531</v>
      </c>
      <c r="B2081" s="2">
        <v>46315</v>
      </c>
      <c r="C2081" s="1" t="s">
        <v>103</v>
      </c>
      <c r="D2081" s="1">
        <f t="shared" si="32"/>
        <v>10</v>
      </c>
    </row>
    <row r="2082" spans="1:4" x14ac:dyDescent="0.35">
      <c r="A2082" s="1">
        <v>47525</v>
      </c>
      <c r="B2082" s="2">
        <v>46315</v>
      </c>
      <c r="C2082" s="1" t="s">
        <v>4</v>
      </c>
      <c r="D2082" s="1">
        <f t="shared" si="32"/>
        <v>10</v>
      </c>
    </row>
    <row r="2083" spans="1:4" x14ac:dyDescent="0.35">
      <c r="A2083" s="1">
        <v>47524</v>
      </c>
      <c r="B2083" s="2">
        <v>46315</v>
      </c>
      <c r="C2083" s="1" t="s">
        <v>4</v>
      </c>
      <c r="D2083" s="1">
        <f t="shared" si="32"/>
        <v>10</v>
      </c>
    </row>
    <row r="2084" spans="1:4" x14ac:dyDescent="0.35">
      <c r="A2084" s="1">
        <v>47523</v>
      </c>
      <c r="B2084" s="2">
        <v>46315</v>
      </c>
      <c r="C2084" s="1" t="s">
        <v>9</v>
      </c>
      <c r="D2084" s="1">
        <f t="shared" si="32"/>
        <v>10</v>
      </c>
    </row>
    <row r="2085" spans="1:4" x14ac:dyDescent="0.35">
      <c r="A2085" s="1">
        <v>47522</v>
      </c>
      <c r="B2085" s="2">
        <v>46315</v>
      </c>
      <c r="C2085" s="1" t="s">
        <v>3</v>
      </c>
      <c r="D2085" s="1">
        <f t="shared" si="32"/>
        <v>10</v>
      </c>
    </row>
    <row r="2086" spans="1:4" x14ac:dyDescent="0.35">
      <c r="A2086" s="1">
        <v>47521</v>
      </c>
      <c r="B2086" s="2">
        <v>46315</v>
      </c>
      <c r="C2086" s="1" t="s">
        <v>9</v>
      </c>
      <c r="D2086" s="1">
        <f t="shared" si="32"/>
        <v>10</v>
      </c>
    </row>
    <row r="2087" spans="1:4" x14ac:dyDescent="0.35">
      <c r="A2087" s="1">
        <v>47520</v>
      </c>
      <c r="B2087" s="2">
        <v>46315</v>
      </c>
      <c r="C2087" s="1" t="s">
        <v>19</v>
      </c>
      <c r="D2087" s="1">
        <f t="shared" si="32"/>
        <v>10</v>
      </c>
    </row>
    <row r="2088" spans="1:4" x14ac:dyDescent="0.35">
      <c r="A2088" s="1">
        <v>47519</v>
      </c>
      <c r="B2088" s="2">
        <v>46315</v>
      </c>
      <c r="C2088" s="1" t="s">
        <v>22</v>
      </c>
      <c r="D2088" s="1">
        <f t="shared" si="32"/>
        <v>10</v>
      </c>
    </row>
    <row r="2089" spans="1:4" x14ac:dyDescent="0.35">
      <c r="A2089" s="1">
        <v>47518</v>
      </c>
      <c r="B2089" s="2">
        <v>46315</v>
      </c>
      <c r="C2089" s="1" t="s">
        <v>22</v>
      </c>
      <c r="D2089" s="1">
        <f t="shared" si="32"/>
        <v>10</v>
      </c>
    </row>
    <row r="2090" spans="1:4" x14ac:dyDescent="0.35">
      <c r="A2090" s="1">
        <v>47517</v>
      </c>
      <c r="B2090" s="2">
        <v>46315</v>
      </c>
      <c r="C2090" s="1" t="s">
        <v>22</v>
      </c>
      <c r="D2090" s="1">
        <f t="shared" si="32"/>
        <v>10</v>
      </c>
    </row>
    <row r="2091" spans="1:4" x14ac:dyDescent="0.35">
      <c r="A2091" s="1">
        <v>47516</v>
      </c>
      <c r="B2091" s="2">
        <v>46315</v>
      </c>
      <c r="C2091" s="1" t="s">
        <v>22</v>
      </c>
      <c r="D2091" s="1">
        <f t="shared" si="32"/>
        <v>10</v>
      </c>
    </row>
    <row r="2092" spans="1:4" x14ac:dyDescent="0.35">
      <c r="A2092" s="1">
        <v>47515</v>
      </c>
      <c r="B2092" s="2">
        <v>46315</v>
      </c>
      <c r="C2092" s="1" t="s">
        <v>6</v>
      </c>
      <c r="D2092" s="1">
        <f t="shared" si="32"/>
        <v>10</v>
      </c>
    </row>
    <row r="2093" spans="1:4" x14ac:dyDescent="0.35">
      <c r="A2093" s="1">
        <v>47514</v>
      </c>
      <c r="B2093" s="2">
        <v>46315</v>
      </c>
      <c r="C2093" s="1" t="s">
        <v>6</v>
      </c>
      <c r="D2093" s="1">
        <f t="shared" si="32"/>
        <v>10</v>
      </c>
    </row>
    <row r="2094" spans="1:4" x14ac:dyDescent="0.35">
      <c r="A2094" s="1">
        <v>47513</v>
      </c>
      <c r="B2094" s="2">
        <v>46315</v>
      </c>
      <c r="C2094" s="1" t="s">
        <v>3</v>
      </c>
      <c r="D2094" s="1">
        <f t="shared" si="32"/>
        <v>10</v>
      </c>
    </row>
    <row r="2095" spans="1:4" x14ac:dyDescent="0.35">
      <c r="A2095" s="1">
        <v>47512</v>
      </c>
      <c r="B2095" s="2">
        <v>46315</v>
      </c>
      <c r="C2095" s="1" t="s">
        <v>21</v>
      </c>
      <c r="D2095" s="1">
        <f t="shared" si="32"/>
        <v>10</v>
      </c>
    </row>
    <row r="2096" spans="1:4" x14ac:dyDescent="0.35">
      <c r="A2096" s="1">
        <v>47511</v>
      </c>
      <c r="B2096" s="2">
        <v>46315</v>
      </c>
      <c r="C2096" s="1" t="s">
        <v>7</v>
      </c>
      <c r="D2096" s="1">
        <f t="shared" si="32"/>
        <v>10</v>
      </c>
    </row>
    <row r="2097" spans="1:4" x14ac:dyDescent="0.35">
      <c r="A2097" s="1">
        <v>47510</v>
      </c>
      <c r="B2097" s="2">
        <v>46315</v>
      </c>
      <c r="C2097" s="1" t="s">
        <v>9</v>
      </c>
      <c r="D2097" s="1">
        <f t="shared" si="32"/>
        <v>10</v>
      </c>
    </row>
    <row r="2098" spans="1:4" x14ac:dyDescent="0.35">
      <c r="A2098" s="1">
        <v>47509</v>
      </c>
      <c r="B2098" s="2">
        <v>46315</v>
      </c>
      <c r="C2098" s="1" t="s">
        <v>9</v>
      </c>
      <c r="D2098" s="1">
        <f t="shared" si="32"/>
        <v>10</v>
      </c>
    </row>
    <row r="2099" spans="1:4" x14ac:dyDescent="0.35">
      <c r="A2099" s="1">
        <v>47508</v>
      </c>
      <c r="B2099" s="2">
        <v>46315</v>
      </c>
      <c r="C2099" s="1" t="s">
        <v>7</v>
      </c>
      <c r="D2099" s="1">
        <f t="shared" si="32"/>
        <v>10</v>
      </c>
    </row>
    <row r="2100" spans="1:4" x14ac:dyDescent="0.35">
      <c r="A2100" s="1">
        <v>47507</v>
      </c>
      <c r="B2100" s="2">
        <v>46315</v>
      </c>
      <c r="C2100" s="1" t="s">
        <v>3</v>
      </c>
      <c r="D2100" s="1">
        <f t="shared" si="32"/>
        <v>10</v>
      </c>
    </row>
    <row r="2101" spans="1:4" x14ac:dyDescent="0.35">
      <c r="A2101" s="1">
        <v>47503</v>
      </c>
      <c r="B2101" s="2">
        <v>46315</v>
      </c>
      <c r="C2101" s="1" t="s">
        <v>21</v>
      </c>
      <c r="D2101" s="1">
        <f t="shared" si="32"/>
        <v>10</v>
      </c>
    </row>
    <row r="2102" spans="1:4" x14ac:dyDescent="0.35">
      <c r="A2102" s="1">
        <v>47500</v>
      </c>
      <c r="B2102" s="2">
        <v>46315</v>
      </c>
      <c r="C2102" s="1" t="s">
        <v>21</v>
      </c>
      <c r="D2102" s="1">
        <f t="shared" si="32"/>
        <v>10</v>
      </c>
    </row>
    <row r="2103" spans="1:4" x14ac:dyDescent="0.35">
      <c r="A2103" s="1">
        <v>47499</v>
      </c>
      <c r="B2103" s="2">
        <v>46315</v>
      </c>
      <c r="C2103" s="1" t="s">
        <v>3</v>
      </c>
      <c r="D2103" s="1">
        <f t="shared" si="32"/>
        <v>10</v>
      </c>
    </row>
    <row r="2104" spans="1:4" x14ac:dyDescent="0.35">
      <c r="A2104" s="1">
        <v>47498</v>
      </c>
      <c r="B2104" s="2">
        <v>46315</v>
      </c>
      <c r="C2104" s="1" t="s">
        <v>19</v>
      </c>
      <c r="D2104" s="1">
        <f t="shared" si="32"/>
        <v>10</v>
      </c>
    </row>
    <row r="2105" spans="1:4" x14ac:dyDescent="0.35">
      <c r="A2105" s="1">
        <v>47496</v>
      </c>
      <c r="B2105" s="2">
        <v>46315</v>
      </c>
      <c r="C2105" s="1" t="s">
        <v>6</v>
      </c>
      <c r="D2105" s="1">
        <f t="shared" si="32"/>
        <v>10</v>
      </c>
    </row>
    <row r="2106" spans="1:4" x14ac:dyDescent="0.35">
      <c r="A2106" s="1">
        <v>47495</v>
      </c>
      <c r="B2106" s="2">
        <v>46315</v>
      </c>
      <c r="C2106" s="1" t="s">
        <v>6</v>
      </c>
      <c r="D2106" s="1">
        <f t="shared" si="32"/>
        <v>10</v>
      </c>
    </row>
    <row r="2107" spans="1:4" x14ac:dyDescent="0.35">
      <c r="A2107" s="1">
        <v>47493</v>
      </c>
      <c r="B2107" s="2">
        <v>46315</v>
      </c>
      <c r="C2107" s="1" t="s">
        <v>3</v>
      </c>
      <c r="D2107" s="1">
        <f t="shared" si="32"/>
        <v>10</v>
      </c>
    </row>
    <row r="2108" spans="1:4" x14ac:dyDescent="0.35">
      <c r="A2108" s="1">
        <v>47490</v>
      </c>
      <c r="B2108" s="2">
        <v>46315</v>
      </c>
      <c r="C2108" s="1" t="s">
        <v>19</v>
      </c>
      <c r="D2108" s="1">
        <f t="shared" si="32"/>
        <v>10</v>
      </c>
    </row>
    <row r="2109" spans="1:4" x14ac:dyDescent="0.35">
      <c r="A2109" s="1">
        <v>47556</v>
      </c>
      <c r="B2109" s="2">
        <v>46315</v>
      </c>
      <c r="C2109" s="1" t="s">
        <v>16</v>
      </c>
      <c r="D2109" s="1">
        <f t="shared" si="32"/>
        <v>10</v>
      </c>
    </row>
    <row r="2110" spans="1:4" x14ac:dyDescent="0.35">
      <c r="A2110" s="1">
        <v>47660</v>
      </c>
      <c r="B2110" s="2">
        <v>46315</v>
      </c>
      <c r="C2110" s="1" t="s">
        <v>21</v>
      </c>
      <c r="D2110" s="1">
        <f t="shared" si="32"/>
        <v>10</v>
      </c>
    </row>
    <row r="2111" spans="1:4" x14ac:dyDescent="0.35">
      <c r="A2111" s="1">
        <v>47546</v>
      </c>
      <c r="B2111" s="2">
        <v>46316</v>
      </c>
      <c r="C2111" s="1" t="s">
        <v>19</v>
      </c>
      <c r="D2111" s="1">
        <f t="shared" si="32"/>
        <v>10</v>
      </c>
    </row>
    <row r="2112" spans="1:4" x14ac:dyDescent="0.35">
      <c r="A2112" s="1">
        <v>47538</v>
      </c>
      <c r="B2112" s="2">
        <v>46316</v>
      </c>
      <c r="C2112" s="1" t="s">
        <v>20</v>
      </c>
      <c r="D2112" s="1">
        <f t="shared" si="32"/>
        <v>10</v>
      </c>
    </row>
    <row r="2113" spans="1:4" x14ac:dyDescent="0.35">
      <c r="A2113" s="1">
        <v>47537</v>
      </c>
      <c r="B2113" s="2">
        <v>46316</v>
      </c>
      <c r="C2113" s="1" t="s">
        <v>20</v>
      </c>
      <c r="D2113" s="1">
        <f t="shared" si="32"/>
        <v>10</v>
      </c>
    </row>
    <row r="2114" spans="1:4" x14ac:dyDescent="0.35">
      <c r="A2114" s="1">
        <v>47536</v>
      </c>
      <c r="B2114" s="2">
        <v>46316</v>
      </c>
      <c r="C2114" s="1" t="s">
        <v>20</v>
      </c>
      <c r="D2114" s="1">
        <f t="shared" ref="D2114:D2177" si="33">MONTH(B2114)</f>
        <v>10</v>
      </c>
    </row>
    <row r="2115" spans="1:4" x14ac:dyDescent="0.35">
      <c r="A2115" s="1">
        <v>47632</v>
      </c>
      <c r="B2115" s="2">
        <v>46316</v>
      </c>
      <c r="C2115" s="1" t="s">
        <v>10</v>
      </c>
      <c r="D2115" s="1">
        <f t="shared" si="33"/>
        <v>10</v>
      </c>
    </row>
    <row r="2116" spans="1:4" x14ac:dyDescent="0.35">
      <c r="A2116" s="1">
        <v>47630</v>
      </c>
      <c r="B2116" s="2">
        <v>46316</v>
      </c>
      <c r="C2116" s="1" t="s">
        <v>10</v>
      </c>
      <c r="D2116" s="1">
        <f t="shared" si="33"/>
        <v>10</v>
      </c>
    </row>
    <row r="2117" spans="1:4" x14ac:dyDescent="0.35">
      <c r="A2117" s="1">
        <v>47628</v>
      </c>
      <c r="B2117" s="2">
        <v>46316</v>
      </c>
      <c r="C2117" s="1" t="s">
        <v>15</v>
      </c>
      <c r="D2117" s="1">
        <f t="shared" si="33"/>
        <v>10</v>
      </c>
    </row>
    <row r="2118" spans="1:4" x14ac:dyDescent="0.35">
      <c r="A2118" s="1">
        <v>47627</v>
      </c>
      <c r="B2118" s="2">
        <v>46316</v>
      </c>
      <c r="C2118" s="1" t="s">
        <v>15</v>
      </c>
      <c r="D2118" s="1">
        <f t="shared" si="33"/>
        <v>10</v>
      </c>
    </row>
    <row r="2119" spans="1:4" x14ac:dyDescent="0.35">
      <c r="A2119" s="1">
        <v>47626</v>
      </c>
      <c r="B2119" s="2">
        <v>46316</v>
      </c>
      <c r="C2119" s="1" t="s">
        <v>17</v>
      </c>
      <c r="D2119" s="1">
        <f t="shared" si="33"/>
        <v>10</v>
      </c>
    </row>
    <row r="2120" spans="1:4" x14ac:dyDescent="0.35">
      <c r="A2120" s="1">
        <v>47625</v>
      </c>
      <c r="B2120" s="2">
        <v>46316</v>
      </c>
      <c r="C2120" s="1" t="s">
        <v>17</v>
      </c>
      <c r="D2120" s="1">
        <f t="shared" si="33"/>
        <v>10</v>
      </c>
    </row>
    <row r="2121" spans="1:4" x14ac:dyDescent="0.35">
      <c r="A2121" s="1">
        <v>47624</v>
      </c>
      <c r="B2121" s="2">
        <v>46316</v>
      </c>
      <c r="C2121" s="1" t="s">
        <v>17</v>
      </c>
      <c r="D2121" s="1">
        <f t="shared" si="33"/>
        <v>10</v>
      </c>
    </row>
    <row r="2122" spans="1:4" x14ac:dyDescent="0.35">
      <c r="A2122" s="1">
        <v>47623</v>
      </c>
      <c r="B2122" s="2">
        <v>46316</v>
      </c>
      <c r="C2122" s="1" t="s">
        <v>103</v>
      </c>
      <c r="D2122" s="1">
        <f t="shared" si="33"/>
        <v>10</v>
      </c>
    </row>
    <row r="2123" spans="1:4" x14ac:dyDescent="0.35">
      <c r="A2123" s="1">
        <v>47622</v>
      </c>
      <c r="B2123" s="2">
        <v>46316</v>
      </c>
      <c r="C2123" s="1" t="s">
        <v>3</v>
      </c>
      <c r="D2123" s="1">
        <f t="shared" si="33"/>
        <v>10</v>
      </c>
    </row>
    <row r="2124" spans="1:4" x14ac:dyDescent="0.35">
      <c r="A2124" s="1">
        <v>47620</v>
      </c>
      <c r="B2124" s="2">
        <v>46316</v>
      </c>
      <c r="C2124" s="1" t="s">
        <v>19</v>
      </c>
      <c r="D2124" s="1">
        <f t="shared" si="33"/>
        <v>10</v>
      </c>
    </row>
    <row r="2125" spans="1:4" x14ac:dyDescent="0.35">
      <c r="A2125" s="1">
        <v>47617</v>
      </c>
      <c r="B2125" s="2">
        <v>46316</v>
      </c>
      <c r="C2125" s="1" t="s">
        <v>9</v>
      </c>
      <c r="D2125" s="1">
        <f t="shared" si="33"/>
        <v>10</v>
      </c>
    </row>
    <row r="2126" spans="1:4" x14ac:dyDescent="0.35">
      <c r="A2126" s="1">
        <v>47616</v>
      </c>
      <c r="B2126" s="2">
        <v>46316</v>
      </c>
      <c r="C2126" s="1" t="s">
        <v>103</v>
      </c>
      <c r="D2126" s="1">
        <f t="shared" si="33"/>
        <v>10</v>
      </c>
    </row>
    <row r="2127" spans="1:4" x14ac:dyDescent="0.35">
      <c r="A2127" s="1">
        <v>47615</v>
      </c>
      <c r="B2127" s="2">
        <v>46316</v>
      </c>
      <c r="C2127" s="1" t="s">
        <v>103</v>
      </c>
      <c r="D2127" s="1">
        <f t="shared" si="33"/>
        <v>10</v>
      </c>
    </row>
    <row r="2128" spans="1:4" x14ac:dyDescent="0.35">
      <c r="A2128" s="1">
        <v>47612</v>
      </c>
      <c r="B2128" s="2">
        <v>46316</v>
      </c>
      <c r="C2128" s="1" t="s">
        <v>22</v>
      </c>
      <c r="D2128" s="1">
        <f t="shared" si="33"/>
        <v>10</v>
      </c>
    </row>
    <row r="2129" spans="1:4" x14ac:dyDescent="0.35">
      <c r="A2129" s="1">
        <v>47611</v>
      </c>
      <c r="B2129" s="2">
        <v>46316</v>
      </c>
      <c r="C2129" s="1" t="s">
        <v>22</v>
      </c>
      <c r="D2129" s="1">
        <f t="shared" si="33"/>
        <v>10</v>
      </c>
    </row>
    <row r="2130" spans="1:4" x14ac:dyDescent="0.35">
      <c r="A2130" s="1">
        <v>47610</v>
      </c>
      <c r="B2130" s="2">
        <v>46316</v>
      </c>
      <c r="C2130" s="1" t="s">
        <v>22</v>
      </c>
      <c r="D2130" s="1">
        <f t="shared" si="33"/>
        <v>10</v>
      </c>
    </row>
    <row r="2131" spans="1:4" x14ac:dyDescent="0.35">
      <c r="A2131" s="1">
        <v>47609</v>
      </c>
      <c r="B2131" s="2">
        <v>46316</v>
      </c>
      <c r="C2131" s="1" t="s">
        <v>3</v>
      </c>
      <c r="D2131" s="1">
        <f t="shared" si="33"/>
        <v>10</v>
      </c>
    </row>
    <row r="2132" spans="1:4" x14ac:dyDescent="0.35">
      <c r="A2132" s="1">
        <v>47608</v>
      </c>
      <c r="B2132" s="2">
        <v>46316</v>
      </c>
      <c r="C2132" s="1" t="s">
        <v>11</v>
      </c>
      <c r="D2132" s="1">
        <f t="shared" si="33"/>
        <v>10</v>
      </c>
    </row>
    <row r="2133" spans="1:4" x14ac:dyDescent="0.35">
      <c r="A2133" s="1">
        <v>47604</v>
      </c>
      <c r="B2133" s="2">
        <v>46316</v>
      </c>
      <c r="C2133" s="1" t="s">
        <v>19</v>
      </c>
      <c r="D2133" s="1">
        <f t="shared" si="33"/>
        <v>10</v>
      </c>
    </row>
    <row r="2134" spans="1:4" x14ac:dyDescent="0.35">
      <c r="A2134" s="1">
        <v>47602</v>
      </c>
      <c r="B2134" s="2">
        <v>46316</v>
      </c>
      <c r="C2134" s="1" t="s">
        <v>19</v>
      </c>
      <c r="D2134" s="1">
        <f t="shared" si="33"/>
        <v>10</v>
      </c>
    </row>
    <row r="2135" spans="1:4" x14ac:dyDescent="0.35">
      <c r="A2135" s="1">
        <v>47593</v>
      </c>
      <c r="B2135" s="2">
        <v>46316</v>
      </c>
      <c r="C2135" s="1" t="s">
        <v>9</v>
      </c>
      <c r="D2135" s="1">
        <f t="shared" si="33"/>
        <v>10</v>
      </c>
    </row>
    <row r="2136" spans="1:4" x14ac:dyDescent="0.35">
      <c r="A2136" s="1">
        <v>47591</v>
      </c>
      <c r="B2136" s="2">
        <v>46316</v>
      </c>
      <c r="C2136" s="1" t="s">
        <v>9</v>
      </c>
      <c r="D2136" s="1">
        <f t="shared" si="33"/>
        <v>10</v>
      </c>
    </row>
    <row r="2137" spans="1:4" x14ac:dyDescent="0.35">
      <c r="A2137" s="1">
        <v>47590</v>
      </c>
      <c r="B2137" s="2">
        <v>46316</v>
      </c>
      <c r="C2137" s="1" t="s">
        <v>7</v>
      </c>
      <c r="D2137" s="1">
        <f t="shared" si="33"/>
        <v>10</v>
      </c>
    </row>
    <row r="2138" spans="1:4" x14ac:dyDescent="0.35">
      <c r="A2138" s="1">
        <v>47589</v>
      </c>
      <c r="B2138" s="2">
        <v>46316</v>
      </c>
      <c r="C2138" s="1" t="s">
        <v>7</v>
      </c>
      <c r="D2138" s="1">
        <f t="shared" si="33"/>
        <v>10</v>
      </c>
    </row>
    <row r="2139" spans="1:4" x14ac:dyDescent="0.35">
      <c r="A2139" s="1">
        <v>47585</v>
      </c>
      <c r="B2139" s="2">
        <v>46316</v>
      </c>
      <c r="C2139" s="1" t="s">
        <v>6</v>
      </c>
      <c r="D2139" s="1">
        <f t="shared" si="33"/>
        <v>10</v>
      </c>
    </row>
    <row r="2140" spans="1:4" x14ac:dyDescent="0.35">
      <c r="A2140" s="1">
        <v>47584</v>
      </c>
      <c r="B2140" s="2">
        <v>46316</v>
      </c>
      <c r="C2140" s="1" t="s">
        <v>6</v>
      </c>
      <c r="D2140" s="1">
        <f t="shared" si="33"/>
        <v>10</v>
      </c>
    </row>
    <row r="2141" spans="1:4" x14ac:dyDescent="0.35">
      <c r="A2141" s="1">
        <v>47583</v>
      </c>
      <c r="B2141" s="2">
        <v>46316</v>
      </c>
      <c r="C2141" s="1" t="s">
        <v>6</v>
      </c>
      <c r="D2141" s="1">
        <f t="shared" si="33"/>
        <v>10</v>
      </c>
    </row>
    <row r="2142" spans="1:4" x14ac:dyDescent="0.35">
      <c r="A2142" s="1">
        <v>47582</v>
      </c>
      <c r="B2142" s="2">
        <v>46316</v>
      </c>
      <c r="C2142" s="1" t="s">
        <v>6</v>
      </c>
      <c r="D2142" s="1">
        <f t="shared" si="33"/>
        <v>10</v>
      </c>
    </row>
    <row r="2143" spans="1:4" x14ac:dyDescent="0.35">
      <c r="A2143" s="1">
        <v>47581</v>
      </c>
      <c r="B2143" s="2">
        <v>46316</v>
      </c>
      <c r="C2143" s="1" t="s">
        <v>6</v>
      </c>
      <c r="D2143" s="1">
        <f t="shared" si="33"/>
        <v>10</v>
      </c>
    </row>
    <row r="2144" spans="1:4" x14ac:dyDescent="0.35">
      <c r="A2144" s="1">
        <v>47580</v>
      </c>
      <c r="B2144" s="2">
        <v>46316</v>
      </c>
      <c r="C2144" s="1" t="s">
        <v>6</v>
      </c>
      <c r="D2144" s="1">
        <f t="shared" si="33"/>
        <v>10</v>
      </c>
    </row>
    <row r="2145" spans="1:4" x14ac:dyDescent="0.35">
      <c r="A2145" s="1">
        <v>47579</v>
      </c>
      <c r="B2145" s="2">
        <v>46316</v>
      </c>
      <c r="C2145" s="1" t="s">
        <v>6</v>
      </c>
      <c r="D2145" s="1">
        <f t="shared" si="33"/>
        <v>10</v>
      </c>
    </row>
    <row r="2146" spans="1:4" x14ac:dyDescent="0.35">
      <c r="A2146" s="1">
        <v>47578</v>
      </c>
      <c r="B2146" s="2">
        <v>46316</v>
      </c>
      <c r="C2146" s="1" t="s">
        <v>6</v>
      </c>
      <c r="D2146" s="1">
        <f t="shared" si="33"/>
        <v>10</v>
      </c>
    </row>
    <row r="2147" spans="1:4" x14ac:dyDescent="0.35">
      <c r="A2147" s="1">
        <v>47577</v>
      </c>
      <c r="B2147" s="2">
        <v>46316</v>
      </c>
      <c r="C2147" s="1" t="s">
        <v>6</v>
      </c>
      <c r="D2147" s="1">
        <f t="shared" si="33"/>
        <v>10</v>
      </c>
    </row>
    <row r="2148" spans="1:4" x14ac:dyDescent="0.35">
      <c r="A2148" s="1">
        <v>47576</v>
      </c>
      <c r="B2148" s="2">
        <v>46316</v>
      </c>
      <c r="C2148" s="1" t="s">
        <v>6</v>
      </c>
      <c r="D2148" s="1">
        <f t="shared" si="33"/>
        <v>10</v>
      </c>
    </row>
    <row r="2149" spans="1:4" x14ac:dyDescent="0.35">
      <c r="A2149" s="1">
        <v>47575</v>
      </c>
      <c r="B2149" s="2">
        <v>46316</v>
      </c>
      <c r="C2149" s="1" t="s">
        <v>6</v>
      </c>
      <c r="D2149" s="1">
        <f t="shared" si="33"/>
        <v>10</v>
      </c>
    </row>
    <row r="2150" spans="1:4" x14ac:dyDescent="0.35">
      <c r="A2150" s="1">
        <v>47574</v>
      </c>
      <c r="B2150" s="2">
        <v>46316</v>
      </c>
      <c r="C2150" s="1" t="s">
        <v>6</v>
      </c>
      <c r="D2150" s="1">
        <f t="shared" si="33"/>
        <v>10</v>
      </c>
    </row>
    <row r="2151" spans="1:4" x14ac:dyDescent="0.35">
      <c r="A2151" s="1">
        <v>47573</v>
      </c>
      <c r="B2151" s="2">
        <v>46316</v>
      </c>
      <c r="C2151" s="1" t="s">
        <v>6</v>
      </c>
      <c r="D2151" s="1">
        <f t="shared" si="33"/>
        <v>10</v>
      </c>
    </row>
    <row r="2152" spans="1:4" x14ac:dyDescent="0.35">
      <c r="A2152" s="1">
        <v>47572</v>
      </c>
      <c r="B2152" s="2">
        <v>46316</v>
      </c>
      <c r="C2152" s="1" t="s">
        <v>6</v>
      </c>
      <c r="D2152" s="1">
        <f t="shared" si="33"/>
        <v>10</v>
      </c>
    </row>
    <row r="2153" spans="1:4" x14ac:dyDescent="0.35">
      <c r="A2153" s="1">
        <v>47571</v>
      </c>
      <c r="B2153" s="2">
        <v>46316</v>
      </c>
      <c r="C2153" s="1" t="s">
        <v>6</v>
      </c>
      <c r="D2153" s="1">
        <f t="shared" si="33"/>
        <v>10</v>
      </c>
    </row>
    <row r="2154" spans="1:4" x14ac:dyDescent="0.35">
      <c r="A2154" s="1">
        <v>47569</v>
      </c>
      <c r="B2154" s="2">
        <v>46316</v>
      </c>
      <c r="C2154" s="1" t="s">
        <v>6</v>
      </c>
      <c r="D2154" s="1">
        <f t="shared" si="33"/>
        <v>10</v>
      </c>
    </row>
    <row r="2155" spans="1:4" x14ac:dyDescent="0.35">
      <c r="A2155" s="1">
        <v>47567</v>
      </c>
      <c r="B2155" s="2">
        <v>46316</v>
      </c>
      <c r="C2155" s="1" t="s">
        <v>3</v>
      </c>
      <c r="D2155" s="1">
        <f t="shared" si="33"/>
        <v>10</v>
      </c>
    </row>
    <row r="2156" spans="1:4" x14ac:dyDescent="0.35">
      <c r="A2156" s="1">
        <v>47566</v>
      </c>
      <c r="B2156" s="2">
        <v>46316</v>
      </c>
      <c r="C2156" s="1" t="s">
        <v>3</v>
      </c>
      <c r="D2156" s="1">
        <f t="shared" si="33"/>
        <v>10</v>
      </c>
    </row>
    <row r="2157" spans="1:4" x14ac:dyDescent="0.35">
      <c r="A2157" s="1">
        <v>47565</v>
      </c>
      <c r="B2157" s="2">
        <v>46316</v>
      </c>
      <c r="C2157" s="1" t="s">
        <v>3</v>
      </c>
      <c r="D2157" s="1">
        <f t="shared" si="33"/>
        <v>10</v>
      </c>
    </row>
    <row r="2158" spans="1:4" x14ac:dyDescent="0.35">
      <c r="A2158" s="1">
        <v>47561</v>
      </c>
      <c r="B2158" s="2">
        <v>46316</v>
      </c>
      <c r="C2158" s="1" t="s">
        <v>16</v>
      </c>
      <c r="D2158" s="1">
        <f t="shared" si="33"/>
        <v>10</v>
      </c>
    </row>
    <row r="2159" spans="1:4" x14ac:dyDescent="0.35">
      <c r="A2159" s="1">
        <v>47560</v>
      </c>
      <c r="B2159" s="2">
        <v>46316</v>
      </c>
      <c r="C2159" s="1" t="s">
        <v>16</v>
      </c>
      <c r="D2159" s="1">
        <f t="shared" si="33"/>
        <v>10</v>
      </c>
    </row>
    <row r="2160" spans="1:4" x14ac:dyDescent="0.35">
      <c r="A2160" s="1">
        <v>47559</v>
      </c>
      <c r="B2160" s="2">
        <v>46316</v>
      </c>
      <c r="C2160" s="1" t="s">
        <v>16</v>
      </c>
      <c r="D2160" s="1">
        <f t="shared" si="33"/>
        <v>10</v>
      </c>
    </row>
    <row r="2161" spans="1:4" x14ac:dyDescent="0.35">
      <c r="A2161" s="1">
        <v>47557</v>
      </c>
      <c r="B2161" s="2">
        <v>46316</v>
      </c>
      <c r="C2161" s="1" t="s">
        <v>16</v>
      </c>
      <c r="D2161" s="1">
        <f t="shared" si="33"/>
        <v>10</v>
      </c>
    </row>
    <row r="2162" spans="1:4" x14ac:dyDescent="0.35">
      <c r="A2162" s="1">
        <v>47555</v>
      </c>
      <c r="B2162" s="2">
        <v>46316</v>
      </c>
      <c r="C2162" s="1" t="s">
        <v>19</v>
      </c>
      <c r="D2162" s="1">
        <f t="shared" si="33"/>
        <v>10</v>
      </c>
    </row>
    <row r="2163" spans="1:4" x14ac:dyDescent="0.35">
      <c r="A2163" s="1">
        <v>47554</v>
      </c>
      <c r="B2163" s="2">
        <v>46316</v>
      </c>
      <c r="C2163" s="1" t="s">
        <v>19</v>
      </c>
      <c r="D2163" s="1">
        <f t="shared" si="33"/>
        <v>10</v>
      </c>
    </row>
    <row r="2164" spans="1:4" x14ac:dyDescent="0.35">
      <c r="A2164" s="1">
        <v>47553</v>
      </c>
      <c r="B2164" s="2">
        <v>46316</v>
      </c>
      <c r="C2164" s="1" t="s">
        <v>4</v>
      </c>
      <c r="D2164" s="1">
        <f t="shared" si="33"/>
        <v>10</v>
      </c>
    </row>
    <row r="2165" spans="1:4" x14ac:dyDescent="0.35">
      <c r="A2165" s="1">
        <v>47552</v>
      </c>
      <c r="B2165" s="2">
        <v>46316</v>
      </c>
      <c r="C2165" s="1" t="s">
        <v>4</v>
      </c>
      <c r="D2165" s="1">
        <f t="shared" si="33"/>
        <v>10</v>
      </c>
    </row>
    <row r="2166" spans="1:4" x14ac:dyDescent="0.35">
      <c r="A2166" s="1">
        <v>47551</v>
      </c>
      <c r="B2166" s="2">
        <v>46316</v>
      </c>
      <c r="C2166" s="1" t="s">
        <v>4</v>
      </c>
      <c r="D2166" s="1">
        <f t="shared" si="33"/>
        <v>10</v>
      </c>
    </row>
    <row r="2167" spans="1:4" x14ac:dyDescent="0.35">
      <c r="A2167" s="1">
        <v>47550</v>
      </c>
      <c r="B2167" s="2">
        <v>46316</v>
      </c>
      <c r="C2167" s="1" t="s">
        <v>9</v>
      </c>
      <c r="D2167" s="1">
        <f t="shared" si="33"/>
        <v>10</v>
      </c>
    </row>
    <row r="2168" spans="1:4" x14ac:dyDescent="0.35">
      <c r="A2168" s="1">
        <v>47662</v>
      </c>
      <c r="B2168" s="2">
        <v>46316</v>
      </c>
      <c r="C2168" s="1" t="s">
        <v>21</v>
      </c>
      <c r="D2168" s="1">
        <f t="shared" si="33"/>
        <v>10</v>
      </c>
    </row>
    <row r="2169" spans="1:4" x14ac:dyDescent="0.35">
      <c r="A2169" s="1">
        <v>47661</v>
      </c>
      <c r="B2169" s="2">
        <v>46316</v>
      </c>
      <c r="C2169" s="1" t="s">
        <v>21</v>
      </c>
      <c r="D2169" s="1">
        <f t="shared" si="33"/>
        <v>10</v>
      </c>
    </row>
    <row r="2170" spans="1:4" x14ac:dyDescent="0.35">
      <c r="A2170" s="1">
        <v>47709</v>
      </c>
      <c r="B2170" s="2">
        <v>46317</v>
      </c>
      <c r="C2170" s="1" t="s">
        <v>17</v>
      </c>
      <c r="D2170" s="1">
        <f t="shared" si="33"/>
        <v>10</v>
      </c>
    </row>
    <row r="2171" spans="1:4" x14ac:dyDescent="0.35">
      <c r="A2171" s="1">
        <v>47708</v>
      </c>
      <c r="B2171" s="2">
        <v>46317</v>
      </c>
      <c r="C2171" s="1" t="s">
        <v>17</v>
      </c>
      <c r="D2171" s="1">
        <f t="shared" si="33"/>
        <v>10</v>
      </c>
    </row>
    <row r="2172" spans="1:4" x14ac:dyDescent="0.35">
      <c r="A2172" s="1">
        <v>47705</v>
      </c>
      <c r="B2172" s="2">
        <v>46317</v>
      </c>
      <c r="C2172" s="1" t="s">
        <v>10</v>
      </c>
      <c r="D2172" s="1">
        <f t="shared" si="33"/>
        <v>10</v>
      </c>
    </row>
    <row r="2173" spans="1:4" x14ac:dyDescent="0.35">
      <c r="A2173" s="1">
        <v>47704</v>
      </c>
      <c r="B2173" s="2">
        <v>46317</v>
      </c>
      <c r="C2173" s="1" t="s">
        <v>10</v>
      </c>
      <c r="D2173" s="1">
        <f t="shared" si="33"/>
        <v>10</v>
      </c>
    </row>
    <row r="2174" spans="1:4" x14ac:dyDescent="0.35">
      <c r="A2174" s="1">
        <v>47703</v>
      </c>
      <c r="B2174" s="2">
        <v>46317</v>
      </c>
      <c r="C2174" s="1" t="s">
        <v>20</v>
      </c>
      <c r="D2174" s="1">
        <f t="shared" si="33"/>
        <v>10</v>
      </c>
    </row>
    <row r="2175" spans="1:4" x14ac:dyDescent="0.35">
      <c r="A2175" s="1">
        <v>47701</v>
      </c>
      <c r="B2175" s="2">
        <v>46317</v>
      </c>
      <c r="C2175" s="1" t="s">
        <v>103</v>
      </c>
      <c r="D2175" s="1">
        <f t="shared" si="33"/>
        <v>10</v>
      </c>
    </row>
    <row r="2176" spans="1:4" x14ac:dyDescent="0.35">
      <c r="A2176" s="1">
        <v>47699</v>
      </c>
      <c r="B2176" s="2">
        <v>46317</v>
      </c>
      <c r="C2176" s="1" t="s">
        <v>103</v>
      </c>
      <c r="D2176" s="1">
        <f t="shared" si="33"/>
        <v>10</v>
      </c>
    </row>
    <row r="2177" spans="1:4" x14ac:dyDescent="0.35">
      <c r="A2177" s="1">
        <v>47698</v>
      </c>
      <c r="B2177" s="2">
        <v>46317</v>
      </c>
      <c r="C2177" s="1" t="s">
        <v>103</v>
      </c>
      <c r="D2177" s="1">
        <f t="shared" si="33"/>
        <v>10</v>
      </c>
    </row>
    <row r="2178" spans="1:4" x14ac:dyDescent="0.35">
      <c r="A2178" s="1">
        <v>47697</v>
      </c>
      <c r="B2178" s="2">
        <v>46317</v>
      </c>
      <c r="C2178" s="1" t="s">
        <v>16</v>
      </c>
      <c r="D2178" s="1">
        <f t="shared" ref="D2178:D2196" si="34">MONTH(B2178)</f>
        <v>10</v>
      </c>
    </row>
    <row r="2179" spans="1:4" x14ac:dyDescent="0.35">
      <c r="A2179" s="1">
        <v>47696</v>
      </c>
      <c r="B2179" s="2">
        <v>46317</v>
      </c>
      <c r="C2179" s="1" t="s">
        <v>16</v>
      </c>
      <c r="D2179" s="1">
        <f t="shared" si="34"/>
        <v>10</v>
      </c>
    </row>
    <row r="2180" spans="1:4" x14ac:dyDescent="0.35">
      <c r="A2180" s="1">
        <v>47695</v>
      </c>
      <c r="B2180" s="2">
        <v>46317</v>
      </c>
      <c r="C2180" s="1" t="s">
        <v>11</v>
      </c>
      <c r="D2180" s="1">
        <f t="shared" si="34"/>
        <v>10</v>
      </c>
    </row>
    <row r="2181" spans="1:4" x14ac:dyDescent="0.35">
      <c r="A2181" s="1">
        <v>47694</v>
      </c>
      <c r="B2181" s="2">
        <v>46317</v>
      </c>
      <c r="C2181" s="1" t="s">
        <v>11</v>
      </c>
      <c r="D2181" s="1">
        <f t="shared" si="34"/>
        <v>10</v>
      </c>
    </row>
    <row r="2182" spans="1:4" x14ac:dyDescent="0.35">
      <c r="A2182" s="1">
        <v>47693</v>
      </c>
      <c r="B2182" s="2">
        <v>46317</v>
      </c>
      <c r="C2182" s="1" t="s">
        <v>4</v>
      </c>
      <c r="D2182" s="1">
        <f t="shared" si="34"/>
        <v>10</v>
      </c>
    </row>
    <row r="2183" spans="1:4" x14ac:dyDescent="0.35">
      <c r="A2183" s="1">
        <v>47692</v>
      </c>
      <c r="B2183" s="2">
        <v>46317</v>
      </c>
      <c r="C2183" s="1" t="s">
        <v>4</v>
      </c>
      <c r="D2183" s="1">
        <f t="shared" si="34"/>
        <v>10</v>
      </c>
    </row>
    <row r="2184" spans="1:4" x14ac:dyDescent="0.35">
      <c r="A2184" s="1">
        <v>47691</v>
      </c>
      <c r="B2184" s="2">
        <v>46317</v>
      </c>
      <c r="C2184" s="1" t="s">
        <v>4</v>
      </c>
      <c r="D2184" s="1">
        <f t="shared" si="34"/>
        <v>10</v>
      </c>
    </row>
    <row r="2185" spans="1:4" x14ac:dyDescent="0.35">
      <c r="A2185" s="1">
        <v>47689</v>
      </c>
      <c r="B2185" s="2">
        <v>46317</v>
      </c>
      <c r="C2185" s="1" t="s">
        <v>21</v>
      </c>
      <c r="D2185" s="1">
        <f t="shared" si="34"/>
        <v>10</v>
      </c>
    </row>
    <row r="2186" spans="1:4" x14ac:dyDescent="0.35">
      <c r="A2186" s="1">
        <v>47682</v>
      </c>
      <c r="B2186" s="2">
        <v>46317</v>
      </c>
      <c r="C2186" s="1" t="s">
        <v>21</v>
      </c>
      <c r="D2186" s="1">
        <f t="shared" si="34"/>
        <v>10</v>
      </c>
    </row>
    <row r="2187" spans="1:4" x14ac:dyDescent="0.35">
      <c r="A2187" s="1">
        <v>47681</v>
      </c>
      <c r="B2187" s="2">
        <v>46317</v>
      </c>
      <c r="C2187" s="1" t="s">
        <v>21</v>
      </c>
      <c r="D2187" s="1">
        <f t="shared" si="34"/>
        <v>10</v>
      </c>
    </row>
    <row r="2188" spans="1:4" x14ac:dyDescent="0.35">
      <c r="A2188" s="1">
        <v>47678</v>
      </c>
      <c r="B2188" s="2">
        <v>46317</v>
      </c>
      <c r="C2188" s="1" t="s">
        <v>7</v>
      </c>
      <c r="D2188" s="1">
        <f t="shared" si="34"/>
        <v>10</v>
      </c>
    </row>
    <row r="2189" spans="1:4" x14ac:dyDescent="0.35">
      <c r="A2189" s="1">
        <v>47676</v>
      </c>
      <c r="B2189" s="2">
        <v>46317</v>
      </c>
      <c r="C2189" s="1" t="s">
        <v>22</v>
      </c>
      <c r="D2189" s="1">
        <f t="shared" si="34"/>
        <v>10</v>
      </c>
    </row>
    <row r="2190" spans="1:4" x14ac:dyDescent="0.35">
      <c r="A2190" s="1">
        <v>47674</v>
      </c>
      <c r="B2190" s="2">
        <v>46317</v>
      </c>
      <c r="C2190" s="1" t="s">
        <v>9</v>
      </c>
      <c r="D2190" s="1">
        <f t="shared" si="34"/>
        <v>10</v>
      </c>
    </row>
    <row r="2191" spans="1:4" x14ac:dyDescent="0.35">
      <c r="A2191" s="1">
        <v>47673</v>
      </c>
      <c r="B2191" s="2">
        <v>46317</v>
      </c>
      <c r="C2191" s="1" t="s">
        <v>3</v>
      </c>
      <c r="D2191" s="1">
        <f t="shared" si="34"/>
        <v>10</v>
      </c>
    </row>
    <row r="2192" spans="1:4" x14ac:dyDescent="0.35">
      <c r="A2192" s="1">
        <v>47665</v>
      </c>
      <c r="B2192" s="2">
        <v>46317</v>
      </c>
      <c r="C2192" s="1" t="s">
        <v>1039</v>
      </c>
      <c r="D2192" s="1">
        <f t="shared" si="34"/>
        <v>10</v>
      </c>
    </row>
    <row r="2193" spans="1:4" x14ac:dyDescent="0.35">
      <c r="A2193" s="1">
        <v>47664</v>
      </c>
      <c r="B2193" s="2">
        <v>46317</v>
      </c>
      <c r="C2193" s="1" t="s">
        <v>19</v>
      </c>
      <c r="D2193" s="1">
        <f t="shared" si="34"/>
        <v>10</v>
      </c>
    </row>
    <row r="2194" spans="1:4" x14ac:dyDescent="0.35">
      <c r="A2194" s="1">
        <v>47663</v>
      </c>
      <c r="B2194" s="2">
        <v>46317</v>
      </c>
      <c r="C2194" s="1" t="s">
        <v>9</v>
      </c>
      <c r="D2194" s="1">
        <f t="shared" si="34"/>
        <v>10</v>
      </c>
    </row>
    <row r="2195" spans="1:4" x14ac:dyDescent="0.35">
      <c r="A2195" s="1">
        <v>47654</v>
      </c>
      <c r="B2195" s="2">
        <v>46317</v>
      </c>
      <c r="C2195" s="1" t="s">
        <v>21</v>
      </c>
      <c r="D2195" s="1">
        <f t="shared" si="34"/>
        <v>10</v>
      </c>
    </row>
    <row r="2196" spans="1:4" x14ac:dyDescent="0.35">
      <c r="A2196" s="1">
        <v>47717</v>
      </c>
      <c r="B2196" s="2">
        <v>46318</v>
      </c>
      <c r="C2196" s="1" t="s">
        <v>19</v>
      </c>
      <c r="D2196" s="1">
        <f t="shared" si="34"/>
        <v>10</v>
      </c>
    </row>
    <row r="2197" spans="1:4" x14ac:dyDescent="0.35">
      <c r="A2197" s="1">
        <v>47769</v>
      </c>
      <c r="B2197" s="2">
        <v>46320</v>
      </c>
      <c r="C2197" s="1" t="s">
        <v>1039</v>
      </c>
      <c r="D2197" s="1">
        <f t="shared" ref="D2197:D2224" si="35">MONTH(B2197)</f>
        <v>10</v>
      </c>
    </row>
    <row r="2198" spans="1:4" x14ac:dyDescent="0.35">
      <c r="A2198" s="1">
        <v>47768</v>
      </c>
      <c r="B2198" s="2">
        <v>46319</v>
      </c>
      <c r="C2198" s="1" t="s">
        <v>10</v>
      </c>
      <c r="D2198" s="1">
        <f t="shared" si="35"/>
        <v>10</v>
      </c>
    </row>
    <row r="2199" spans="1:4" x14ac:dyDescent="0.35">
      <c r="A2199" s="1">
        <v>47767</v>
      </c>
      <c r="B2199" s="2">
        <v>46319</v>
      </c>
      <c r="C2199" s="1" t="s">
        <v>10</v>
      </c>
      <c r="D2199" s="1">
        <f t="shared" si="35"/>
        <v>10</v>
      </c>
    </row>
    <row r="2200" spans="1:4" x14ac:dyDescent="0.35">
      <c r="A2200" s="1">
        <v>47766</v>
      </c>
      <c r="B2200" s="2">
        <v>46319</v>
      </c>
      <c r="C2200" s="1" t="s">
        <v>4</v>
      </c>
      <c r="D2200" s="1">
        <f t="shared" si="35"/>
        <v>10</v>
      </c>
    </row>
    <row r="2201" spans="1:4" x14ac:dyDescent="0.35">
      <c r="A2201" s="1">
        <v>47765</v>
      </c>
      <c r="B2201" s="2">
        <v>46319</v>
      </c>
      <c r="C2201" s="1" t="s">
        <v>4</v>
      </c>
      <c r="D2201" s="1">
        <f t="shared" si="35"/>
        <v>10</v>
      </c>
    </row>
    <row r="2202" spans="1:4" x14ac:dyDescent="0.35">
      <c r="A2202" s="1">
        <v>47761</v>
      </c>
      <c r="B2202" s="2">
        <v>46319</v>
      </c>
      <c r="C2202" s="1" t="s">
        <v>1039</v>
      </c>
      <c r="D2202" s="1">
        <f t="shared" si="35"/>
        <v>10</v>
      </c>
    </row>
    <row r="2203" spans="1:4" x14ac:dyDescent="0.35">
      <c r="A2203" s="1">
        <v>47760</v>
      </c>
      <c r="B2203" s="2">
        <v>46318</v>
      </c>
      <c r="C2203" s="1" t="s">
        <v>1039</v>
      </c>
      <c r="D2203" s="1">
        <f t="shared" si="35"/>
        <v>10</v>
      </c>
    </row>
    <row r="2204" spans="1:4" x14ac:dyDescent="0.35">
      <c r="A2204" s="1">
        <v>47759</v>
      </c>
      <c r="B2204" s="2">
        <v>46318</v>
      </c>
      <c r="C2204" s="1" t="s">
        <v>1039</v>
      </c>
      <c r="D2204" s="1">
        <f t="shared" si="35"/>
        <v>10</v>
      </c>
    </row>
    <row r="2205" spans="1:4" x14ac:dyDescent="0.35">
      <c r="A2205" s="1">
        <v>47758</v>
      </c>
      <c r="B2205" s="2">
        <v>46318</v>
      </c>
      <c r="C2205" s="1" t="s">
        <v>1039</v>
      </c>
      <c r="D2205" s="1">
        <f t="shared" si="35"/>
        <v>10</v>
      </c>
    </row>
    <row r="2206" spans="1:4" x14ac:dyDescent="0.35">
      <c r="A2206" s="1">
        <v>47757</v>
      </c>
      <c r="B2206" s="2">
        <v>46318</v>
      </c>
      <c r="C2206" s="1" t="s">
        <v>10</v>
      </c>
      <c r="D2206" s="1">
        <f t="shared" si="35"/>
        <v>10</v>
      </c>
    </row>
    <row r="2207" spans="1:4" x14ac:dyDescent="0.35">
      <c r="A2207" s="1">
        <v>47756</v>
      </c>
      <c r="B2207" s="2">
        <v>46318</v>
      </c>
      <c r="C2207" s="1" t="s">
        <v>10</v>
      </c>
      <c r="D2207" s="1">
        <f t="shared" si="35"/>
        <v>10</v>
      </c>
    </row>
    <row r="2208" spans="1:4" x14ac:dyDescent="0.35">
      <c r="A2208" s="1">
        <v>47755</v>
      </c>
      <c r="B2208" s="2">
        <v>46318</v>
      </c>
      <c r="C2208" s="1" t="s">
        <v>11</v>
      </c>
      <c r="D2208" s="1">
        <f t="shared" si="35"/>
        <v>10</v>
      </c>
    </row>
    <row r="2209" spans="1:4" x14ac:dyDescent="0.35">
      <c r="A2209" s="1">
        <v>47752</v>
      </c>
      <c r="B2209" s="2">
        <v>46318</v>
      </c>
      <c r="C2209" s="1" t="s">
        <v>4</v>
      </c>
      <c r="D2209" s="1">
        <f t="shared" si="35"/>
        <v>10</v>
      </c>
    </row>
    <row r="2210" spans="1:4" x14ac:dyDescent="0.35">
      <c r="A2210" s="1">
        <v>47751</v>
      </c>
      <c r="B2210" s="2">
        <v>46318</v>
      </c>
      <c r="C2210" s="1" t="s">
        <v>4</v>
      </c>
      <c r="D2210" s="1">
        <f t="shared" si="35"/>
        <v>10</v>
      </c>
    </row>
    <row r="2211" spans="1:4" x14ac:dyDescent="0.35">
      <c r="A2211" s="1">
        <v>47750</v>
      </c>
      <c r="B2211" s="2">
        <v>46318</v>
      </c>
      <c r="C2211" s="1" t="s">
        <v>4</v>
      </c>
      <c r="D2211" s="1">
        <f t="shared" si="35"/>
        <v>10</v>
      </c>
    </row>
    <row r="2212" spans="1:4" x14ac:dyDescent="0.35">
      <c r="A2212" s="1">
        <v>47749</v>
      </c>
      <c r="B2212" s="2">
        <v>46318</v>
      </c>
      <c r="C2212" s="1" t="s">
        <v>7</v>
      </c>
      <c r="D2212" s="1">
        <f t="shared" si="35"/>
        <v>10</v>
      </c>
    </row>
    <row r="2213" spans="1:4" x14ac:dyDescent="0.35">
      <c r="A2213" s="1">
        <v>47748</v>
      </c>
      <c r="B2213" s="2">
        <v>46318</v>
      </c>
      <c r="C2213" s="1" t="s">
        <v>7</v>
      </c>
      <c r="D2213" s="1">
        <f t="shared" si="35"/>
        <v>10</v>
      </c>
    </row>
    <row r="2214" spans="1:4" x14ac:dyDescent="0.35">
      <c r="A2214" s="1">
        <v>47741</v>
      </c>
      <c r="B2214" s="2">
        <v>46318</v>
      </c>
      <c r="C2214" s="1" t="s">
        <v>16</v>
      </c>
      <c r="D2214" s="1">
        <f t="shared" si="35"/>
        <v>10</v>
      </c>
    </row>
    <row r="2215" spans="1:4" x14ac:dyDescent="0.35">
      <c r="A2215" s="1">
        <v>47740</v>
      </c>
      <c r="B2215" s="2">
        <v>46318</v>
      </c>
      <c r="C2215" s="1" t="s">
        <v>16</v>
      </c>
      <c r="D2215" s="1">
        <f t="shared" si="35"/>
        <v>10</v>
      </c>
    </row>
    <row r="2216" spans="1:4" x14ac:dyDescent="0.35">
      <c r="A2216" s="1">
        <v>47739</v>
      </c>
      <c r="B2216" s="2">
        <v>46318</v>
      </c>
      <c r="C2216" s="1" t="s">
        <v>16</v>
      </c>
      <c r="D2216" s="1">
        <f t="shared" si="35"/>
        <v>10</v>
      </c>
    </row>
    <row r="2217" spans="1:4" x14ac:dyDescent="0.35">
      <c r="A2217" s="1">
        <v>47733</v>
      </c>
      <c r="B2217" s="2">
        <v>46318</v>
      </c>
      <c r="C2217" s="1" t="s">
        <v>3</v>
      </c>
      <c r="D2217" s="1">
        <f t="shared" si="35"/>
        <v>10</v>
      </c>
    </row>
    <row r="2218" spans="1:4" x14ac:dyDescent="0.35">
      <c r="A2218" s="1">
        <v>47732</v>
      </c>
      <c r="B2218" s="2">
        <v>46317</v>
      </c>
      <c r="C2218" s="1" t="s">
        <v>3</v>
      </c>
      <c r="D2218" s="1">
        <f t="shared" si="35"/>
        <v>10</v>
      </c>
    </row>
    <row r="2219" spans="1:4" x14ac:dyDescent="0.35">
      <c r="A2219" s="1">
        <v>47731</v>
      </c>
      <c r="B2219" s="2">
        <v>46318</v>
      </c>
      <c r="C2219" s="1" t="s">
        <v>3</v>
      </c>
      <c r="D2219" s="1">
        <f t="shared" si="35"/>
        <v>10</v>
      </c>
    </row>
    <row r="2220" spans="1:4" x14ac:dyDescent="0.35">
      <c r="A2220" s="1">
        <v>47727</v>
      </c>
      <c r="B2220" s="2">
        <v>46318</v>
      </c>
      <c r="C2220" s="1" t="s">
        <v>6</v>
      </c>
      <c r="D2220" s="1">
        <f t="shared" si="35"/>
        <v>10</v>
      </c>
    </row>
    <row r="2221" spans="1:4" x14ac:dyDescent="0.35">
      <c r="A2221" s="1">
        <v>47726</v>
      </c>
      <c r="B2221" s="2">
        <v>46318</v>
      </c>
      <c r="C2221" s="1" t="s">
        <v>6</v>
      </c>
      <c r="D2221" s="1">
        <f t="shared" si="35"/>
        <v>10</v>
      </c>
    </row>
    <row r="2222" spans="1:4" x14ac:dyDescent="0.35">
      <c r="A2222" s="1">
        <v>47725</v>
      </c>
      <c r="B2222" s="2">
        <v>46318</v>
      </c>
      <c r="C2222" s="1" t="s">
        <v>6</v>
      </c>
      <c r="D2222" s="1">
        <f t="shared" si="35"/>
        <v>10</v>
      </c>
    </row>
    <row r="2223" spans="1:4" x14ac:dyDescent="0.35">
      <c r="A2223" s="1">
        <v>47724</v>
      </c>
      <c r="B2223" s="2">
        <v>46318</v>
      </c>
      <c r="C2223" s="1" t="s">
        <v>6</v>
      </c>
      <c r="D2223" s="1">
        <f t="shared" si="35"/>
        <v>10</v>
      </c>
    </row>
    <row r="2224" spans="1:4" x14ac:dyDescent="0.35">
      <c r="A2224" s="1">
        <v>47718</v>
      </c>
      <c r="B2224" s="2">
        <v>46318</v>
      </c>
      <c r="C2224" s="1" t="s">
        <v>19</v>
      </c>
      <c r="D2224" s="1">
        <f t="shared" si="35"/>
        <v>10</v>
      </c>
    </row>
    <row r="2225" spans="1:4" x14ac:dyDescent="0.35">
      <c r="A2225" s="1">
        <v>47824</v>
      </c>
      <c r="B2225" s="2">
        <v>46322</v>
      </c>
      <c r="C2225" s="1" t="s">
        <v>8</v>
      </c>
      <c r="D2225" s="1">
        <f t="shared" ref="D2225:D2253" si="36">MONTH(B2225)</f>
        <v>10</v>
      </c>
    </row>
    <row r="2226" spans="1:4" x14ac:dyDescent="0.35">
      <c r="A2226" s="1">
        <v>47821</v>
      </c>
      <c r="B2226" s="2">
        <v>46322</v>
      </c>
      <c r="C2226" s="1" t="s">
        <v>8</v>
      </c>
      <c r="D2226" s="1">
        <f t="shared" si="36"/>
        <v>10</v>
      </c>
    </row>
    <row r="2227" spans="1:4" x14ac:dyDescent="0.35">
      <c r="A2227" s="1">
        <v>47818</v>
      </c>
      <c r="B2227" s="2">
        <v>46321</v>
      </c>
      <c r="C2227" s="1" t="s">
        <v>10</v>
      </c>
      <c r="D2227" s="1">
        <f t="shared" si="36"/>
        <v>10</v>
      </c>
    </row>
    <row r="2228" spans="1:4" x14ac:dyDescent="0.35">
      <c r="A2228" s="1">
        <v>47817</v>
      </c>
      <c r="B2228" s="2">
        <v>46321</v>
      </c>
      <c r="C2228" s="1" t="s">
        <v>10</v>
      </c>
      <c r="D2228" s="1">
        <f t="shared" si="36"/>
        <v>10</v>
      </c>
    </row>
    <row r="2229" spans="1:4" x14ac:dyDescent="0.35">
      <c r="A2229" s="1">
        <v>47816</v>
      </c>
      <c r="B2229" s="2">
        <v>46321</v>
      </c>
      <c r="C2229" s="1" t="s">
        <v>16</v>
      </c>
      <c r="D2229" s="1">
        <f t="shared" si="36"/>
        <v>10</v>
      </c>
    </row>
    <row r="2230" spans="1:4" x14ac:dyDescent="0.35">
      <c r="A2230" s="1">
        <v>47815</v>
      </c>
      <c r="B2230" s="2">
        <v>46321</v>
      </c>
      <c r="C2230" s="1" t="s">
        <v>16</v>
      </c>
      <c r="D2230" s="1">
        <f t="shared" si="36"/>
        <v>10</v>
      </c>
    </row>
    <row r="2231" spans="1:4" x14ac:dyDescent="0.35">
      <c r="A2231" s="1">
        <v>47814</v>
      </c>
      <c r="B2231" s="2">
        <v>46321</v>
      </c>
      <c r="C2231" s="1" t="s">
        <v>16</v>
      </c>
      <c r="D2231" s="1">
        <f t="shared" si="36"/>
        <v>10</v>
      </c>
    </row>
    <row r="2232" spans="1:4" x14ac:dyDescent="0.35">
      <c r="A2232" s="1">
        <v>47808</v>
      </c>
      <c r="B2232" s="2">
        <v>46321</v>
      </c>
      <c r="C2232" s="1" t="s">
        <v>103</v>
      </c>
      <c r="D2232" s="1">
        <f t="shared" si="36"/>
        <v>10</v>
      </c>
    </row>
    <row r="2233" spans="1:4" x14ac:dyDescent="0.35">
      <c r="A2233" s="1">
        <v>47807</v>
      </c>
      <c r="B2233" s="2">
        <v>46321</v>
      </c>
      <c r="C2233" s="1" t="s">
        <v>103</v>
      </c>
      <c r="D2233" s="1">
        <f t="shared" si="36"/>
        <v>10</v>
      </c>
    </row>
    <row r="2234" spans="1:4" x14ac:dyDescent="0.35">
      <c r="A2234" s="1">
        <v>47806</v>
      </c>
      <c r="B2234" s="2">
        <v>46321</v>
      </c>
      <c r="C2234" s="1" t="s">
        <v>103</v>
      </c>
      <c r="D2234" s="1">
        <f t="shared" si="36"/>
        <v>10</v>
      </c>
    </row>
    <row r="2235" spans="1:4" x14ac:dyDescent="0.35">
      <c r="A2235" s="1">
        <v>47805</v>
      </c>
      <c r="B2235" s="2">
        <v>46321</v>
      </c>
      <c r="C2235" s="1" t="s">
        <v>1039</v>
      </c>
      <c r="D2235" s="1">
        <f t="shared" si="36"/>
        <v>10</v>
      </c>
    </row>
    <row r="2236" spans="1:4" x14ac:dyDescent="0.35">
      <c r="A2236" s="1">
        <v>47804</v>
      </c>
      <c r="B2236" s="2">
        <v>46321</v>
      </c>
      <c r="C2236" s="1" t="s">
        <v>4</v>
      </c>
      <c r="D2236" s="1">
        <f t="shared" si="36"/>
        <v>10</v>
      </c>
    </row>
    <row r="2237" spans="1:4" x14ac:dyDescent="0.35">
      <c r="A2237" s="1">
        <v>47803</v>
      </c>
      <c r="B2237" s="2">
        <v>46321</v>
      </c>
      <c r="C2237" s="1" t="s">
        <v>4</v>
      </c>
      <c r="D2237" s="1">
        <f t="shared" si="36"/>
        <v>10</v>
      </c>
    </row>
    <row r="2238" spans="1:4" x14ac:dyDescent="0.35">
      <c r="A2238" s="1">
        <v>47802</v>
      </c>
      <c r="B2238" s="2">
        <v>46321</v>
      </c>
      <c r="C2238" s="1" t="s">
        <v>4</v>
      </c>
      <c r="D2238" s="1">
        <f t="shared" si="36"/>
        <v>10</v>
      </c>
    </row>
    <row r="2239" spans="1:4" x14ac:dyDescent="0.35">
      <c r="A2239" s="1">
        <v>47801</v>
      </c>
      <c r="B2239" s="2">
        <v>46321</v>
      </c>
      <c r="C2239" s="1" t="s">
        <v>19</v>
      </c>
      <c r="D2239" s="1">
        <f t="shared" si="36"/>
        <v>10</v>
      </c>
    </row>
    <row r="2240" spans="1:4" x14ac:dyDescent="0.35">
      <c r="A2240" s="1">
        <v>47800</v>
      </c>
      <c r="B2240" s="2">
        <v>46321</v>
      </c>
      <c r="C2240" s="1" t="s">
        <v>19</v>
      </c>
      <c r="D2240" s="1">
        <f t="shared" si="36"/>
        <v>10</v>
      </c>
    </row>
    <row r="2241" spans="1:4" x14ac:dyDescent="0.35">
      <c r="A2241" s="1">
        <v>47799</v>
      </c>
      <c r="B2241" s="2">
        <v>46321</v>
      </c>
      <c r="C2241" s="1" t="s">
        <v>19</v>
      </c>
      <c r="D2241" s="1">
        <f t="shared" si="36"/>
        <v>10</v>
      </c>
    </row>
    <row r="2242" spans="1:4" x14ac:dyDescent="0.35">
      <c r="A2242" s="1">
        <v>47798</v>
      </c>
      <c r="B2242" s="2">
        <v>46321</v>
      </c>
      <c r="C2242" s="1" t="s">
        <v>19</v>
      </c>
      <c r="D2242" s="1">
        <f t="shared" si="36"/>
        <v>10</v>
      </c>
    </row>
    <row r="2243" spans="1:4" x14ac:dyDescent="0.35">
      <c r="A2243" s="1">
        <v>47796</v>
      </c>
      <c r="B2243" s="2">
        <v>46321</v>
      </c>
      <c r="C2243" s="1" t="s">
        <v>17</v>
      </c>
      <c r="D2243" s="1">
        <f t="shared" si="36"/>
        <v>10</v>
      </c>
    </row>
    <row r="2244" spans="1:4" x14ac:dyDescent="0.35">
      <c r="A2244" s="1">
        <v>47794</v>
      </c>
      <c r="B2244" s="2">
        <v>46321</v>
      </c>
      <c r="C2244" s="1" t="s">
        <v>17</v>
      </c>
      <c r="D2244" s="1">
        <f t="shared" si="36"/>
        <v>10</v>
      </c>
    </row>
    <row r="2245" spans="1:4" x14ac:dyDescent="0.35">
      <c r="A2245" s="1">
        <v>47793</v>
      </c>
      <c r="B2245" s="2">
        <v>46321</v>
      </c>
      <c r="C2245" s="1" t="s">
        <v>17</v>
      </c>
      <c r="D2245" s="1">
        <f t="shared" si="36"/>
        <v>10</v>
      </c>
    </row>
    <row r="2246" spans="1:4" x14ac:dyDescent="0.35">
      <c r="A2246" s="1">
        <v>47792</v>
      </c>
      <c r="B2246" s="2">
        <v>46321</v>
      </c>
      <c r="C2246" s="1" t="s">
        <v>6</v>
      </c>
      <c r="D2246" s="1">
        <f t="shared" si="36"/>
        <v>10</v>
      </c>
    </row>
    <row r="2247" spans="1:4" x14ac:dyDescent="0.35">
      <c r="A2247" s="1">
        <v>47791</v>
      </c>
      <c r="B2247" s="2">
        <v>46321</v>
      </c>
      <c r="C2247" s="1" t="s">
        <v>6</v>
      </c>
      <c r="D2247" s="1">
        <f t="shared" si="36"/>
        <v>10</v>
      </c>
    </row>
    <row r="2248" spans="1:4" x14ac:dyDescent="0.35">
      <c r="A2248" s="1">
        <v>47789</v>
      </c>
      <c r="B2248" s="2">
        <v>46321</v>
      </c>
      <c r="C2248" s="1" t="s">
        <v>6</v>
      </c>
      <c r="D2248" s="1">
        <f t="shared" si="36"/>
        <v>10</v>
      </c>
    </row>
    <row r="2249" spans="1:4" x14ac:dyDescent="0.35">
      <c r="A2249" s="1">
        <v>47787</v>
      </c>
      <c r="B2249" s="2">
        <v>46321</v>
      </c>
      <c r="C2249" s="1" t="s">
        <v>6</v>
      </c>
      <c r="D2249" s="1">
        <f t="shared" si="36"/>
        <v>10</v>
      </c>
    </row>
    <row r="2250" spans="1:4" x14ac:dyDescent="0.35">
      <c r="A2250" s="1">
        <v>47784</v>
      </c>
      <c r="B2250" s="2">
        <v>46321</v>
      </c>
      <c r="C2250" s="1" t="s">
        <v>7</v>
      </c>
      <c r="D2250" s="1">
        <f t="shared" si="36"/>
        <v>10</v>
      </c>
    </row>
    <row r="2251" spans="1:4" x14ac:dyDescent="0.35">
      <c r="A2251" s="1">
        <v>47783</v>
      </c>
      <c r="B2251" s="2">
        <v>46321</v>
      </c>
      <c r="C2251" s="1" t="s">
        <v>7</v>
      </c>
      <c r="D2251" s="1">
        <f t="shared" si="36"/>
        <v>10</v>
      </c>
    </row>
    <row r="2252" spans="1:4" x14ac:dyDescent="0.35">
      <c r="A2252" s="1">
        <v>47771</v>
      </c>
      <c r="B2252" s="2">
        <v>46321</v>
      </c>
      <c r="C2252" s="1" t="s">
        <v>8</v>
      </c>
      <c r="D2252" s="1">
        <f t="shared" si="36"/>
        <v>10</v>
      </c>
    </row>
    <row r="2253" spans="1:4" x14ac:dyDescent="0.35">
      <c r="A2253" s="1">
        <v>47770</v>
      </c>
      <c r="B2253" s="2">
        <v>46321</v>
      </c>
      <c r="C2253" s="1" t="s">
        <v>8</v>
      </c>
      <c r="D2253" s="1">
        <f t="shared" si="36"/>
        <v>10</v>
      </c>
    </row>
    <row r="2254" spans="1:4" x14ac:dyDescent="0.35">
      <c r="A2254" s="1">
        <v>47915</v>
      </c>
      <c r="B2254" s="2">
        <v>46323</v>
      </c>
      <c r="C2254" s="1" t="s">
        <v>10</v>
      </c>
      <c r="D2254" s="1">
        <f t="shared" ref="D2254:D2285" si="37">MONTH(B2254)</f>
        <v>10</v>
      </c>
    </row>
    <row r="2255" spans="1:4" x14ac:dyDescent="0.35">
      <c r="A2255" s="1">
        <v>47914</v>
      </c>
      <c r="B2255" s="2">
        <v>46323</v>
      </c>
      <c r="C2255" s="1" t="s">
        <v>10</v>
      </c>
      <c r="D2255" s="1">
        <f t="shared" si="37"/>
        <v>10</v>
      </c>
    </row>
    <row r="2256" spans="1:4" x14ac:dyDescent="0.35">
      <c r="A2256" s="1">
        <v>47913</v>
      </c>
      <c r="B2256" s="2">
        <v>46323</v>
      </c>
      <c r="C2256" s="1" t="s">
        <v>16</v>
      </c>
      <c r="D2256" s="1">
        <f t="shared" si="37"/>
        <v>10</v>
      </c>
    </row>
    <row r="2257" spans="1:4" x14ac:dyDescent="0.35">
      <c r="A2257" s="1">
        <v>47912</v>
      </c>
      <c r="B2257" s="2">
        <v>46323</v>
      </c>
      <c r="C2257" s="1" t="s">
        <v>16</v>
      </c>
      <c r="D2257" s="1">
        <f t="shared" si="37"/>
        <v>10</v>
      </c>
    </row>
    <row r="2258" spans="1:4" x14ac:dyDescent="0.35">
      <c r="A2258" s="1">
        <v>47909</v>
      </c>
      <c r="B2258" s="2">
        <v>46323</v>
      </c>
      <c r="C2258" s="1" t="s">
        <v>103</v>
      </c>
      <c r="D2258" s="1">
        <f t="shared" si="37"/>
        <v>10</v>
      </c>
    </row>
    <row r="2259" spans="1:4" x14ac:dyDescent="0.35">
      <c r="A2259" s="1">
        <v>47908</v>
      </c>
      <c r="B2259" s="2">
        <v>46323</v>
      </c>
      <c r="C2259" s="1" t="s">
        <v>3</v>
      </c>
      <c r="D2259" s="1">
        <f t="shared" si="37"/>
        <v>10</v>
      </c>
    </row>
    <row r="2260" spans="1:4" x14ac:dyDescent="0.35">
      <c r="A2260" s="1">
        <v>47907</v>
      </c>
      <c r="B2260" s="2">
        <v>46323</v>
      </c>
      <c r="C2260" s="1" t="s">
        <v>103</v>
      </c>
      <c r="D2260" s="1">
        <f t="shared" si="37"/>
        <v>10</v>
      </c>
    </row>
    <row r="2261" spans="1:4" x14ac:dyDescent="0.35">
      <c r="A2261" s="1">
        <v>47906</v>
      </c>
      <c r="B2261" s="2">
        <v>46323</v>
      </c>
      <c r="C2261" s="1" t="s">
        <v>103</v>
      </c>
      <c r="D2261" s="1">
        <f t="shared" si="37"/>
        <v>10</v>
      </c>
    </row>
    <row r="2262" spans="1:4" x14ac:dyDescent="0.35">
      <c r="A2262" s="1">
        <v>47904</v>
      </c>
      <c r="B2262" s="2">
        <v>46323</v>
      </c>
      <c r="C2262" s="1" t="s">
        <v>19</v>
      </c>
      <c r="D2262" s="1">
        <f t="shared" si="37"/>
        <v>10</v>
      </c>
    </row>
    <row r="2263" spans="1:4" x14ac:dyDescent="0.35">
      <c r="A2263" s="1">
        <v>47902</v>
      </c>
      <c r="B2263" s="2">
        <v>46323</v>
      </c>
      <c r="C2263" s="1" t="s">
        <v>4</v>
      </c>
      <c r="D2263" s="1">
        <f t="shared" si="37"/>
        <v>10</v>
      </c>
    </row>
    <row r="2264" spans="1:4" x14ac:dyDescent="0.35">
      <c r="A2264" s="1">
        <v>47901</v>
      </c>
      <c r="B2264" s="2">
        <v>46323</v>
      </c>
      <c r="C2264" s="1" t="s">
        <v>4</v>
      </c>
      <c r="D2264" s="1">
        <f t="shared" si="37"/>
        <v>10</v>
      </c>
    </row>
    <row r="2265" spans="1:4" x14ac:dyDescent="0.35">
      <c r="A2265" s="1">
        <v>47900</v>
      </c>
      <c r="B2265" s="2">
        <v>46323</v>
      </c>
      <c r="C2265" s="1" t="s">
        <v>4</v>
      </c>
      <c r="D2265" s="1">
        <f t="shared" si="37"/>
        <v>10</v>
      </c>
    </row>
    <row r="2266" spans="1:4" x14ac:dyDescent="0.35">
      <c r="A2266" s="1">
        <v>47899</v>
      </c>
      <c r="B2266" s="2">
        <v>46323</v>
      </c>
      <c r="C2266" s="1" t="s">
        <v>9</v>
      </c>
      <c r="D2266" s="1">
        <f t="shared" si="37"/>
        <v>10</v>
      </c>
    </row>
    <row r="2267" spans="1:4" x14ac:dyDescent="0.35">
      <c r="A2267" s="1">
        <v>47897</v>
      </c>
      <c r="B2267" s="2">
        <v>46323</v>
      </c>
      <c r="C2267" s="1" t="s">
        <v>9</v>
      </c>
      <c r="D2267" s="1">
        <f t="shared" si="37"/>
        <v>10</v>
      </c>
    </row>
    <row r="2268" spans="1:4" x14ac:dyDescent="0.35">
      <c r="A2268" s="1">
        <v>47896</v>
      </c>
      <c r="B2268" s="2">
        <v>46323</v>
      </c>
      <c r="C2268" s="1" t="s">
        <v>1029</v>
      </c>
      <c r="D2268" s="1">
        <f t="shared" si="37"/>
        <v>10</v>
      </c>
    </row>
    <row r="2269" spans="1:4" x14ac:dyDescent="0.35">
      <c r="A2269" s="1">
        <v>47889</v>
      </c>
      <c r="B2269" s="2">
        <v>46323</v>
      </c>
      <c r="C2269" s="1" t="s">
        <v>7</v>
      </c>
      <c r="D2269" s="1">
        <f t="shared" si="37"/>
        <v>10</v>
      </c>
    </row>
    <row r="2270" spans="1:4" x14ac:dyDescent="0.35">
      <c r="A2270" s="1">
        <v>47888</v>
      </c>
      <c r="B2270" s="2">
        <v>46323</v>
      </c>
      <c r="C2270" s="1" t="s">
        <v>7</v>
      </c>
      <c r="D2270" s="1">
        <f t="shared" si="37"/>
        <v>10</v>
      </c>
    </row>
    <row r="2271" spans="1:4" x14ac:dyDescent="0.35">
      <c r="A2271" s="1">
        <v>47885</v>
      </c>
      <c r="B2271" s="2">
        <v>46323</v>
      </c>
      <c r="C2271" s="1" t="s">
        <v>1029</v>
      </c>
      <c r="D2271" s="1">
        <f t="shared" si="37"/>
        <v>10</v>
      </c>
    </row>
    <row r="2272" spans="1:4" x14ac:dyDescent="0.35">
      <c r="A2272" s="1">
        <v>47883</v>
      </c>
      <c r="B2272" s="2">
        <v>46323</v>
      </c>
      <c r="C2272" s="1" t="s">
        <v>3</v>
      </c>
      <c r="D2272" s="1">
        <f t="shared" si="37"/>
        <v>10</v>
      </c>
    </row>
    <row r="2273" spans="1:4" x14ac:dyDescent="0.35">
      <c r="A2273" s="1">
        <v>47882</v>
      </c>
      <c r="B2273" s="2">
        <v>46323</v>
      </c>
      <c r="C2273" s="1" t="s">
        <v>19</v>
      </c>
      <c r="D2273" s="1">
        <f t="shared" si="37"/>
        <v>10</v>
      </c>
    </row>
    <row r="2274" spans="1:4" x14ac:dyDescent="0.35">
      <c r="A2274" s="1">
        <v>47881</v>
      </c>
      <c r="B2274" s="2">
        <v>46323</v>
      </c>
      <c r="C2274" s="1" t="s">
        <v>6</v>
      </c>
      <c r="D2274" s="1">
        <f t="shared" si="37"/>
        <v>10</v>
      </c>
    </row>
    <row r="2275" spans="1:4" x14ac:dyDescent="0.35">
      <c r="A2275" s="1">
        <v>47880</v>
      </c>
      <c r="B2275" s="2">
        <v>46323</v>
      </c>
      <c r="C2275" s="1" t="s">
        <v>6</v>
      </c>
      <c r="D2275" s="1">
        <f t="shared" si="37"/>
        <v>10</v>
      </c>
    </row>
    <row r="2276" spans="1:4" x14ac:dyDescent="0.35">
      <c r="A2276" s="1">
        <v>47879</v>
      </c>
      <c r="B2276" s="2">
        <v>46323</v>
      </c>
      <c r="C2276" s="1" t="s">
        <v>6</v>
      </c>
      <c r="D2276" s="1">
        <f t="shared" si="37"/>
        <v>10</v>
      </c>
    </row>
    <row r="2277" spans="1:4" x14ac:dyDescent="0.35">
      <c r="A2277" s="1">
        <v>47878</v>
      </c>
      <c r="B2277" s="2">
        <v>46323</v>
      </c>
      <c r="C2277" s="1" t="s">
        <v>19</v>
      </c>
      <c r="D2277" s="1">
        <f t="shared" si="37"/>
        <v>10</v>
      </c>
    </row>
    <row r="2278" spans="1:4" x14ac:dyDescent="0.35">
      <c r="A2278" s="1">
        <v>47876</v>
      </c>
      <c r="B2278" s="2">
        <v>46323</v>
      </c>
      <c r="C2278" s="1" t="s">
        <v>3</v>
      </c>
      <c r="D2278" s="1">
        <f t="shared" si="37"/>
        <v>10</v>
      </c>
    </row>
    <row r="2279" spans="1:4" x14ac:dyDescent="0.35">
      <c r="A2279" s="1">
        <v>47875</v>
      </c>
      <c r="B2279" s="2">
        <v>46322</v>
      </c>
      <c r="C2279" s="1" t="s">
        <v>21</v>
      </c>
      <c r="D2279" s="1">
        <f t="shared" si="37"/>
        <v>10</v>
      </c>
    </row>
    <row r="2280" spans="1:4" x14ac:dyDescent="0.35">
      <c r="A2280" s="1">
        <v>47874</v>
      </c>
      <c r="B2280" s="2">
        <v>46322</v>
      </c>
      <c r="C2280" s="1" t="s">
        <v>21</v>
      </c>
      <c r="D2280" s="1">
        <f t="shared" si="37"/>
        <v>10</v>
      </c>
    </row>
    <row r="2281" spans="1:4" x14ac:dyDescent="0.35">
      <c r="A2281" s="1">
        <v>47873</v>
      </c>
      <c r="B2281" s="2">
        <v>46322</v>
      </c>
      <c r="C2281" s="1" t="s">
        <v>21</v>
      </c>
      <c r="D2281" s="1">
        <f t="shared" si="37"/>
        <v>10</v>
      </c>
    </row>
    <row r="2282" spans="1:4" x14ac:dyDescent="0.35">
      <c r="A2282" s="1">
        <v>47872</v>
      </c>
      <c r="B2282" s="2">
        <v>46322</v>
      </c>
      <c r="C2282" s="1" t="s">
        <v>21</v>
      </c>
      <c r="D2282" s="1">
        <f t="shared" si="37"/>
        <v>10</v>
      </c>
    </row>
    <row r="2283" spans="1:4" x14ac:dyDescent="0.35">
      <c r="A2283" s="1">
        <v>47871</v>
      </c>
      <c r="B2283" s="2">
        <v>46323</v>
      </c>
      <c r="C2283" s="1" t="s">
        <v>19</v>
      </c>
      <c r="D2283" s="1">
        <f t="shared" si="37"/>
        <v>10</v>
      </c>
    </row>
    <row r="2284" spans="1:4" x14ac:dyDescent="0.35">
      <c r="A2284" s="1">
        <v>47870</v>
      </c>
      <c r="B2284" s="2">
        <v>46323</v>
      </c>
      <c r="C2284" s="1" t="s">
        <v>19</v>
      </c>
      <c r="D2284" s="1">
        <f t="shared" si="37"/>
        <v>10</v>
      </c>
    </row>
    <row r="2285" spans="1:4" x14ac:dyDescent="0.35">
      <c r="A2285" s="1">
        <v>47869</v>
      </c>
      <c r="B2285" s="2">
        <v>46323</v>
      </c>
      <c r="C2285" s="1" t="s">
        <v>8</v>
      </c>
      <c r="D2285" s="1">
        <f t="shared" si="37"/>
        <v>10</v>
      </c>
    </row>
    <row r="2286" spans="1:4" x14ac:dyDescent="0.35">
      <c r="A2286" s="1">
        <v>47868</v>
      </c>
      <c r="B2286" s="2">
        <v>46323</v>
      </c>
      <c r="C2286" s="1" t="s">
        <v>8</v>
      </c>
      <c r="D2286" s="1">
        <f t="shared" ref="D2286:D2306" si="38">MONTH(B2286)</f>
        <v>10</v>
      </c>
    </row>
    <row r="2287" spans="1:4" x14ac:dyDescent="0.35">
      <c r="A2287" s="1">
        <v>47867</v>
      </c>
      <c r="B2287" s="2">
        <v>46323</v>
      </c>
      <c r="C2287" s="1" t="s">
        <v>19</v>
      </c>
      <c r="D2287" s="1">
        <f t="shared" si="38"/>
        <v>10</v>
      </c>
    </row>
    <row r="2288" spans="1:4" x14ac:dyDescent="0.35">
      <c r="A2288" s="1">
        <v>47858</v>
      </c>
      <c r="B2288" s="2">
        <v>46322</v>
      </c>
      <c r="C2288" s="1" t="s">
        <v>10</v>
      </c>
      <c r="D2288" s="1">
        <f t="shared" si="38"/>
        <v>10</v>
      </c>
    </row>
    <row r="2289" spans="1:4" x14ac:dyDescent="0.35">
      <c r="A2289" s="1">
        <v>47855</v>
      </c>
      <c r="B2289" s="2">
        <v>46322</v>
      </c>
      <c r="C2289" s="1" t="s">
        <v>10</v>
      </c>
      <c r="D2289" s="1">
        <f t="shared" si="38"/>
        <v>10</v>
      </c>
    </row>
    <row r="2290" spans="1:4" x14ac:dyDescent="0.35">
      <c r="A2290" s="1">
        <v>47854</v>
      </c>
      <c r="B2290" s="2">
        <v>46322</v>
      </c>
      <c r="C2290" s="1" t="s">
        <v>16</v>
      </c>
      <c r="D2290" s="1">
        <f t="shared" si="38"/>
        <v>10</v>
      </c>
    </row>
    <row r="2291" spans="1:4" x14ac:dyDescent="0.35">
      <c r="A2291" s="1">
        <v>47853</v>
      </c>
      <c r="B2291" s="2">
        <v>46322</v>
      </c>
      <c r="C2291" s="1" t="s">
        <v>16</v>
      </c>
      <c r="D2291" s="1">
        <f t="shared" si="38"/>
        <v>10</v>
      </c>
    </row>
    <row r="2292" spans="1:4" x14ac:dyDescent="0.35">
      <c r="A2292" s="1">
        <v>47845</v>
      </c>
      <c r="B2292" s="2">
        <v>46322</v>
      </c>
      <c r="C2292" s="1" t="s">
        <v>3</v>
      </c>
      <c r="D2292" s="1">
        <f t="shared" si="38"/>
        <v>10</v>
      </c>
    </row>
    <row r="2293" spans="1:4" x14ac:dyDescent="0.35">
      <c r="A2293" s="1">
        <v>47844</v>
      </c>
      <c r="B2293" s="2">
        <v>46322</v>
      </c>
      <c r="C2293" s="1" t="s">
        <v>3</v>
      </c>
      <c r="D2293" s="1">
        <f t="shared" si="38"/>
        <v>10</v>
      </c>
    </row>
    <row r="2294" spans="1:4" x14ac:dyDescent="0.35">
      <c r="A2294" s="1">
        <v>47843</v>
      </c>
      <c r="B2294" s="2">
        <v>46322</v>
      </c>
      <c r="C2294" s="1" t="s">
        <v>3</v>
      </c>
      <c r="D2294" s="1">
        <f t="shared" si="38"/>
        <v>10</v>
      </c>
    </row>
    <row r="2295" spans="1:4" x14ac:dyDescent="0.35">
      <c r="A2295" s="1">
        <v>47841</v>
      </c>
      <c r="B2295" s="2">
        <v>46322</v>
      </c>
      <c r="C2295" s="1" t="s">
        <v>7</v>
      </c>
      <c r="D2295" s="1">
        <f t="shared" si="38"/>
        <v>10</v>
      </c>
    </row>
    <row r="2296" spans="1:4" x14ac:dyDescent="0.35">
      <c r="A2296" s="1">
        <v>47840</v>
      </c>
      <c r="B2296" s="2">
        <v>46322</v>
      </c>
      <c r="C2296" s="1" t="s">
        <v>7</v>
      </c>
      <c r="D2296" s="1">
        <f t="shared" si="38"/>
        <v>10</v>
      </c>
    </row>
    <row r="2297" spans="1:4" x14ac:dyDescent="0.35">
      <c r="A2297" s="1">
        <v>47839</v>
      </c>
      <c r="B2297" s="2">
        <v>46322</v>
      </c>
      <c r="C2297" s="1" t="s">
        <v>1029</v>
      </c>
      <c r="D2297" s="1">
        <f t="shared" si="38"/>
        <v>10</v>
      </c>
    </row>
    <row r="2298" spans="1:4" x14ac:dyDescent="0.35">
      <c r="A2298" s="1">
        <v>47835</v>
      </c>
      <c r="B2298" s="2">
        <v>46322</v>
      </c>
      <c r="C2298" s="1" t="s">
        <v>17</v>
      </c>
      <c r="D2298" s="1">
        <f t="shared" si="38"/>
        <v>10</v>
      </c>
    </row>
    <row r="2299" spans="1:4" x14ac:dyDescent="0.35">
      <c r="A2299" s="1">
        <v>47834</v>
      </c>
      <c r="B2299" s="2">
        <v>46322</v>
      </c>
      <c r="C2299" s="1" t="s">
        <v>19</v>
      </c>
      <c r="D2299" s="1">
        <f t="shared" si="38"/>
        <v>10</v>
      </c>
    </row>
    <row r="2300" spans="1:4" x14ac:dyDescent="0.35">
      <c r="A2300" s="1">
        <v>47833</v>
      </c>
      <c r="B2300" s="2">
        <v>46322</v>
      </c>
      <c r="C2300" s="1" t="s">
        <v>17</v>
      </c>
      <c r="D2300" s="1">
        <f t="shared" si="38"/>
        <v>10</v>
      </c>
    </row>
    <row r="2301" spans="1:4" x14ac:dyDescent="0.35">
      <c r="A2301" s="1">
        <v>47832</v>
      </c>
      <c r="B2301" s="2">
        <v>46322</v>
      </c>
      <c r="C2301" s="1" t="s">
        <v>6</v>
      </c>
      <c r="D2301" s="1">
        <f t="shared" si="38"/>
        <v>10</v>
      </c>
    </row>
    <row r="2302" spans="1:4" x14ac:dyDescent="0.35">
      <c r="A2302" s="1">
        <v>47831</v>
      </c>
      <c r="B2302" s="2">
        <v>46322</v>
      </c>
      <c r="C2302" s="1" t="s">
        <v>6</v>
      </c>
      <c r="D2302" s="1">
        <f t="shared" si="38"/>
        <v>10</v>
      </c>
    </row>
    <row r="2303" spans="1:4" x14ac:dyDescent="0.35">
      <c r="A2303" s="1">
        <v>47829</v>
      </c>
      <c r="B2303" s="2">
        <v>46321</v>
      </c>
      <c r="C2303" s="1" t="s">
        <v>3</v>
      </c>
      <c r="D2303" s="1">
        <f t="shared" si="38"/>
        <v>10</v>
      </c>
    </row>
    <row r="2304" spans="1:4" x14ac:dyDescent="0.35">
      <c r="A2304" s="1">
        <v>47828</v>
      </c>
      <c r="B2304" s="2">
        <v>46321</v>
      </c>
      <c r="C2304" s="1" t="s">
        <v>3</v>
      </c>
      <c r="D2304" s="1">
        <f t="shared" si="38"/>
        <v>10</v>
      </c>
    </row>
    <row r="2305" spans="1:4" x14ac:dyDescent="0.35">
      <c r="A2305" s="1">
        <v>47827</v>
      </c>
      <c r="B2305" s="2">
        <v>46322</v>
      </c>
      <c r="C2305" s="1" t="s">
        <v>19</v>
      </c>
      <c r="D2305" s="1">
        <f t="shared" si="38"/>
        <v>10</v>
      </c>
    </row>
    <row r="2306" spans="1:4" x14ac:dyDescent="0.35">
      <c r="A2306" s="1">
        <v>47826</v>
      </c>
      <c r="B2306" s="2">
        <v>46322</v>
      </c>
      <c r="C2306" s="1" t="s">
        <v>19</v>
      </c>
      <c r="D2306" s="1">
        <f t="shared" si="38"/>
        <v>10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4423-4D96-44C3-9060-F96DEB878EAB}">
  <dimension ref="A1:D204"/>
  <sheetViews>
    <sheetView showGridLines="0" workbookViewId="0">
      <selection sqref="A1:D204"/>
    </sheetView>
  </sheetViews>
  <sheetFormatPr defaultColWidth="6.36328125" defaultRowHeight="10.5" x14ac:dyDescent="0.35"/>
  <cols>
    <col min="1" max="1" width="6.453125" style="1" bestFit="1" customWidth="1"/>
    <col min="2" max="2" width="10.90625" style="1" bestFit="1" customWidth="1"/>
    <col min="3" max="3" width="25.453125" style="1" bestFit="1" customWidth="1"/>
    <col min="4" max="4" width="12.54296875" style="1" bestFit="1" customWidth="1"/>
    <col min="5" max="16384" width="6.363281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30</v>
      </c>
    </row>
    <row r="2" spans="1:4" hidden="1" x14ac:dyDescent="0.35">
      <c r="A2" s="1">
        <v>7669</v>
      </c>
      <c r="B2" s="3">
        <v>46323.753472222219</v>
      </c>
      <c r="C2" s="1" t="s">
        <v>5</v>
      </c>
      <c r="D2" s="1">
        <f>IFERROR(VLOOKUP(_2__Ferramental_AST[[#This Row],[ID]],CHECK_ACUM!A:A,1,0),"NOVO")</f>
        <v>7669</v>
      </c>
    </row>
    <row r="3" spans="1:4" hidden="1" x14ac:dyDescent="0.35">
      <c r="A3" s="1">
        <v>7668</v>
      </c>
      <c r="B3" s="3">
        <v>46323.75277777778</v>
      </c>
      <c r="C3" s="1" t="s">
        <v>5</v>
      </c>
      <c r="D3" s="1">
        <f>IFERROR(VLOOKUP(_2__Ferramental_AST[[#This Row],[ID]],CHECK_ACUM!A:A,1,0),"NOVO")</f>
        <v>7668</v>
      </c>
    </row>
    <row r="4" spans="1:4" hidden="1" x14ac:dyDescent="0.35">
      <c r="A4" s="1">
        <v>7667</v>
      </c>
      <c r="B4" s="3">
        <v>46323.750694444447</v>
      </c>
      <c r="C4" s="1" t="s">
        <v>5</v>
      </c>
      <c r="D4" s="1">
        <f>IFERROR(VLOOKUP(_2__Ferramental_AST[[#This Row],[ID]],CHECK_ACUM!A:A,1,0),"NOVO")</f>
        <v>7667</v>
      </c>
    </row>
    <row r="5" spans="1:4" hidden="1" x14ac:dyDescent="0.35">
      <c r="A5" s="1">
        <v>7666</v>
      </c>
      <c r="B5" s="3">
        <v>46323.75</v>
      </c>
      <c r="C5" s="1" t="s">
        <v>5</v>
      </c>
      <c r="D5" s="1">
        <f>IFERROR(VLOOKUP(_2__Ferramental_AST[[#This Row],[ID]],CHECK_ACUM!A:A,1,0),"NOVO")</f>
        <v>7666</v>
      </c>
    </row>
    <row r="6" spans="1:4" hidden="1" x14ac:dyDescent="0.35">
      <c r="A6" s="1">
        <v>7665</v>
      </c>
      <c r="B6" s="3">
        <v>46323.748611111114</v>
      </c>
      <c r="C6" s="1" t="s">
        <v>5</v>
      </c>
      <c r="D6" s="1">
        <f>IFERROR(VLOOKUP(_2__Ferramental_AST[[#This Row],[ID]],CHECK_ACUM!A:A,1,0),"NOVO")</f>
        <v>7665</v>
      </c>
    </row>
    <row r="7" spans="1:4" hidden="1" x14ac:dyDescent="0.35">
      <c r="A7" s="1">
        <v>7664</v>
      </c>
      <c r="B7" s="3">
        <v>46323.696527777778</v>
      </c>
      <c r="C7" s="1" t="s">
        <v>19</v>
      </c>
      <c r="D7" s="1">
        <f>IFERROR(VLOOKUP(_2__Ferramental_AST[[#This Row],[ID]],CHECK_ACUM!A:A,1,0),"NOVO")</f>
        <v>7664</v>
      </c>
    </row>
    <row r="8" spans="1:4" hidden="1" x14ac:dyDescent="0.35">
      <c r="A8" s="1">
        <v>7663</v>
      </c>
      <c r="B8" s="3">
        <v>46323.618055555555</v>
      </c>
      <c r="C8" s="1" t="s">
        <v>9</v>
      </c>
      <c r="D8" s="1">
        <f>IFERROR(VLOOKUP(_2__Ferramental_AST[[#This Row],[ID]],CHECK_ACUM!A:A,1,0),"NOVO")</f>
        <v>7663</v>
      </c>
    </row>
    <row r="9" spans="1:4" hidden="1" x14ac:dyDescent="0.35">
      <c r="A9" s="1">
        <v>7662</v>
      </c>
      <c r="B9" s="3">
        <v>46323.615972222222</v>
      </c>
      <c r="C9" s="1" t="s">
        <v>9</v>
      </c>
      <c r="D9" s="1">
        <f>IFERROR(VLOOKUP(_2__Ferramental_AST[[#This Row],[ID]],CHECK_ACUM!A:A,1,0),"NOVO")</f>
        <v>7662</v>
      </c>
    </row>
    <row r="10" spans="1:4" hidden="1" x14ac:dyDescent="0.35">
      <c r="A10" s="1">
        <v>7661</v>
      </c>
      <c r="B10" s="3">
        <v>46322.408333333333</v>
      </c>
      <c r="C10" s="1" t="s">
        <v>21</v>
      </c>
      <c r="D10" s="1">
        <f>IFERROR(VLOOKUP(_2__Ferramental_AST[[#This Row],[ID]],CHECK_ACUM!A:A,1,0),"NOVO")</f>
        <v>7661</v>
      </c>
    </row>
    <row r="11" spans="1:4" hidden="1" x14ac:dyDescent="0.35">
      <c r="A11" s="1">
        <v>7660</v>
      </c>
      <c r="B11" s="3">
        <v>46323.398611111108</v>
      </c>
      <c r="C11" s="1" t="s">
        <v>9</v>
      </c>
      <c r="D11" s="1">
        <f>IFERROR(VLOOKUP(_2__Ferramental_AST[[#This Row],[ID]],CHECK_ACUM!A:A,1,0),"NOVO")</f>
        <v>7660</v>
      </c>
    </row>
    <row r="12" spans="1:4" hidden="1" x14ac:dyDescent="0.35">
      <c r="A12" s="1">
        <v>7659</v>
      </c>
      <c r="B12" s="3">
        <v>46323.397916666669</v>
      </c>
      <c r="C12" s="1" t="s">
        <v>9</v>
      </c>
      <c r="D12" s="1">
        <f>IFERROR(VLOOKUP(_2__Ferramental_AST[[#This Row],[ID]],CHECK_ACUM!A:A,1,0),"NOVO")</f>
        <v>7659</v>
      </c>
    </row>
    <row r="13" spans="1:4" hidden="1" x14ac:dyDescent="0.35">
      <c r="A13" s="1">
        <v>7658</v>
      </c>
      <c r="B13" s="3">
        <v>46322.751388888886</v>
      </c>
      <c r="C13" s="1" t="s">
        <v>5</v>
      </c>
      <c r="D13" s="1">
        <f>IFERROR(VLOOKUP(_2__Ferramental_AST[[#This Row],[ID]],CHECK_ACUM!A:A,1,0),"NOVO")</f>
        <v>7658</v>
      </c>
    </row>
    <row r="14" spans="1:4" hidden="1" x14ac:dyDescent="0.35">
      <c r="A14" s="1">
        <v>7657</v>
      </c>
      <c r="B14" s="3">
        <v>46322.749305555553</v>
      </c>
      <c r="C14" s="1" t="s">
        <v>5</v>
      </c>
      <c r="D14" s="1">
        <f>IFERROR(VLOOKUP(_2__Ferramental_AST[[#This Row],[ID]],CHECK_ACUM!A:A,1,0),"NOVO")</f>
        <v>7657</v>
      </c>
    </row>
    <row r="15" spans="1:4" hidden="1" x14ac:dyDescent="0.35">
      <c r="A15" s="1">
        <v>7656</v>
      </c>
      <c r="B15" s="3">
        <v>46322.74722222222</v>
      </c>
      <c r="C15" s="1" t="s">
        <v>5</v>
      </c>
      <c r="D15" s="1">
        <f>IFERROR(VLOOKUP(_2__Ferramental_AST[[#This Row],[ID]],CHECK_ACUM!A:A,1,0),"NOVO")</f>
        <v>7656</v>
      </c>
    </row>
    <row r="16" spans="1:4" hidden="1" x14ac:dyDescent="0.35">
      <c r="A16" s="1">
        <v>7655</v>
      </c>
      <c r="B16" s="3">
        <v>46322.745833333334</v>
      </c>
      <c r="C16" s="1" t="s">
        <v>5</v>
      </c>
      <c r="D16" s="1">
        <f>IFERROR(VLOOKUP(_2__Ferramental_AST[[#This Row],[ID]],CHECK_ACUM!A:A,1,0),"NOVO")</f>
        <v>7655</v>
      </c>
    </row>
    <row r="17" spans="1:4" hidden="1" x14ac:dyDescent="0.35">
      <c r="A17" s="1">
        <v>7654</v>
      </c>
      <c r="B17" s="3">
        <v>46322.689583333333</v>
      </c>
      <c r="C17" s="1" t="s">
        <v>3</v>
      </c>
      <c r="D17" s="1">
        <f>IFERROR(VLOOKUP(_2__Ferramental_AST[[#This Row],[ID]],CHECK_ACUM!A:A,1,0),"NOVO")</f>
        <v>7654</v>
      </c>
    </row>
    <row r="18" spans="1:4" hidden="1" x14ac:dyDescent="0.35">
      <c r="A18" s="1">
        <v>7653</v>
      </c>
      <c r="B18" s="3">
        <v>46322.478472222225</v>
      </c>
      <c r="C18" s="1" t="s">
        <v>9</v>
      </c>
      <c r="D18" s="1">
        <f>IFERROR(VLOOKUP(_2__Ferramental_AST[[#This Row],[ID]],CHECK_ACUM!A:A,1,0),"NOVO")</f>
        <v>7653</v>
      </c>
    </row>
    <row r="19" spans="1:4" hidden="1" x14ac:dyDescent="0.35">
      <c r="A19" s="1">
        <v>7652</v>
      </c>
      <c r="B19" s="3">
        <v>46322.412499999999</v>
      </c>
      <c r="C19" s="1" t="s">
        <v>9</v>
      </c>
      <c r="D19" s="1">
        <f>IFERROR(VLOOKUP(_2__Ferramental_AST[[#This Row],[ID]],CHECK_ACUM!A:A,1,0),"NOVO")</f>
        <v>7652</v>
      </c>
    </row>
    <row r="20" spans="1:4" hidden="1" x14ac:dyDescent="0.35">
      <c r="A20" s="1">
        <v>7651</v>
      </c>
      <c r="B20" s="3">
        <v>46322.411805555559</v>
      </c>
      <c r="C20" s="1" t="s">
        <v>9</v>
      </c>
      <c r="D20" s="1">
        <f>IFERROR(VLOOKUP(_2__Ferramental_AST[[#This Row],[ID]],CHECK_ACUM!A:A,1,0),"NOVO")</f>
        <v>7651</v>
      </c>
    </row>
    <row r="21" spans="1:4" hidden="1" x14ac:dyDescent="0.35">
      <c r="A21" s="1">
        <v>7650</v>
      </c>
      <c r="B21" s="3">
        <v>46317.724999999999</v>
      </c>
      <c r="C21" s="1" t="s">
        <v>5</v>
      </c>
      <c r="D21" s="1">
        <f>IFERROR(VLOOKUP(_2__Ferramental_AST[[#This Row],[ID]],CHECK_ACUM!A:A,1,0),"NOVO")</f>
        <v>7650</v>
      </c>
    </row>
    <row r="22" spans="1:4" hidden="1" x14ac:dyDescent="0.35">
      <c r="A22" s="1">
        <v>7649</v>
      </c>
      <c r="B22" s="3">
        <v>46317.724305555559</v>
      </c>
      <c r="C22" s="1" t="s">
        <v>5</v>
      </c>
      <c r="D22" s="1">
        <f>IFERROR(VLOOKUP(_2__Ferramental_AST[[#This Row],[ID]],CHECK_ACUM!A:A,1,0),"NOVO")</f>
        <v>7649</v>
      </c>
    </row>
    <row r="23" spans="1:4" hidden="1" x14ac:dyDescent="0.35">
      <c r="A23" s="1">
        <v>7648</v>
      </c>
      <c r="B23" s="3">
        <v>46317.720833333333</v>
      </c>
      <c r="C23" s="1" t="s">
        <v>5</v>
      </c>
      <c r="D23" s="1">
        <f>IFERROR(VLOOKUP(_2__Ferramental_AST[[#This Row],[ID]],CHECK_ACUM!A:A,1,0),"NOVO")</f>
        <v>7648</v>
      </c>
    </row>
    <row r="24" spans="1:4" hidden="1" x14ac:dyDescent="0.35">
      <c r="A24" s="1">
        <v>7647</v>
      </c>
      <c r="B24" s="3">
        <v>46317.722916666666</v>
      </c>
      <c r="C24" s="1" t="s">
        <v>21</v>
      </c>
      <c r="D24" s="1">
        <f>IFERROR(VLOOKUP(_2__Ferramental_AST[[#This Row],[ID]],CHECK_ACUM!A:A,1,0),"NOVO")</f>
        <v>7647</v>
      </c>
    </row>
    <row r="25" spans="1:4" hidden="1" x14ac:dyDescent="0.35">
      <c r="A25" s="1">
        <v>7646</v>
      </c>
      <c r="B25" s="3">
        <v>46317.720138888886</v>
      </c>
      <c r="C25" s="1" t="s">
        <v>5</v>
      </c>
      <c r="D25" s="1">
        <f>IFERROR(VLOOKUP(_2__Ferramental_AST[[#This Row],[ID]],CHECK_ACUM!A:A,1,0),"NOVO")</f>
        <v>7646</v>
      </c>
    </row>
    <row r="26" spans="1:4" hidden="1" x14ac:dyDescent="0.35">
      <c r="A26" s="1">
        <v>7645</v>
      </c>
      <c r="B26" s="3">
        <v>46317.68472222222</v>
      </c>
      <c r="C26" s="1" t="s">
        <v>21</v>
      </c>
      <c r="D26" s="1">
        <f>IFERROR(VLOOKUP(_2__Ferramental_AST[[#This Row],[ID]],CHECK_ACUM!A:A,1,0),"NOVO")</f>
        <v>7645</v>
      </c>
    </row>
    <row r="27" spans="1:4" hidden="1" x14ac:dyDescent="0.35">
      <c r="A27" s="1">
        <v>7640</v>
      </c>
      <c r="B27" s="3">
        <v>46317.598611111112</v>
      </c>
      <c r="C27" s="1" t="s">
        <v>3</v>
      </c>
      <c r="D27" s="1">
        <f>IFERROR(VLOOKUP(_2__Ferramental_AST[[#This Row],[ID]],CHECK_ACUM!A:A,1,0),"NOVO")</f>
        <v>7640</v>
      </c>
    </row>
    <row r="28" spans="1:4" hidden="1" x14ac:dyDescent="0.35">
      <c r="A28" s="1">
        <v>7639</v>
      </c>
      <c r="B28" s="3">
        <v>46317.458333333336</v>
      </c>
      <c r="C28" s="1" t="s">
        <v>19</v>
      </c>
      <c r="D28" s="1">
        <f>IFERROR(VLOOKUP(_2__Ferramental_AST[[#This Row],[ID]],CHECK_ACUM!A:A,1,0),"NOVO")</f>
        <v>7639</v>
      </c>
    </row>
    <row r="29" spans="1:4" hidden="1" x14ac:dyDescent="0.35">
      <c r="A29" s="1">
        <v>7638</v>
      </c>
      <c r="B29" s="3">
        <v>46317.420138888891</v>
      </c>
      <c r="C29" s="1" t="s">
        <v>9</v>
      </c>
      <c r="D29" s="1">
        <f>IFERROR(VLOOKUP(_2__Ferramental_AST[[#This Row],[ID]],CHECK_ACUM!A:A,1,0),"NOVO")</f>
        <v>7638</v>
      </c>
    </row>
    <row r="30" spans="1:4" hidden="1" x14ac:dyDescent="0.35">
      <c r="A30" s="1">
        <v>7637</v>
      </c>
      <c r="B30" s="3">
        <v>46316.409722222219</v>
      </c>
      <c r="C30" s="1" t="s">
        <v>21</v>
      </c>
      <c r="D30" s="1">
        <f>IFERROR(VLOOKUP(_2__Ferramental_AST[[#This Row],[ID]],CHECK_ACUM!A:A,1,0),"NOVO")</f>
        <v>7637</v>
      </c>
    </row>
    <row r="31" spans="1:4" hidden="1" x14ac:dyDescent="0.35">
      <c r="A31" s="1">
        <v>7636</v>
      </c>
      <c r="B31" s="3">
        <v>46316.40902777778</v>
      </c>
      <c r="C31" s="1" t="s">
        <v>21</v>
      </c>
      <c r="D31" s="1">
        <f>IFERROR(VLOOKUP(_2__Ferramental_AST[[#This Row],[ID]],CHECK_ACUM!A:A,1,0),"NOVO")</f>
        <v>7636</v>
      </c>
    </row>
    <row r="32" spans="1:4" hidden="1" x14ac:dyDescent="0.35">
      <c r="A32" s="1">
        <v>7635</v>
      </c>
      <c r="B32" s="3">
        <v>46315.404166666667</v>
      </c>
      <c r="C32" s="1" t="s">
        <v>21</v>
      </c>
      <c r="D32" s="1">
        <f>IFERROR(VLOOKUP(_2__Ferramental_AST[[#This Row],[ID]],CHECK_ACUM!A:A,1,0),"NOVO")</f>
        <v>7635</v>
      </c>
    </row>
    <row r="33" spans="1:4" hidden="1" x14ac:dyDescent="0.35">
      <c r="A33" s="1">
        <v>7632</v>
      </c>
      <c r="B33" s="3">
        <v>46314.381249999999</v>
      </c>
      <c r="C33" s="1" t="s">
        <v>21</v>
      </c>
      <c r="D33" s="1">
        <f>IFERROR(VLOOKUP(_2__Ferramental_AST[[#This Row],[ID]],CHECK_ACUM!A:A,1,0),"NOVO")</f>
        <v>7632</v>
      </c>
    </row>
    <row r="34" spans="1:4" hidden="1" x14ac:dyDescent="0.35">
      <c r="A34" s="1">
        <v>7631</v>
      </c>
      <c r="B34" s="3">
        <v>46314.369444444441</v>
      </c>
      <c r="C34" s="1" t="s">
        <v>21</v>
      </c>
      <c r="D34" s="1">
        <f>IFERROR(VLOOKUP(_2__Ferramental_AST[[#This Row],[ID]],CHECK_ACUM!A:A,1,0),"NOVO")</f>
        <v>7631</v>
      </c>
    </row>
    <row r="35" spans="1:4" hidden="1" x14ac:dyDescent="0.35">
      <c r="A35" s="1">
        <v>7630</v>
      </c>
      <c r="B35" s="3">
        <v>46314.363888888889</v>
      </c>
      <c r="C35" s="1" t="s">
        <v>21</v>
      </c>
      <c r="D35" s="1">
        <f>IFERROR(VLOOKUP(_2__Ferramental_AST[[#This Row],[ID]],CHECK_ACUM!A:A,1,0),"NOVO")</f>
        <v>7630</v>
      </c>
    </row>
    <row r="36" spans="1:4" hidden="1" x14ac:dyDescent="0.35">
      <c r="A36" s="1">
        <v>7629</v>
      </c>
      <c r="B36" s="3">
        <v>46317.359027777777</v>
      </c>
      <c r="C36" s="1" t="s">
        <v>21</v>
      </c>
      <c r="D36" s="1">
        <f>IFERROR(VLOOKUP(_2__Ferramental_AST[[#This Row],[ID]],CHECK_ACUM!A:A,1,0),"NOVO")</f>
        <v>7629</v>
      </c>
    </row>
    <row r="37" spans="1:4" hidden="1" x14ac:dyDescent="0.35">
      <c r="A37" s="1">
        <v>7628</v>
      </c>
      <c r="B37" s="3">
        <v>46317.354166666664</v>
      </c>
      <c r="C37" s="1" t="s">
        <v>21</v>
      </c>
      <c r="D37" s="1">
        <f>IFERROR(VLOOKUP(_2__Ferramental_AST[[#This Row],[ID]],CHECK_ACUM!A:A,1,0),"NOVO")</f>
        <v>7628</v>
      </c>
    </row>
    <row r="38" spans="1:4" hidden="1" x14ac:dyDescent="0.35">
      <c r="A38" s="1">
        <v>7627</v>
      </c>
      <c r="B38" s="3">
        <v>46316.730555555558</v>
      </c>
      <c r="C38" s="1" t="s">
        <v>5</v>
      </c>
      <c r="D38" s="1">
        <f>IFERROR(VLOOKUP(_2__Ferramental_AST[[#This Row],[ID]],CHECK_ACUM!A:A,1,0),"NOVO")</f>
        <v>7627</v>
      </c>
    </row>
    <row r="39" spans="1:4" hidden="1" x14ac:dyDescent="0.35">
      <c r="A39" s="1">
        <v>7626</v>
      </c>
      <c r="B39" s="3">
        <v>46316.728472222225</v>
      </c>
      <c r="C39" s="1" t="s">
        <v>5</v>
      </c>
      <c r="D39" s="1">
        <f>IFERROR(VLOOKUP(_2__Ferramental_AST[[#This Row],[ID]],CHECK_ACUM!A:A,1,0),"NOVO")</f>
        <v>7626</v>
      </c>
    </row>
    <row r="40" spans="1:4" hidden="1" x14ac:dyDescent="0.35">
      <c r="A40" s="1">
        <v>7625</v>
      </c>
      <c r="B40" s="3">
        <v>46316.727777777778</v>
      </c>
      <c r="C40" s="1" t="s">
        <v>5</v>
      </c>
      <c r="D40" s="1">
        <f>IFERROR(VLOOKUP(_2__Ferramental_AST[[#This Row],[ID]],CHECK_ACUM!A:A,1,0),"NOVO")</f>
        <v>7625</v>
      </c>
    </row>
    <row r="41" spans="1:4" hidden="1" x14ac:dyDescent="0.35">
      <c r="A41" s="1">
        <v>7624</v>
      </c>
      <c r="B41" s="3">
        <v>46316.726388888892</v>
      </c>
      <c r="C41" s="1" t="s">
        <v>5</v>
      </c>
      <c r="D41" s="1">
        <f>IFERROR(VLOOKUP(_2__Ferramental_AST[[#This Row],[ID]],CHECK_ACUM!A:A,1,0),"NOVO")</f>
        <v>7624</v>
      </c>
    </row>
    <row r="42" spans="1:4" hidden="1" x14ac:dyDescent="0.35">
      <c r="A42" s="1">
        <v>7623</v>
      </c>
      <c r="B42" s="3">
        <v>46316.713888888888</v>
      </c>
      <c r="C42" s="1" t="s">
        <v>9</v>
      </c>
      <c r="D42" s="1">
        <f>IFERROR(VLOOKUP(_2__Ferramental_AST[[#This Row],[ID]],CHECK_ACUM!A:A,1,0),"NOVO")</f>
        <v>7623</v>
      </c>
    </row>
    <row r="43" spans="1:4" hidden="1" x14ac:dyDescent="0.35">
      <c r="A43" s="1">
        <v>7622</v>
      </c>
      <c r="B43" s="3">
        <v>46316.673611111109</v>
      </c>
      <c r="C43" s="1" t="s">
        <v>5</v>
      </c>
      <c r="D43" s="1">
        <f>IFERROR(VLOOKUP(_2__Ferramental_AST[[#This Row],[ID]],CHECK_ACUM!A:A,1,0),"NOVO")</f>
        <v>7622</v>
      </c>
    </row>
    <row r="44" spans="1:4" hidden="1" x14ac:dyDescent="0.35">
      <c r="A44" s="1">
        <v>7621</v>
      </c>
      <c r="B44" s="3">
        <v>46316.645138888889</v>
      </c>
      <c r="C44" s="1" t="s">
        <v>9</v>
      </c>
      <c r="D44" s="1">
        <f>IFERROR(VLOOKUP(_2__Ferramental_AST[[#This Row],[ID]],CHECK_ACUM!A:A,1,0),"NOVO")</f>
        <v>7621</v>
      </c>
    </row>
    <row r="45" spans="1:4" hidden="1" x14ac:dyDescent="0.35">
      <c r="A45" s="1">
        <v>7620</v>
      </c>
      <c r="B45" s="3">
        <v>46316.617361111108</v>
      </c>
      <c r="C45" s="1" t="s">
        <v>9</v>
      </c>
      <c r="D45" s="1">
        <f>IFERROR(VLOOKUP(_2__Ferramental_AST[[#This Row],[ID]],CHECK_ACUM!A:A,1,0),"NOVO")</f>
        <v>7620</v>
      </c>
    </row>
    <row r="46" spans="1:4" hidden="1" x14ac:dyDescent="0.35">
      <c r="A46" s="1">
        <v>7619</v>
      </c>
      <c r="B46" s="3">
        <v>46316.543055555558</v>
      </c>
      <c r="C46" s="1" t="s">
        <v>3</v>
      </c>
      <c r="D46" s="1">
        <f>IFERROR(VLOOKUP(_2__Ferramental_AST[[#This Row],[ID]],CHECK_ACUM!A:A,1,0),"NOVO")</f>
        <v>7619</v>
      </c>
    </row>
    <row r="47" spans="1:4" hidden="1" x14ac:dyDescent="0.35">
      <c r="A47" s="1">
        <v>7618</v>
      </c>
      <c r="B47" s="3">
        <v>46316.541666666664</v>
      </c>
      <c r="C47" s="1" t="s">
        <v>3</v>
      </c>
      <c r="D47" s="1">
        <f>IFERROR(VLOOKUP(_2__Ferramental_AST[[#This Row],[ID]],CHECK_ACUM!A:A,1,0),"NOVO")</f>
        <v>7618</v>
      </c>
    </row>
    <row r="48" spans="1:4" hidden="1" x14ac:dyDescent="0.35">
      <c r="A48" s="1">
        <v>7617</v>
      </c>
      <c r="B48" s="3">
        <v>46316.456250000003</v>
      </c>
      <c r="C48" s="1" t="s">
        <v>9</v>
      </c>
      <c r="D48" s="1">
        <f>IFERROR(VLOOKUP(_2__Ferramental_AST[[#This Row],[ID]],CHECK_ACUM!A:A,1,0),"NOVO")</f>
        <v>7617</v>
      </c>
    </row>
    <row r="49" spans="1:4" hidden="1" x14ac:dyDescent="0.35">
      <c r="A49" s="1">
        <v>7616</v>
      </c>
      <c r="B49" s="3">
        <v>46316.368055555555</v>
      </c>
      <c r="C49" s="1" t="s">
        <v>19</v>
      </c>
      <c r="D49" s="1">
        <f>IFERROR(VLOOKUP(_2__Ferramental_AST[[#This Row],[ID]],CHECK_ACUM!A:A,1,0),"NOVO")</f>
        <v>7616</v>
      </c>
    </row>
    <row r="50" spans="1:4" hidden="1" x14ac:dyDescent="0.35">
      <c r="A50" s="1">
        <v>7615</v>
      </c>
      <c r="B50" s="3">
        <v>46315.771527777775</v>
      </c>
      <c r="C50" s="1" t="s">
        <v>5</v>
      </c>
      <c r="D50" s="1">
        <f>IFERROR(VLOOKUP(_2__Ferramental_AST[[#This Row],[ID]],CHECK_ACUM!A:A,1,0),"NOVO")</f>
        <v>7615</v>
      </c>
    </row>
    <row r="51" spans="1:4" hidden="1" x14ac:dyDescent="0.35">
      <c r="A51" s="1">
        <v>7614</v>
      </c>
      <c r="B51" s="3">
        <v>46315.768750000003</v>
      </c>
      <c r="C51" s="1" t="s">
        <v>5</v>
      </c>
      <c r="D51" s="1">
        <f>IFERROR(VLOOKUP(_2__Ferramental_AST[[#This Row],[ID]],CHECK_ACUM!A:A,1,0),"NOVO")</f>
        <v>7614</v>
      </c>
    </row>
    <row r="52" spans="1:4" hidden="1" x14ac:dyDescent="0.35">
      <c r="A52" s="1">
        <v>7613</v>
      </c>
      <c r="B52" s="3">
        <v>46315.767361111109</v>
      </c>
      <c r="C52" s="1" t="s">
        <v>5</v>
      </c>
      <c r="D52" s="1">
        <f>IFERROR(VLOOKUP(_2__Ferramental_AST[[#This Row],[ID]],CHECK_ACUM!A:A,1,0),"NOVO")</f>
        <v>7613</v>
      </c>
    </row>
    <row r="53" spans="1:4" hidden="1" x14ac:dyDescent="0.35">
      <c r="A53" s="1">
        <v>7612</v>
      </c>
      <c r="B53" s="3">
        <v>46315.76666666667</v>
      </c>
      <c r="C53" s="1" t="s">
        <v>5</v>
      </c>
      <c r="D53" s="1">
        <f>IFERROR(VLOOKUP(_2__Ferramental_AST[[#This Row],[ID]],CHECK_ACUM!A:A,1,0),"NOVO")</f>
        <v>7612</v>
      </c>
    </row>
    <row r="54" spans="1:4" hidden="1" x14ac:dyDescent="0.35">
      <c r="A54" s="1">
        <v>7611</v>
      </c>
      <c r="B54" s="3">
        <v>46315.569444444445</v>
      </c>
      <c r="C54" s="1" t="s">
        <v>3</v>
      </c>
      <c r="D54" s="1">
        <f>IFERROR(VLOOKUP(_2__Ferramental_AST[[#This Row],[ID]],CHECK_ACUM!A:A,1,0),"NOVO")</f>
        <v>7611</v>
      </c>
    </row>
    <row r="55" spans="1:4" hidden="1" x14ac:dyDescent="0.35">
      <c r="A55" s="1">
        <v>7610</v>
      </c>
      <c r="B55" s="3">
        <v>46314.55972222222</v>
      </c>
      <c r="C55" s="1" t="s">
        <v>21</v>
      </c>
      <c r="D55" s="1">
        <f>IFERROR(VLOOKUP(_2__Ferramental_AST[[#This Row],[ID]],CHECK_ACUM!A:A,1,0),"NOVO")</f>
        <v>7610</v>
      </c>
    </row>
    <row r="56" spans="1:4" hidden="1" x14ac:dyDescent="0.35">
      <c r="A56" s="1">
        <v>7609</v>
      </c>
      <c r="B56" s="3">
        <v>46314.557638888888</v>
      </c>
      <c r="C56" s="1" t="s">
        <v>21</v>
      </c>
      <c r="D56" s="1">
        <f>IFERROR(VLOOKUP(_2__Ferramental_AST[[#This Row],[ID]],CHECK_ACUM!A:A,1,0),"NOVO")</f>
        <v>7609</v>
      </c>
    </row>
    <row r="57" spans="1:4" hidden="1" x14ac:dyDescent="0.35">
      <c r="A57" s="1">
        <v>7608</v>
      </c>
      <c r="B57" s="3">
        <v>46314.556944444441</v>
      </c>
      <c r="C57" s="1" t="s">
        <v>21</v>
      </c>
      <c r="D57" s="1">
        <f>IFERROR(VLOOKUP(_2__Ferramental_AST[[#This Row],[ID]],CHECK_ACUM!A:A,1,0),"NOVO")</f>
        <v>7608</v>
      </c>
    </row>
    <row r="58" spans="1:4" hidden="1" x14ac:dyDescent="0.35">
      <c r="A58" s="1">
        <v>7607</v>
      </c>
      <c r="B58" s="3">
        <v>46315.45208333333</v>
      </c>
      <c r="C58" s="1" t="s">
        <v>3</v>
      </c>
      <c r="D58" s="1">
        <f>IFERROR(VLOOKUP(_2__Ferramental_AST[[#This Row],[ID]],CHECK_ACUM!A:A,1,0),"NOVO")</f>
        <v>7607</v>
      </c>
    </row>
    <row r="59" spans="1:4" hidden="1" x14ac:dyDescent="0.35">
      <c r="A59" s="1">
        <v>7606</v>
      </c>
      <c r="B59" s="3">
        <v>46315.450694444444</v>
      </c>
      <c r="C59" s="1" t="s">
        <v>3</v>
      </c>
      <c r="D59" s="1">
        <f>IFERROR(VLOOKUP(_2__Ferramental_AST[[#This Row],[ID]],CHECK_ACUM!A:A,1,0),"NOVO")</f>
        <v>7606</v>
      </c>
    </row>
    <row r="60" spans="1:4" hidden="1" x14ac:dyDescent="0.35">
      <c r="A60" s="1">
        <v>7605</v>
      </c>
      <c r="B60" s="3">
        <v>46315.378472222219</v>
      </c>
      <c r="C60" s="1" t="s">
        <v>9</v>
      </c>
      <c r="D60" s="1">
        <f>IFERROR(VLOOKUP(_2__Ferramental_AST[[#This Row],[ID]],CHECK_ACUM!A:A,1,0),"NOVO")</f>
        <v>7605</v>
      </c>
    </row>
    <row r="61" spans="1:4" hidden="1" x14ac:dyDescent="0.35">
      <c r="A61" s="1">
        <v>7604</v>
      </c>
      <c r="B61" s="3">
        <v>46315.373611111114</v>
      </c>
      <c r="C61" s="1" t="s">
        <v>9</v>
      </c>
      <c r="D61" s="1">
        <f>IFERROR(VLOOKUP(_2__Ferramental_AST[[#This Row],[ID]],CHECK_ACUM!A:A,1,0),"NOVO")</f>
        <v>7604</v>
      </c>
    </row>
    <row r="62" spans="1:4" hidden="1" x14ac:dyDescent="0.35">
      <c r="A62" s="1">
        <v>7603</v>
      </c>
      <c r="B62" s="3">
        <v>46315.359027777777</v>
      </c>
      <c r="C62" s="1" t="s">
        <v>19</v>
      </c>
      <c r="D62" s="1">
        <f>IFERROR(VLOOKUP(_2__Ferramental_AST[[#This Row],[ID]],CHECK_ACUM!A:A,1,0),"NOVO")</f>
        <v>7603</v>
      </c>
    </row>
    <row r="63" spans="1:4" hidden="1" x14ac:dyDescent="0.35">
      <c r="A63" s="1">
        <v>7602</v>
      </c>
      <c r="B63" s="3">
        <v>46314.731249999997</v>
      </c>
      <c r="C63" s="1" t="s">
        <v>3</v>
      </c>
      <c r="D63" s="1">
        <f>IFERROR(VLOOKUP(_2__Ferramental_AST[[#This Row],[ID]],CHECK_ACUM!A:A,1,0),"NOVO")</f>
        <v>7602</v>
      </c>
    </row>
    <row r="64" spans="1:4" hidden="1" x14ac:dyDescent="0.35">
      <c r="A64" s="1">
        <v>7601</v>
      </c>
      <c r="B64" s="3">
        <v>46314.697222222225</v>
      </c>
      <c r="C64" s="1" t="s">
        <v>9</v>
      </c>
      <c r="D64" s="1">
        <f>IFERROR(VLOOKUP(_2__Ferramental_AST[[#This Row],[ID]],CHECK_ACUM!A:A,1,0),"NOVO")</f>
        <v>7601</v>
      </c>
    </row>
    <row r="65" spans="1:4" hidden="1" x14ac:dyDescent="0.35">
      <c r="A65" s="1">
        <v>7600</v>
      </c>
      <c r="B65" s="3">
        <v>46314.696527777778</v>
      </c>
      <c r="C65" s="1" t="s">
        <v>9</v>
      </c>
      <c r="D65" s="1">
        <f>IFERROR(VLOOKUP(_2__Ferramental_AST[[#This Row],[ID]],CHECK_ACUM!A:A,1,0),"NOVO")</f>
        <v>7600</v>
      </c>
    </row>
    <row r="66" spans="1:4" hidden="1" x14ac:dyDescent="0.35">
      <c r="A66" s="1">
        <v>7599</v>
      </c>
      <c r="B66" s="3">
        <v>46314.584722222222</v>
      </c>
      <c r="C66" s="1" t="s">
        <v>9</v>
      </c>
      <c r="D66" s="1">
        <f>IFERROR(VLOOKUP(_2__Ferramental_AST[[#This Row],[ID]],CHECK_ACUM!A:A,1,0),"NOVO")</f>
        <v>7599</v>
      </c>
    </row>
    <row r="67" spans="1:4" hidden="1" x14ac:dyDescent="0.35">
      <c r="A67" s="1">
        <v>7598</v>
      </c>
      <c r="B67" s="3">
        <v>46314.538888888892</v>
      </c>
      <c r="C67" s="1" t="s">
        <v>5</v>
      </c>
      <c r="D67" s="1">
        <f>IFERROR(VLOOKUP(_2__Ferramental_AST[[#This Row],[ID]],CHECK_ACUM!A:A,1,0),"NOVO")</f>
        <v>7598</v>
      </c>
    </row>
    <row r="68" spans="1:4" hidden="1" x14ac:dyDescent="0.35">
      <c r="A68" s="1">
        <v>7597</v>
      </c>
      <c r="B68" s="3">
        <v>46314.538888888892</v>
      </c>
      <c r="C68" s="1" t="s">
        <v>5</v>
      </c>
      <c r="D68" s="1">
        <f>IFERROR(VLOOKUP(_2__Ferramental_AST[[#This Row],[ID]],CHECK_ACUM!A:A,1,0),"NOVO")</f>
        <v>7597</v>
      </c>
    </row>
    <row r="69" spans="1:4" hidden="1" x14ac:dyDescent="0.35">
      <c r="A69" s="1">
        <v>7596</v>
      </c>
      <c r="B69" s="3">
        <v>46314.474305555559</v>
      </c>
      <c r="C69" s="1" t="s">
        <v>9</v>
      </c>
      <c r="D69" s="1">
        <f>IFERROR(VLOOKUP(_2__Ferramental_AST[[#This Row],[ID]],CHECK_ACUM!A:A,1,0),"NOVO")</f>
        <v>7596</v>
      </c>
    </row>
    <row r="70" spans="1:4" hidden="1" x14ac:dyDescent="0.35">
      <c r="A70" s="1">
        <v>7595</v>
      </c>
      <c r="B70" s="3">
        <v>46311.754166666666</v>
      </c>
      <c r="C70" s="1" t="s">
        <v>5</v>
      </c>
      <c r="D70" s="1">
        <f>IFERROR(VLOOKUP(_2__Ferramental_AST[[#This Row],[ID]],CHECK_ACUM!A:A,1,0),"NOVO")</f>
        <v>7595</v>
      </c>
    </row>
    <row r="71" spans="1:4" hidden="1" x14ac:dyDescent="0.35">
      <c r="A71" s="1">
        <v>7594</v>
      </c>
      <c r="B71" s="3">
        <v>46311.753472222219</v>
      </c>
      <c r="C71" s="1" t="s">
        <v>5</v>
      </c>
      <c r="D71" s="1">
        <f>IFERROR(VLOOKUP(_2__Ferramental_AST[[#This Row],[ID]],CHECK_ACUM!A:A,1,0),"NOVO")</f>
        <v>7594</v>
      </c>
    </row>
    <row r="72" spans="1:4" hidden="1" x14ac:dyDescent="0.35">
      <c r="A72" s="1">
        <v>7593</v>
      </c>
      <c r="B72" s="3">
        <v>46311.75277777778</v>
      </c>
      <c r="C72" s="1" t="s">
        <v>5</v>
      </c>
      <c r="D72" s="1">
        <f>IFERROR(VLOOKUP(_2__Ferramental_AST[[#This Row],[ID]],CHECK_ACUM!A:A,1,0),"NOVO")</f>
        <v>7593</v>
      </c>
    </row>
    <row r="73" spans="1:4" hidden="1" x14ac:dyDescent="0.35">
      <c r="A73" s="1">
        <v>7592</v>
      </c>
      <c r="B73" s="3">
        <v>46311.751388888886</v>
      </c>
      <c r="C73" s="1" t="s">
        <v>5</v>
      </c>
      <c r="D73" s="1">
        <f>IFERROR(VLOOKUP(_2__Ferramental_AST[[#This Row],[ID]],CHECK_ACUM!A:A,1,0),"NOVO")</f>
        <v>7592</v>
      </c>
    </row>
    <row r="74" spans="1:4" hidden="1" x14ac:dyDescent="0.35">
      <c r="A74" s="1">
        <v>7591</v>
      </c>
      <c r="B74" s="3">
        <v>46311.75</v>
      </c>
      <c r="C74" s="1" t="s">
        <v>5</v>
      </c>
      <c r="D74" s="1">
        <f>IFERROR(VLOOKUP(_2__Ferramental_AST[[#This Row],[ID]],CHECK_ACUM!A:A,1,0),"NOVO")</f>
        <v>7591</v>
      </c>
    </row>
    <row r="75" spans="1:4" hidden="1" x14ac:dyDescent="0.35">
      <c r="A75" s="1">
        <v>7589</v>
      </c>
      <c r="B75" s="3">
        <v>46311.640277777777</v>
      </c>
      <c r="C75" s="1" t="s">
        <v>22</v>
      </c>
      <c r="D75" s="1">
        <f>IFERROR(VLOOKUP(_2__Ferramental_AST[[#This Row],[ID]],CHECK_ACUM!A:A,1,0),"NOVO")</f>
        <v>7589</v>
      </c>
    </row>
    <row r="76" spans="1:4" hidden="1" x14ac:dyDescent="0.35">
      <c r="A76" s="1">
        <v>7588</v>
      </c>
      <c r="B76" s="3">
        <v>46311.509027777778</v>
      </c>
      <c r="C76" s="1" t="s">
        <v>21</v>
      </c>
      <c r="D76" s="1">
        <f>IFERROR(VLOOKUP(_2__Ferramental_AST[[#This Row],[ID]],CHECK_ACUM!A:A,1,0),"NOVO")</f>
        <v>7588</v>
      </c>
    </row>
    <row r="77" spans="1:4" hidden="1" x14ac:dyDescent="0.35">
      <c r="A77" s="1">
        <v>7587</v>
      </c>
      <c r="B77" s="3">
        <v>46311.493055555555</v>
      </c>
      <c r="C77" s="1" t="s">
        <v>21</v>
      </c>
      <c r="D77" s="1">
        <f>IFERROR(VLOOKUP(_2__Ferramental_AST[[#This Row],[ID]],CHECK_ACUM!A:A,1,0),"NOVO")</f>
        <v>7587</v>
      </c>
    </row>
    <row r="78" spans="1:4" hidden="1" x14ac:dyDescent="0.35">
      <c r="A78" s="1">
        <v>7586</v>
      </c>
      <c r="B78" s="3">
        <v>46311.472916666666</v>
      </c>
      <c r="C78" s="1" t="s">
        <v>9</v>
      </c>
      <c r="D78" s="1">
        <f>IFERROR(VLOOKUP(_2__Ferramental_AST[[#This Row],[ID]],CHECK_ACUM!A:A,1,0),"NOVO")</f>
        <v>7586</v>
      </c>
    </row>
    <row r="79" spans="1:4" hidden="1" x14ac:dyDescent="0.35">
      <c r="A79" s="1">
        <v>7584</v>
      </c>
      <c r="B79" s="3">
        <v>46311.413194444445</v>
      </c>
      <c r="C79" s="1" t="s">
        <v>9</v>
      </c>
      <c r="D79" s="1">
        <f>IFERROR(VLOOKUP(_2__Ferramental_AST[[#This Row],[ID]],CHECK_ACUM!A:A,1,0),"NOVO")</f>
        <v>7584</v>
      </c>
    </row>
    <row r="80" spans="1:4" hidden="1" x14ac:dyDescent="0.35">
      <c r="A80" s="1">
        <v>7582</v>
      </c>
      <c r="B80" s="3">
        <v>46311.366666666669</v>
      </c>
      <c r="C80" s="1" t="s">
        <v>19</v>
      </c>
      <c r="D80" s="1">
        <f>IFERROR(VLOOKUP(_2__Ferramental_AST[[#This Row],[ID]],CHECK_ACUM!A:A,1,0),"NOVO")</f>
        <v>7582</v>
      </c>
    </row>
    <row r="81" spans="1:4" hidden="1" x14ac:dyDescent="0.35">
      <c r="A81" s="1">
        <v>7581</v>
      </c>
      <c r="B81" s="3">
        <v>46310.748611111114</v>
      </c>
      <c r="C81" s="1" t="s">
        <v>5</v>
      </c>
      <c r="D81" s="1">
        <f>IFERROR(VLOOKUP(_2__Ferramental_AST[[#This Row],[ID]],CHECK_ACUM!A:A,1,0),"NOVO")</f>
        <v>7581</v>
      </c>
    </row>
    <row r="82" spans="1:4" hidden="1" x14ac:dyDescent="0.35">
      <c r="A82" s="1">
        <v>7580</v>
      </c>
      <c r="B82" s="3">
        <v>46310.746527777781</v>
      </c>
      <c r="C82" s="1" t="s">
        <v>5</v>
      </c>
      <c r="D82" s="1">
        <f>IFERROR(VLOOKUP(_2__Ferramental_AST[[#This Row],[ID]],CHECK_ACUM!A:A,1,0),"NOVO")</f>
        <v>7580</v>
      </c>
    </row>
    <row r="83" spans="1:4" hidden="1" x14ac:dyDescent="0.35">
      <c r="A83" s="1">
        <v>7578</v>
      </c>
      <c r="B83" s="3">
        <v>46310.652083333334</v>
      </c>
      <c r="C83" s="1" t="s">
        <v>5</v>
      </c>
      <c r="D83" s="1">
        <f>IFERROR(VLOOKUP(_2__Ferramental_AST[[#This Row],[ID]],CHECK_ACUM!A:A,1,0),"NOVO")</f>
        <v>7578</v>
      </c>
    </row>
    <row r="84" spans="1:4" hidden="1" x14ac:dyDescent="0.35">
      <c r="A84" s="1">
        <v>7577</v>
      </c>
      <c r="B84" s="3">
        <v>46310.650694444441</v>
      </c>
      <c r="C84" s="1" t="s">
        <v>5</v>
      </c>
      <c r="D84" s="1">
        <f>IFERROR(VLOOKUP(_2__Ferramental_AST[[#This Row],[ID]],CHECK_ACUM!A:A,1,0),"NOVO")</f>
        <v>7577</v>
      </c>
    </row>
    <row r="85" spans="1:4" hidden="1" x14ac:dyDescent="0.35">
      <c r="A85" s="1">
        <v>7576</v>
      </c>
      <c r="B85" s="3">
        <v>46310.602083333331</v>
      </c>
      <c r="C85" s="1" t="s">
        <v>9</v>
      </c>
      <c r="D85" s="1">
        <f>IFERROR(VLOOKUP(_2__Ferramental_AST[[#This Row],[ID]],CHECK_ACUM!A:A,1,0),"NOVO")</f>
        <v>7576</v>
      </c>
    </row>
    <row r="86" spans="1:4" hidden="1" x14ac:dyDescent="0.35">
      <c r="A86" s="1">
        <v>7575</v>
      </c>
      <c r="B86" s="3">
        <v>46310.601388888892</v>
      </c>
      <c r="C86" s="1" t="s">
        <v>9</v>
      </c>
      <c r="D86" s="1">
        <f>IFERROR(VLOOKUP(_2__Ferramental_AST[[#This Row],[ID]],CHECK_ACUM!A:A,1,0),"NOVO")</f>
        <v>7575</v>
      </c>
    </row>
    <row r="87" spans="1:4" hidden="1" x14ac:dyDescent="0.35">
      <c r="A87" s="1">
        <v>7574</v>
      </c>
      <c r="B87" s="3">
        <v>46310.59097222222</v>
      </c>
      <c r="C87" s="1" t="s">
        <v>19</v>
      </c>
      <c r="D87" s="1">
        <f>IFERROR(VLOOKUP(_2__Ferramental_AST[[#This Row],[ID]],CHECK_ACUM!A:A,1,0),"NOVO")</f>
        <v>7574</v>
      </c>
    </row>
    <row r="88" spans="1:4" hidden="1" x14ac:dyDescent="0.35">
      <c r="A88" s="1">
        <v>7572</v>
      </c>
      <c r="B88" s="3">
        <v>46309.731249999997</v>
      </c>
      <c r="C88" s="1" t="s">
        <v>5</v>
      </c>
      <c r="D88" s="1">
        <f>IFERROR(VLOOKUP(_2__Ferramental_AST[[#This Row],[ID]],CHECK_ACUM!A:A,1,0),"NOVO")</f>
        <v>7572</v>
      </c>
    </row>
    <row r="89" spans="1:4" hidden="1" x14ac:dyDescent="0.35">
      <c r="A89" s="1">
        <v>7571</v>
      </c>
      <c r="B89" s="3">
        <v>46309.676388888889</v>
      </c>
      <c r="C89" s="1" t="s">
        <v>5</v>
      </c>
      <c r="D89" s="1">
        <f>IFERROR(VLOOKUP(_2__Ferramental_AST[[#This Row],[ID]],CHECK_ACUM!A:A,1,0),"NOVO")</f>
        <v>7571</v>
      </c>
    </row>
    <row r="90" spans="1:4" hidden="1" x14ac:dyDescent="0.35">
      <c r="A90" s="1">
        <v>7570</v>
      </c>
      <c r="B90" s="3">
        <v>46309.675694444442</v>
      </c>
      <c r="C90" s="1" t="s">
        <v>5</v>
      </c>
      <c r="D90" s="1">
        <f>IFERROR(VLOOKUP(_2__Ferramental_AST[[#This Row],[ID]],CHECK_ACUM!A:A,1,0),"NOVO")</f>
        <v>7570</v>
      </c>
    </row>
    <row r="91" spans="1:4" hidden="1" x14ac:dyDescent="0.35">
      <c r="A91" s="1">
        <v>7569</v>
      </c>
      <c r="B91" s="3">
        <v>46309.675000000003</v>
      </c>
      <c r="C91" s="1" t="s">
        <v>5</v>
      </c>
      <c r="D91" s="1">
        <f>IFERROR(VLOOKUP(_2__Ferramental_AST[[#This Row],[ID]],CHECK_ACUM!A:A,1,0),"NOVO")</f>
        <v>7569</v>
      </c>
    </row>
    <row r="92" spans="1:4" hidden="1" x14ac:dyDescent="0.35">
      <c r="A92" s="1">
        <v>7568</v>
      </c>
      <c r="B92" s="3">
        <v>46309.558333333334</v>
      </c>
      <c r="C92" s="1" t="s">
        <v>19</v>
      </c>
      <c r="D92" s="1">
        <f>IFERROR(VLOOKUP(_2__Ferramental_AST[[#This Row],[ID]],CHECK_ACUM!A:A,1,0),"NOVO")</f>
        <v>7568</v>
      </c>
    </row>
    <row r="93" spans="1:4" hidden="1" x14ac:dyDescent="0.35">
      <c r="A93" s="1">
        <v>7567</v>
      </c>
      <c r="B93" s="3">
        <v>46309.493055555555</v>
      </c>
      <c r="C93" s="1" t="s">
        <v>21</v>
      </c>
      <c r="D93" s="1">
        <f>IFERROR(VLOOKUP(_2__Ferramental_AST[[#This Row],[ID]],CHECK_ACUM!A:A,1,0),"NOVO")</f>
        <v>7567</v>
      </c>
    </row>
    <row r="94" spans="1:4" hidden="1" x14ac:dyDescent="0.35">
      <c r="A94" s="1">
        <v>7566</v>
      </c>
      <c r="B94" s="3">
        <v>46309.493055555555</v>
      </c>
      <c r="C94" s="1" t="s">
        <v>21</v>
      </c>
      <c r="D94" s="1">
        <f>IFERROR(VLOOKUP(_2__Ferramental_AST[[#This Row],[ID]],CHECK_ACUM!A:A,1,0),"NOVO")</f>
        <v>7566</v>
      </c>
    </row>
    <row r="95" spans="1:4" hidden="1" x14ac:dyDescent="0.35">
      <c r="A95" s="1">
        <v>7565</v>
      </c>
      <c r="B95" s="3">
        <v>46309.467361111114</v>
      </c>
      <c r="C95" s="1" t="s">
        <v>3</v>
      </c>
      <c r="D95" s="1">
        <f>IFERROR(VLOOKUP(_2__Ferramental_AST[[#This Row],[ID]],CHECK_ACUM!A:A,1,0),"NOVO")</f>
        <v>7565</v>
      </c>
    </row>
    <row r="96" spans="1:4" hidden="1" x14ac:dyDescent="0.35">
      <c r="A96" s="1">
        <v>7562</v>
      </c>
      <c r="B96" s="3">
        <v>46308.74722222222</v>
      </c>
      <c r="C96" s="1" t="s">
        <v>24</v>
      </c>
      <c r="D96" s="1">
        <f>IFERROR(VLOOKUP(_2__Ferramental_AST[[#This Row],[ID]],CHECK_ACUM!A:A,1,0),"NOVO")</f>
        <v>7562</v>
      </c>
    </row>
    <row r="97" spans="1:4" hidden="1" x14ac:dyDescent="0.35">
      <c r="A97" s="1">
        <v>7561</v>
      </c>
      <c r="B97" s="3">
        <v>46308.722916666666</v>
      </c>
      <c r="C97" s="1" t="s">
        <v>5</v>
      </c>
      <c r="D97" s="1">
        <f>IFERROR(VLOOKUP(_2__Ferramental_AST[[#This Row],[ID]],CHECK_ACUM!A:A,1,0),"NOVO")</f>
        <v>7561</v>
      </c>
    </row>
    <row r="98" spans="1:4" hidden="1" x14ac:dyDescent="0.35">
      <c r="A98" s="1">
        <v>7560</v>
      </c>
      <c r="B98" s="3">
        <v>46308.722222222219</v>
      </c>
      <c r="C98" s="1" t="s">
        <v>5</v>
      </c>
      <c r="D98" s="1">
        <f>IFERROR(VLOOKUP(_2__Ferramental_AST[[#This Row],[ID]],CHECK_ACUM!A:A,1,0),"NOVO")</f>
        <v>7560</v>
      </c>
    </row>
    <row r="99" spans="1:4" hidden="1" x14ac:dyDescent="0.35">
      <c r="A99" s="1">
        <v>7559</v>
      </c>
      <c r="B99" s="3">
        <v>46308.72152777778</v>
      </c>
      <c r="C99" s="1" t="s">
        <v>5</v>
      </c>
      <c r="D99" s="1">
        <f>IFERROR(VLOOKUP(_2__Ferramental_AST[[#This Row],[ID]],CHECK_ACUM!A:A,1,0),"NOVO")</f>
        <v>7559</v>
      </c>
    </row>
    <row r="100" spans="1:4" hidden="1" x14ac:dyDescent="0.35">
      <c r="A100" s="1">
        <v>7558</v>
      </c>
      <c r="B100" s="3">
        <v>46308.720833333333</v>
      </c>
      <c r="C100" s="1" t="s">
        <v>5</v>
      </c>
      <c r="D100" s="1">
        <f>IFERROR(VLOOKUP(_2__Ferramental_AST[[#This Row],[ID]],CHECK_ACUM!A:A,1,0),"NOVO")</f>
        <v>7558</v>
      </c>
    </row>
    <row r="101" spans="1:4" hidden="1" x14ac:dyDescent="0.35">
      <c r="A101" s="1">
        <v>7557</v>
      </c>
      <c r="B101" s="3">
        <v>46308.691666666666</v>
      </c>
      <c r="C101" s="1" t="s">
        <v>28</v>
      </c>
      <c r="D101" s="1">
        <f>IFERROR(VLOOKUP(_2__Ferramental_AST[[#This Row],[ID]],CHECK_ACUM!A:A,1,0),"NOVO")</f>
        <v>7557</v>
      </c>
    </row>
    <row r="102" spans="1:4" hidden="1" x14ac:dyDescent="0.35">
      <c r="A102" s="1">
        <v>7556</v>
      </c>
      <c r="B102" s="3">
        <v>46308.48333333333</v>
      </c>
      <c r="C102" s="1" t="s">
        <v>3</v>
      </c>
      <c r="D102" s="1">
        <f>IFERROR(VLOOKUP(_2__Ferramental_AST[[#This Row],[ID]],CHECK_ACUM!A:A,1,0),"NOVO")</f>
        <v>7556</v>
      </c>
    </row>
    <row r="103" spans="1:4" hidden="1" x14ac:dyDescent="0.35">
      <c r="A103" s="1">
        <v>7555</v>
      </c>
      <c r="B103" s="3">
        <v>46308.431944444441</v>
      </c>
      <c r="C103" s="1" t="s">
        <v>3</v>
      </c>
      <c r="D103" s="1">
        <f>IFERROR(VLOOKUP(_2__Ferramental_AST[[#This Row],[ID]],CHECK_ACUM!A:A,1,0),"NOVO")</f>
        <v>7555</v>
      </c>
    </row>
    <row r="104" spans="1:4" hidden="1" x14ac:dyDescent="0.35">
      <c r="A104" s="1">
        <v>7551</v>
      </c>
      <c r="B104" s="3">
        <v>46304.76666666667</v>
      </c>
      <c r="C104" s="1" t="s">
        <v>5</v>
      </c>
      <c r="D104" s="1">
        <f>IFERROR(VLOOKUP(_2__Ferramental_AST[[#This Row],[ID]],CHECK_ACUM!A:A,1,0),"NOVO")</f>
        <v>7551</v>
      </c>
    </row>
    <row r="105" spans="1:4" hidden="1" x14ac:dyDescent="0.35">
      <c r="A105" s="1">
        <v>7550</v>
      </c>
      <c r="B105" s="3">
        <v>46304.765972222223</v>
      </c>
      <c r="C105" s="1" t="s">
        <v>5</v>
      </c>
      <c r="D105" s="1">
        <f>IFERROR(VLOOKUP(_2__Ferramental_AST[[#This Row],[ID]],CHECK_ACUM!A:A,1,0),"NOVO")</f>
        <v>7550</v>
      </c>
    </row>
    <row r="106" spans="1:4" hidden="1" x14ac:dyDescent="0.35">
      <c r="A106" s="1">
        <v>7549</v>
      </c>
      <c r="B106" s="3">
        <v>46304.763888888891</v>
      </c>
      <c r="C106" s="1" t="s">
        <v>5</v>
      </c>
      <c r="D106" s="1">
        <f>IFERROR(VLOOKUP(_2__Ferramental_AST[[#This Row],[ID]],CHECK_ACUM!A:A,1,0),"NOVO")</f>
        <v>7549</v>
      </c>
    </row>
    <row r="107" spans="1:4" hidden="1" x14ac:dyDescent="0.35">
      <c r="A107" s="1">
        <v>7548</v>
      </c>
      <c r="B107" s="3">
        <v>46304.763194444444</v>
      </c>
      <c r="C107" s="1" t="s">
        <v>5</v>
      </c>
      <c r="D107" s="1">
        <f>IFERROR(VLOOKUP(_2__Ferramental_AST[[#This Row],[ID]],CHECK_ACUM!A:A,1,0),"NOVO")</f>
        <v>7548</v>
      </c>
    </row>
    <row r="108" spans="1:4" hidden="1" x14ac:dyDescent="0.35">
      <c r="A108" s="1">
        <v>7547</v>
      </c>
      <c r="B108" s="3">
        <v>46304.761111111111</v>
      </c>
      <c r="C108" s="1" t="s">
        <v>5</v>
      </c>
      <c r="D108" s="1">
        <f>IFERROR(VLOOKUP(_2__Ferramental_AST[[#This Row],[ID]],CHECK_ACUM!A:A,1,0),"NOVO")</f>
        <v>7547</v>
      </c>
    </row>
    <row r="109" spans="1:4" hidden="1" x14ac:dyDescent="0.35">
      <c r="A109" s="1">
        <v>7546</v>
      </c>
      <c r="B109" s="3">
        <v>46304.663888888892</v>
      </c>
      <c r="C109" s="1" t="s">
        <v>28</v>
      </c>
      <c r="D109" s="1">
        <f>IFERROR(VLOOKUP(_2__Ferramental_AST[[#This Row],[ID]],CHECK_ACUM!A:A,1,0),"NOVO")</f>
        <v>7546</v>
      </c>
    </row>
    <row r="110" spans="1:4" hidden="1" x14ac:dyDescent="0.35">
      <c r="A110" s="1">
        <v>7542</v>
      </c>
      <c r="B110" s="3">
        <v>46304.580555555556</v>
      </c>
      <c r="C110" s="1" t="s">
        <v>24</v>
      </c>
      <c r="D110" s="1">
        <f>IFERROR(VLOOKUP(_2__Ferramental_AST[[#This Row],[ID]],CHECK_ACUM!A:A,1,0),"NOVO")</f>
        <v>7542</v>
      </c>
    </row>
    <row r="111" spans="1:4" hidden="1" x14ac:dyDescent="0.35">
      <c r="A111" s="1">
        <v>7541</v>
      </c>
      <c r="B111" s="3">
        <v>46304.464583333334</v>
      </c>
      <c r="C111" s="1" t="s">
        <v>21</v>
      </c>
      <c r="D111" s="1">
        <f>IFERROR(VLOOKUP(_2__Ferramental_AST[[#This Row],[ID]],CHECK_ACUM!A:A,1,0),"NOVO")</f>
        <v>7541</v>
      </c>
    </row>
    <row r="112" spans="1:4" hidden="1" x14ac:dyDescent="0.35">
      <c r="A112" s="1">
        <v>7540</v>
      </c>
      <c r="B112" s="3">
        <v>46304.463194444441</v>
      </c>
      <c r="C112" s="1" t="s">
        <v>21</v>
      </c>
      <c r="D112" s="1">
        <f>IFERROR(VLOOKUP(_2__Ferramental_AST[[#This Row],[ID]],CHECK_ACUM!A:A,1,0),"NOVO")</f>
        <v>7540</v>
      </c>
    </row>
    <row r="113" spans="1:4" hidden="1" x14ac:dyDescent="0.35">
      <c r="A113" s="1">
        <v>7539</v>
      </c>
      <c r="B113" s="3">
        <v>46304.461805555555</v>
      </c>
      <c r="C113" s="1" t="s">
        <v>3</v>
      </c>
      <c r="D113" s="1">
        <f>IFERROR(VLOOKUP(_2__Ferramental_AST[[#This Row],[ID]],CHECK_ACUM!A:A,1,0),"NOVO")</f>
        <v>7539</v>
      </c>
    </row>
    <row r="114" spans="1:4" hidden="1" x14ac:dyDescent="0.35">
      <c r="A114" s="1">
        <v>7538</v>
      </c>
      <c r="B114" s="3">
        <v>46304.415972222225</v>
      </c>
      <c r="C114" s="1" t="s">
        <v>21</v>
      </c>
      <c r="D114" s="1">
        <f>IFERROR(VLOOKUP(_2__Ferramental_AST[[#This Row],[ID]],CHECK_ACUM!A:A,1,0),"NOVO")</f>
        <v>7538</v>
      </c>
    </row>
    <row r="115" spans="1:4" hidden="1" x14ac:dyDescent="0.35">
      <c r="A115" s="1">
        <v>7537</v>
      </c>
      <c r="B115" s="3">
        <v>46304.40902777778</v>
      </c>
      <c r="C115" s="1" t="s">
        <v>19</v>
      </c>
      <c r="D115" s="1">
        <f>IFERROR(VLOOKUP(_2__Ferramental_AST[[#This Row],[ID]],CHECK_ACUM!A:A,1,0),"NOVO")</f>
        <v>7537</v>
      </c>
    </row>
    <row r="116" spans="1:4" hidden="1" x14ac:dyDescent="0.35">
      <c r="A116" s="1">
        <v>7536</v>
      </c>
      <c r="B116" s="3">
        <v>46304.354166666664</v>
      </c>
      <c r="C116" s="1" t="s">
        <v>19</v>
      </c>
      <c r="D116" s="1">
        <f>IFERROR(VLOOKUP(_2__Ferramental_AST[[#This Row],[ID]],CHECK_ACUM!A:A,1,0),"NOVO")</f>
        <v>7536</v>
      </c>
    </row>
    <row r="117" spans="1:4" hidden="1" x14ac:dyDescent="0.35">
      <c r="A117" s="1">
        <v>7534</v>
      </c>
      <c r="B117" s="3">
        <v>46303.762499999997</v>
      </c>
      <c r="C117" s="1" t="s">
        <v>5</v>
      </c>
      <c r="D117" s="1">
        <f>IFERROR(VLOOKUP(_2__Ferramental_AST[[#This Row],[ID]],CHECK_ACUM!A:A,1,0),"NOVO")</f>
        <v>7534</v>
      </c>
    </row>
    <row r="118" spans="1:4" hidden="1" x14ac:dyDescent="0.35">
      <c r="A118" s="1">
        <v>7533</v>
      </c>
      <c r="B118" s="3">
        <v>46303.717361111114</v>
      </c>
      <c r="C118" s="1" t="s">
        <v>5</v>
      </c>
      <c r="D118" s="1">
        <f>IFERROR(VLOOKUP(_2__Ferramental_AST[[#This Row],[ID]],CHECK_ACUM!A:A,1,0),"NOVO")</f>
        <v>7533</v>
      </c>
    </row>
    <row r="119" spans="1:4" hidden="1" x14ac:dyDescent="0.35">
      <c r="A119" s="1">
        <v>7532</v>
      </c>
      <c r="B119" s="3">
        <v>46303.680555555555</v>
      </c>
      <c r="C119" s="1" t="s">
        <v>22</v>
      </c>
      <c r="D119" s="1">
        <f>IFERROR(VLOOKUP(_2__Ferramental_AST[[#This Row],[ID]],CHECK_ACUM!A:A,1,0),"NOVO")</f>
        <v>7532</v>
      </c>
    </row>
    <row r="120" spans="1:4" hidden="1" x14ac:dyDescent="0.35">
      <c r="A120" s="1">
        <v>7531</v>
      </c>
      <c r="B120" s="3">
        <v>46303.669444444444</v>
      </c>
      <c r="C120" s="1" t="s">
        <v>5</v>
      </c>
      <c r="D120" s="1">
        <f>IFERROR(VLOOKUP(_2__Ferramental_AST[[#This Row],[ID]],CHECK_ACUM!A:A,1,0),"NOVO")</f>
        <v>7531</v>
      </c>
    </row>
    <row r="121" spans="1:4" hidden="1" x14ac:dyDescent="0.35">
      <c r="A121" s="1">
        <v>7530</v>
      </c>
      <c r="B121" s="3">
        <v>46303.668749999997</v>
      </c>
      <c r="C121" s="1" t="s">
        <v>5</v>
      </c>
      <c r="D121" s="1">
        <f>IFERROR(VLOOKUP(_2__Ferramental_AST[[#This Row],[ID]],CHECK_ACUM!A:A,1,0),"NOVO")</f>
        <v>7530</v>
      </c>
    </row>
    <row r="122" spans="1:4" hidden="1" x14ac:dyDescent="0.35">
      <c r="A122" s="1">
        <v>7529</v>
      </c>
      <c r="B122" s="3">
        <v>46303.668055555558</v>
      </c>
      <c r="C122" s="1" t="s">
        <v>5</v>
      </c>
      <c r="D122" s="1">
        <f>IFERROR(VLOOKUP(_2__Ferramental_AST[[#This Row],[ID]],CHECK_ACUM!A:A,1,0),"NOVO")</f>
        <v>7529</v>
      </c>
    </row>
    <row r="123" spans="1:4" hidden="1" x14ac:dyDescent="0.35">
      <c r="A123" s="1">
        <v>7528</v>
      </c>
      <c r="B123" s="3">
        <v>46303.652083333334</v>
      </c>
      <c r="C123" s="1" t="s">
        <v>19</v>
      </c>
      <c r="D123" s="1">
        <f>IFERROR(VLOOKUP(_2__Ferramental_AST[[#This Row],[ID]],CHECK_ACUM!A:A,1,0),"NOVO")</f>
        <v>7528</v>
      </c>
    </row>
    <row r="124" spans="1:4" hidden="1" x14ac:dyDescent="0.35">
      <c r="A124" s="1">
        <v>7527</v>
      </c>
      <c r="B124" s="3">
        <v>46303.651388888888</v>
      </c>
      <c r="C124" s="1" t="s">
        <v>19</v>
      </c>
      <c r="D124" s="1">
        <f>IFERROR(VLOOKUP(_2__Ferramental_AST[[#This Row],[ID]],CHECK_ACUM!A:A,1,0),"NOVO")</f>
        <v>7527</v>
      </c>
    </row>
    <row r="125" spans="1:4" hidden="1" x14ac:dyDescent="0.35">
      <c r="A125" s="1">
        <v>7526</v>
      </c>
      <c r="B125" s="3">
        <v>46303.611111111109</v>
      </c>
      <c r="C125" s="1" t="s">
        <v>9</v>
      </c>
      <c r="D125" s="1">
        <f>IFERROR(VLOOKUP(_2__Ferramental_AST[[#This Row],[ID]],CHECK_ACUM!A:A,1,0),"NOVO")</f>
        <v>7526</v>
      </c>
    </row>
    <row r="126" spans="1:4" hidden="1" x14ac:dyDescent="0.35">
      <c r="A126" s="1">
        <v>7525</v>
      </c>
      <c r="B126" s="3">
        <v>46303.588194444441</v>
      </c>
      <c r="C126" s="1" t="s">
        <v>21</v>
      </c>
      <c r="D126" s="1">
        <f>IFERROR(VLOOKUP(_2__Ferramental_AST[[#This Row],[ID]],CHECK_ACUM!A:A,1,0),"NOVO")</f>
        <v>7525</v>
      </c>
    </row>
    <row r="127" spans="1:4" hidden="1" x14ac:dyDescent="0.35">
      <c r="A127" s="1">
        <v>7524</v>
      </c>
      <c r="B127" s="3">
        <v>46303.42083333333</v>
      </c>
      <c r="C127" s="1" t="s">
        <v>21</v>
      </c>
      <c r="D127" s="1">
        <f>IFERROR(VLOOKUP(_2__Ferramental_AST[[#This Row],[ID]],CHECK_ACUM!A:A,1,0),"NOVO")</f>
        <v>7524</v>
      </c>
    </row>
    <row r="128" spans="1:4" hidden="1" x14ac:dyDescent="0.35">
      <c r="A128" s="1">
        <v>7523</v>
      </c>
      <c r="B128" s="3">
        <v>46302.624305555553</v>
      </c>
      <c r="C128" s="1" t="s">
        <v>3</v>
      </c>
      <c r="D128" s="1">
        <f>IFERROR(VLOOKUP(_2__Ferramental_AST[[#This Row],[ID]],CHECK_ACUM!A:A,1,0),"NOVO")</f>
        <v>7523</v>
      </c>
    </row>
    <row r="129" spans="1:4" hidden="1" x14ac:dyDescent="0.35">
      <c r="A129" s="1">
        <v>7522</v>
      </c>
      <c r="B129" s="3">
        <v>46302.615277777775</v>
      </c>
      <c r="C129" s="1" t="s">
        <v>19</v>
      </c>
      <c r="D129" s="1">
        <f>IFERROR(VLOOKUP(_2__Ferramental_AST[[#This Row],[ID]],CHECK_ACUM!A:A,1,0),"NOVO")</f>
        <v>7522</v>
      </c>
    </row>
    <row r="130" spans="1:4" hidden="1" x14ac:dyDescent="0.35">
      <c r="A130" s="1">
        <v>7521</v>
      </c>
      <c r="B130" s="3">
        <v>46301.74722222222</v>
      </c>
      <c r="C130" s="1" t="s">
        <v>24</v>
      </c>
      <c r="D130" s="1">
        <f>IFERROR(VLOOKUP(_2__Ferramental_AST[[#This Row],[ID]],CHECK_ACUM!A:A,1,0),"NOVO")</f>
        <v>7521</v>
      </c>
    </row>
    <row r="131" spans="1:4" hidden="1" x14ac:dyDescent="0.35">
      <c r="A131" s="1">
        <v>7520</v>
      </c>
      <c r="B131" s="3">
        <v>46301.746527777781</v>
      </c>
      <c r="C131" s="1" t="s">
        <v>5</v>
      </c>
      <c r="D131" s="1">
        <f>IFERROR(VLOOKUP(_2__Ferramental_AST[[#This Row],[ID]],CHECK_ACUM!A:A,1,0),"NOVO")</f>
        <v>7520</v>
      </c>
    </row>
    <row r="132" spans="1:4" hidden="1" x14ac:dyDescent="0.35">
      <c r="A132" s="1">
        <v>7519</v>
      </c>
      <c r="B132" s="3">
        <v>46301.745833333334</v>
      </c>
      <c r="C132" s="1" t="s">
        <v>5</v>
      </c>
      <c r="D132" s="1">
        <f>IFERROR(VLOOKUP(_2__Ferramental_AST[[#This Row],[ID]],CHECK_ACUM!A:A,1,0),"NOVO")</f>
        <v>7519</v>
      </c>
    </row>
    <row r="133" spans="1:4" hidden="1" x14ac:dyDescent="0.35">
      <c r="A133" s="1">
        <v>7518</v>
      </c>
      <c r="B133" s="3">
        <v>46301.745138888888</v>
      </c>
      <c r="C133" s="1" t="s">
        <v>5</v>
      </c>
      <c r="D133" s="1">
        <f>IFERROR(VLOOKUP(_2__Ferramental_AST[[#This Row],[ID]],CHECK_ACUM!A:A,1,0),"NOVO")</f>
        <v>7518</v>
      </c>
    </row>
    <row r="134" spans="1:4" hidden="1" x14ac:dyDescent="0.35">
      <c r="A134" s="1">
        <v>7517</v>
      </c>
      <c r="B134" s="3">
        <v>46301.743750000001</v>
      </c>
      <c r="C134" s="1" t="s">
        <v>5</v>
      </c>
      <c r="D134" s="1">
        <f>IFERROR(VLOOKUP(_2__Ferramental_AST[[#This Row],[ID]],CHECK_ACUM!A:A,1,0),"NOVO")</f>
        <v>7517</v>
      </c>
    </row>
    <row r="135" spans="1:4" hidden="1" x14ac:dyDescent="0.35">
      <c r="A135" s="1">
        <v>7515</v>
      </c>
      <c r="B135" s="3">
        <v>46301.724305555559</v>
      </c>
      <c r="C135" s="1" t="s">
        <v>22</v>
      </c>
      <c r="D135" s="1">
        <f>IFERROR(VLOOKUP(_2__Ferramental_AST[[#This Row],[ID]],CHECK_ACUM!A:A,1,0),"NOVO")</f>
        <v>7515</v>
      </c>
    </row>
    <row r="136" spans="1:4" hidden="1" x14ac:dyDescent="0.35">
      <c r="A136" s="1">
        <v>7514</v>
      </c>
      <c r="B136" s="3">
        <v>46301.63958333333</v>
      </c>
      <c r="C136" s="1" t="s">
        <v>21</v>
      </c>
      <c r="D136" s="1">
        <f>IFERROR(VLOOKUP(_2__Ferramental_AST[[#This Row],[ID]],CHECK_ACUM!A:A,1,0),"NOVO")</f>
        <v>7514</v>
      </c>
    </row>
    <row r="137" spans="1:4" hidden="1" x14ac:dyDescent="0.35">
      <c r="A137" s="1">
        <v>7513</v>
      </c>
      <c r="B137" s="3">
        <v>46301.513194444444</v>
      </c>
      <c r="C137" s="1" t="s">
        <v>21</v>
      </c>
      <c r="D137" s="1">
        <f>IFERROR(VLOOKUP(_2__Ferramental_AST[[#This Row],[ID]],CHECK_ACUM!A:A,1,0),"NOVO")</f>
        <v>7513</v>
      </c>
    </row>
    <row r="138" spans="1:4" hidden="1" x14ac:dyDescent="0.35">
      <c r="A138" s="1">
        <v>7510</v>
      </c>
      <c r="B138" s="3">
        <v>46301.500694444447</v>
      </c>
      <c r="C138" s="1" t="s">
        <v>24</v>
      </c>
      <c r="D138" s="1">
        <f>IFERROR(VLOOKUP(_2__Ferramental_AST[[#This Row],[ID]],CHECK_ACUM!A:A,1,0),"NOVO")</f>
        <v>7510</v>
      </c>
    </row>
    <row r="139" spans="1:4" hidden="1" x14ac:dyDescent="0.35">
      <c r="A139" s="1">
        <v>7509</v>
      </c>
      <c r="B139" s="3">
        <v>46301.48541666667</v>
      </c>
      <c r="C139" s="1" t="s">
        <v>24</v>
      </c>
      <c r="D139" s="1">
        <f>IFERROR(VLOOKUP(_2__Ferramental_AST[[#This Row],[ID]],CHECK_ACUM!A:A,1,0),"NOVO")</f>
        <v>7509</v>
      </c>
    </row>
    <row r="140" spans="1:4" hidden="1" x14ac:dyDescent="0.35">
      <c r="A140" s="1">
        <v>7508</v>
      </c>
      <c r="B140" s="3">
        <v>46301.470138888886</v>
      </c>
      <c r="C140" s="1" t="s">
        <v>19</v>
      </c>
      <c r="D140" s="1">
        <f>IFERROR(VLOOKUP(_2__Ferramental_AST[[#This Row],[ID]],CHECK_ACUM!A:A,1,0),"NOVO")</f>
        <v>7508</v>
      </c>
    </row>
    <row r="141" spans="1:4" hidden="1" x14ac:dyDescent="0.35">
      <c r="A141" s="1">
        <v>7507</v>
      </c>
      <c r="B141" s="3">
        <v>46301.433333333334</v>
      </c>
      <c r="C141" s="1" t="s">
        <v>3</v>
      </c>
      <c r="D141" s="1">
        <f>IFERROR(VLOOKUP(_2__Ferramental_AST[[#This Row],[ID]],CHECK_ACUM!A:A,1,0),"NOVO")</f>
        <v>7507</v>
      </c>
    </row>
    <row r="142" spans="1:4" hidden="1" x14ac:dyDescent="0.35">
      <c r="A142" s="1">
        <v>7506</v>
      </c>
      <c r="B142" s="3">
        <v>46301.395833333336</v>
      </c>
      <c r="C142" s="1" t="s">
        <v>28</v>
      </c>
      <c r="D142" s="1">
        <f>IFERROR(VLOOKUP(_2__Ferramental_AST[[#This Row],[ID]],CHECK_ACUM!A:A,1,0),"NOVO")</f>
        <v>7506</v>
      </c>
    </row>
    <row r="143" spans="1:4" hidden="1" x14ac:dyDescent="0.35">
      <c r="A143" s="1">
        <v>7505</v>
      </c>
      <c r="B143" s="3">
        <v>46301.395833333336</v>
      </c>
      <c r="C143" s="1" t="s">
        <v>28</v>
      </c>
      <c r="D143" s="1">
        <f>IFERROR(VLOOKUP(_2__Ferramental_AST[[#This Row],[ID]],CHECK_ACUM!A:A,1,0),"NOVO")</f>
        <v>7505</v>
      </c>
    </row>
    <row r="144" spans="1:4" hidden="1" x14ac:dyDescent="0.35">
      <c r="A144" s="1">
        <v>7504</v>
      </c>
      <c r="B144" s="3">
        <v>46301.395138888889</v>
      </c>
      <c r="C144" s="1" t="s">
        <v>28</v>
      </c>
      <c r="D144" s="1">
        <f>IFERROR(VLOOKUP(_2__Ferramental_AST[[#This Row],[ID]],CHECK_ACUM!A:A,1,0),"NOVO")</f>
        <v>7504</v>
      </c>
    </row>
    <row r="145" spans="1:4" hidden="1" x14ac:dyDescent="0.35">
      <c r="A145" s="1">
        <v>7503</v>
      </c>
      <c r="B145" s="3">
        <v>46301.394444444442</v>
      </c>
      <c r="C145" s="1" t="s">
        <v>28</v>
      </c>
      <c r="D145" s="1">
        <f>IFERROR(VLOOKUP(_2__Ferramental_AST[[#This Row],[ID]],CHECK_ACUM!A:A,1,0),"NOVO")</f>
        <v>7503</v>
      </c>
    </row>
    <row r="146" spans="1:4" hidden="1" x14ac:dyDescent="0.35">
      <c r="A146" s="1">
        <v>7502</v>
      </c>
      <c r="B146" s="3">
        <v>46301.393750000003</v>
      </c>
      <c r="C146" s="1" t="s">
        <v>28</v>
      </c>
      <c r="D146" s="1">
        <f>IFERROR(VLOOKUP(_2__Ferramental_AST[[#This Row],[ID]],CHECK_ACUM!A:A,1,0),"NOVO")</f>
        <v>7502</v>
      </c>
    </row>
    <row r="147" spans="1:4" hidden="1" x14ac:dyDescent="0.35">
      <c r="A147" s="1">
        <v>7500</v>
      </c>
      <c r="B147" s="3">
        <v>46301.366666666669</v>
      </c>
      <c r="C147" s="1" t="s">
        <v>24</v>
      </c>
      <c r="D147" s="1">
        <f>IFERROR(VLOOKUP(_2__Ferramental_AST[[#This Row],[ID]],CHECK_ACUM!A:A,1,0),"NOVO")</f>
        <v>7500</v>
      </c>
    </row>
    <row r="148" spans="1:4" hidden="1" x14ac:dyDescent="0.35">
      <c r="A148" s="1">
        <v>7499</v>
      </c>
      <c r="B148" s="3">
        <v>46301.365972222222</v>
      </c>
      <c r="C148" s="1" t="s">
        <v>24</v>
      </c>
      <c r="D148" s="1">
        <f>IFERROR(VLOOKUP(_2__Ferramental_AST[[#This Row],[ID]],CHECK_ACUM!A:A,1,0),"NOVO")</f>
        <v>7499</v>
      </c>
    </row>
    <row r="149" spans="1:4" hidden="1" x14ac:dyDescent="0.35">
      <c r="A149" s="1">
        <v>7498</v>
      </c>
      <c r="B149" s="3">
        <v>46301.365277777775</v>
      </c>
      <c r="C149" s="1" t="s">
        <v>24</v>
      </c>
      <c r="D149" s="1">
        <f>IFERROR(VLOOKUP(_2__Ferramental_AST[[#This Row],[ID]],CHECK_ACUM!A:A,1,0),"NOVO")</f>
        <v>7498</v>
      </c>
    </row>
    <row r="150" spans="1:4" hidden="1" x14ac:dyDescent="0.35">
      <c r="A150" s="1">
        <v>7497</v>
      </c>
      <c r="B150" s="3">
        <v>46301.363888888889</v>
      </c>
      <c r="C150" s="1" t="s">
        <v>24</v>
      </c>
      <c r="D150" s="1">
        <f>IFERROR(VLOOKUP(_2__Ferramental_AST[[#This Row],[ID]],CHECK_ACUM!A:A,1,0),"NOVO")</f>
        <v>7497</v>
      </c>
    </row>
    <row r="151" spans="1:4" hidden="1" x14ac:dyDescent="0.35">
      <c r="A151" s="1">
        <v>7496</v>
      </c>
      <c r="B151" s="3">
        <v>46301.363194444442</v>
      </c>
      <c r="C151" s="1" t="s">
        <v>24</v>
      </c>
      <c r="D151" s="1">
        <f>IFERROR(VLOOKUP(_2__Ferramental_AST[[#This Row],[ID]],CHECK_ACUM!A:A,1,0),"NOVO")</f>
        <v>7496</v>
      </c>
    </row>
    <row r="152" spans="1:4" hidden="1" x14ac:dyDescent="0.35">
      <c r="A152" s="1">
        <v>7495</v>
      </c>
      <c r="B152" s="3">
        <v>46301.362500000003</v>
      </c>
      <c r="C152" s="1" t="s">
        <v>24</v>
      </c>
      <c r="D152" s="1">
        <f>IFERROR(VLOOKUP(_2__Ferramental_AST[[#This Row],[ID]],CHECK_ACUM!A:A,1,0),"NOVO")</f>
        <v>7495</v>
      </c>
    </row>
    <row r="153" spans="1:4" hidden="1" x14ac:dyDescent="0.35">
      <c r="A153" s="1">
        <v>7494</v>
      </c>
      <c r="B153" s="3">
        <v>46301.362500000003</v>
      </c>
      <c r="C153" s="1" t="s">
        <v>24</v>
      </c>
      <c r="D153" s="1">
        <f>IFERROR(VLOOKUP(_2__Ferramental_AST[[#This Row],[ID]],CHECK_ACUM!A:A,1,0),"NOVO")</f>
        <v>7494</v>
      </c>
    </row>
    <row r="154" spans="1:4" hidden="1" x14ac:dyDescent="0.35">
      <c r="A154" s="1">
        <v>7493</v>
      </c>
      <c r="B154" s="3">
        <v>46301.361805555556</v>
      </c>
      <c r="C154" s="1" t="s">
        <v>24</v>
      </c>
      <c r="D154" s="1">
        <f>IFERROR(VLOOKUP(_2__Ferramental_AST[[#This Row],[ID]],CHECK_ACUM!A:A,1,0),"NOVO")</f>
        <v>7493</v>
      </c>
    </row>
    <row r="155" spans="1:4" hidden="1" x14ac:dyDescent="0.35">
      <c r="A155" s="1">
        <v>7492</v>
      </c>
      <c r="B155" s="3">
        <v>46301.361111111109</v>
      </c>
      <c r="C155" s="1" t="s">
        <v>24</v>
      </c>
      <c r="D155" s="1">
        <f>IFERROR(VLOOKUP(_2__Ferramental_AST[[#This Row],[ID]],CHECK_ACUM!A:A,1,0),"NOVO")</f>
        <v>7492</v>
      </c>
    </row>
    <row r="156" spans="1:4" hidden="1" x14ac:dyDescent="0.35">
      <c r="A156" s="1">
        <v>7491</v>
      </c>
      <c r="B156" s="3">
        <v>46301.359027777777</v>
      </c>
      <c r="C156" s="1" t="s">
        <v>3</v>
      </c>
      <c r="D156" s="1">
        <f>IFERROR(VLOOKUP(_2__Ferramental_AST[[#This Row],[ID]],CHECK_ACUM!A:A,1,0),"NOVO")</f>
        <v>7491</v>
      </c>
    </row>
    <row r="157" spans="1:4" hidden="1" x14ac:dyDescent="0.35">
      <c r="A157" s="1">
        <v>7490</v>
      </c>
      <c r="B157" s="3">
        <v>46301.361111111109</v>
      </c>
      <c r="C157" s="1" t="s">
        <v>24</v>
      </c>
      <c r="D157" s="1">
        <f>IFERROR(VLOOKUP(_2__Ferramental_AST[[#This Row],[ID]],CHECK_ACUM!A:A,1,0),"NOVO")</f>
        <v>7490</v>
      </c>
    </row>
    <row r="158" spans="1:4" hidden="1" x14ac:dyDescent="0.35">
      <c r="A158" s="1">
        <v>7489</v>
      </c>
      <c r="B158" s="3">
        <v>46301.35833333333</v>
      </c>
      <c r="C158" s="1" t="s">
        <v>19</v>
      </c>
      <c r="D158" s="1">
        <f>IFERROR(VLOOKUP(_2__Ferramental_AST[[#This Row],[ID]],CHECK_ACUM!A:A,1,0),"NOVO")</f>
        <v>7489</v>
      </c>
    </row>
    <row r="159" spans="1:4" hidden="1" x14ac:dyDescent="0.35">
      <c r="A159" s="1">
        <v>7488</v>
      </c>
      <c r="B159" s="3">
        <v>46301.35833333333</v>
      </c>
      <c r="C159" s="1" t="s">
        <v>3</v>
      </c>
      <c r="D159" s="1">
        <f>IFERROR(VLOOKUP(_2__Ferramental_AST[[#This Row],[ID]],CHECK_ACUM!A:A,1,0),"NOVO")</f>
        <v>7488</v>
      </c>
    </row>
    <row r="160" spans="1:4" hidden="1" x14ac:dyDescent="0.35">
      <c r="A160" s="1">
        <v>7487</v>
      </c>
      <c r="B160" s="3">
        <v>46301.356944444444</v>
      </c>
      <c r="C160" s="1" t="s">
        <v>3</v>
      </c>
      <c r="D160" s="1">
        <f>IFERROR(VLOOKUP(_2__Ferramental_AST[[#This Row],[ID]],CHECK_ACUM!A:A,1,0),"NOVO")</f>
        <v>7487</v>
      </c>
    </row>
    <row r="161" spans="1:4" hidden="1" x14ac:dyDescent="0.35">
      <c r="A161" s="1">
        <v>7486</v>
      </c>
      <c r="B161" s="3">
        <v>46301.288194444445</v>
      </c>
      <c r="C161" s="1" t="s">
        <v>9</v>
      </c>
      <c r="D161" s="1">
        <f>IFERROR(VLOOKUP(_2__Ferramental_AST[[#This Row],[ID]],CHECK_ACUM!A:A,1,0),"NOVO")</f>
        <v>7486</v>
      </c>
    </row>
    <row r="162" spans="1:4" hidden="1" x14ac:dyDescent="0.35">
      <c r="A162" s="1">
        <v>7485</v>
      </c>
      <c r="B162" s="3">
        <v>46301.287499999999</v>
      </c>
      <c r="C162" s="1" t="s">
        <v>9</v>
      </c>
      <c r="D162" s="1">
        <f>IFERROR(VLOOKUP(_2__Ferramental_AST[[#This Row],[ID]],CHECK_ACUM!A:A,1,0),"NOVO")</f>
        <v>7485</v>
      </c>
    </row>
    <row r="163" spans="1:4" hidden="1" x14ac:dyDescent="0.35">
      <c r="A163" s="1">
        <v>7484</v>
      </c>
      <c r="B163" s="3">
        <v>46301.286805555559</v>
      </c>
      <c r="C163" s="1" t="s">
        <v>9</v>
      </c>
      <c r="D163" s="1">
        <f>IFERROR(VLOOKUP(_2__Ferramental_AST[[#This Row],[ID]],CHECK_ACUM!A:A,1,0),"NOVO")</f>
        <v>7484</v>
      </c>
    </row>
    <row r="164" spans="1:4" hidden="1" x14ac:dyDescent="0.35">
      <c r="A164" s="1">
        <v>7482</v>
      </c>
      <c r="B164" s="3">
        <v>46297.784722222219</v>
      </c>
      <c r="C164" s="1" t="s">
        <v>5</v>
      </c>
      <c r="D164" s="1">
        <f>IFERROR(VLOOKUP(_2__Ferramental_AST[[#This Row],[ID]],CHECK_ACUM!A:A,1,0),"NOVO")</f>
        <v>7482</v>
      </c>
    </row>
    <row r="165" spans="1:4" hidden="1" x14ac:dyDescent="0.35">
      <c r="A165" s="1">
        <v>7481</v>
      </c>
      <c r="B165" s="3">
        <v>46297.78402777778</v>
      </c>
      <c r="C165" s="1" t="s">
        <v>5</v>
      </c>
      <c r="D165" s="1">
        <f>IFERROR(VLOOKUP(_2__Ferramental_AST[[#This Row],[ID]],CHECK_ACUM!A:A,1,0),"NOVO")</f>
        <v>7481</v>
      </c>
    </row>
    <row r="166" spans="1:4" hidden="1" x14ac:dyDescent="0.35">
      <c r="A166" s="1">
        <v>7480</v>
      </c>
      <c r="B166" s="3">
        <v>46297.781944444447</v>
      </c>
      <c r="C166" s="1" t="s">
        <v>5</v>
      </c>
      <c r="D166" s="1">
        <f>IFERROR(VLOOKUP(_2__Ferramental_AST[[#This Row],[ID]],CHECK_ACUM!A:A,1,0),"NOVO")</f>
        <v>7480</v>
      </c>
    </row>
    <row r="167" spans="1:4" hidden="1" x14ac:dyDescent="0.35">
      <c r="A167" s="1">
        <v>7479</v>
      </c>
      <c r="B167" s="3">
        <v>46297.779166666667</v>
      </c>
      <c r="C167" s="1" t="s">
        <v>5</v>
      </c>
      <c r="D167" s="1">
        <f>IFERROR(VLOOKUP(_2__Ferramental_AST[[#This Row],[ID]],CHECK_ACUM!A:A,1,0),"NOVO")</f>
        <v>7479</v>
      </c>
    </row>
    <row r="168" spans="1:4" hidden="1" x14ac:dyDescent="0.35">
      <c r="A168" s="1">
        <v>7478</v>
      </c>
      <c r="B168" s="3">
        <v>46297.777777777781</v>
      </c>
      <c r="C168" s="1" t="s">
        <v>5</v>
      </c>
      <c r="D168" s="1">
        <f>IFERROR(VLOOKUP(_2__Ferramental_AST[[#This Row],[ID]],CHECK_ACUM!A:A,1,0),"NOVO")</f>
        <v>7478</v>
      </c>
    </row>
    <row r="169" spans="1:4" hidden="1" x14ac:dyDescent="0.35">
      <c r="A169" s="1">
        <v>7477</v>
      </c>
      <c r="B169" s="3">
        <v>46297.690972222219</v>
      </c>
      <c r="C169" s="1" t="s">
        <v>22</v>
      </c>
      <c r="D169" s="1">
        <f>IFERROR(VLOOKUP(_2__Ferramental_AST[[#This Row],[ID]],CHECK_ACUM!A:A,1,0),"NOVO")</f>
        <v>7477</v>
      </c>
    </row>
    <row r="170" spans="1:4" hidden="1" x14ac:dyDescent="0.35">
      <c r="A170" s="1">
        <v>7476</v>
      </c>
      <c r="B170" s="3">
        <v>46297.69027777778</v>
      </c>
      <c r="C170" s="1" t="s">
        <v>22</v>
      </c>
      <c r="D170" s="1">
        <f>IFERROR(VLOOKUP(_2__Ferramental_AST[[#This Row],[ID]],CHECK_ACUM!A:A,1,0),"NOVO")</f>
        <v>7476</v>
      </c>
    </row>
    <row r="171" spans="1:4" hidden="1" x14ac:dyDescent="0.35">
      <c r="A171" s="1">
        <v>7475</v>
      </c>
      <c r="B171" s="3">
        <v>46297.597222222219</v>
      </c>
      <c r="C171" s="1" t="s">
        <v>9</v>
      </c>
      <c r="D171" s="1">
        <f>IFERROR(VLOOKUP(_2__Ferramental_AST[[#This Row],[ID]],CHECK_ACUM!A:A,1,0),"NOVO")</f>
        <v>7475</v>
      </c>
    </row>
    <row r="172" spans="1:4" hidden="1" x14ac:dyDescent="0.35">
      <c r="A172" s="1">
        <v>7474</v>
      </c>
      <c r="B172" s="3">
        <v>46297.522916666669</v>
      </c>
      <c r="C172" s="1" t="s">
        <v>28</v>
      </c>
      <c r="D172" s="1">
        <f>IFERROR(VLOOKUP(_2__Ferramental_AST[[#This Row],[ID]],CHECK_ACUM!A:A,1,0),"NOVO")</f>
        <v>7474</v>
      </c>
    </row>
    <row r="173" spans="1:4" hidden="1" x14ac:dyDescent="0.35">
      <c r="A173" s="1">
        <v>7473</v>
      </c>
      <c r="B173" s="3">
        <v>46297.522222222222</v>
      </c>
      <c r="C173" s="1" t="s">
        <v>28</v>
      </c>
      <c r="D173" s="1">
        <f>IFERROR(VLOOKUP(_2__Ferramental_AST[[#This Row],[ID]],CHECK_ACUM!A:A,1,0),"NOVO")</f>
        <v>7473</v>
      </c>
    </row>
    <row r="174" spans="1:4" hidden="1" x14ac:dyDescent="0.35">
      <c r="A174" s="1">
        <v>7472</v>
      </c>
      <c r="B174" s="3">
        <v>46297.458333333336</v>
      </c>
      <c r="C174" s="1" t="s">
        <v>3</v>
      </c>
      <c r="D174" s="1">
        <f>IFERROR(VLOOKUP(_2__Ferramental_AST[[#This Row],[ID]],CHECK_ACUM!A:A,1,0),"NOVO")</f>
        <v>7472</v>
      </c>
    </row>
    <row r="175" spans="1:4" hidden="1" x14ac:dyDescent="0.35">
      <c r="A175" s="1">
        <v>7471</v>
      </c>
      <c r="B175" s="3">
        <v>46297.411805555559</v>
      </c>
      <c r="C175" s="1" t="s">
        <v>9</v>
      </c>
      <c r="D175" s="1">
        <f>IFERROR(VLOOKUP(_2__Ferramental_AST[[#This Row],[ID]],CHECK_ACUM!A:A,1,0),"NOVO")</f>
        <v>7471</v>
      </c>
    </row>
    <row r="176" spans="1:4" hidden="1" x14ac:dyDescent="0.35">
      <c r="A176" s="1">
        <v>7470</v>
      </c>
      <c r="B176" s="3">
        <v>46296.605555555558</v>
      </c>
      <c r="C176" s="1" t="s">
        <v>19</v>
      </c>
      <c r="D176" s="1">
        <f>IFERROR(VLOOKUP(_2__Ferramental_AST[[#This Row],[ID]],CHECK_ACUM!A:A,1,0),"NOVO")</f>
        <v>7470</v>
      </c>
    </row>
    <row r="177" spans="1:4" hidden="1" x14ac:dyDescent="0.35">
      <c r="A177" s="1">
        <v>7469</v>
      </c>
      <c r="B177" s="3">
        <v>46296.543055555558</v>
      </c>
      <c r="C177" s="1" t="s">
        <v>9</v>
      </c>
      <c r="D177" s="1">
        <f>IFERROR(VLOOKUP(_2__Ferramental_AST[[#This Row],[ID]],CHECK_ACUM!A:A,1,0),"NOVO")</f>
        <v>7469</v>
      </c>
    </row>
    <row r="178" spans="1:4" hidden="1" x14ac:dyDescent="0.35">
      <c r="A178" s="1">
        <v>7468</v>
      </c>
      <c r="B178" s="3">
        <v>46296.53402777778</v>
      </c>
      <c r="C178" s="1" t="s">
        <v>5</v>
      </c>
      <c r="D178" s="1">
        <f>IFERROR(VLOOKUP(_2__Ferramental_AST[[#This Row],[ID]],CHECK_ACUM!A:A,1,0),"NOVO")</f>
        <v>7468</v>
      </c>
    </row>
    <row r="179" spans="1:4" hidden="1" x14ac:dyDescent="0.35">
      <c r="A179" s="1">
        <v>7467</v>
      </c>
      <c r="B179" s="3">
        <v>46296.533333333333</v>
      </c>
      <c r="C179" s="1" t="s">
        <v>5</v>
      </c>
      <c r="D179" s="1">
        <f>IFERROR(VLOOKUP(_2__Ferramental_AST[[#This Row],[ID]],CHECK_ACUM!A:A,1,0),"NOVO")</f>
        <v>7467</v>
      </c>
    </row>
    <row r="180" spans="1:4" hidden="1" x14ac:dyDescent="0.35">
      <c r="A180" s="1">
        <v>7466</v>
      </c>
      <c r="B180" s="3">
        <v>46296.531944444447</v>
      </c>
      <c r="C180" s="1" t="s">
        <v>5</v>
      </c>
      <c r="D180" s="1">
        <f>IFERROR(VLOOKUP(_2__Ferramental_AST[[#This Row],[ID]],CHECK_ACUM!A:A,1,0),"NOVO")</f>
        <v>7466</v>
      </c>
    </row>
    <row r="181" spans="1:4" hidden="1" x14ac:dyDescent="0.35">
      <c r="A181" s="1">
        <v>7465</v>
      </c>
      <c r="B181" s="3">
        <v>46296.525694444441</v>
      </c>
      <c r="C181" s="1" t="s">
        <v>5</v>
      </c>
      <c r="D181" s="1">
        <f>IFERROR(VLOOKUP(_2__Ferramental_AST[[#This Row],[ID]],CHECK_ACUM!A:A,1,0),"NOVO")</f>
        <v>7465</v>
      </c>
    </row>
    <row r="182" spans="1:4" hidden="1" x14ac:dyDescent="0.35">
      <c r="A182" s="1">
        <v>7464</v>
      </c>
      <c r="B182" s="3">
        <v>46296.524305555555</v>
      </c>
      <c r="C182" s="1" t="s">
        <v>5</v>
      </c>
      <c r="D182" s="1">
        <f>IFERROR(VLOOKUP(_2__Ferramental_AST[[#This Row],[ID]],CHECK_ACUM!A:A,1,0),"NOVO")</f>
        <v>7464</v>
      </c>
    </row>
    <row r="183" spans="1:4" hidden="1" x14ac:dyDescent="0.35">
      <c r="A183" s="1">
        <v>7463</v>
      </c>
      <c r="B183" s="3">
        <v>46296.522222222222</v>
      </c>
      <c r="C183" s="1" t="s">
        <v>5</v>
      </c>
      <c r="D183" s="1">
        <f>IFERROR(VLOOKUP(_2__Ferramental_AST[[#This Row],[ID]],CHECK_ACUM!A:A,1,0),"NOVO")</f>
        <v>7463</v>
      </c>
    </row>
    <row r="184" spans="1:4" hidden="1" x14ac:dyDescent="0.35">
      <c r="A184" s="1">
        <v>7462</v>
      </c>
      <c r="B184" s="3">
        <v>46296.475694444445</v>
      </c>
      <c r="C184" s="1" t="s">
        <v>19</v>
      </c>
      <c r="D184" s="1">
        <f>IFERROR(VLOOKUP(_2__Ferramental_AST[[#This Row],[ID]],CHECK_ACUM!A:A,1,0),"NOVO")</f>
        <v>7462</v>
      </c>
    </row>
    <row r="185" spans="1:4" hidden="1" x14ac:dyDescent="0.35">
      <c r="A185" s="1">
        <v>7461</v>
      </c>
      <c r="B185" s="3">
        <v>46296.474305555559</v>
      </c>
      <c r="C185" s="1" t="s">
        <v>19</v>
      </c>
      <c r="D185" s="1">
        <f>IFERROR(VLOOKUP(_2__Ferramental_AST[[#This Row],[ID]],CHECK_ACUM!A:A,1,0),"NOVO")</f>
        <v>7461</v>
      </c>
    </row>
    <row r="186" spans="1:4" hidden="1" x14ac:dyDescent="0.35">
      <c r="A186" s="1">
        <v>7460</v>
      </c>
      <c r="B186" s="3">
        <v>46295.581944444442</v>
      </c>
      <c r="C186" s="1" t="s">
        <v>3</v>
      </c>
      <c r="D186" s="1">
        <f>IFERROR(VLOOKUP(_2__Ferramental_AST[[#This Row],[ID]],CHECK_ACUM!A:A,1,0),"NOVO")</f>
        <v>7460</v>
      </c>
    </row>
    <row r="187" spans="1:4" hidden="1" x14ac:dyDescent="0.35">
      <c r="A187" s="1">
        <v>7457</v>
      </c>
      <c r="B187" s="3">
        <v>46294.790972222225</v>
      </c>
      <c r="C187" s="1" t="s">
        <v>5</v>
      </c>
      <c r="D187" s="1">
        <f>IFERROR(VLOOKUP(_2__Ferramental_AST[[#This Row],[ID]],CHECK_ACUM!A:A,1,0),"NOVO")</f>
        <v>7457</v>
      </c>
    </row>
    <row r="188" spans="1:4" hidden="1" x14ac:dyDescent="0.35">
      <c r="A188" s="1">
        <v>7456</v>
      </c>
      <c r="B188" s="3">
        <v>46294.787499999999</v>
      </c>
      <c r="C188" s="1" t="s">
        <v>5</v>
      </c>
      <c r="D188" s="1">
        <f>IFERROR(VLOOKUP(_2__Ferramental_AST[[#This Row],[ID]],CHECK_ACUM!A:A,1,0),"NOVO")</f>
        <v>7456</v>
      </c>
    </row>
    <row r="189" spans="1:4" hidden="1" x14ac:dyDescent="0.35">
      <c r="A189" s="1">
        <v>7455</v>
      </c>
      <c r="B189" s="3">
        <v>46294.757638888892</v>
      </c>
      <c r="C189" s="1" t="s">
        <v>5</v>
      </c>
      <c r="D189" s="1">
        <f>IFERROR(VLOOKUP(_2__Ferramental_AST[[#This Row],[ID]],CHECK_ACUM!A:A,1,0),"NOVO")</f>
        <v>7455</v>
      </c>
    </row>
    <row r="190" spans="1:4" hidden="1" x14ac:dyDescent="0.35">
      <c r="A190" s="1">
        <v>7453</v>
      </c>
      <c r="B190" s="3">
        <v>46293.731944444444</v>
      </c>
      <c r="C190" s="1" t="s">
        <v>24</v>
      </c>
      <c r="D190" s="1">
        <f>IFERROR(VLOOKUP(_2__Ferramental_AST[[#This Row],[ID]],CHECK_ACUM!A:A,1,0),"NOVO")</f>
        <v>7453</v>
      </c>
    </row>
    <row r="191" spans="1:4" hidden="1" x14ac:dyDescent="0.35">
      <c r="A191" s="1">
        <v>7452</v>
      </c>
      <c r="B191" s="3">
        <v>46293.567361111112</v>
      </c>
      <c r="C191" s="1" t="s">
        <v>3</v>
      </c>
      <c r="D191" s="1">
        <f>IFERROR(VLOOKUP(_2__Ferramental_AST[[#This Row],[ID]],CHECK_ACUM!A:A,1,0),"NOVO")</f>
        <v>7452</v>
      </c>
    </row>
    <row r="192" spans="1:4" hidden="1" x14ac:dyDescent="0.35">
      <c r="A192" s="1">
        <v>7450</v>
      </c>
      <c r="B192" s="3">
        <v>46290.431944444441</v>
      </c>
      <c r="C192" s="1" t="s">
        <v>9</v>
      </c>
      <c r="D192" s="1">
        <f>IFERROR(VLOOKUP(_2__Ferramental_AST[[#This Row],[ID]],CHECK_ACUM!A:A,1,0),"NOVO")</f>
        <v>7450</v>
      </c>
    </row>
    <row r="193" spans="1:4" hidden="1" x14ac:dyDescent="0.35">
      <c r="A193" s="1">
        <v>7449</v>
      </c>
      <c r="B193" s="3">
        <v>46290.431250000001</v>
      </c>
      <c r="C193" s="1" t="s">
        <v>9</v>
      </c>
      <c r="D193" s="1">
        <f>IFERROR(VLOOKUP(_2__Ferramental_AST[[#This Row],[ID]],CHECK_ACUM!A:A,1,0),"NOVO")</f>
        <v>7449</v>
      </c>
    </row>
    <row r="194" spans="1:4" hidden="1" x14ac:dyDescent="0.35">
      <c r="A194" s="1">
        <v>7448</v>
      </c>
      <c r="B194" s="3">
        <v>46290.388194444444</v>
      </c>
      <c r="C194" s="1" t="s">
        <v>24</v>
      </c>
      <c r="D194" s="1">
        <f>IFERROR(VLOOKUP(_2__Ferramental_AST[[#This Row],[ID]],CHECK_ACUM!A:A,1,0),"NOVO")</f>
        <v>7448</v>
      </c>
    </row>
    <row r="195" spans="1:4" hidden="1" x14ac:dyDescent="0.35">
      <c r="A195" s="1">
        <v>7447</v>
      </c>
      <c r="B195" s="3">
        <v>46290.386805555558</v>
      </c>
      <c r="C195" s="1" t="s">
        <v>24</v>
      </c>
      <c r="D195" s="1">
        <f>IFERROR(VLOOKUP(_2__Ferramental_AST[[#This Row],[ID]],CHECK_ACUM!A:A,1,0),"NOVO")</f>
        <v>7447</v>
      </c>
    </row>
    <row r="196" spans="1:4" hidden="1" x14ac:dyDescent="0.35">
      <c r="A196" s="1">
        <v>7446</v>
      </c>
      <c r="B196" s="3">
        <v>46290.386111111111</v>
      </c>
      <c r="C196" s="1" t="s">
        <v>24</v>
      </c>
      <c r="D196" s="1">
        <f>IFERROR(VLOOKUP(_2__Ferramental_AST[[#This Row],[ID]],CHECK_ACUM!A:A,1,0),"NOVO")</f>
        <v>7446</v>
      </c>
    </row>
    <row r="197" spans="1:4" hidden="1" x14ac:dyDescent="0.35">
      <c r="A197" s="1">
        <v>7445</v>
      </c>
      <c r="B197" s="3">
        <v>46288.646527777775</v>
      </c>
      <c r="C197" s="1" t="s">
        <v>28</v>
      </c>
      <c r="D197" s="1">
        <f>IFERROR(VLOOKUP(_2__Ferramental_AST[[#This Row],[ID]],CHECK_ACUM!A:A,1,0),"NOVO")</f>
        <v>7445</v>
      </c>
    </row>
    <row r="198" spans="1:4" hidden="1" x14ac:dyDescent="0.35">
      <c r="A198" s="1">
        <v>7444</v>
      </c>
      <c r="B198" s="3">
        <v>46288.645833333336</v>
      </c>
      <c r="C198" s="1" t="s">
        <v>28</v>
      </c>
      <c r="D198" s="1">
        <f>IFERROR(VLOOKUP(_2__Ferramental_AST[[#This Row],[ID]],CHECK_ACUM!A:A,1,0),"NOVO")</f>
        <v>7444</v>
      </c>
    </row>
    <row r="199" spans="1:4" hidden="1" x14ac:dyDescent="0.35">
      <c r="A199" s="1">
        <v>7443</v>
      </c>
      <c r="B199" s="3">
        <v>46288.64166666667</v>
      </c>
      <c r="C199" s="1" t="s">
        <v>28</v>
      </c>
      <c r="D199" s="1">
        <f>IFERROR(VLOOKUP(_2__Ferramental_AST[[#This Row],[ID]],CHECK_ACUM!A:A,1,0),"NOVO")</f>
        <v>7443</v>
      </c>
    </row>
    <row r="200" spans="1:4" hidden="1" x14ac:dyDescent="0.35">
      <c r="A200" s="1">
        <v>7442</v>
      </c>
      <c r="B200" s="3">
        <v>46288.59097222222</v>
      </c>
      <c r="C200" s="1" t="s">
        <v>21</v>
      </c>
      <c r="D200" s="1">
        <f>IFERROR(VLOOKUP(_2__Ferramental_AST[[#This Row],[ID]],CHECK_ACUM!A:A,1,0),"NOVO")</f>
        <v>7442</v>
      </c>
    </row>
    <row r="201" spans="1:4" hidden="1" x14ac:dyDescent="0.35">
      <c r="A201" s="1">
        <v>7441</v>
      </c>
      <c r="B201" s="3">
        <v>46288.386805555558</v>
      </c>
      <c r="C201" s="1" t="s">
        <v>21</v>
      </c>
      <c r="D201" s="1">
        <f>IFERROR(VLOOKUP(_2__Ferramental_AST[[#This Row],[ID]],CHECK_ACUM!A:A,1,0),"NOVO")</f>
        <v>7441</v>
      </c>
    </row>
    <row r="202" spans="1:4" hidden="1" x14ac:dyDescent="0.35">
      <c r="A202" s="1">
        <v>7439</v>
      </c>
      <c r="B202" s="3">
        <v>46286.727083333331</v>
      </c>
      <c r="C202" s="1" t="s">
        <v>9</v>
      </c>
      <c r="D202" s="1">
        <f>IFERROR(VLOOKUP(_2__Ferramental_AST[[#This Row],[ID]],CHECK_ACUM!A:A,1,0),"NOVO")</f>
        <v>7439</v>
      </c>
    </row>
    <row r="203" spans="1:4" hidden="1" x14ac:dyDescent="0.35">
      <c r="A203" s="1">
        <v>7438</v>
      </c>
      <c r="B203" s="3">
        <v>46286.689583333333</v>
      </c>
      <c r="C203" s="1" t="s">
        <v>3</v>
      </c>
      <c r="D203" s="1">
        <f>IFERROR(VLOOKUP(_2__Ferramental_AST[[#This Row],[ID]],CHECK_ACUM!A:A,1,0),"NOVO")</f>
        <v>7438</v>
      </c>
    </row>
    <row r="204" spans="1:4" hidden="1" x14ac:dyDescent="0.35">
      <c r="A204" s="1">
        <v>7437</v>
      </c>
      <c r="B204" s="3">
        <v>46286.661111111112</v>
      </c>
      <c r="C204" s="1" t="s">
        <v>3</v>
      </c>
      <c r="D204" s="1">
        <f>IFERROR(VLOOKUP(_2__Ferramental_AST[[#This Row],[ID]],CHECK_ACUM!A:A,1,0),"NOVO")</f>
        <v>7437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E5A5-42BB-47A9-A360-7770BC62989C}">
  <dimension ref="A1:D872"/>
  <sheetViews>
    <sheetView showGridLines="0" topLeftCell="A852" workbookViewId="0">
      <selection activeCell="A872" sqref="A872"/>
    </sheetView>
  </sheetViews>
  <sheetFormatPr defaultRowHeight="10.5" x14ac:dyDescent="0.35"/>
  <cols>
    <col min="1" max="1" width="8.7265625" style="1"/>
    <col min="2" max="2" width="8.7265625" style="2"/>
    <col min="3" max="3" width="25.453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6173</v>
      </c>
      <c r="B2" s="2">
        <v>46147</v>
      </c>
      <c r="C2" s="1" t="s">
        <v>32</v>
      </c>
      <c r="D2" s="1">
        <f t="shared" ref="D2:D65" si="0">MONTH(B2)</f>
        <v>5</v>
      </c>
    </row>
    <row r="3" spans="1:4" x14ac:dyDescent="0.35">
      <c r="A3" s="1">
        <v>6170</v>
      </c>
      <c r="B3" s="2">
        <v>46147</v>
      </c>
      <c r="C3" s="1" t="s">
        <v>33</v>
      </c>
      <c r="D3" s="1">
        <f t="shared" si="0"/>
        <v>5</v>
      </c>
    </row>
    <row r="4" spans="1:4" x14ac:dyDescent="0.35">
      <c r="A4" s="1">
        <v>6183</v>
      </c>
      <c r="B4" s="2">
        <v>46148</v>
      </c>
      <c r="C4" s="1" t="s">
        <v>5</v>
      </c>
      <c r="D4" s="1">
        <f t="shared" si="0"/>
        <v>5</v>
      </c>
    </row>
    <row r="5" spans="1:4" x14ac:dyDescent="0.35">
      <c r="A5" s="1">
        <v>6182</v>
      </c>
      <c r="B5" s="2">
        <v>46148</v>
      </c>
      <c r="C5" s="1" t="s">
        <v>24</v>
      </c>
      <c r="D5" s="1">
        <f t="shared" si="0"/>
        <v>5</v>
      </c>
    </row>
    <row r="6" spans="1:4" x14ac:dyDescent="0.35">
      <c r="A6" s="1">
        <v>6181</v>
      </c>
      <c r="B6" s="2">
        <v>46148</v>
      </c>
      <c r="C6" s="1" t="s">
        <v>9</v>
      </c>
      <c r="D6" s="1">
        <f t="shared" si="0"/>
        <v>5</v>
      </c>
    </row>
    <row r="7" spans="1:4" x14ac:dyDescent="0.35">
      <c r="A7" s="1">
        <v>6180</v>
      </c>
      <c r="B7" s="2">
        <v>46148</v>
      </c>
      <c r="C7" s="1" t="s">
        <v>9</v>
      </c>
      <c r="D7" s="1">
        <f t="shared" si="0"/>
        <v>5</v>
      </c>
    </row>
    <row r="8" spans="1:4" x14ac:dyDescent="0.35">
      <c r="A8" s="1">
        <v>6177</v>
      </c>
      <c r="B8" s="2">
        <v>46148</v>
      </c>
      <c r="C8" s="1" t="s">
        <v>28</v>
      </c>
      <c r="D8" s="1">
        <f t="shared" si="0"/>
        <v>5</v>
      </c>
    </row>
    <row r="9" spans="1:4" x14ac:dyDescent="0.35">
      <c r="A9" s="1">
        <v>6176</v>
      </c>
      <c r="B9" s="2">
        <v>46148</v>
      </c>
      <c r="C9" s="1" t="s">
        <v>33</v>
      </c>
      <c r="D9" s="1">
        <f t="shared" si="0"/>
        <v>5</v>
      </c>
    </row>
    <row r="10" spans="1:4" x14ac:dyDescent="0.35">
      <c r="A10" s="1">
        <v>6206</v>
      </c>
      <c r="B10" s="2">
        <v>46149</v>
      </c>
      <c r="C10" s="1" t="s">
        <v>22</v>
      </c>
      <c r="D10" s="1">
        <f t="shared" si="0"/>
        <v>5</v>
      </c>
    </row>
    <row r="11" spans="1:4" x14ac:dyDescent="0.35">
      <c r="A11" s="1">
        <v>6205</v>
      </c>
      <c r="B11" s="2">
        <v>46149</v>
      </c>
      <c r="C11" s="1" t="s">
        <v>22</v>
      </c>
      <c r="D11" s="1">
        <f t="shared" si="0"/>
        <v>5</v>
      </c>
    </row>
    <row r="12" spans="1:4" x14ac:dyDescent="0.35">
      <c r="A12" s="1">
        <v>6204</v>
      </c>
      <c r="B12" s="2">
        <v>46149</v>
      </c>
      <c r="C12" s="1" t="s">
        <v>22</v>
      </c>
      <c r="D12" s="1">
        <f t="shared" si="0"/>
        <v>5</v>
      </c>
    </row>
    <row r="13" spans="1:4" x14ac:dyDescent="0.35">
      <c r="A13" s="1">
        <v>6203</v>
      </c>
      <c r="B13" s="2">
        <v>46149</v>
      </c>
      <c r="C13" s="1" t="s">
        <v>24</v>
      </c>
      <c r="D13" s="1">
        <f t="shared" si="0"/>
        <v>5</v>
      </c>
    </row>
    <row r="14" spans="1:4" x14ac:dyDescent="0.35">
      <c r="A14" s="1">
        <v>6202</v>
      </c>
      <c r="B14" s="2">
        <v>46149</v>
      </c>
      <c r="C14" s="1" t="s">
        <v>24</v>
      </c>
      <c r="D14" s="1">
        <f t="shared" si="0"/>
        <v>5</v>
      </c>
    </row>
    <row r="15" spans="1:4" x14ac:dyDescent="0.35">
      <c r="A15" s="1">
        <v>6201</v>
      </c>
      <c r="B15" s="2">
        <v>46149</v>
      </c>
      <c r="C15" s="1" t="s">
        <v>24</v>
      </c>
      <c r="D15" s="1">
        <f t="shared" si="0"/>
        <v>5</v>
      </c>
    </row>
    <row r="16" spans="1:4" x14ac:dyDescent="0.35">
      <c r="A16" s="1">
        <v>6200</v>
      </c>
      <c r="B16" s="2">
        <v>46149</v>
      </c>
      <c r="C16" s="1" t="s">
        <v>24</v>
      </c>
      <c r="D16" s="1">
        <f t="shared" si="0"/>
        <v>5</v>
      </c>
    </row>
    <row r="17" spans="1:4" x14ac:dyDescent="0.35">
      <c r="A17" s="1">
        <v>6194</v>
      </c>
      <c r="B17" s="2">
        <v>46149</v>
      </c>
      <c r="C17" s="1" t="s">
        <v>9</v>
      </c>
      <c r="D17" s="1">
        <f t="shared" si="0"/>
        <v>5</v>
      </c>
    </row>
    <row r="18" spans="1:4" x14ac:dyDescent="0.35">
      <c r="A18" s="1">
        <v>6192</v>
      </c>
      <c r="B18" s="2">
        <v>46149</v>
      </c>
      <c r="C18" s="1" t="s">
        <v>9</v>
      </c>
      <c r="D18" s="1">
        <f t="shared" si="0"/>
        <v>5</v>
      </c>
    </row>
    <row r="19" spans="1:4" x14ac:dyDescent="0.35">
      <c r="A19" s="1">
        <v>6191</v>
      </c>
      <c r="B19" s="2">
        <v>46149</v>
      </c>
      <c r="C19" s="1" t="s">
        <v>9</v>
      </c>
      <c r="D19" s="1">
        <f t="shared" si="0"/>
        <v>5</v>
      </c>
    </row>
    <row r="20" spans="1:4" x14ac:dyDescent="0.35">
      <c r="A20" s="1">
        <v>6188</v>
      </c>
      <c r="B20" s="2">
        <v>46149</v>
      </c>
      <c r="C20" s="1" t="s">
        <v>33</v>
      </c>
      <c r="D20" s="1">
        <f t="shared" si="0"/>
        <v>5</v>
      </c>
    </row>
    <row r="21" spans="1:4" x14ac:dyDescent="0.35">
      <c r="A21" s="1">
        <v>6242</v>
      </c>
      <c r="B21" s="2">
        <v>46150</v>
      </c>
      <c r="C21" s="1" t="s">
        <v>9</v>
      </c>
      <c r="D21" s="1">
        <f t="shared" si="0"/>
        <v>5</v>
      </c>
    </row>
    <row r="22" spans="1:4" x14ac:dyDescent="0.35">
      <c r="A22" s="1">
        <v>6241</v>
      </c>
      <c r="B22" s="2">
        <v>46150</v>
      </c>
      <c r="C22" s="1" t="s">
        <v>24</v>
      </c>
      <c r="D22" s="1">
        <f t="shared" si="0"/>
        <v>5</v>
      </c>
    </row>
    <row r="23" spans="1:4" x14ac:dyDescent="0.35">
      <c r="A23" s="1">
        <v>6240</v>
      </c>
      <c r="B23" s="2">
        <v>46150</v>
      </c>
      <c r="C23" s="1" t="s">
        <v>24</v>
      </c>
      <c r="D23" s="1">
        <f t="shared" si="0"/>
        <v>5</v>
      </c>
    </row>
    <row r="24" spans="1:4" x14ac:dyDescent="0.35">
      <c r="A24" s="1">
        <v>6239</v>
      </c>
      <c r="B24" s="2">
        <v>46150</v>
      </c>
      <c r="C24" s="1" t="s">
        <v>24</v>
      </c>
      <c r="D24" s="1">
        <f t="shared" si="0"/>
        <v>5</v>
      </c>
    </row>
    <row r="25" spans="1:4" x14ac:dyDescent="0.35">
      <c r="A25" s="1">
        <v>6238</v>
      </c>
      <c r="B25" s="2">
        <v>46150</v>
      </c>
      <c r="C25" s="1" t="s">
        <v>24</v>
      </c>
      <c r="D25" s="1">
        <f t="shared" si="0"/>
        <v>5</v>
      </c>
    </row>
    <row r="26" spans="1:4" x14ac:dyDescent="0.35">
      <c r="A26" s="1">
        <v>6237</v>
      </c>
      <c r="B26" s="2">
        <v>46150</v>
      </c>
      <c r="C26" s="1" t="s">
        <v>34</v>
      </c>
      <c r="D26" s="1">
        <f t="shared" si="0"/>
        <v>5</v>
      </c>
    </row>
    <row r="27" spans="1:4" x14ac:dyDescent="0.35">
      <c r="A27" s="1">
        <v>6236</v>
      </c>
      <c r="B27" s="2">
        <v>46150</v>
      </c>
      <c r="C27" s="1" t="s">
        <v>34</v>
      </c>
      <c r="D27" s="1">
        <f t="shared" si="0"/>
        <v>5</v>
      </c>
    </row>
    <row r="28" spans="1:4" x14ac:dyDescent="0.35">
      <c r="A28" s="1">
        <v>6235</v>
      </c>
      <c r="B28" s="2">
        <v>46150</v>
      </c>
      <c r="C28" s="1" t="s">
        <v>34</v>
      </c>
      <c r="D28" s="1">
        <f t="shared" si="0"/>
        <v>5</v>
      </c>
    </row>
    <row r="29" spans="1:4" x14ac:dyDescent="0.35">
      <c r="A29" s="1">
        <v>6234</v>
      </c>
      <c r="B29" s="2">
        <v>46150</v>
      </c>
      <c r="C29" s="1" t="s">
        <v>34</v>
      </c>
      <c r="D29" s="1">
        <f t="shared" si="0"/>
        <v>5</v>
      </c>
    </row>
    <row r="30" spans="1:4" x14ac:dyDescent="0.35">
      <c r="A30" s="1">
        <v>6233</v>
      </c>
      <c r="B30" s="2">
        <v>46150</v>
      </c>
      <c r="C30" s="1" t="s">
        <v>34</v>
      </c>
      <c r="D30" s="1">
        <f t="shared" si="0"/>
        <v>5</v>
      </c>
    </row>
    <row r="31" spans="1:4" x14ac:dyDescent="0.35">
      <c r="A31" s="1">
        <v>6232</v>
      </c>
      <c r="B31" s="2">
        <v>46150</v>
      </c>
      <c r="C31" s="1" t="s">
        <v>34</v>
      </c>
      <c r="D31" s="1">
        <f t="shared" si="0"/>
        <v>5</v>
      </c>
    </row>
    <row r="32" spans="1:4" x14ac:dyDescent="0.35">
      <c r="A32" s="1">
        <v>6231</v>
      </c>
      <c r="B32" s="2">
        <v>46150</v>
      </c>
      <c r="C32" s="1" t="s">
        <v>34</v>
      </c>
      <c r="D32" s="1">
        <f t="shared" si="0"/>
        <v>5</v>
      </c>
    </row>
    <row r="33" spans="1:4" x14ac:dyDescent="0.35">
      <c r="A33" s="1">
        <v>6230</v>
      </c>
      <c r="B33" s="2">
        <v>46150</v>
      </c>
      <c r="C33" s="1" t="s">
        <v>34</v>
      </c>
      <c r="D33" s="1">
        <f t="shared" si="0"/>
        <v>5</v>
      </c>
    </row>
    <row r="34" spans="1:4" x14ac:dyDescent="0.35">
      <c r="A34" s="1">
        <v>6229</v>
      </c>
      <c r="B34" s="2">
        <v>46150</v>
      </c>
      <c r="C34" s="1" t="s">
        <v>34</v>
      </c>
      <c r="D34" s="1">
        <f t="shared" si="0"/>
        <v>5</v>
      </c>
    </row>
    <row r="35" spans="1:4" x14ac:dyDescent="0.35">
      <c r="A35" s="1">
        <v>6228</v>
      </c>
      <c r="B35" s="2">
        <v>46150</v>
      </c>
      <c r="C35" s="1" t="s">
        <v>34</v>
      </c>
      <c r="D35" s="1">
        <f t="shared" si="0"/>
        <v>5</v>
      </c>
    </row>
    <row r="36" spans="1:4" x14ac:dyDescent="0.35">
      <c r="A36" s="1">
        <v>6227</v>
      </c>
      <c r="B36" s="2">
        <v>46150</v>
      </c>
      <c r="C36" s="1" t="s">
        <v>34</v>
      </c>
      <c r="D36" s="1">
        <f t="shared" si="0"/>
        <v>5</v>
      </c>
    </row>
    <row r="37" spans="1:4" x14ac:dyDescent="0.35">
      <c r="A37" s="1">
        <v>6226</v>
      </c>
      <c r="B37" s="2">
        <v>46150</v>
      </c>
      <c r="C37" s="1" t="s">
        <v>34</v>
      </c>
      <c r="D37" s="1">
        <f t="shared" si="0"/>
        <v>5</v>
      </c>
    </row>
    <row r="38" spans="1:4" x14ac:dyDescent="0.35">
      <c r="A38" s="1">
        <v>6225</v>
      </c>
      <c r="B38" s="2">
        <v>46150</v>
      </c>
      <c r="C38" s="1" t="s">
        <v>34</v>
      </c>
      <c r="D38" s="1">
        <f t="shared" si="0"/>
        <v>5</v>
      </c>
    </row>
    <row r="39" spans="1:4" x14ac:dyDescent="0.35">
      <c r="A39" s="1">
        <v>6224</v>
      </c>
      <c r="B39" s="2">
        <v>46150</v>
      </c>
      <c r="C39" s="1" t="s">
        <v>34</v>
      </c>
      <c r="D39" s="1">
        <f t="shared" si="0"/>
        <v>5</v>
      </c>
    </row>
    <row r="40" spans="1:4" x14ac:dyDescent="0.35">
      <c r="A40" s="1">
        <v>6223</v>
      </c>
      <c r="B40" s="2">
        <v>46150</v>
      </c>
      <c r="C40" s="1" t="s">
        <v>34</v>
      </c>
      <c r="D40" s="1">
        <f t="shared" si="0"/>
        <v>5</v>
      </c>
    </row>
    <row r="41" spans="1:4" x14ac:dyDescent="0.35">
      <c r="A41" s="1">
        <v>6222</v>
      </c>
      <c r="B41" s="2">
        <v>46150</v>
      </c>
      <c r="C41" s="1" t="s">
        <v>34</v>
      </c>
      <c r="D41" s="1">
        <f t="shared" si="0"/>
        <v>5</v>
      </c>
    </row>
    <row r="42" spans="1:4" x14ac:dyDescent="0.35">
      <c r="A42" s="1">
        <v>6218</v>
      </c>
      <c r="B42" s="2">
        <v>46150</v>
      </c>
      <c r="C42" s="1" t="s">
        <v>34</v>
      </c>
      <c r="D42" s="1">
        <f t="shared" si="0"/>
        <v>5</v>
      </c>
    </row>
    <row r="43" spans="1:4" x14ac:dyDescent="0.35">
      <c r="A43" s="1">
        <v>6217</v>
      </c>
      <c r="B43" s="2">
        <v>46150</v>
      </c>
      <c r="C43" s="1" t="s">
        <v>34</v>
      </c>
      <c r="D43" s="1">
        <f t="shared" si="0"/>
        <v>5</v>
      </c>
    </row>
    <row r="44" spans="1:4" x14ac:dyDescent="0.35">
      <c r="A44" s="1">
        <v>6216</v>
      </c>
      <c r="B44" s="2">
        <v>46150</v>
      </c>
      <c r="C44" s="1" t="s">
        <v>34</v>
      </c>
      <c r="D44" s="1">
        <f t="shared" si="0"/>
        <v>5</v>
      </c>
    </row>
    <row r="45" spans="1:4" x14ac:dyDescent="0.35">
      <c r="A45" s="1">
        <v>6215</v>
      </c>
      <c r="B45" s="2">
        <v>46150</v>
      </c>
      <c r="C45" s="1" t="s">
        <v>34</v>
      </c>
      <c r="D45" s="1">
        <f t="shared" si="0"/>
        <v>5</v>
      </c>
    </row>
    <row r="46" spans="1:4" x14ac:dyDescent="0.35">
      <c r="A46" s="1">
        <v>6214</v>
      </c>
      <c r="B46" s="2">
        <v>46150</v>
      </c>
      <c r="C46" s="1" t="s">
        <v>34</v>
      </c>
      <c r="D46" s="1">
        <f t="shared" si="0"/>
        <v>5</v>
      </c>
    </row>
    <row r="47" spans="1:4" x14ac:dyDescent="0.35">
      <c r="A47" s="1">
        <v>6210</v>
      </c>
      <c r="B47" s="2">
        <v>46150</v>
      </c>
      <c r="C47" s="1" t="s">
        <v>33</v>
      </c>
      <c r="D47" s="1">
        <f t="shared" si="0"/>
        <v>5</v>
      </c>
    </row>
    <row r="48" spans="1:4" x14ac:dyDescent="0.35">
      <c r="A48" s="1">
        <v>6209</v>
      </c>
      <c r="B48" s="2">
        <v>46150</v>
      </c>
      <c r="C48" s="1" t="s">
        <v>33</v>
      </c>
      <c r="D48" s="1">
        <f t="shared" si="0"/>
        <v>5</v>
      </c>
    </row>
    <row r="49" spans="1:4" x14ac:dyDescent="0.35">
      <c r="A49" s="1">
        <v>6254</v>
      </c>
      <c r="B49" s="2">
        <v>46153</v>
      </c>
      <c r="C49" s="1" t="s">
        <v>32</v>
      </c>
      <c r="D49" s="1">
        <f t="shared" si="0"/>
        <v>5</v>
      </c>
    </row>
    <row r="50" spans="1:4" x14ac:dyDescent="0.35">
      <c r="A50" s="1">
        <v>6253</v>
      </c>
      <c r="B50" s="2">
        <v>46153</v>
      </c>
      <c r="C50" s="1" t="s">
        <v>5</v>
      </c>
      <c r="D50" s="1">
        <f t="shared" si="0"/>
        <v>5</v>
      </c>
    </row>
    <row r="51" spans="1:4" x14ac:dyDescent="0.35">
      <c r="A51" s="1">
        <v>6252</v>
      </c>
      <c r="B51" s="2">
        <v>46153</v>
      </c>
      <c r="C51" s="1" t="s">
        <v>5</v>
      </c>
      <c r="D51" s="1">
        <f t="shared" si="0"/>
        <v>5</v>
      </c>
    </row>
    <row r="52" spans="1:4" x14ac:dyDescent="0.35">
      <c r="A52" s="1">
        <v>6251</v>
      </c>
      <c r="B52" s="2">
        <v>46153</v>
      </c>
      <c r="C52" s="1" t="s">
        <v>9</v>
      </c>
      <c r="D52" s="1">
        <f t="shared" si="0"/>
        <v>5</v>
      </c>
    </row>
    <row r="53" spans="1:4" x14ac:dyDescent="0.35">
      <c r="A53" s="1">
        <v>6250</v>
      </c>
      <c r="B53" s="2">
        <v>46153</v>
      </c>
      <c r="C53" s="1" t="s">
        <v>33</v>
      </c>
      <c r="D53" s="1">
        <f t="shared" si="0"/>
        <v>5</v>
      </c>
    </row>
    <row r="54" spans="1:4" x14ac:dyDescent="0.35">
      <c r="A54" s="1">
        <v>6249</v>
      </c>
      <c r="B54" s="2">
        <v>46153</v>
      </c>
      <c r="C54" s="1" t="s">
        <v>33</v>
      </c>
      <c r="D54" s="1">
        <f t="shared" si="0"/>
        <v>5</v>
      </c>
    </row>
    <row r="55" spans="1:4" x14ac:dyDescent="0.35">
      <c r="A55" s="1">
        <v>6248</v>
      </c>
      <c r="B55" s="2">
        <v>46153</v>
      </c>
      <c r="C55" s="1" t="s">
        <v>33</v>
      </c>
      <c r="D55" s="1">
        <f t="shared" si="0"/>
        <v>5</v>
      </c>
    </row>
    <row r="56" spans="1:4" x14ac:dyDescent="0.35">
      <c r="A56" s="1">
        <v>6247</v>
      </c>
      <c r="B56" s="2">
        <v>46153</v>
      </c>
      <c r="C56" s="1" t="s">
        <v>33</v>
      </c>
      <c r="D56" s="1">
        <f t="shared" si="0"/>
        <v>5</v>
      </c>
    </row>
    <row r="57" spans="1:4" x14ac:dyDescent="0.35">
      <c r="A57" s="1">
        <v>6256</v>
      </c>
      <c r="B57" s="2">
        <v>46154</v>
      </c>
      <c r="C57" s="1" t="s">
        <v>9</v>
      </c>
      <c r="D57" s="1">
        <f t="shared" si="0"/>
        <v>5</v>
      </c>
    </row>
    <row r="58" spans="1:4" x14ac:dyDescent="0.35">
      <c r="A58" s="1">
        <v>6255</v>
      </c>
      <c r="B58" s="2">
        <v>46154</v>
      </c>
      <c r="C58" s="1" t="s">
        <v>9</v>
      </c>
      <c r="D58" s="1">
        <f t="shared" si="0"/>
        <v>5</v>
      </c>
    </row>
    <row r="59" spans="1:4" x14ac:dyDescent="0.35">
      <c r="A59" s="1">
        <v>6271</v>
      </c>
      <c r="B59" s="2">
        <v>46154</v>
      </c>
      <c r="C59" s="1" t="s">
        <v>22</v>
      </c>
      <c r="D59" s="1">
        <f t="shared" si="0"/>
        <v>5</v>
      </c>
    </row>
    <row r="60" spans="1:4" x14ac:dyDescent="0.35">
      <c r="A60" s="1">
        <v>6270</v>
      </c>
      <c r="B60" s="2">
        <v>46154</v>
      </c>
      <c r="C60" s="1" t="s">
        <v>22</v>
      </c>
      <c r="D60" s="1">
        <f t="shared" si="0"/>
        <v>5</v>
      </c>
    </row>
    <row r="61" spans="1:4" x14ac:dyDescent="0.35">
      <c r="A61" s="1">
        <v>6269</v>
      </c>
      <c r="B61" s="2">
        <v>46154</v>
      </c>
      <c r="C61" s="1" t="s">
        <v>33</v>
      </c>
      <c r="D61" s="1">
        <f t="shared" si="0"/>
        <v>5</v>
      </c>
    </row>
    <row r="62" spans="1:4" x14ac:dyDescent="0.35">
      <c r="A62" s="1">
        <v>6266</v>
      </c>
      <c r="B62" s="2">
        <v>46154</v>
      </c>
      <c r="C62" s="1" t="s">
        <v>9</v>
      </c>
      <c r="D62" s="1">
        <f t="shared" si="0"/>
        <v>5</v>
      </c>
    </row>
    <row r="63" spans="1:4" x14ac:dyDescent="0.35">
      <c r="A63" s="1">
        <v>6265</v>
      </c>
      <c r="B63" s="2">
        <v>46154</v>
      </c>
      <c r="C63" s="1" t="s">
        <v>9</v>
      </c>
      <c r="D63" s="1">
        <f t="shared" si="0"/>
        <v>5</v>
      </c>
    </row>
    <row r="64" spans="1:4" x14ac:dyDescent="0.35">
      <c r="A64" s="1">
        <v>6264</v>
      </c>
      <c r="B64" s="2">
        <v>46154</v>
      </c>
      <c r="C64" s="1" t="s">
        <v>9</v>
      </c>
      <c r="D64" s="1">
        <f t="shared" si="0"/>
        <v>5</v>
      </c>
    </row>
    <row r="65" spans="1:4" x14ac:dyDescent="0.35">
      <c r="A65" s="1">
        <v>6263</v>
      </c>
      <c r="B65" s="2">
        <v>46154</v>
      </c>
      <c r="C65" s="1" t="s">
        <v>33</v>
      </c>
      <c r="D65" s="1">
        <f t="shared" si="0"/>
        <v>5</v>
      </c>
    </row>
    <row r="66" spans="1:4" x14ac:dyDescent="0.35">
      <c r="A66" s="1">
        <v>6258</v>
      </c>
      <c r="B66" s="2">
        <v>46154</v>
      </c>
      <c r="C66" s="1" t="s">
        <v>33</v>
      </c>
      <c r="D66" s="1">
        <f t="shared" ref="D66:D129" si="1">MONTH(B66)</f>
        <v>5</v>
      </c>
    </row>
    <row r="67" spans="1:4" x14ac:dyDescent="0.35">
      <c r="A67" s="1">
        <v>6281</v>
      </c>
      <c r="B67" s="2">
        <v>46155</v>
      </c>
      <c r="C67" s="1" t="s">
        <v>33</v>
      </c>
      <c r="D67" s="1">
        <f t="shared" si="1"/>
        <v>5</v>
      </c>
    </row>
    <row r="68" spans="1:4" x14ac:dyDescent="0.35">
      <c r="A68" s="1">
        <v>6303</v>
      </c>
      <c r="B68" s="2">
        <v>46157</v>
      </c>
      <c r="C68" s="1" t="s">
        <v>33</v>
      </c>
      <c r="D68" s="1">
        <f t="shared" si="1"/>
        <v>5</v>
      </c>
    </row>
    <row r="69" spans="1:4" x14ac:dyDescent="0.35">
      <c r="A69" s="1">
        <v>6300</v>
      </c>
      <c r="B69" s="2">
        <v>46157</v>
      </c>
      <c r="C69" s="1" t="s">
        <v>34</v>
      </c>
      <c r="D69" s="1">
        <f t="shared" si="1"/>
        <v>5</v>
      </c>
    </row>
    <row r="70" spans="1:4" x14ac:dyDescent="0.35">
      <c r="A70" s="1">
        <v>6299</v>
      </c>
      <c r="B70" s="2">
        <v>46157</v>
      </c>
      <c r="C70" s="1" t="s">
        <v>34</v>
      </c>
      <c r="D70" s="1">
        <f t="shared" si="1"/>
        <v>5</v>
      </c>
    </row>
    <row r="71" spans="1:4" x14ac:dyDescent="0.35">
      <c r="A71" s="1">
        <v>6288</v>
      </c>
      <c r="B71" s="2">
        <v>46157</v>
      </c>
      <c r="C71" s="1" t="s">
        <v>9</v>
      </c>
      <c r="D71" s="1">
        <f t="shared" si="1"/>
        <v>5</v>
      </c>
    </row>
    <row r="72" spans="1:4" x14ac:dyDescent="0.35">
      <c r="A72" s="1">
        <v>6329</v>
      </c>
      <c r="B72" s="2">
        <v>46160</v>
      </c>
      <c r="C72" s="1" t="s">
        <v>34</v>
      </c>
      <c r="D72" s="1">
        <f t="shared" si="1"/>
        <v>5</v>
      </c>
    </row>
    <row r="73" spans="1:4" x14ac:dyDescent="0.35">
      <c r="A73" s="1">
        <v>6328</v>
      </c>
      <c r="B73" s="2">
        <v>46160</v>
      </c>
      <c r="C73" s="1" t="s">
        <v>34</v>
      </c>
      <c r="D73" s="1">
        <f t="shared" si="1"/>
        <v>5</v>
      </c>
    </row>
    <row r="74" spans="1:4" x14ac:dyDescent="0.35">
      <c r="A74" s="1">
        <v>6327</v>
      </c>
      <c r="B74" s="2">
        <v>46160</v>
      </c>
      <c r="C74" s="1" t="s">
        <v>34</v>
      </c>
      <c r="D74" s="1">
        <f t="shared" si="1"/>
        <v>5</v>
      </c>
    </row>
    <row r="75" spans="1:4" x14ac:dyDescent="0.35">
      <c r="A75" s="1">
        <v>6325</v>
      </c>
      <c r="B75" s="2">
        <v>46160</v>
      </c>
      <c r="C75" s="1" t="s">
        <v>34</v>
      </c>
      <c r="D75" s="1">
        <f t="shared" si="1"/>
        <v>5</v>
      </c>
    </row>
    <row r="76" spans="1:4" x14ac:dyDescent="0.35">
      <c r="A76" s="1">
        <v>6324</v>
      </c>
      <c r="B76" s="2">
        <v>46160</v>
      </c>
      <c r="C76" s="1" t="s">
        <v>34</v>
      </c>
      <c r="D76" s="1">
        <f t="shared" si="1"/>
        <v>5</v>
      </c>
    </row>
    <row r="77" spans="1:4" x14ac:dyDescent="0.35">
      <c r="A77" s="1">
        <v>6323</v>
      </c>
      <c r="B77" s="2">
        <v>46160</v>
      </c>
      <c r="C77" s="1" t="s">
        <v>34</v>
      </c>
      <c r="D77" s="1">
        <f t="shared" si="1"/>
        <v>5</v>
      </c>
    </row>
    <row r="78" spans="1:4" x14ac:dyDescent="0.35">
      <c r="A78" s="1">
        <v>6322</v>
      </c>
      <c r="B78" s="2">
        <v>46160</v>
      </c>
      <c r="C78" s="1" t="s">
        <v>34</v>
      </c>
      <c r="D78" s="1">
        <f t="shared" si="1"/>
        <v>5</v>
      </c>
    </row>
    <row r="79" spans="1:4" x14ac:dyDescent="0.35">
      <c r="A79" s="1">
        <v>6321</v>
      </c>
      <c r="B79" s="2">
        <v>46160</v>
      </c>
      <c r="C79" s="1" t="s">
        <v>34</v>
      </c>
      <c r="D79" s="1">
        <f t="shared" si="1"/>
        <v>5</v>
      </c>
    </row>
    <row r="80" spans="1:4" x14ac:dyDescent="0.35">
      <c r="A80" s="1">
        <v>6320</v>
      </c>
      <c r="B80" s="2">
        <v>46160</v>
      </c>
      <c r="C80" s="1" t="s">
        <v>34</v>
      </c>
      <c r="D80" s="1">
        <f t="shared" si="1"/>
        <v>5</v>
      </c>
    </row>
    <row r="81" spans="1:4" x14ac:dyDescent="0.35">
      <c r="A81" s="1">
        <v>6319</v>
      </c>
      <c r="B81" s="2">
        <v>46160</v>
      </c>
      <c r="C81" s="1" t="s">
        <v>34</v>
      </c>
      <c r="D81" s="1">
        <f t="shared" si="1"/>
        <v>5</v>
      </c>
    </row>
    <row r="82" spans="1:4" x14ac:dyDescent="0.35">
      <c r="A82" s="1">
        <v>6318</v>
      </c>
      <c r="B82" s="2">
        <v>46160</v>
      </c>
      <c r="C82" s="1" t="s">
        <v>34</v>
      </c>
      <c r="D82" s="1">
        <f t="shared" si="1"/>
        <v>5</v>
      </c>
    </row>
    <row r="83" spans="1:4" x14ac:dyDescent="0.35">
      <c r="A83" s="1">
        <v>6317</v>
      </c>
      <c r="B83" s="2">
        <v>46160</v>
      </c>
      <c r="C83" s="1" t="s">
        <v>34</v>
      </c>
      <c r="D83" s="1">
        <f t="shared" si="1"/>
        <v>5</v>
      </c>
    </row>
    <row r="84" spans="1:4" x14ac:dyDescent="0.35">
      <c r="A84" s="1">
        <v>6316</v>
      </c>
      <c r="B84" s="2">
        <v>46160</v>
      </c>
      <c r="C84" s="1" t="s">
        <v>34</v>
      </c>
      <c r="D84" s="1">
        <f t="shared" si="1"/>
        <v>5</v>
      </c>
    </row>
    <row r="85" spans="1:4" x14ac:dyDescent="0.35">
      <c r="A85" s="1">
        <v>6315</v>
      </c>
      <c r="B85" s="2">
        <v>46160</v>
      </c>
      <c r="C85" s="1" t="s">
        <v>34</v>
      </c>
      <c r="D85" s="1">
        <f t="shared" si="1"/>
        <v>5</v>
      </c>
    </row>
    <row r="86" spans="1:4" x14ac:dyDescent="0.35">
      <c r="A86" s="1">
        <v>6314</v>
      </c>
      <c r="B86" s="2">
        <v>46160</v>
      </c>
      <c r="C86" s="1" t="s">
        <v>34</v>
      </c>
      <c r="D86" s="1">
        <f t="shared" si="1"/>
        <v>5</v>
      </c>
    </row>
    <row r="87" spans="1:4" x14ac:dyDescent="0.35">
      <c r="A87" s="1">
        <v>6340</v>
      </c>
      <c r="B87" s="2">
        <v>46160</v>
      </c>
      <c r="C87" s="1" t="s">
        <v>9</v>
      </c>
      <c r="D87" s="1">
        <f t="shared" si="1"/>
        <v>5</v>
      </c>
    </row>
    <row r="88" spans="1:4" x14ac:dyDescent="0.35">
      <c r="A88" s="1">
        <v>6339</v>
      </c>
      <c r="B88" s="2">
        <v>46160</v>
      </c>
      <c r="C88" s="1" t="s">
        <v>24</v>
      </c>
      <c r="D88" s="1">
        <f t="shared" si="1"/>
        <v>5</v>
      </c>
    </row>
    <row r="89" spans="1:4" x14ac:dyDescent="0.35">
      <c r="A89" s="1">
        <v>6338</v>
      </c>
      <c r="B89" s="2">
        <v>46160</v>
      </c>
      <c r="C89" s="1" t="s">
        <v>24</v>
      </c>
      <c r="D89" s="1">
        <f t="shared" si="1"/>
        <v>5</v>
      </c>
    </row>
    <row r="90" spans="1:4" x14ac:dyDescent="0.35">
      <c r="A90" s="1">
        <v>6332</v>
      </c>
      <c r="B90" s="2">
        <v>46160</v>
      </c>
      <c r="C90" s="1" t="s">
        <v>9</v>
      </c>
      <c r="D90" s="1">
        <f t="shared" si="1"/>
        <v>5</v>
      </c>
    </row>
    <row r="91" spans="1:4" x14ac:dyDescent="0.35">
      <c r="A91" s="1">
        <v>6331</v>
      </c>
      <c r="B91" s="2">
        <v>46160</v>
      </c>
      <c r="C91" s="1" t="s">
        <v>33</v>
      </c>
      <c r="D91" s="1">
        <f t="shared" si="1"/>
        <v>5</v>
      </c>
    </row>
    <row r="92" spans="1:4" x14ac:dyDescent="0.35">
      <c r="A92" s="1">
        <v>6360</v>
      </c>
      <c r="B92" s="2">
        <v>46161</v>
      </c>
      <c r="C92" s="1" t="s">
        <v>9</v>
      </c>
      <c r="D92" s="1">
        <f t="shared" si="1"/>
        <v>5</v>
      </c>
    </row>
    <row r="93" spans="1:4" x14ac:dyDescent="0.35">
      <c r="A93" s="1">
        <v>6359</v>
      </c>
      <c r="B93" s="2">
        <v>46161</v>
      </c>
      <c r="C93" s="1" t="s">
        <v>9</v>
      </c>
      <c r="D93" s="1">
        <f t="shared" si="1"/>
        <v>5</v>
      </c>
    </row>
    <row r="94" spans="1:4" x14ac:dyDescent="0.35">
      <c r="A94" s="1">
        <v>6358</v>
      </c>
      <c r="B94" s="2">
        <v>46161</v>
      </c>
      <c r="C94" s="1" t="s">
        <v>9</v>
      </c>
      <c r="D94" s="1">
        <f t="shared" si="1"/>
        <v>5</v>
      </c>
    </row>
    <row r="95" spans="1:4" x14ac:dyDescent="0.35">
      <c r="A95" s="1">
        <v>6379</v>
      </c>
      <c r="B95" s="2">
        <v>46163</v>
      </c>
      <c r="C95" s="1" t="s">
        <v>28</v>
      </c>
      <c r="D95" s="1">
        <f t="shared" si="1"/>
        <v>5</v>
      </c>
    </row>
    <row r="96" spans="1:4" x14ac:dyDescent="0.35">
      <c r="A96" s="1">
        <v>6378</v>
      </c>
      <c r="B96" s="2">
        <v>46163</v>
      </c>
      <c r="C96" s="1" t="s">
        <v>28</v>
      </c>
      <c r="D96" s="1">
        <f t="shared" si="1"/>
        <v>5</v>
      </c>
    </row>
    <row r="97" spans="1:4" x14ac:dyDescent="0.35">
      <c r="A97" s="1">
        <v>6391</v>
      </c>
      <c r="B97" s="2">
        <v>46164</v>
      </c>
      <c r="C97" s="1" t="s">
        <v>24</v>
      </c>
      <c r="D97" s="1">
        <f t="shared" si="1"/>
        <v>5</v>
      </c>
    </row>
    <row r="98" spans="1:4" x14ac:dyDescent="0.35">
      <c r="A98" s="1">
        <v>6387</v>
      </c>
      <c r="B98" s="2">
        <v>46164</v>
      </c>
      <c r="C98" s="1" t="s">
        <v>33</v>
      </c>
      <c r="D98" s="1">
        <f t="shared" si="1"/>
        <v>5</v>
      </c>
    </row>
    <row r="99" spans="1:4" x14ac:dyDescent="0.35">
      <c r="A99" s="1">
        <v>6386</v>
      </c>
      <c r="B99" s="2">
        <v>46164</v>
      </c>
      <c r="C99" s="1" t="s">
        <v>28</v>
      </c>
      <c r="D99" s="1">
        <f t="shared" si="1"/>
        <v>5</v>
      </c>
    </row>
    <row r="100" spans="1:4" x14ac:dyDescent="0.35">
      <c r="A100" s="1">
        <v>6385</v>
      </c>
      <c r="B100" s="2">
        <v>46164</v>
      </c>
      <c r="C100" s="1" t="s">
        <v>28</v>
      </c>
      <c r="D100" s="1">
        <f t="shared" si="1"/>
        <v>5</v>
      </c>
    </row>
    <row r="101" spans="1:4" x14ac:dyDescent="0.35">
      <c r="A101" s="1">
        <v>6384</v>
      </c>
      <c r="B101" s="2">
        <v>46164</v>
      </c>
      <c r="C101" s="1" t="s">
        <v>28</v>
      </c>
      <c r="D101" s="1">
        <f t="shared" si="1"/>
        <v>5</v>
      </c>
    </row>
    <row r="102" spans="1:4" x14ac:dyDescent="0.35">
      <c r="A102" s="1">
        <v>6415</v>
      </c>
      <c r="B102" s="2">
        <v>46167</v>
      </c>
      <c r="C102" s="1" t="s">
        <v>9</v>
      </c>
      <c r="D102" s="1">
        <f t="shared" si="1"/>
        <v>5</v>
      </c>
    </row>
    <row r="103" spans="1:4" x14ac:dyDescent="0.35">
      <c r="A103" s="1">
        <v>6414</v>
      </c>
      <c r="B103" s="2">
        <v>46167</v>
      </c>
      <c r="C103" s="1" t="s">
        <v>9</v>
      </c>
      <c r="D103" s="1">
        <f t="shared" si="1"/>
        <v>5</v>
      </c>
    </row>
    <row r="104" spans="1:4" x14ac:dyDescent="0.35">
      <c r="A104" s="1">
        <v>6410</v>
      </c>
      <c r="B104" s="2">
        <v>46167</v>
      </c>
      <c r="C104" s="1" t="s">
        <v>34</v>
      </c>
      <c r="D104" s="1">
        <f t="shared" si="1"/>
        <v>5</v>
      </c>
    </row>
    <row r="105" spans="1:4" x14ac:dyDescent="0.35">
      <c r="A105" s="1">
        <v>6409</v>
      </c>
      <c r="B105" s="2">
        <v>46167</v>
      </c>
      <c r="C105" s="1" t="s">
        <v>34</v>
      </c>
      <c r="D105" s="1">
        <f t="shared" si="1"/>
        <v>5</v>
      </c>
    </row>
    <row r="106" spans="1:4" x14ac:dyDescent="0.35">
      <c r="A106" s="1">
        <v>6407</v>
      </c>
      <c r="B106" s="2">
        <v>46167</v>
      </c>
      <c r="C106" s="1" t="s">
        <v>34</v>
      </c>
      <c r="D106" s="1">
        <f t="shared" si="1"/>
        <v>5</v>
      </c>
    </row>
    <row r="107" spans="1:4" x14ac:dyDescent="0.35">
      <c r="A107" s="1">
        <v>6406</v>
      </c>
      <c r="B107" s="2">
        <v>46167</v>
      </c>
      <c r="C107" s="1" t="s">
        <v>34</v>
      </c>
      <c r="D107" s="1">
        <f t="shared" si="1"/>
        <v>5</v>
      </c>
    </row>
    <row r="108" spans="1:4" x14ac:dyDescent="0.35">
      <c r="A108" s="1">
        <v>6405</v>
      </c>
      <c r="B108" s="2">
        <v>46167</v>
      </c>
      <c r="C108" s="1" t="s">
        <v>34</v>
      </c>
      <c r="D108" s="1">
        <f t="shared" si="1"/>
        <v>5</v>
      </c>
    </row>
    <row r="109" spans="1:4" x14ac:dyDescent="0.35">
      <c r="A109" s="1">
        <v>6403</v>
      </c>
      <c r="B109" s="2">
        <v>46167</v>
      </c>
      <c r="C109" s="1" t="s">
        <v>34</v>
      </c>
      <c r="D109" s="1">
        <f t="shared" si="1"/>
        <v>5</v>
      </c>
    </row>
    <row r="110" spans="1:4" x14ac:dyDescent="0.35">
      <c r="A110" s="1">
        <v>6402</v>
      </c>
      <c r="B110" s="2">
        <v>46167</v>
      </c>
      <c r="C110" s="1" t="s">
        <v>34</v>
      </c>
      <c r="D110" s="1">
        <f t="shared" si="1"/>
        <v>5</v>
      </c>
    </row>
    <row r="111" spans="1:4" x14ac:dyDescent="0.35">
      <c r="A111" s="1">
        <v>6401</v>
      </c>
      <c r="B111" s="2">
        <v>46167</v>
      </c>
      <c r="C111" s="1" t="s">
        <v>34</v>
      </c>
      <c r="D111" s="1">
        <f t="shared" si="1"/>
        <v>5</v>
      </c>
    </row>
    <row r="112" spans="1:4" x14ac:dyDescent="0.35">
      <c r="A112" s="1">
        <v>6400</v>
      </c>
      <c r="B112" s="2">
        <v>46167</v>
      </c>
      <c r="C112" s="1" t="s">
        <v>34</v>
      </c>
      <c r="D112" s="1">
        <f t="shared" si="1"/>
        <v>5</v>
      </c>
    </row>
    <row r="113" spans="1:4" x14ac:dyDescent="0.35">
      <c r="A113" s="1">
        <v>6399</v>
      </c>
      <c r="B113" s="2">
        <v>46167</v>
      </c>
      <c r="C113" s="1" t="s">
        <v>34</v>
      </c>
      <c r="D113" s="1">
        <f t="shared" si="1"/>
        <v>5</v>
      </c>
    </row>
    <row r="114" spans="1:4" x14ac:dyDescent="0.35">
      <c r="A114" s="1">
        <v>6398</v>
      </c>
      <c r="B114" s="2">
        <v>46167</v>
      </c>
      <c r="C114" s="1" t="s">
        <v>34</v>
      </c>
      <c r="D114" s="1">
        <f t="shared" si="1"/>
        <v>5</v>
      </c>
    </row>
    <row r="115" spans="1:4" x14ac:dyDescent="0.35">
      <c r="A115" s="1">
        <v>6397</v>
      </c>
      <c r="B115" s="2">
        <v>46167</v>
      </c>
      <c r="C115" s="1" t="s">
        <v>34</v>
      </c>
      <c r="D115" s="1">
        <f t="shared" si="1"/>
        <v>5</v>
      </c>
    </row>
    <row r="116" spans="1:4" x14ac:dyDescent="0.35">
      <c r="A116" s="1">
        <v>6396</v>
      </c>
      <c r="B116" s="2">
        <v>46167</v>
      </c>
      <c r="C116" s="1" t="s">
        <v>34</v>
      </c>
      <c r="D116" s="1">
        <f t="shared" si="1"/>
        <v>5</v>
      </c>
    </row>
    <row r="117" spans="1:4" x14ac:dyDescent="0.35">
      <c r="A117" s="1">
        <v>6452</v>
      </c>
      <c r="B117" s="2">
        <v>46168</v>
      </c>
      <c r="C117" s="1" t="s">
        <v>9</v>
      </c>
      <c r="D117" s="1">
        <f t="shared" si="1"/>
        <v>5</v>
      </c>
    </row>
    <row r="118" spans="1:4" x14ac:dyDescent="0.35">
      <c r="A118" s="1">
        <v>6445</v>
      </c>
      <c r="B118" s="2">
        <v>46168</v>
      </c>
      <c r="C118" s="1" t="s">
        <v>33</v>
      </c>
      <c r="D118" s="1">
        <f t="shared" si="1"/>
        <v>5</v>
      </c>
    </row>
    <row r="119" spans="1:4" x14ac:dyDescent="0.35">
      <c r="A119" s="1">
        <v>6420</v>
      </c>
      <c r="B119" s="2">
        <v>46168</v>
      </c>
      <c r="C119" s="1" t="s">
        <v>9</v>
      </c>
      <c r="D119" s="1">
        <f t="shared" si="1"/>
        <v>5</v>
      </c>
    </row>
    <row r="120" spans="1:4" x14ac:dyDescent="0.35">
      <c r="A120" s="1">
        <v>6419</v>
      </c>
      <c r="B120" s="2">
        <v>46168</v>
      </c>
      <c r="C120" s="1" t="s">
        <v>9</v>
      </c>
      <c r="D120" s="1">
        <f t="shared" si="1"/>
        <v>5</v>
      </c>
    </row>
    <row r="121" spans="1:4" x14ac:dyDescent="0.35">
      <c r="A121" s="1">
        <v>6459</v>
      </c>
      <c r="B121" s="2">
        <v>46169</v>
      </c>
      <c r="C121" s="1" t="s">
        <v>9</v>
      </c>
      <c r="D121" s="1">
        <f t="shared" si="1"/>
        <v>5</v>
      </c>
    </row>
    <row r="122" spans="1:4" x14ac:dyDescent="0.35">
      <c r="A122" s="1">
        <v>6469</v>
      </c>
      <c r="B122" s="2">
        <v>46170</v>
      </c>
      <c r="C122" s="1" t="s">
        <v>9</v>
      </c>
      <c r="D122" s="1">
        <f t="shared" si="1"/>
        <v>5</v>
      </c>
    </row>
    <row r="123" spans="1:4" x14ac:dyDescent="0.35">
      <c r="A123" s="1">
        <v>6468</v>
      </c>
      <c r="B123" s="2">
        <v>46170</v>
      </c>
      <c r="C123" s="1" t="s">
        <v>9</v>
      </c>
      <c r="D123" s="1">
        <f t="shared" si="1"/>
        <v>5</v>
      </c>
    </row>
    <row r="124" spans="1:4" x14ac:dyDescent="0.35">
      <c r="A124" s="1">
        <v>6505</v>
      </c>
      <c r="B124" s="2">
        <v>46171</v>
      </c>
      <c r="C124" s="1" t="s">
        <v>9</v>
      </c>
      <c r="D124" s="1">
        <f t="shared" si="1"/>
        <v>5</v>
      </c>
    </row>
    <row r="125" spans="1:4" x14ac:dyDescent="0.35">
      <c r="A125" s="1">
        <v>6504</v>
      </c>
      <c r="B125" s="2">
        <v>46171</v>
      </c>
      <c r="C125" s="1" t="s">
        <v>9</v>
      </c>
      <c r="D125" s="1">
        <f t="shared" si="1"/>
        <v>5</v>
      </c>
    </row>
    <row r="126" spans="1:4" x14ac:dyDescent="0.35">
      <c r="A126" s="1">
        <v>6503</v>
      </c>
      <c r="B126" s="2">
        <v>46171</v>
      </c>
      <c r="C126" s="1" t="s">
        <v>34</v>
      </c>
      <c r="D126" s="1">
        <f t="shared" si="1"/>
        <v>5</v>
      </c>
    </row>
    <row r="127" spans="1:4" x14ac:dyDescent="0.35">
      <c r="A127" s="1">
        <v>6502</v>
      </c>
      <c r="B127" s="2">
        <v>46171</v>
      </c>
      <c r="C127" s="1" t="s">
        <v>34</v>
      </c>
      <c r="D127" s="1">
        <f t="shared" si="1"/>
        <v>5</v>
      </c>
    </row>
    <row r="128" spans="1:4" x14ac:dyDescent="0.35">
      <c r="A128" s="1">
        <v>6501</v>
      </c>
      <c r="B128" s="2">
        <v>46171</v>
      </c>
      <c r="C128" s="1" t="s">
        <v>34</v>
      </c>
      <c r="D128" s="1">
        <f t="shared" si="1"/>
        <v>5</v>
      </c>
    </row>
    <row r="129" spans="1:4" x14ac:dyDescent="0.35">
      <c r="A129" s="1">
        <v>6500</v>
      </c>
      <c r="B129" s="2">
        <v>46171</v>
      </c>
      <c r="C129" s="1" t="s">
        <v>34</v>
      </c>
      <c r="D129" s="1">
        <f t="shared" si="1"/>
        <v>5</v>
      </c>
    </row>
    <row r="130" spans="1:4" x14ac:dyDescent="0.35">
      <c r="A130" s="1">
        <v>6499</v>
      </c>
      <c r="B130" s="2">
        <v>46171</v>
      </c>
      <c r="C130" s="1" t="s">
        <v>34</v>
      </c>
      <c r="D130" s="1">
        <f t="shared" ref="D130:D193" si="2">MONTH(B130)</f>
        <v>5</v>
      </c>
    </row>
    <row r="131" spans="1:4" x14ac:dyDescent="0.35">
      <c r="A131" s="1">
        <v>6498</v>
      </c>
      <c r="B131" s="2">
        <v>46171</v>
      </c>
      <c r="C131" s="1" t="s">
        <v>34</v>
      </c>
      <c r="D131" s="1">
        <f t="shared" si="2"/>
        <v>5</v>
      </c>
    </row>
    <row r="132" spans="1:4" x14ac:dyDescent="0.35">
      <c r="A132" s="1">
        <v>6497</v>
      </c>
      <c r="B132" s="2">
        <v>46171</v>
      </c>
      <c r="C132" s="1" t="s">
        <v>34</v>
      </c>
      <c r="D132" s="1">
        <f t="shared" si="2"/>
        <v>5</v>
      </c>
    </row>
    <row r="133" spans="1:4" x14ac:dyDescent="0.35">
      <c r="A133" s="1">
        <v>6496</v>
      </c>
      <c r="B133" s="2">
        <v>46171</v>
      </c>
      <c r="C133" s="1" t="s">
        <v>34</v>
      </c>
      <c r="D133" s="1">
        <f t="shared" si="2"/>
        <v>5</v>
      </c>
    </row>
    <row r="134" spans="1:4" x14ac:dyDescent="0.35">
      <c r="A134" s="1">
        <v>6495</v>
      </c>
      <c r="B134" s="2">
        <v>46171</v>
      </c>
      <c r="C134" s="1" t="s">
        <v>34</v>
      </c>
      <c r="D134" s="1">
        <f t="shared" si="2"/>
        <v>5</v>
      </c>
    </row>
    <row r="135" spans="1:4" x14ac:dyDescent="0.35">
      <c r="A135" s="1">
        <v>6494</v>
      </c>
      <c r="B135" s="2">
        <v>46171</v>
      </c>
      <c r="C135" s="1" t="s">
        <v>34</v>
      </c>
      <c r="D135" s="1">
        <f t="shared" si="2"/>
        <v>5</v>
      </c>
    </row>
    <row r="136" spans="1:4" x14ac:dyDescent="0.35">
      <c r="A136" s="1">
        <v>6493</v>
      </c>
      <c r="B136" s="2">
        <v>46171</v>
      </c>
      <c r="C136" s="1" t="s">
        <v>34</v>
      </c>
      <c r="D136" s="1">
        <f t="shared" si="2"/>
        <v>5</v>
      </c>
    </row>
    <row r="137" spans="1:4" x14ac:dyDescent="0.35">
      <c r="A137" s="1">
        <v>6492</v>
      </c>
      <c r="B137" s="2">
        <v>46171</v>
      </c>
      <c r="C137" s="1" t="s">
        <v>34</v>
      </c>
      <c r="D137" s="1">
        <f t="shared" si="2"/>
        <v>5</v>
      </c>
    </row>
    <row r="138" spans="1:4" x14ac:dyDescent="0.35">
      <c r="A138" s="1">
        <v>6491</v>
      </c>
      <c r="B138" s="2">
        <v>46171</v>
      </c>
      <c r="C138" s="1" t="s">
        <v>34</v>
      </c>
      <c r="D138" s="1">
        <f t="shared" si="2"/>
        <v>5</v>
      </c>
    </row>
    <row r="139" spans="1:4" x14ac:dyDescent="0.35">
      <c r="A139" s="1">
        <v>6490</v>
      </c>
      <c r="B139" s="2">
        <v>46171</v>
      </c>
      <c r="C139" s="1" t="s">
        <v>34</v>
      </c>
      <c r="D139" s="1">
        <f t="shared" si="2"/>
        <v>5</v>
      </c>
    </row>
    <row r="140" spans="1:4" x14ac:dyDescent="0.35">
      <c r="A140" s="1">
        <v>6489</v>
      </c>
      <c r="B140" s="2">
        <v>46171</v>
      </c>
      <c r="C140" s="1" t="s">
        <v>34</v>
      </c>
      <c r="D140" s="1">
        <f t="shared" si="2"/>
        <v>5</v>
      </c>
    </row>
    <row r="141" spans="1:4" x14ac:dyDescent="0.35">
      <c r="A141" s="1">
        <v>6488</v>
      </c>
      <c r="B141" s="2">
        <v>46171</v>
      </c>
      <c r="C141" s="1" t="s">
        <v>34</v>
      </c>
      <c r="D141" s="1">
        <f t="shared" si="2"/>
        <v>5</v>
      </c>
    </row>
    <row r="142" spans="1:4" x14ac:dyDescent="0.35">
      <c r="A142" s="1">
        <v>6486</v>
      </c>
      <c r="B142" s="2">
        <v>46171</v>
      </c>
      <c r="C142" s="1" t="s">
        <v>34</v>
      </c>
      <c r="D142" s="1">
        <f t="shared" si="2"/>
        <v>5</v>
      </c>
    </row>
    <row r="143" spans="1:4" x14ac:dyDescent="0.35">
      <c r="A143" s="1">
        <v>6480</v>
      </c>
      <c r="B143" s="2">
        <v>46171</v>
      </c>
      <c r="C143" s="1" t="s">
        <v>5</v>
      </c>
      <c r="D143" s="1">
        <f t="shared" si="2"/>
        <v>5</v>
      </c>
    </row>
    <row r="144" spans="1:4" x14ac:dyDescent="0.35">
      <c r="A144" s="1">
        <v>6507</v>
      </c>
      <c r="B144" s="2">
        <v>46174</v>
      </c>
      <c r="C144" s="1" t="s">
        <v>5</v>
      </c>
      <c r="D144" s="1">
        <f t="shared" si="2"/>
        <v>6</v>
      </c>
    </row>
    <row r="145" spans="1:4" x14ac:dyDescent="0.35">
      <c r="A145" s="1">
        <v>6506</v>
      </c>
      <c r="B145" s="2">
        <v>46174</v>
      </c>
      <c r="C145" s="1" t="s">
        <v>5</v>
      </c>
      <c r="D145" s="1">
        <f t="shared" si="2"/>
        <v>6</v>
      </c>
    </row>
    <row r="146" spans="1:4" x14ac:dyDescent="0.35">
      <c r="A146" s="1">
        <v>6515</v>
      </c>
      <c r="B146" s="2">
        <v>46174</v>
      </c>
      <c r="C146" s="1" t="s">
        <v>21</v>
      </c>
      <c r="D146" s="1">
        <f t="shared" si="2"/>
        <v>6</v>
      </c>
    </row>
    <row r="147" spans="1:4" x14ac:dyDescent="0.35">
      <c r="A147" s="1">
        <v>6514</v>
      </c>
      <c r="B147" s="2">
        <v>46174</v>
      </c>
      <c r="C147" s="1" t="s">
        <v>9</v>
      </c>
      <c r="D147" s="1">
        <f t="shared" si="2"/>
        <v>6</v>
      </c>
    </row>
    <row r="148" spans="1:4" x14ac:dyDescent="0.35">
      <c r="A148" s="1">
        <v>6511</v>
      </c>
      <c r="B148" s="2">
        <v>46174</v>
      </c>
      <c r="C148" s="1" t="s">
        <v>9</v>
      </c>
      <c r="D148" s="1">
        <f t="shared" si="2"/>
        <v>6</v>
      </c>
    </row>
    <row r="149" spans="1:4" x14ac:dyDescent="0.35">
      <c r="A149" s="1">
        <v>6542</v>
      </c>
      <c r="B149" s="2">
        <v>46175</v>
      </c>
      <c r="C149" s="1" t="s">
        <v>21</v>
      </c>
      <c r="D149" s="1">
        <f t="shared" si="2"/>
        <v>6</v>
      </c>
    </row>
    <row r="150" spans="1:4" x14ac:dyDescent="0.35">
      <c r="A150" s="1">
        <v>6534</v>
      </c>
      <c r="B150" s="2">
        <v>46175</v>
      </c>
      <c r="C150" s="1" t="s">
        <v>28</v>
      </c>
      <c r="D150" s="1">
        <f t="shared" si="2"/>
        <v>6</v>
      </c>
    </row>
    <row r="151" spans="1:4" x14ac:dyDescent="0.35">
      <c r="A151" s="1">
        <v>6533</v>
      </c>
      <c r="B151" s="2">
        <v>46175</v>
      </c>
      <c r="C151" s="1" t="s">
        <v>24</v>
      </c>
      <c r="D151" s="1">
        <f t="shared" si="2"/>
        <v>6</v>
      </c>
    </row>
    <row r="152" spans="1:4" x14ac:dyDescent="0.35">
      <c r="A152" s="1">
        <v>6532</v>
      </c>
      <c r="B152" s="2">
        <v>46175</v>
      </c>
      <c r="C152" s="1" t="s">
        <v>24</v>
      </c>
      <c r="D152" s="1">
        <f t="shared" si="2"/>
        <v>6</v>
      </c>
    </row>
    <row r="153" spans="1:4" x14ac:dyDescent="0.35">
      <c r="A153" s="1">
        <v>6531</v>
      </c>
      <c r="B153" s="2">
        <v>46175</v>
      </c>
      <c r="C153" s="1" t="s">
        <v>24</v>
      </c>
      <c r="D153" s="1">
        <f t="shared" si="2"/>
        <v>6</v>
      </c>
    </row>
    <row r="154" spans="1:4" x14ac:dyDescent="0.35">
      <c r="A154" s="1">
        <v>6530</v>
      </c>
      <c r="B154" s="2">
        <v>46175</v>
      </c>
      <c r="C154" s="1" t="s">
        <v>24</v>
      </c>
      <c r="D154" s="1">
        <f t="shared" si="2"/>
        <v>6</v>
      </c>
    </row>
    <row r="155" spans="1:4" x14ac:dyDescent="0.35">
      <c r="A155" s="1">
        <v>6529</v>
      </c>
      <c r="B155" s="2">
        <v>46175</v>
      </c>
      <c r="C155" s="1" t="s">
        <v>21</v>
      </c>
      <c r="D155" s="1">
        <f t="shared" si="2"/>
        <v>6</v>
      </c>
    </row>
    <row r="156" spans="1:4" x14ac:dyDescent="0.35">
      <c r="A156" s="1">
        <v>6528</v>
      </c>
      <c r="B156" s="2">
        <v>46175</v>
      </c>
      <c r="C156" s="1" t="s">
        <v>9</v>
      </c>
      <c r="D156" s="1">
        <f t="shared" si="2"/>
        <v>6</v>
      </c>
    </row>
    <row r="157" spans="1:4" x14ac:dyDescent="0.35">
      <c r="A157" s="1">
        <v>6527</v>
      </c>
      <c r="B157" s="2">
        <v>46175</v>
      </c>
      <c r="C157" s="1" t="s">
        <v>9</v>
      </c>
      <c r="D157" s="1">
        <f t="shared" si="2"/>
        <v>6</v>
      </c>
    </row>
    <row r="158" spans="1:4" x14ac:dyDescent="0.35">
      <c r="A158" s="1">
        <v>6526</v>
      </c>
      <c r="B158" s="2">
        <v>46175</v>
      </c>
      <c r="C158" s="1" t="s">
        <v>9</v>
      </c>
      <c r="D158" s="1">
        <f t="shared" si="2"/>
        <v>6</v>
      </c>
    </row>
    <row r="159" spans="1:4" x14ac:dyDescent="0.35">
      <c r="A159" s="1">
        <v>6523</v>
      </c>
      <c r="B159" s="2">
        <v>46175</v>
      </c>
      <c r="C159" s="1" t="s">
        <v>5</v>
      </c>
      <c r="D159" s="1">
        <f t="shared" si="2"/>
        <v>6</v>
      </c>
    </row>
    <row r="160" spans="1:4" x14ac:dyDescent="0.35">
      <c r="A160" s="1">
        <v>6522</v>
      </c>
      <c r="B160" s="2">
        <v>46175</v>
      </c>
      <c r="C160" s="1" t="s">
        <v>21</v>
      </c>
      <c r="D160" s="1">
        <f t="shared" si="2"/>
        <v>6</v>
      </c>
    </row>
    <row r="161" spans="1:4" x14ac:dyDescent="0.35">
      <c r="A161" s="1">
        <v>6565</v>
      </c>
      <c r="B161" s="2">
        <v>46176</v>
      </c>
      <c r="C161" s="1" t="s">
        <v>9</v>
      </c>
      <c r="D161" s="1">
        <f t="shared" si="2"/>
        <v>6</v>
      </c>
    </row>
    <row r="162" spans="1:4" x14ac:dyDescent="0.35">
      <c r="A162" s="1">
        <v>6553</v>
      </c>
      <c r="B162" s="2">
        <v>46176</v>
      </c>
      <c r="C162" s="1" t="s">
        <v>21</v>
      </c>
      <c r="D162" s="1">
        <f t="shared" si="2"/>
        <v>6</v>
      </c>
    </row>
    <row r="163" spans="1:4" x14ac:dyDescent="0.35">
      <c r="A163" s="1">
        <v>6572</v>
      </c>
      <c r="B163" s="2">
        <v>46178</v>
      </c>
      <c r="C163" s="1" t="s">
        <v>9</v>
      </c>
      <c r="D163" s="1">
        <f t="shared" si="2"/>
        <v>6</v>
      </c>
    </row>
    <row r="164" spans="1:4" x14ac:dyDescent="0.35">
      <c r="A164" s="1">
        <v>6571</v>
      </c>
      <c r="B164" s="2">
        <v>46178</v>
      </c>
      <c r="C164" s="1" t="s">
        <v>9</v>
      </c>
      <c r="D164" s="1">
        <f t="shared" si="2"/>
        <v>6</v>
      </c>
    </row>
    <row r="165" spans="1:4" x14ac:dyDescent="0.35">
      <c r="A165" s="1">
        <v>6570</v>
      </c>
      <c r="B165" s="2">
        <v>46178</v>
      </c>
      <c r="C165" s="1" t="s">
        <v>21</v>
      </c>
      <c r="D165" s="1">
        <f t="shared" si="2"/>
        <v>6</v>
      </c>
    </row>
    <row r="166" spans="1:4" x14ac:dyDescent="0.35">
      <c r="A166" s="1">
        <v>6569</v>
      </c>
      <c r="B166" s="2">
        <v>46178</v>
      </c>
      <c r="C166" s="1" t="s">
        <v>21</v>
      </c>
      <c r="D166" s="1">
        <f t="shared" si="2"/>
        <v>6</v>
      </c>
    </row>
    <row r="167" spans="1:4" x14ac:dyDescent="0.35">
      <c r="A167" s="1">
        <v>6568</v>
      </c>
      <c r="B167" s="2">
        <v>46178</v>
      </c>
      <c r="C167" s="1" t="s">
        <v>9</v>
      </c>
      <c r="D167" s="1">
        <f t="shared" si="2"/>
        <v>6</v>
      </c>
    </row>
    <row r="168" spans="1:4" x14ac:dyDescent="0.35">
      <c r="A168" s="1">
        <v>6567</v>
      </c>
      <c r="B168" s="2">
        <v>46178</v>
      </c>
      <c r="C168" s="1" t="s">
        <v>9</v>
      </c>
      <c r="D168" s="1">
        <f t="shared" si="2"/>
        <v>6</v>
      </c>
    </row>
    <row r="169" spans="1:4" x14ac:dyDescent="0.35">
      <c r="A169" s="1">
        <v>6566</v>
      </c>
      <c r="B169" s="2">
        <v>46178</v>
      </c>
      <c r="C169" s="1" t="s">
        <v>9</v>
      </c>
      <c r="D169" s="1">
        <f t="shared" si="2"/>
        <v>6</v>
      </c>
    </row>
    <row r="170" spans="1:4" x14ac:dyDescent="0.35">
      <c r="A170" s="1">
        <v>6582</v>
      </c>
      <c r="B170" s="2">
        <v>46181</v>
      </c>
      <c r="C170" s="1" t="s">
        <v>24</v>
      </c>
      <c r="D170" s="1">
        <f t="shared" si="2"/>
        <v>6</v>
      </c>
    </row>
    <row r="171" spans="1:4" x14ac:dyDescent="0.35">
      <c r="A171" s="1">
        <v>6581</v>
      </c>
      <c r="B171" s="2">
        <v>46181</v>
      </c>
      <c r="C171" s="1" t="s">
        <v>24</v>
      </c>
      <c r="D171" s="1">
        <f t="shared" si="2"/>
        <v>6</v>
      </c>
    </row>
    <row r="172" spans="1:4" x14ac:dyDescent="0.35">
      <c r="A172" s="1">
        <v>6580</v>
      </c>
      <c r="B172" s="2">
        <v>46181</v>
      </c>
      <c r="C172" s="1" t="s">
        <v>24</v>
      </c>
      <c r="D172" s="1">
        <f t="shared" si="2"/>
        <v>6</v>
      </c>
    </row>
    <row r="173" spans="1:4" x14ac:dyDescent="0.35">
      <c r="A173" s="1">
        <v>6579</v>
      </c>
      <c r="B173" s="2">
        <v>46181</v>
      </c>
      <c r="C173" s="1" t="s">
        <v>24</v>
      </c>
      <c r="D173" s="1">
        <f t="shared" si="2"/>
        <v>6</v>
      </c>
    </row>
    <row r="174" spans="1:4" x14ac:dyDescent="0.35">
      <c r="A174" s="1">
        <v>6578</v>
      </c>
      <c r="B174" s="2">
        <v>46181</v>
      </c>
      <c r="C174" s="1" t="s">
        <v>9</v>
      </c>
      <c r="D174" s="1">
        <f t="shared" si="2"/>
        <v>6</v>
      </c>
    </row>
    <row r="175" spans="1:4" x14ac:dyDescent="0.35">
      <c r="A175" s="1">
        <v>6577</v>
      </c>
      <c r="B175" s="2">
        <v>46181</v>
      </c>
      <c r="C175" s="1" t="s">
        <v>9</v>
      </c>
      <c r="D175" s="1">
        <f t="shared" si="2"/>
        <v>6</v>
      </c>
    </row>
    <row r="176" spans="1:4" x14ac:dyDescent="0.35">
      <c r="A176" s="1">
        <v>6574</v>
      </c>
      <c r="B176" s="2">
        <v>46181</v>
      </c>
      <c r="C176" s="1" t="s">
        <v>33</v>
      </c>
      <c r="D176" s="1">
        <f t="shared" si="2"/>
        <v>6</v>
      </c>
    </row>
    <row r="177" spans="1:4" x14ac:dyDescent="0.35">
      <c r="A177" s="1">
        <v>6600</v>
      </c>
      <c r="B177" s="2">
        <v>46182</v>
      </c>
      <c r="C177" s="1" t="s">
        <v>24</v>
      </c>
      <c r="D177" s="1">
        <f t="shared" si="2"/>
        <v>6</v>
      </c>
    </row>
    <row r="178" spans="1:4" x14ac:dyDescent="0.35">
      <c r="A178" s="1">
        <v>6599</v>
      </c>
      <c r="B178" s="2">
        <v>46182</v>
      </c>
      <c r="C178" s="1" t="s">
        <v>24</v>
      </c>
      <c r="D178" s="1">
        <f t="shared" si="2"/>
        <v>6</v>
      </c>
    </row>
    <row r="179" spans="1:4" x14ac:dyDescent="0.35">
      <c r="A179" s="1">
        <v>6598</v>
      </c>
      <c r="B179" s="2">
        <v>46182</v>
      </c>
      <c r="C179" s="1" t="s">
        <v>9</v>
      </c>
      <c r="D179" s="1">
        <f t="shared" si="2"/>
        <v>6</v>
      </c>
    </row>
    <row r="180" spans="1:4" x14ac:dyDescent="0.35">
      <c r="A180" s="1">
        <v>6596</v>
      </c>
      <c r="B180" s="2">
        <v>46182</v>
      </c>
      <c r="C180" s="1" t="s">
        <v>9</v>
      </c>
      <c r="D180" s="1">
        <f t="shared" si="2"/>
        <v>6</v>
      </c>
    </row>
    <row r="181" spans="1:4" x14ac:dyDescent="0.35">
      <c r="A181" s="1">
        <v>6595</v>
      </c>
      <c r="B181" s="2">
        <v>46182</v>
      </c>
      <c r="C181" s="1" t="s">
        <v>9</v>
      </c>
      <c r="D181" s="1">
        <f t="shared" si="2"/>
        <v>6</v>
      </c>
    </row>
    <row r="182" spans="1:4" x14ac:dyDescent="0.35">
      <c r="A182" s="1">
        <v>6594</v>
      </c>
      <c r="B182" s="2">
        <v>46182</v>
      </c>
      <c r="C182" s="1" t="s">
        <v>9</v>
      </c>
      <c r="D182" s="1">
        <f t="shared" si="2"/>
        <v>6</v>
      </c>
    </row>
    <row r="183" spans="1:4" x14ac:dyDescent="0.35">
      <c r="A183" s="1">
        <v>6593</v>
      </c>
      <c r="B183" s="2">
        <v>46182</v>
      </c>
      <c r="C183" s="1" t="s">
        <v>34</v>
      </c>
      <c r="D183" s="1">
        <f t="shared" si="2"/>
        <v>6</v>
      </c>
    </row>
    <row r="184" spans="1:4" x14ac:dyDescent="0.35">
      <c r="A184" s="1">
        <v>6592</v>
      </c>
      <c r="B184" s="2">
        <v>46182</v>
      </c>
      <c r="C184" s="1" t="s">
        <v>34</v>
      </c>
      <c r="D184" s="1">
        <f t="shared" si="2"/>
        <v>6</v>
      </c>
    </row>
    <row r="185" spans="1:4" x14ac:dyDescent="0.35">
      <c r="A185" s="1">
        <v>6591</v>
      </c>
      <c r="B185" s="2">
        <v>46182</v>
      </c>
      <c r="C185" s="1" t="s">
        <v>34</v>
      </c>
      <c r="D185" s="1">
        <f t="shared" si="2"/>
        <v>6</v>
      </c>
    </row>
    <row r="186" spans="1:4" x14ac:dyDescent="0.35">
      <c r="A186" s="1">
        <v>6590</v>
      </c>
      <c r="B186" s="2">
        <v>46182</v>
      </c>
      <c r="C186" s="1" t="s">
        <v>34</v>
      </c>
      <c r="D186" s="1">
        <f t="shared" si="2"/>
        <v>6</v>
      </c>
    </row>
    <row r="187" spans="1:4" x14ac:dyDescent="0.35">
      <c r="A187" s="1">
        <v>6589</v>
      </c>
      <c r="B187" s="2">
        <v>46182</v>
      </c>
      <c r="C187" s="1" t="s">
        <v>34</v>
      </c>
      <c r="D187" s="1">
        <f t="shared" si="2"/>
        <v>6</v>
      </c>
    </row>
    <row r="188" spans="1:4" x14ac:dyDescent="0.35">
      <c r="A188" s="1">
        <v>6588</v>
      </c>
      <c r="B188" s="2">
        <v>46182</v>
      </c>
      <c r="C188" s="1" t="s">
        <v>34</v>
      </c>
      <c r="D188" s="1">
        <f t="shared" si="2"/>
        <v>6</v>
      </c>
    </row>
    <row r="189" spans="1:4" x14ac:dyDescent="0.35">
      <c r="A189" s="1">
        <v>6587</v>
      </c>
      <c r="B189" s="2">
        <v>46182</v>
      </c>
      <c r="C189" s="1" t="s">
        <v>34</v>
      </c>
      <c r="D189" s="1">
        <f t="shared" si="2"/>
        <v>6</v>
      </c>
    </row>
    <row r="190" spans="1:4" x14ac:dyDescent="0.35">
      <c r="A190" s="1">
        <v>6586</v>
      </c>
      <c r="B190" s="2">
        <v>46182</v>
      </c>
      <c r="C190" s="1" t="s">
        <v>34</v>
      </c>
      <c r="D190" s="1">
        <f t="shared" si="2"/>
        <v>6</v>
      </c>
    </row>
    <row r="191" spans="1:4" x14ac:dyDescent="0.35">
      <c r="A191" s="1">
        <v>6585</v>
      </c>
      <c r="B191" s="2">
        <v>46182</v>
      </c>
      <c r="C191" s="1" t="s">
        <v>34</v>
      </c>
      <c r="D191" s="1">
        <f t="shared" si="2"/>
        <v>6</v>
      </c>
    </row>
    <row r="192" spans="1:4" x14ac:dyDescent="0.35">
      <c r="A192" s="1">
        <v>6584</v>
      </c>
      <c r="B192" s="2">
        <v>46182</v>
      </c>
      <c r="C192" s="1" t="s">
        <v>34</v>
      </c>
      <c r="D192" s="1">
        <f t="shared" si="2"/>
        <v>6</v>
      </c>
    </row>
    <row r="193" spans="1:4" x14ac:dyDescent="0.35">
      <c r="A193" s="1">
        <v>6583</v>
      </c>
      <c r="B193" s="2">
        <v>46182</v>
      </c>
      <c r="C193" s="1" t="s">
        <v>34</v>
      </c>
      <c r="D193" s="1">
        <f t="shared" si="2"/>
        <v>6</v>
      </c>
    </row>
    <row r="194" spans="1:4" x14ac:dyDescent="0.35">
      <c r="A194" s="1">
        <v>6609</v>
      </c>
      <c r="B194" s="2">
        <v>46183</v>
      </c>
      <c r="C194" s="1" t="s">
        <v>33</v>
      </c>
      <c r="D194" s="1">
        <f t="shared" ref="D194:D257" si="3">MONTH(B194)</f>
        <v>6</v>
      </c>
    </row>
    <row r="195" spans="1:4" x14ac:dyDescent="0.35">
      <c r="A195" s="1">
        <v>6608</v>
      </c>
      <c r="B195" s="2">
        <v>46183</v>
      </c>
      <c r="C195" s="1" t="s">
        <v>9</v>
      </c>
      <c r="D195" s="1">
        <f t="shared" si="3"/>
        <v>6</v>
      </c>
    </row>
    <row r="196" spans="1:4" x14ac:dyDescent="0.35">
      <c r="A196" s="1">
        <v>6602</v>
      </c>
      <c r="B196" s="2">
        <v>46183</v>
      </c>
      <c r="C196" s="1" t="s">
        <v>9</v>
      </c>
      <c r="D196" s="1">
        <f t="shared" si="3"/>
        <v>6</v>
      </c>
    </row>
    <row r="197" spans="1:4" x14ac:dyDescent="0.35">
      <c r="A197" s="1">
        <v>6622</v>
      </c>
      <c r="B197" s="2">
        <v>46185</v>
      </c>
      <c r="C197" s="1" t="s">
        <v>9</v>
      </c>
      <c r="D197" s="1">
        <f t="shared" si="3"/>
        <v>6</v>
      </c>
    </row>
    <row r="198" spans="1:4" x14ac:dyDescent="0.35">
      <c r="A198" s="1">
        <v>6621</v>
      </c>
      <c r="B198" s="2">
        <v>46185</v>
      </c>
      <c r="C198" s="1" t="s">
        <v>9</v>
      </c>
      <c r="D198" s="1">
        <f t="shared" si="3"/>
        <v>6</v>
      </c>
    </row>
    <row r="199" spans="1:4" x14ac:dyDescent="0.35">
      <c r="A199" s="1">
        <v>6623</v>
      </c>
      <c r="B199" s="2">
        <v>46185</v>
      </c>
      <c r="C199" s="1" t="s">
        <v>9</v>
      </c>
      <c r="D199" s="1">
        <f t="shared" si="3"/>
        <v>6</v>
      </c>
    </row>
    <row r="200" spans="1:4" x14ac:dyDescent="0.35">
      <c r="A200" s="1">
        <v>6638</v>
      </c>
      <c r="B200" s="2">
        <v>46188</v>
      </c>
      <c r="C200" s="1" t="s">
        <v>34</v>
      </c>
      <c r="D200" s="1">
        <f t="shared" si="3"/>
        <v>6</v>
      </c>
    </row>
    <row r="201" spans="1:4" x14ac:dyDescent="0.35">
      <c r="A201" s="1">
        <v>6637</v>
      </c>
      <c r="B201" s="2">
        <v>46188</v>
      </c>
      <c r="C201" s="1" t="s">
        <v>34</v>
      </c>
      <c r="D201" s="1">
        <f t="shared" si="3"/>
        <v>6</v>
      </c>
    </row>
    <row r="202" spans="1:4" x14ac:dyDescent="0.35">
      <c r="A202" s="1">
        <v>6636</v>
      </c>
      <c r="B202" s="2">
        <v>46188</v>
      </c>
      <c r="C202" s="1" t="s">
        <v>34</v>
      </c>
      <c r="D202" s="1">
        <f t="shared" si="3"/>
        <v>6</v>
      </c>
    </row>
    <row r="203" spans="1:4" x14ac:dyDescent="0.35">
      <c r="A203" s="1">
        <v>6635</v>
      </c>
      <c r="B203" s="2">
        <v>46188</v>
      </c>
      <c r="C203" s="1" t="s">
        <v>34</v>
      </c>
      <c r="D203" s="1">
        <f t="shared" si="3"/>
        <v>6</v>
      </c>
    </row>
    <row r="204" spans="1:4" x14ac:dyDescent="0.35">
      <c r="A204" s="1">
        <v>6634</v>
      </c>
      <c r="B204" s="2">
        <v>46188</v>
      </c>
      <c r="C204" s="1" t="s">
        <v>34</v>
      </c>
      <c r="D204" s="1">
        <f t="shared" si="3"/>
        <v>6</v>
      </c>
    </row>
    <row r="205" spans="1:4" x14ac:dyDescent="0.35">
      <c r="A205" s="1">
        <v>6633</v>
      </c>
      <c r="B205" s="2">
        <v>46188</v>
      </c>
      <c r="C205" s="1" t="s">
        <v>34</v>
      </c>
      <c r="D205" s="1">
        <f t="shared" si="3"/>
        <v>6</v>
      </c>
    </row>
    <row r="206" spans="1:4" x14ac:dyDescent="0.35">
      <c r="A206" s="1">
        <v>6632</v>
      </c>
      <c r="B206" s="2">
        <v>46188</v>
      </c>
      <c r="C206" s="1" t="s">
        <v>34</v>
      </c>
      <c r="D206" s="1">
        <f t="shared" si="3"/>
        <v>6</v>
      </c>
    </row>
    <row r="207" spans="1:4" x14ac:dyDescent="0.35">
      <c r="A207" s="1">
        <v>6631</v>
      </c>
      <c r="B207" s="2">
        <v>46188</v>
      </c>
      <c r="C207" s="1" t="s">
        <v>34</v>
      </c>
      <c r="D207" s="1">
        <f t="shared" si="3"/>
        <v>6</v>
      </c>
    </row>
    <row r="208" spans="1:4" x14ac:dyDescent="0.35">
      <c r="A208" s="1">
        <v>6630</v>
      </c>
      <c r="B208" s="2">
        <v>46188</v>
      </c>
      <c r="C208" s="1" t="s">
        <v>34</v>
      </c>
      <c r="D208" s="1">
        <f t="shared" si="3"/>
        <v>6</v>
      </c>
    </row>
    <row r="209" spans="1:4" x14ac:dyDescent="0.35">
      <c r="A209" s="1">
        <v>6629</v>
      </c>
      <c r="B209" s="2">
        <v>46188</v>
      </c>
      <c r="C209" s="1" t="s">
        <v>34</v>
      </c>
      <c r="D209" s="1">
        <f t="shared" si="3"/>
        <v>6</v>
      </c>
    </row>
    <row r="210" spans="1:4" x14ac:dyDescent="0.35">
      <c r="A210" s="1">
        <v>6628</v>
      </c>
      <c r="B210" s="2">
        <v>46188</v>
      </c>
      <c r="C210" s="1" t="s">
        <v>34</v>
      </c>
      <c r="D210" s="1">
        <f t="shared" si="3"/>
        <v>6</v>
      </c>
    </row>
    <row r="211" spans="1:4" x14ac:dyDescent="0.35">
      <c r="A211" s="1">
        <v>6627</v>
      </c>
      <c r="B211" s="2">
        <v>46188</v>
      </c>
      <c r="C211" s="1" t="s">
        <v>34</v>
      </c>
      <c r="D211" s="1">
        <f t="shared" si="3"/>
        <v>6</v>
      </c>
    </row>
    <row r="212" spans="1:4" x14ac:dyDescent="0.35">
      <c r="A212" s="1">
        <v>6626</v>
      </c>
      <c r="B212" s="2">
        <v>46188</v>
      </c>
      <c r="C212" s="1" t="s">
        <v>34</v>
      </c>
      <c r="D212" s="1">
        <f t="shared" si="3"/>
        <v>6</v>
      </c>
    </row>
    <row r="213" spans="1:4" x14ac:dyDescent="0.35">
      <c r="A213" s="1">
        <v>6625</v>
      </c>
      <c r="B213" s="2">
        <v>46188</v>
      </c>
      <c r="C213" s="1" t="s">
        <v>34</v>
      </c>
      <c r="D213" s="1">
        <f t="shared" si="3"/>
        <v>6</v>
      </c>
    </row>
    <row r="214" spans="1:4" x14ac:dyDescent="0.35">
      <c r="A214" s="1">
        <v>6624</v>
      </c>
      <c r="B214" s="2">
        <v>46188</v>
      </c>
      <c r="C214" s="1" t="s">
        <v>9</v>
      </c>
      <c r="D214" s="1">
        <f t="shared" si="3"/>
        <v>6</v>
      </c>
    </row>
    <row r="215" spans="1:4" x14ac:dyDescent="0.35">
      <c r="A215" s="1">
        <v>6648</v>
      </c>
      <c r="B215" s="2">
        <v>46189</v>
      </c>
      <c r="C215" s="1" t="s">
        <v>9</v>
      </c>
      <c r="D215" s="1">
        <f t="shared" si="3"/>
        <v>6</v>
      </c>
    </row>
    <row r="216" spans="1:4" x14ac:dyDescent="0.35">
      <c r="A216" s="1">
        <v>6640</v>
      </c>
      <c r="B216" s="2">
        <v>46189</v>
      </c>
      <c r="C216" s="1" t="s">
        <v>21</v>
      </c>
      <c r="D216" s="1">
        <f t="shared" si="3"/>
        <v>6</v>
      </c>
    </row>
    <row r="217" spans="1:4" x14ac:dyDescent="0.35">
      <c r="A217" s="1">
        <v>6639</v>
      </c>
      <c r="B217" s="2">
        <v>46189</v>
      </c>
      <c r="C217" s="1" t="s">
        <v>21</v>
      </c>
      <c r="D217" s="1">
        <f t="shared" si="3"/>
        <v>6</v>
      </c>
    </row>
    <row r="218" spans="1:4" x14ac:dyDescent="0.35">
      <c r="A218" s="1">
        <v>6665</v>
      </c>
      <c r="B218" s="2">
        <v>46190</v>
      </c>
      <c r="C218" s="1" t="s">
        <v>21</v>
      </c>
      <c r="D218" s="1">
        <f t="shared" si="3"/>
        <v>6</v>
      </c>
    </row>
    <row r="219" spans="1:4" x14ac:dyDescent="0.35">
      <c r="A219" s="1">
        <v>6650</v>
      </c>
      <c r="B219" s="2">
        <v>46190</v>
      </c>
      <c r="C219" s="1" t="s">
        <v>9</v>
      </c>
      <c r="D219" s="1">
        <f t="shared" si="3"/>
        <v>6</v>
      </c>
    </row>
    <row r="220" spans="1:4" x14ac:dyDescent="0.35">
      <c r="A220" s="1">
        <v>6674</v>
      </c>
      <c r="B220" s="2">
        <v>46191</v>
      </c>
      <c r="C220" s="1" t="s">
        <v>9</v>
      </c>
      <c r="D220" s="1">
        <f t="shared" si="3"/>
        <v>6</v>
      </c>
    </row>
    <row r="221" spans="1:4" x14ac:dyDescent="0.35">
      <c r="A221" s="1">
        <v>6673</v>
      </c>
      <c r="B221" s="2">
        <v>46191</v>
      </c>
      <c r="C221" s="1" t="s">
        <v>5</v>
      </c>
      <c r="D221" s="1">
        <f t="shared" si="3"/>
        <v>6</v>
      </c>
    </row>
    <row r="222" spans="1:4" x14ac:dyDescent="0.35">
      <c r="A222" s="1">
        <v>6672</v>
      </c>
      <c r="B222" s="2">
        <v>46191</v>
      </c>
      <c r="C222" s="1" t="s">
        <v>9</v>
      </c>
      <c r="D222" s="1">
        <f t="shared" si="3"/>
        <v>6</v>
      </c>
    </row>
    <row r="223" spans="1:4" x14ac:dyDescent="0.35">
      <c r="A223" s="1">
        <v>6669</v>
      </c>
      <c r="B223" s="2">
        <v>46191</v>
      </c>
      <c r="C223" s="1" t="s">
        <v>9</v>
      </c>
      <c r="D223" s="1">
        <f t="shared" si="3"/>
        <v>6</v>
      </c>
    </row>
    <row r="224" spans="1:4" x14ac:dyDescent="0.35">
      <c r="A224" s="1">
        <v>6668</v>
      </c>
      <c r="B224" s="2">
        <v>46191</v>
      </c>
      <c r="C224" s="1" t="s">
        <v>9</v>
      </c>
      <c r="D224" s="1">
        <f t="shared" si="3"/>
        <v>6</v>
      </c>
    </row>
    <row r="225" spans="1:4" x14ac:dyDescent="0.35">
      <c r="A225" s="1">
        <v>6667</v>
      </c>
      <c r="B225" s="2">
        <v>46191</v>
      </c>
      <c r="C225" s="1" t="s">
        <v>21</v>
      </c>
      <c r="D225" s="1">
        <f t="shared" si="3"/>
        <v>6</v>
      </c>
    </row>
    <row r="226" spans="1:4" x14ac:dyDescent="0.35">
      <c r="A226" s="1">
        <v>6666</v>
      </c>
      <c r="B226" s="2">
        <v>46191</v>
      </c>
      <c r="C226" s="1" t="s">
        <v>21</v>
      </c>
      <c r="D226" s="1">
        <f t="shared" si="3"/>
        <v>6</v>
      </c>
    </row>
    <row r="227" spans="1:4" x14ac:dyDescent="0.35">
      <c r="A227" s="1">
        <v>6685</v>
      </c>
      <c r="B227" s="2">
        <v>46192</v>
      </c>
      <c r="C227" s="1" t="s">
        <v>5</v>
      </c>
      <c r="D227" s="1">
        <f t="shared" si="3"/>
        <v>6</v>
      </c>
    </row>
    <row r="228" spans="1:4" x14ac:dyDescent="0.35">
      <c r="A228" s="1">
        <v>6676</v>
      </c>
      <c r="B228" s="2">
        <v>46192</v>
      </c>
      <c r="C228" s="1" t="s">
        <v>9</v>
      </c>
      <c r="D228" s="1">
        <f t="shared" si="3"/>
        <v>6</v>
      </c>
    </row>
    <row r="229" spans="1:4" x14ac:dyDescent="0.35">
      <c r="A229" s="1">
        <v>6675</v>
      </c>
      <c r="B229" s="2">
        <v>46192</v>
      </c>
      <c r="C229" s="1" t="s">
        <v>9</v>
      </c>
      <c r="D229" s="1">
        <f t="shared" si="3"/>
        <v>6</v>
      </c>
    </row>
    <row r="230" spans="1:4" x14ac:dyDescent="0.35">
      <c r="A230" s="1">
        <v>6706</v>
      </c>
      <c r="B230" s="2">
        <v>46195</v>
      </c>
      <c r="C230" s="1" t="s">
        <v>9</v>
      </c>
      <c r="D230" s="1">
        <f t="shared" si="3"/>
        <v>6</v>
      </c>
    </row>
    <row r="231" spans="1:4" x14ac:dyDescent="0.35">
      <c r="A231" s="1">
        <v>6705</v>
      </c>
      <c r="B231" s="2">
        <v>46195</v>
      </c>
      <c r="C231" s="1" t="s">
        <v>9</v>
      </c>
      <c r="D231" s="1">
        <f t="shared" si="3"/>
        <v>6</v>
      </c>
    </row>
    <row r="232" spans="1:4" x14ac:dyDescent="0.35">
      <c r="A232" s="1">
        <v>6702</v>
      </c>
      <c r="B232" s="2">
        <v>46195</v>
      </c>
      <c r="C232" s="1" t="s">
        <v>21</v>
      </c>
      <c r="D232" s="1">
        <f t="shared" si="3"/>
        <v>6</v>
      </c>
    </row>
    <row r="233" spans="1:4" x14ac:dyDescent="0.35">
      <c r="A233" s="1">
        <v>6695</v>
      </c>
      <c r="B233" s="2">
        <v>46195</v>
      </c>
      <c r="C233" s="1" t="s">
        <v>21</v>
      </c>
      <c r="D233" s="1">
        <f t="shared" si="3"/>
        <v>6</v>
      </c>
    </row>
    <row r="234" spans="1:4" x14ac:dyDescent="0.35">
      <c r="A234" s="1">
        <v>6694</v>
      </c>
      <c r="B234" s="2">
        <v>46195</v>
      </c>
      <c r="C234" s="1" t="s">
        <v>21</v>
      </c>
      <c r="D234" s="1">
        <f t="shared" si="3"/>
        <v>6</v>
      </c>
    </row>
    <row r="235" spans="1:4" x14ac:dyDescent="0.35">
      <c r="A235" s="1">
        <v>6693</v>
      </c>
      <c r="B235" s="2">
        <v>46195</v>
      </c>
      <c r="C235" s="1" t="s">
        <v>21</v>
      </c>
      <c r="D235" s="1">
        <f t="shared" si="3"/>
        <v>6</v>
      </c>
    </row>
    <row r="236" spans="1:4" x14ac:dyDescent="0.35">
      <c r="A236" s="1">
        <v>6729</v>
      </c>
      <c r="B236" s="2">
        <v>46196</v>
      </c>
      <c r="C236" s="1" t="s">
        <v>34</v>
      </c>
      <c r="D236" s="1">
        <f t="shared" si="3"/>
        <v>6</v>
      </c>
    </row>
    <row r="237" spans="1:4" x14ac:dyDescent="0.35">
      <c r="A237" s="1">
        <v>6728</v>
      </c>
      <c r="B237" s="2">
        <v>46196</v>
      </c>
      <c r="C237" s="1" t="s">
        <v>34</v>
      </c>
      <c r="D237" s="1">
        <f t="shared" si="3"/>
        <v>6</v>
      </c>
    </row>
    <row r="238" spans="1:4" x14ac:dyDescent="0.35">
      <c r="A238" s="1">
        <v>6727</v>
      </c>
      <c r="B238" s="2">
        <v>46196</v>
      </c>
      <c r="C238" s="1" t="s">
        <v>34</v>
      </c>
      <c r="D238" s="1">
        <f t="shared" si="3"/>
        <v>6</v>
      </c>
    </row>
    <row r="239" spans="1:4" x14ac:dyDescent="0.35">
      <c r="A239" s="1">
        <v>6726</v>
      </c>
      <c r="B239" s="2">
        <v>46196</v>
      </c>
      <c r="C239" s="1" t="s">
        <v>34</v>
      </c>
      <c r="D239" s="1">
        <f t="shared" si="3"/>
        <v>6</v>
      </c>
    </row>
    <row r="240" spans="1:4" x14ac:dyDescent="0.35">
      <c r="A240" s="1">
        <v>6725</v>
      </c>
      <c r="B240" s="2">
        <v>46196</v>
      </c>
      <c r="C240" s="1" t="s">
        <v>34</v>
      </c>
      <c r="D240" s="1">
        <f t="shared" si="3"/>
        <v>6</v>
      </c>
    </row>
    <row r="241" spans="1:4" x14ac:dyDescent="0.35">
      <c r="A241" s="1">
        <v>6724</v>
      </c>
      <c r="B241" s="2">
        <v>46196</v>
      </c>
      <c r="C241" s="1" t="s">
        <v>34</v>
      </c>
      <c r="D241" s="1">
        <f t="shared" si="3"/>
        <v>6</v>
      </c>
    </row>
    <row r="242" spans="1:4" x14ac:dyDescent="0.35">
      <c r="A242" s="1">
        <v>6723</v>
      </c>
      <c r="B242" s="2">
        <v>46196</v>
      </c>
      <c r="C242" s="1" t="s">
        <v>34</v>
      </c>
      <c r="D242" s="1">
        <f t="shared" si="3"/>
        <v>6</v>
      </c>
    </row>
    <row r="243" spans="1:4" x14ac:dyDescent="0.35">
      <c r="A243" s="1">
        <v>6722</v>
      </c>
      <c r="B243" s="2">
        <v>46196</v>
      </c>
      <c r="C243" s="1" t="s">
        <v>34</v>
      </c>
      <c r="D243" s="1">
        <f t="shared" si="3"/>
        <v>6</v>
      </c>
    </row>
    <row r="244" spans="1:4" x14ac:dyDescent="0.35">
      <c r="A244" s="1">
        <v>6721</v>
      </c>
      <c r="B244" s="2">
        <v>46196</v>
      </c>
      <c r="C244" s="1" t="s">
        <v>34</v>
      </c>
      <c r="D244" s="1">
        <f t="shared" si="3"/>
        <v>6</v>
      </c>
    </row>
    <row r="245" spans="1:4" x14ac:dyDescent="0.35">
      <c r="A245" s="1">
        <v>6720</v>
      </c>
      <c r="B245" s="2">
        <v>46196</v>
      </c>
      <c r="C245" s="1" t="s">
        <v>34</v>
      </c>
      <c r="D245" s="1">
        <f t="shared" si="3"/>
        <v>6</v>
      </c>
    </row>
    <row r="246" spans="1:4" x14ac:dyDescent="0.35">
      <c r="A246" s="1">
        <v>6719</v>
      </c>
      <c r="B246" s="2">
        <v>46196</v>
      </c>
      <c r="C246" s="1" t="s">
        <v>34</v>
      </c>
      <c r="D246" s="1">
        <f t="shared" si="3"/>
        <v>6</v>
      </c>
    </row>
    <row r="247" spans="1:4" x14ac:dyDescent="0.35">
      <c r="A247" s="1">
        <v>6718</v>
      </c>
      <c r="B247" s="2">
        <v>46196</v>
      </c>
      <c r="C247" s="1" t="s">
        <v>34</v>
      </c>
      <c r="D247" s="1">
        <f t="shared" si="3"/>
        <v>6</v>
      </c>
    </row>
    <row r="248" spans="1:4" x14ac:dyDescent="0.35">
      <c r="A248" s="1">
        <v>6707</v>
      </c>
      <c r="B248" s="2">
        <v>46196</v>
      </c>
      <c r="C248" s="1" t="s">
        <v>9</v>
      </c>
      <c r="D248" s="1">
        <f t="shared" si="3"/>
        <v>6</v>
      </c>
    </row>
    <row r="249" spans="1:4" x14ac:dyDescent="0.35">
      <c r="A249" s="1">
        <v>6744</v>
      </c>
      <c r="B249" s="2">
        <v>46198</v>
      </c>
      <c r="C249" s="1" t="s">
        <v>34</v>
      </c>
      <c r="D249" s="1">
        <f t="shared" si="3"/>
        <v>6</v>
      </c>
    </row>
    <row r="250" spans="1:4" x14ac:dyDescent="0.35">
      <c r="A250" s="1">
        <v>6737</v>
      </c>
      <c r="B250" s="2">
        <v>46198</v>
      </c>
      <c r="C250" s="1" t="s">
        <v>9</v>
      </c>
      <c r="D250" s="1">
        <f t="shared" si="3"/>
        <v>6</v>
      </c>
    </row>
    <row r="251" spans="1:4" x14ac:dyDescent="0.35">
      <c r="A251" s="1">
        <v>6736</v>
      </c>
      <c r="B251" s="2">
        <v>46198</v>
      </c>
      <c r="C251" s="1" t="s">
        <v>9</v>
      </c>
      <c r="D251" s="1">
        <f t="shared" si="3"/>
        <v>6</v>
      </c>
    </row>
    <row r="252" spans="1:4" x14ac:dyDescent="0.35">
      <c r="A252" s="1">
        <v>6773</v>
      </c>
      <c r="B252" s="2">
        <v>46202</v>
      </c>
      <c r="C252" s="1" t="s">
        <v>9</v>
      </c>
      <c r="D252" s="1">
        <f t="shared" si="3"/>
        <v>6</v>
      </c>
    </row>
    <row r="253" spans="1:4" x14ac:dyDescent="0.35">
      <c r="A253" s="1">
        <v>6772</v>
      </c>
      <c r="B253" s="2">
        <v>46202</v>
      </c>
      <c r="C253" s="1" t="s">
        <v>21</v>
      </c>
      <c r="D253" s="1">
        <f t="shared" si="3"/>
        <v>6</v>
      </c>
    </row>
    <row r="254" spans="1:4" x14ac:dyDescent="0.35">
      <c r="A254" s="1">
        <v>6771</v>
      </c>
      <c r="B254" s="2">
        <v>46202</v>
      </c>
      <c r="C254" s="1" t="s">
        <v>21</v>
      </c>
      <c r="D254" s="1">
        <f t="shared" si="3"/>
        <v>6</v>
      </c>
    </row>
    <row r="255" spans="1:4" x14ac:dyDescent="0.35">
      <c r="A255" s="1">
        <v>6770</v>
      </c>
      <c r="B255" s="2">
        <v>46202</v>
      </c>
      <c r="C255" s="1" t="s">
        <v>21</v>
      </c>
      <c r="D255" s="1">
        <f t="shared" si="3"/>
        <v>6</v>
      </c>
    </row>
    <row r="256" spans="1:4" x14ac:dyDescent="0.35">
      <c r="A256" s="1">
        <v>6769</v>
      </c>
      <c r="B256" s="2">
        <v>46202</v>
      </c>
      <c r="C256" s="1" t="s">
        <v>34</v>
      </c>
      <c r="D256" s="1">
        <f t="shared" si="3"/>
        <v>6</v>
      </c>
    </row>
    <row r="257" spans="1:4" x14ac:dyDescent="0.35">
      <c r="A257" s="1">
        <v>6768</v>
      </c>
      <c r="B257" s="2">
        <v>46202</v>
      </c>
      <c r="C257" s="1" t="s">
        <v>34</v>
      </c>
      <c r="D257" s="1">
        <f t="shared" si="3"/>
        <v>6</v>
      </c>
    </row>
    <row r="258" spans="1:4" x14ac:dyDescent="0.35">
      <c r="A258" s="1">
        <v>6767</v>
      </c>
      <c r="B258" s="2">
        <v>46202</v>
      </c>
      <c r="C258" s="1" t="s">
        <v>34</v>
      </c>
      <c r="D258" s="1">
        <f t="shared" ref="D258:D321" si="4">MONTH(B258)</f>
        <v>6</v>
      </c>
    </row>
    <row r="259" spans="1:4" x14ac:dyDescent="0.35">
      <c r="A259" s="1">
        <v>6766</v>
      </c>
      <c r="B259" s="2">
        <v>46202</v>
      </c>
      <c r="C259" s="1" t="s">
        <v>34</v>
      </c>
      <c r="D259" s="1">
        <f t="shared" si="4"/>
        <v>6</v>
      </c>
    </row>
    <row r="260" spans="1:4" x14ac:dyDescent="0.35">
      <c r="A260" s="1">
        <v>6765</v>
      </c>
      <c r="B260" s="2">
        <v>46202</v>
      </c>
      <c r="C260" s="1" t="s">
        <v>34</v>
      </c>
      <c r="D260" s="1">
        <f t="shared" si="4"/>
        <v>6</v>
      </c>
    </row>
    <row r="261" spans="1:4" x14ac:dyDescent="0.35">
      <c r="A261" s="1">
        <v>6764</v>
      </c>
      <c r="B261" s="2">
        <v>46202</v>
      </c>
      <c r="C261" s="1" t="s">
        <v>34</v>
      </c>
      <c r="D261" s="1">
        <f t="shared" si="4"/>
        <v>6</v>
      </c>
    </row>
    <row r="262" spans="1:4" x14ac:dyDescent="0.35">
      <c r="A262" s="1">
        <v>6763</v>
      </c>
      <c r="B262" s="2">
        <v>46202</v>
      </c>
      <c r="C262" s="1" t="s">
        <v>9</v>
      </c>
      <c r="D262" s="1">
        <f t="shared" si="4"/>
        <v>6</v>
      </c>
    </row>
    <row r="263" spans="1:4" x14ac:dyDescent="0.35">
      <c r="A263" s="1">
        <v>6762</v>
      </c>
      <c r="B263" s="2">
        <v>46202</v>
      </c>
      <c r="C263" s="1" t="s">
        <v>34</v>
      </c>
      <c r="D263" s="1">
        <f t="shared" si="4"/>
        <v>6</v>
      </c>
    </row>
    <row r="264" spans="1:4" x14ac:dyDescent="0.35">
      <c r="A264" s="1">
        <v>6761</v>
      </c>
      <c r="B264" s="2">
        <v>46202</v>
      </c>
      <c r="C264" s="1" t="s">
        <v>34</v>
      </c>
      <c r="D264" s="1">
        <f t="shared" si="4"/>
        <v>6</v>
      </c>
    </row>
    <row r="265" spans="1:4" x14ac:dyDescent="0.35">
      <c r="A265" s="1">
        <v>6760</v>
      </c>
      <c r="B265" s="2">
        <v>46202</v>
      </c>
      <c r="C265" s="1" t="s">
        <v>34</v>
      </c>
      <c r="D265" s="1">
        <f t="shared" si="4"/>
        <v>6</v>
      </c>
    </row>
    <row r="266" spans="1:4" x14ac:dyDescent="0.35">
      <c r="A266" s="1">
        <v>6759</v>
      </c>
      <c r="B266" s="2">
        <v>46202</v>
      </c>
      <c r="C266" s="1" t="s">
        <v>34</v>
      </c>
      <c r="D266" s="1">
        <f t="shared" si="4"/>
        <v>6</v>
      </c>
    </row>
    <row r="267" spans="1:4" x14ac:dyDescent="0.35">
      <c r="A267" s="1">
        <v>6758</v>
      </c>
      <c r="B267" s="2">
        <v>46202</v>
      </c>
      <c r="C267" s="1" t="s">
        <v>34</v>
      </c>
      <c r="D267" s="1">
        <f t="shared" si="4"/>
        <v>6</v>
      </c>
    </row>
    <row r="268" spans="1:4" x14ac:dyDescent="0.35">
      <c r="A268" s="1">
        <v>6757</v>
      </c>
      <c r="B268" s="2">
        <v>46202</v>
      </c>
      <c r="C268" s="1" t="s">
        <v>34</v>
      </c>
      <c r="D268" s="1">
        <f t="shared" si="4"/>
        <v>6</v>
      </c>
    </row>
    <row r="269" spans="1:4" x14ac:dyDescent="0.35">
      <c r="A269" s="1">
        <v>6756</v>
      </c>
      <c r="B269" s="2">
        <v>46202</v>
      </c>
      <c r="C269" s="1" t="s">
        <v>34</v>
      </c>
      <c r="D269" s="1">
        <f t="shared" si="4"/>
        <v>6</v>
      </c>
    </row>
    <row r="270" spans="1:4" x14ac:dyDescent="0.35">
      <c r="A270" s="1">
        <v>6755</v>
      </c>
      <c r="B270" s="2">
        <v>46202</v>
      </c>
      <c r="C270" s="1" t="s">
        <v>34</v>
      </c>
      <c r="D270" s="1">
        <f t="shared" si="4"/>
        <v>6</v>
      </c>
    </row>
    <row r="271" spans="1:4" x14ac:dyDescent="0.35">
      <c r="A271" s="1">
        <v>6754</v>
      </c>
      <c r="B271" s="2">
        <v>46202</v>
      </c>
      <c r="C271" s="1" t="s">
        <v>34</v>
      </c>
      <c r="D271" s="1">
        <f t="shared" si="4"/>
        <v>6</v>
      </c>
    </row>
    <row r="272" spans="1:4" x14ac:dyDescent="0.35">
      <c r="A272" s="1">
        <v>6753</v>
      </c>
      <c r="B272" s="2">
        <v>46202</v>
      </c>
      <c r="C272" s="1" t="s">
        <v>34</v>
      </c>
      <c r="D272" s="1">
        <f t="shared" si="4"/>
        <v>6</v>
      </c>
    </row>
    <row r="273" spans="1:4" x14ac:dyDescent="0.35">
      <c r="A273" s="1">
        <v>6752</v>
      </c>
      <c r="B273" s="2">
        <v>46202</v>
      </c>
      <c r="C273" s="1" t="s">
        <v>34</v>
      </c>
      <c r="D273" s="1">
        <f t="shared" si="4"/>
        <v>6</v>
      </c>
    </row>
    <row r="274" spans="1:4" x14ac:dyDescent="0.35">
      <c r="A274" s="1">
        <v>6751</v>
      </c>
      <c r="B274" s="2">
        <v>46202</v>
      </c>
      <c r="C274" s="1" t="s">
        <v>34</v>
      </c>
      <c r="D274" s="1">
        <f t="shared" si="4"/>
        <v>6</v>
      </c>
    </row>
    <row r="275" spans="1:4" x14ac:dyDescent="0.35">
      <c r="A275" s="1">
        <v>6750</v>
      </c>
      <c r="B275" s="2">
        <v>46202</v>
      </c>
      <c r="C275" s="1" t="s">
        <v>34</v>
      </c>
      <c r="D275" s="1">
        <f t="shared" si="4"/>
        <v>6</v>
      </c>
    </row>
    <row r="276" spans="1:4" x14ac:dyDescent="0.35">
      <c r="A276" s="1">
        <v>6749</v>
      </c>
      <c r="B276" s="2">
        <v>46202</v>
      </c>
      <c r="C276" s="1" t="s">
        <v>34</v>
      </c>
      <c r="D276" s="1">
        <f t="shared" si="4"/>
        <v>6</v>
      </c>
    </row>
    <row r="277" spans="1:4" x14ac:dyDescent="0.35">
      <c r="A277" s="1">
        <v>6748</v>
      </c>
      <c r="B277" s="2">
        <v>46202</v>
      </c>
      <c r="C277" s="1" t="s">
        <v>21</v>
      </c>
      <c r="D277" s="1">
        <f t="shared" si="4"/>
        <v>6</v>
      </c>
    </row>
    <row r="278" spans="1:4" x14ac:dyDescent="0.35">
      <c r="A278" s="1">
        <v>6791</v>
      </c>
      <c r="B278" s="2">
        <v>46203</v>
      </c>
      <c r="C278" s="1" t="s">
        <v>9</v>
      </c>
      <c r="D278" s="1">
        <f t="shared" si="4"/>
        <v>6</v>
      </c>
    </row>
    <row r="279" spans="1:4" x14ac:dyDescent="0.35">
      <c r="A279" s="1">
        <v>6804</v>
      </c>
      <c r="B279" s="2">
        <v>46204</v>
      </c>
      <c r="C279" s="1" t="s">
        <v>5</v>
      </c>
      <c r="D279" s="1">
        <f t="shared" si="4"/>
        <v>7</v>
      </c>
    </row>
    <row r="280" spans="1:4" x14ac:dyDescent="0.35">
      <c r="A280" s="1">
        <v>6820</v>
      </c>
      <c r="B280" s="2">
        <v>46205</v>
      </c>
      <c r="C280" s="1" t="s">
        <v>9</v>
      </c>
      <c r="D280" s="1">
        <f t="shared" si="4"/>
        <v>7</v>
      </c>
    </row>
    <row r="281" spans="1:4" x14ac:dyDescent="0.35">
      <c r="A281" s="1">
        <v>6819</v>
      </c>
      <c r="B281" s="2">
        <v>46205</v>
      </c>
      <c r="C281" s="1" t="s">
        <v>9</v>
      </c>
      <c r="D281" s="1">
        <f t="shared" si="4"/>
        <v>7</v>
      </c>
    </row>
    <row r="282" spans="1:4" x14ac:dyDescent="0.35">
      <c r="A282" s="1">
        <v>6814</v>
      </c>
      <c r="B282" s="2">
        <v>46205</v>
      </c>
      <c r="C282" s="1" t="s">
        <v>9</v>
      </c>
      <c r="D282" s="1">
        <f t="shared" si="4"/>
        <v>7</v>
      </c>
    </row>
    <row r="283" spans="1:4" x14ac:dyDescent="0.35">
      <c r="A283" s="1">
        <v>6813</v>
      </c>
      <c r="B283" s="2">
        <v>46205</v>
      </c>
      <c r="C283" s="1" t="s">
        <v>9</v>
      </c>
      <c r="D283" s="1">
        <f t="shared" si="4"/>
        <v>7</v>
      </c>
    </row>
    <row r="284" spans="1:4" x14ac:dyDescent="0.35">
      <c r="A284" s="1">
        <v>6829</v>
      </c>
      <c r="B284" s="2">
        <v>46206</v>
      </c>
      <c r="C284" s="1" t="s">
        <v>3</v>
      </c>
      <c r="D284" s="1">
        <f t="shared" si="4"/>
        <v>7</v>
      </c>
    </row>
    <row r="285" spans="1:4" x14ac:dyDescent="0.35">
      <c r="A285" s="1">
        <v>6828</v>
      </c>
      <c r="B285" s="2">
        <v>46206</v>
      </c>
      <c r="C285" s="1" t="s">
        <v>9</v>
      </c>
      <c r="D285" s="1">
        <f t="shared" si="4"/>
        <v>7</v>
      </c>
    </row>
    <row r="286" spans="1:4" x14ac:dyDescent="0.35">
      <c r="A286" s="1">
        <v>6826</v>
      </c>
      <c r="B286" s="2">
        <v>46206</v>
      </c>
      <c r="C286" s="1" t="s">
        <v>9</v>
      </c>
      <c r="D286" s="1">
        <f t="shared" si="4"/>
        <v>7</v>
      </c>
    </row>
    <row r="287" spans="1:4" x14ac:dyDescent="0.35">
      <c r="A287" s="1">
        <v>6855</v>
      </c>
      <c r="B287" s="2">
        <v>46209</v>
      </c>
      <c r="C287" s="1" t="s">
        <v>5</v>
      </c>
      <c r="D287" s="1">
        <f t="shared" si="4"/>
        <v>7</v>
      </c>
    </row>
    <row r="288" spans="1:4" x14ac:dyDescent="0.35">
      <c r="A288" s="1">
        <v>6851</v>
      </c>
      <c r="B288" s="2">
        <v>46209</v>
      </c>
      <c r="C288" s="1" t="s">
        <v>9</v>
      </c>
      <c r="D288" s="1">
        <f t="shared" si="4"/>
        <v>7</v>
      </c>
    </row>
    <row r="289" spans="1:4" x14ac:dyDescent="0.35">
      <c r="A289" s="1">
        <v>6850</v>
      </c>
      <c r="B289" s="2">
        <v>46209</v>
      </c>
      <c r="C289" s="1" t="s">
        <v>9</v>
      </c>
      <c r="D289" s="1">
        <f t="shared" si="4"/>
        <v>7</v>
      </c>
    </row>
    <row r="290" spans="1:4" x14ac:dyDescent="0.35">
      <c r="A290" s="1">
        <v>6848</v>
      </c>
      <c r="B290" s="2">
        <v>46209</v>
      </c>
      <c r="C290" s="1" t="s">
        <v>34</v>
      </c>
      <c r="D290" s="1">
        <f t="shared" si="4"/>
        <v>7</v>
      </c>
    </row>
    <row r="291" spans="1:4" x14ac:dyDescent="0.35">
      <c r="A291" s="1">
        <v>6847</v>
      </c>
      <c r="B291" s="2">
        <v>46209</v>
      </c>
      <c r="C291" s="1" t="s">
        <v>34</v>
      </c>
      <c r="D291" s="1">
        <f t="shared" si="4"/>
        <v>7</v>
      </c>
    </row>
    <row r="292" spans="1:4" x14ac:dyDescent="0.35">
      <c r="A292" s="1">
        <v>6846</v>
      </c>
      <c r="B292" s="2">
        <v>46209</v>
      </c>
      <c r="C292" s="1" t="s">
        <v>34</v>
      </c>
      <c r="D292" s="1">
        <f t="shared" si="4"/>
        <v>7</v>
      </c>
    </row>
    <row r="293" spans="1:4" x14ac:dyDescent="0.35">
      <c r="A293" s="1">
        <v>6845</v>
      </c>
      <c r="B293" s="2">
        <v>46209</v>
      </c>
      <c r="C293" s="1" t="s">
        <v>34</v>
      </c>
      <c r="D293" s="1">
        <f t="shared" si="4"/>
        <v>7</v>
      </c>
    </row>
    <row r="294" spans="1:4" x14ac:dyDescent="0.35">
      <c r="A294" s="1">
        <v>6844</v>
      </c>
      <c r="B294" s="2">
        <v>46209</v>
      </c>
      <c r="C294" s="1" t="s">
        <v>34</v>
      </c>
      <c r="D294" s="1">
        <f t="shared" si="4"/>
        <v>7</v>
      </c>
    </row>
    <row r="295" spans="1:4" x14ac:dyDescent="0.35">
      <c r="A295" s="1">
        <v>6843</v>
      </c>
      <c r="B295" s="2">
        <v>46209</v>
      </c>
      <c r="C295" s="1" t="s">
        <v>34</v>
      </c>
      <c r="D295" s="1">
        <f t="shared" si="4"/>
        <v>7</v>
      </c>
    </row>
    <row r="296" spans="1:4" x14ac:dyDescent="0.35">
      <c r="A296" s="1">
        <v>6842</v>
      </c>
      <c r="B296" s="2">
        <v>46209</v>
      </c>
      <c r="C296" s="1" t="s">
        <v>34</v>
      </c>
      <c r="D296" s="1">
        <f t="shared" si="4"/>
        <v>7</v>
      </c>
    </row>
    <row r="297" spans="1:4" x14ac:dyDescent="0.35">
      <c r="A297" s="1">
        <v>6841</v>
      </c>
      <c r="B297" s="2">
        <v>46209</v>
      </c>
      <c r="C297" s="1" t="s">
        <v>34</v>
      </c>
      <c r="D297" s="1">
        <f t="shared" si="4"/>
        <v>7</v>
      </c>
    </row>
    <row r="298" spans="1:4" x14ac:dyDescent="0.35">
      <c r="A298" s="1">
        <v>6840</v>
      </c>
      <c r="B298" s="2">
        <v>46209</v>
      </c>
      <c r="C298" s="1" t="s">
        <v>34</v>
      </c>
      <c r="D298" s="1">
        <f t="shared" si="4"/>
        <v>7</v>
      </c>
    </row>
    <row r="299" spans="1:4" x14ac:dyDescent="0.35">
      <c r="A299" s="1">
        <v>6839</v>
      </c>
      <c r="B299" s="2">
        <v>46209</v>
      </c>
      <c r="C299" s="1" t="s">
        <v>34</v>
      </c>
      <c r="D299" s="1">
        <f t="shared" si="4"/>
        <v>7</v>
      </c>
    </row>
    <row r="300" spans="1:4" x14ac:dyDescent="0.35">
      <c r="A300" s="1">
        <v>6838</v>
      </c>
      <c r="B300" s="2">
        <v>46209</v>
      </c>
      <c r="C300" s="1" t="s">
        <v>34</v>
      </c>
      <c r="D300" s="1">
        <f t="shared" si="4"/>
        <v>7</v>
      </c>
    </row>
    <row r="301" spans="1:4" x14ac:dyDescent="0.35">
      <c r="A301" s="1">
        <v>6837</v>
      </c>
      <c r="B301" s="2">
        <v>46209</v>
      </c>
      <c r="C301" s="1" t="s">
        <v>34</v>
      </c>
      <c r="D301" s="1">
        <f t="shared" si="4"/>
        <v>7</v>
      </c>
    </row>
    <row r="302" spans="1:4" x14ac:dyDescent="0.35">
      <c r="A302" s="1">
        <v>6836</v>
      </c>
      <c r="B302" s="2">
        <v>46209</v>
      </c>
      <c r="C302" s="1" t="s">
        <v>34</v>
      </c>
      <c r="D302" s="1">
        <f t="shared" si="4"/>
        <v>7</v>
      </c>
    </row>
    <row r="303" spans="1:4" x14ac:dyDescent="0.35">
      <c r="A303" s="1">
        <v>6835</v>
      </c>
      <c r="B303" s="2">
        <v>46209</v>
      </c>
      <c r="C303" s="1" t="s">
        <v>34</v>
      </c>
      <c r="D303" s="1">
        <f t="shared" si="4"/>
        <v>7</v>
      </c>
    </row>
    <row r="304" spans="1:4" x14ac:dyDescent="0.35">
      <c r="A304" s="1">
        <v>6834</v>
      </c>
      <c r="B304" s="2">
        <v>46209</v>
      </c>
      <c r="C304" s="1" t="s">
        <v>34</v>
      </c>
      <c r="D304" s="1">
        <f t="shared" si="4"/>
        <v>7</v>
      </c>
    </row>
    <row r="305" spans="1:4" x14ac:dyDescent="0.35">
      <c r="A305" s="1">
        <v>6833</v>
      </c>
      <c r="B305" s="2">
        <v>46209</v>
      </c>
      <c r="C305" s="1" t="s">
        <v>34</v>
      </c>
      <c r="D305" s="1">
        <f t="shared" si="4"/>
        <v>7</v>
      </c>
    </row>
    <row r="306" spans="1:4" x14ac:dyDescent="0.35">
      <c r="A306" s="1">
        <v>6832</v>
      </c>
      <c r="B306" s="2">
        <v>46209</v>
      </c>
      <c r="C306" s="1" t="s">
        <v>34</v>
      </c>
      <c r="D306" s="1">
        <f t="shared" si="4"/>
        <v>7</v>
      </c>
    </row>
    <row r="307" spans="1:4" x14ac:dyDescent="0.35">
      <c r="A307" s="1">
        <v>6831</v>
      </c>
      <c r="B307" s="2">
        <v>46209</v>
      </c>
      <c r="C307" s="1" t="s">
        <v>34</v>
      </c>
      <c r="D307" s="1">
        <f t="shared" si="4"/>
        <v>7</v>
      </c>
    </row>
    <row r="308" spans="1:4" x14ac:dyDescent="0.35">
      <c r="A308" s="1">
        <v>6830</v>
      </c>
      <c r="B308" s="2">
        <v>46209</v>
      </c>
      <c r="C308" s="1" t="s">
        <v>34</v>
      </c>
      <c r="D308" s="1">
        <f t="shared" si="4"/>
        <v>7</v>
      </c>
    </row>
    <row r="309" spans="1:4" x14ac:dyDescent="0.35">
      <c r="A309" s="1">
        <v>6860</v>
      </c>
      <c r="B309" s="2">
        <v>46210</v>
      </c>
      <c r="C309" s="1" t="s">
        <v>5</v>
      </c>
      <c r="D309" s="1">
        <f t="shared" si="4"/>
        <v>7</v>
      </c>
    </row>
    <row r="310" spans="1:4" x14ac:dyDescent="0.35">
      <c r="A310" s="1">
        <v>6861</v>
      </c>
      <c r="B310" s="2">
        <v>46211</v>
      </c>
      <c r="C310" s="1" t="s">
        <v>9</v>
      </c>
      <c r="D310" s="1">
        <f t="shared" si="4"/>
        <v>7</v>
      </c>
    </row>
    <row r="311" spans="1:4" x14ac:dyDescent="0.35">
      <c r="A311" s="1">
        <v>6880</v>
      </c>
      <c r="B311" s="2">
        <v>46216</v>
      </c>
      <c r="C311" s="1" t="s">
        <v>34</v>
      </c>
      <c r="D311" s="1">
        <f t="shared" si="4"/>
        <v>7</v>
      </c>
    </row>
    <row r="312" spans="1:4" x14ac:dyDescent="0.35">
      <c r="A312" s="1">
        <v>6879</v>
      </c>
      <c r="B312" s="2">
        <v>46216</v>
      </c>
      <c r="C312" s="1" t="s">
        <v>34</v>
      </c>
      <c r="D312" s="1">
        <f t="shared" si="4"/>
        <v>7</v>
      </c>
    </row>
    <row r="313" spans="1:4" x14ac:dyDescent="0.35">
      <c r="A313" s="1">
        <v>6878</v>
      </c>
      <c r="B313" s="2">
        <v>46216</v>
      </c>
      <c r="C313" s="1" t="s">
        <v>34</v>
      </c>
      <c r="D313" s="1">
        <f t="shared" si="4"/>
        <v>7</v>
      </c>
    </row>
    <row r="314" spans="1:4" x14ac:dyDescent="0.35">
      <c r="A314" s="1">
        <v>6877</v>
      </c>
      <c r="B314" s="2">
        <v>46216</v>
      </c>
      <c r="C314" s="1" t="s">
        <v>34</v>
      </c>
      <c r="D314" s="1">
        <f t="shared" si="4"/>
        <v>7</v>
      </c>
    </row>
    <row r="315" spans="1:4" x14ac:dyDescent="0.35">
      <c r="A315" s="1">
        <v>6876</v>
      </c>
      <c r="B315" s="2">
        <v>46216</v>
      </c>
      <c r="C315" s="1" t="s">
        <v>34</v>
      </c>
      <c r="D315" s="1">
        <f t="shared" si="4"/>
        <v>7</v>
      </c>
    </row>
    <row r="316" spans="1:4" x14ac:dyDescent="0.35">
      <c r="A316" s="1">
        <v>6875</v>
      </c>
      <c r="B316" s="2">
        <v>46216</v>
      </c>
      <c r="C316" s="1" t="s">
        <v>34</v>
      </c>
      <c r="D316" s="1">
        <f t="shared" si="4"/>
        <v>7</v>
      </c>
    </row>
    <row r="317" spans="1:4" x14ac:dyDescent="0.35">
      <c r="A317" s="1">
        <v>6874</v>
      </c>
      <c r="B317" s="2">
        <v>46216</v>
      </c>
      <c r="C317" s="1" t="s">
        <v>34</v>
      </c>
      <c r="D317" s="1">
        <f t="shared" si="4"/>
        <v>7</v>
      </c>
    </row>
    <row r="318" spans="1:4" x14ac:dyDescent="0.35">
      <c r="A318" s="1">
        <v>6873</v>
      </c>
      <c r="B318" s="2">
        <v>46216</v>
      </c>
      <c r="C318" s="1" t="s">
        <v>34</v>
      </c>
      <c r="D318" s="1">
        <f t="shared" si="4"/>
        <v>7</v>
      </c>
    </row>
    <row r="319" spans="1:4" x14ac:dyDescent="0.35">
      <c r="A319" s="1">
        <v>6872</v>
      </c>
      <c r="B319" s="2">
        <v>46216</v>
      </c>
      <c r="C319" s="1" t="s">
        <v>34</v>
      </c>
      <c r="D319" s="1">
        <f t="shared" si="4"/>
        <v>7</v>
      </c>
    </row>
    <row r="320" spans="1:4" x14ac:dyDescent="0.35">
      <c r="A320" s="1">
        <v>6871</v>
      </c>
      <c r="B320" s="2">
        <v>46216</v>
      </c>
      <c r="C320" s="1" t="s">
        <v>34</v>
      </c>
      <c r="D320" s="1">
        <f t="shared" si="4"/>
        <v>7</v>
      </c>
    </row>
    <row r="321" spans="1:4" x14ac:dyDescent="0.35">
      <c r="A321" s="1">
        <v>6870</v>
      </c>
      <c r="B321" s="2">
        <v>46216</v>
      </c>
      <c r="C321" s="1" t="s">
        <v>34</v>
      </c>
      <c r="D321" s="1">
        <f t="shared" si="4"/>
        <v>7</v>
      </c>
    </row>
    <row r="322" spans="1:4" x14ac:dyDescent="0.35">
      <c r="A322" s="1">
        <v>6869</v>
      </c>
      <c r="B322" s="2">
        <v>46216</v>
      </c>
      <c r="C322" s="1" t="s">
        <v>34</v>
      </c>
      <c r="D322" s="1">
        <f t="shared" ref="D322:D385" si="5">MONTH(B322)</f>
        <v>7</v>
      </c>
    </row>
    <row r="323" spans="1:4" x14ac:dyDescent="0.35">
      <c r="A323" s="1">
        <v>6868</v>
      </c>
      <c r="B323" s="2">
        <v>46216</v>
      </c>
      <c r="C323" s="1" t="s">
        <v>34</v>
      </c>
      <c r="D323" s="1">
        <f t="shared" si="5"/>
        <v>7</v>
      </c>
    </row>
    <row r="324" spans="1:4" x14ac:dyDescent="0.35">
      <c r="A324" s="1">
        <v>6867</v>
      </c>
      <c r="B324" s="2">
        <v>46216</v>
      </c>
      <c r="C324" s="1" t="s">
        <v>9</v>
      </c>
      <c r="D324" s="1">
        <f t="shared" si="5"/>
        <v>7</v>
      </c>
    </row>
    <row r="325" spans="1:4" x14ac:dyDescent="0.35">
      <c r="A325" s="1">
        <v>6866</v>
      </c>
      <c r="B325" s="2">
        <v>46216</v>
      </c>
      <c r="C325" s="1" t="s">
        <v>9</v>
      </c>
      <c r="D325" s="1">
        <f t="shared" si="5"/>
        <v>7</v>
      </c>
    </row>
    <row r="326" spans="1:4" x14ac:dyDescent="0.35">
      <c r="A326" s="1">
        <v>6886</v>
      </c>
      <c r="B326" s="2">
        <v>46217</v>
      </c>
      <c r="C326" s="1" t="s">
        <v>9</v>
      </c>
      <c r="D326" s="1">
        <f t="shared" si="5"/>
        <v>7</v>
      </c>
    </row>
    <row r="327" spans="1:4" x14ac:dyDescent="0.35">
      <c r="A327" s="1">
        <v>6885</v>
      </c>
      <c r="B327" s="2">
        <v>46217</v>
      </c>
      <c r="C327" s="1" t="s">
        <v>19</v>
      </c>
      <c r="D327" s="1">
        <f t="shared" si="5"/>
        <v>7</v>
      </c>
    </row>
    <row r="328" spans="1:4" x14ac:dyDescent="0.35">
      <c r="A328" s="1">
        <v>6895</v>
      </c>
      <c r="B328" s="2">
        <v>46217</v>
      </c>
      <c r="C328" s="1" t="s">
        <v>9</v>
      </c>
      <c r="D328" s="1">
        <f t="shared" si="5"/>
        <v>7</v>
      </c>
    </row>
    <row r="329" spans="1:4" x14ac:dyDescent="0.35">
      <c r="A329" s="1">
        <v>6894</v>
      </c>
      <c r="B329" s="2">
        <v>46217</v>
      </c>
      <c r="C329" s="1" t="s">
        <v>9</v>
      </c>
      <c r="D329" s="1">
        <f t="shared" si="5"/>
        <v>7</v>
      </c>
    </row>
    <row r="330" spans="1:4" x14ac:dyDescent="0.35">
      <c r="A330" s="1">
        <v>6891</v>
      </c>
      <c r="B330" s="2">
        <v>46217</v>
      </c>
      <c r="C330" s="1" t="s">
        <v>9</v>
      </c>
      <c r="D330" s="1">
        <f t="shared" si="5"/>
        <v>7</v>
      </c>
    </row>
    <row r="331" spans="1:4" x14ac:dyDescent="0.35">
      <c r="A331" s="1">
        <v>6902</v>
      </c>
      <c r="B331" s="2">
        <v>46218</v>
      </c>
      <c r="C331" s="1" t="s">
        <v>9</v>
      </c>
      <c r="D331" s="1">
        <f t="shared" si="5"/>
        <v>7</v>
      </c>
    </row>
    <row r="332" spans="1:4" x14ac:dyDescent="0.35">
      <c r="A332" s="1">
        <v>6925</v>
      </c>
      <c r="B332" s="2">
        <v>46223</v>
      </c>
      <c r="C332" s="1" t="s">
        <v>34</v>
      </c>
      <c r="D332" s="1">
        <f t="shared" si="5"/>
        <v>7</v>
      </c>
    </row>
    <row r="333" spans="1:4" x14ac:dyDescent="0.35">
      <c r="A333" s="1">
        <v>6924</v>
      </c>
      <c r="B333" s="2">
        <v>46223</v>
      </c>
      <c r="C333" s="1" t="s">
        <v>34</v>
      </c>
      <c r="D333" s="1">
        <f t="shared" si="5"/>
        <v>7</v>
      </c>
    </row>
    <row r="334" spans="1:4" x14ac:dyDescent="0.35">
      <c r="A334" s="1">
        <v>6923</v>
      </c>
      <c r="B334" s="2">
        <v>46223</v>
      </c>
      <c r="C334" s="1" t="s">
        <v>34</v>
      </c>
      <c r="D334" s="1">
        <f t="shared" si="5"/>
        <v>7</v>
      </c>
    </row>
    <row r="335" spans="1:4" x14ac:dyDescent="0.35">
      <c r="A335" s="1">
        <v>6922</v>
      </c>
      <c r="B335" s="2">
        <v>46223</v>
      </c>
      <c r="C335" s="1" t="s">
        <v>34</v>
      </c>
      <c r="D335" s="1">
        <f t="shared" si="5"/>
        <v>7</v>
      </c>
    </row>
    <row r="336" spans="1:4" x14ac:dyDescent="0.35">
      <c r="A336" s="1">
        <v>6921</v>
      </c>
      <c r="B336" s="2">
        <v>46223</v>
      </c>
      <c r="C336" s="1" t="s">
        <v>34</v>
      </c>
      <c r="D336" s="1">
        <f t="shared" si="5"/>
        <v>7</v>
      </c>
    </row>
    <row r="337" spans="1:4" x14ac:dyDescent="0.35">
      <c r="A337" s="1">
        <v>6919</v>
      </c>
      <c r="B337" s="2">
        <v>46223</v>
      </c>
      <c r="C337" s="1" t="s">
        <v>34</v>
      </c>
      <c r="D337" s="1">
        <f t="shared" si="5"/>
        <v>7</v>
      </c>
    </row>
    <row r="338" spans="1:4" x14ac:dyDescent="0.35">
      <c r="A338" s="1">
        <v>6918</v>
      </c>
      <c r="B338" s="2">
        <v>46223</v>
      </c>
      <c r="C338" s="1" t="s">
        <v>34</v>
      </c>
      <c r="D338" s="1">
        <f t="shared" si="5"/>
        <v>7</v>
      </c>
    </row>
    <row r="339" spans="1:4" x14ac:dyDescent="0.35">
      <c r="A339" s="1">
        <v>6916</v>
      </c>
      <c r="B339" s="2">
        <v>46223</v>
      </c>
      <c r="C339" s="1" t="s">
        <v>34</v>
      </c>
      <c r="D339" s="1">
        <f t="shared" si="5"/>
        <v>7</v>
      </c>
    </row>
    <row r="340" spans="1:4" x14ac:dyDescent="0.35">
      <c r="A340" s="1">
        <v>6915</v>
      </c>
      <c r="B340" s="2">
        <v>46223</v>
      </c>
      <c r="C340" s="1" t="s">
        <v>34</v>
      </c>
      <c r="D340" s="1">
        <f t="shared" si="5"/>
        <v>7</v>
      </c>
    </row>
    <row r="341" spans="1:4" x14ac:dyDescent="0.35">
      <c r="A341" s="1">
        <v>6914</v>
      </c>
      <c r="B341" s="2">
        <v>46223</v>
      </c>
      <c r="C341" s="1" t="s">
        <v>34</v>
      </c>
      <c r="D341" s="1">
        <f t="shared" si="5"/>
        <v>7</v>
      </c>
    </row>
    <row r="342" spans="1:4" x14ac:dyDescent="0.35">
      <c r="A342" s="1">
        <v>6934</v>
      </c>
      <c r="B342" s="2">
        <v>46223</v>
      </c>
      <c r="C342" s="1" t="s">
        <v>3</v>
      </c>
      <c r="D342" s="1">
        <f t="shared" si="5"/>
        <v>7</v>
      </c>
    </row>
    <row r="343" spans="1:4" x14ac:dyDescent="0.35">
      <c r="A343" s="1">
        <v>6933</v>
      </c>
      <c r="B343" s="2">
        <v>46223</v>
      </c>
      <c r="C343" s="1" t="s">
        <v>9</v>
      </c>
      <c r="D343" s="1">
        <f t="shared" si="5"/>
        <v>7</v>
      </c>
    </row>
    <row r="344" spans="1:4" x14ac:dyDescent="0.35">
      <c r="A344" s="1">
        <v>6932</v>
      </c>
      <c r="B344" s="2">
        <v>46223</v>
      </c>
      <c r="C344" s="1" t="s">
        <v>34</v>
      </c>
      <c r="D344" s="1">
        <f t="shared" si="5"/>
        <v>7</v>
      </c>
    </row>
    <row r="345" spans="1:4" x14ac:dyDescent="0.35">
      <c r="A345" s="1">
        <v>6931</v>
      </c>
      <c r="B345" s="2">
        <v>46223</v>
      </c>
      <c r="C345" s="1" t="s">
        <v>34</v>
      </c>
      <c r="D345" s="1">
        <f t="shared" si="5"/>
        <v>7</v>
      </c>
    </row>
    <row r="346" spans="1:4" x14ac:dyDescent="0.35">
      <c r="A346" s="1">
        <v>6930</v>
      </c>
      <c r="B346" s="2">
        <v>46223</v>
      </c>
      <c r="C346" s="1" t="s">
        <v>34</v>
      </c>
      <c r="D346" s="1">
        <f t="shared" si="5"/>
        <v>7</v>
      </c>
    </row>
    <row r="347" spans="1:4" x14ac:dyDescent="0.35">
      <c r="A347" s="1">
        <v>6929</v>
      </c>
      <c r="B347" s="2">
        <v>46223</v>
      </c>
      <c r="C347" s="1" t="s">
        <v>34</v>
      </c>
      <c r="D347" s="1">
        <f t="shared" si="5"/>
        <v>7</v>
      </c>
    </row>
    <row r="348" spans="1:4" x14ac:dyDescent="0.35">
      <c r="A348" s="1">
        <v>6927</v>
      </c>
      <c r="B348" s="2">
        <v>46223</v>
      </c>
      <c r="C348" s="1" t="s">
        <v>34</v>
      </c>
      <c r="D348" s="1">
        <f t="shared" si="5"/>
        <v>7</v>
      </c>
    </row>
    <row r="349" spans="1:4" x14ac:dyDescent="0.35">
      <c r="A349" s="1">
        <v>6939</v>
      </c>
      <c r="B349" s="2">
        <v>46224</v>
      </c>
      <c r="C349" s="1" t="s">
        <v>19</v>
      </c>
      <c r="D349" s="1">
        <f t="shared" si="5"/>
        <v>7</v>
      </c>
    </row>
    <row r="350" spans="1:4" x14ac:dyDescent="0.35">
      <c r="A350" s="1">
        <v>6938</v>
      </c>
      <c r="B350" s="2">
        <v>46224</v>
      </c>
      <c r="C350" s="1" t="s">
        <v>19</v>
      </c>
      <c r="D350" s="1">
        <f t="shared" si="5"/>
        <v>7</v>
      </c>
    </row>
    <row r="351" spans="1:4" x14ac:dyDescent="0.35">
      <c r="A351" s="1">
        <v>6937</v>
      </c>
      <c r="B351" s="2">
        <v>46224</v>
      </c>
      <c r="C351" s="1" t="s">
        <v>19</v>
      </c>
      <c r="D351" s="1">
        <f t="shared" si="5"/>
        <v>7</v>
      </c>
    </row>
    <row r="352" spans="1:4" x14ac:dyDescent="0.35">
      <c r="A352" s="1">
        <v>6936</v>
      </c>
      <c r="B352" s="2">
        <v>46224</v>
      </c>
      <c r="C352" s="1" t="s">
        <v>19</v>
      </c>
      <c r="D352" s="1">
        <f t="shared" si="5"/>
        <v>7</v>
      </c>
    </row>
    <row r="353" spans="1:4" x14ac:dyDescent="0.35">
      <c r="A353" s="1">
        <v>6935</v>
      </c>
      <c r="B353" s="2">
        <v>46224</v>
      </c>
      <c r="C353" s="1" t="s">
        <v>19</v>
      </c>
      <c r="D353" s="1">
        <f t="shared" si="5"/>
        <v>7</v>
      </c>
    </row>
    <row r="354" spans="1:4" x14ac:dyDescent="0.35">
      <c r="A354" s="1">
        <v>6953</v>
      </c>
      <c r="B354" s="2">
        <v>46224</v>
      </c>
      <c r="C354" s="1" t="s">
        <v>3</v>
      </c>
      <c r="D354" s="1">
        <f t="shared" si="5"/>
        <v>7</v>
      </c>
    </row>
    <row r="355" spans="1:4" x14ac:dyDescent="0.35">
      <c r="A355" s="1">
        <v>6950</v>
      </c>
      <c r="B355" s="2">
        <v>46224</v>
      </c>
      <c r="C355" s="1" t="s">
        <v>9</v>
      </c>
      <c r="D355" s="1">
        <f t="shared" si="5"/>
        <v>7</v>
      </c>
    </row>
    <row r="356" spans="1:4" x14ac:dyDescent="0.35">
      <c r="A356" s="1">
        <v>6949</v>
      </c>
      <c r="B356" s="2">
        <v>46224</v>
      </c>
      <c r="C356" s="1" t="s">
        <v>3</v>
      </c>
      <c r="D356" s="1">
        <f t="shared" si="5"/>
        <v>7</v>
      </c>
    </row>
    <row r="357" spans="1:4" x14ac:dyDescent="0.35">
      <c r="A357" s="1">
        <v>6945</v>
      </c>
      <c r="B357" s="2">
        <v>46224</v>
      </c>
      <c r="C357" s="1" t="s">
        <v>9</v>
      </c>
      <c r="D357" s="1">
        <f t="shared" si="5"/>
        <v>7</v>
      </c>
    </row>
    <row r="358" spans="1:4" x14ac:dyDescent="0.35">
      <c r="A358" s="1">
        <v>6944</v>
      </c>
      <c r="B358" s="2">
        <v>46224</v>
      </c>
      <c r="C358" s="1" t="s">
        <v>9</v>
      </c>
      <c r="D358" s="1">
        <f t="shared" si="5"/>
        <v>7</v>
      </c>
    </row>
    <row r="359" spans="1:4" x14ac:dyDescent="0.35">
      <c r="A359" s="1">
        <v>6943</v>
      </c>
      <c r="B359" s="2">
        <v>46224</v>
      </c>
      <c r="C359" s="1" t="s">
        <v>9</v>
      </c>
      <c r="D359" s="1">
        <f t="shared" si="5"/>
        <v>7</v>
      </c>
    </row>
    <row r="360" spans="1:4" x14ac:dyDescent="0.35">
      <c r="A360" s="1">
        <v>6963</v>
      </c>
      <c r="B360" s="2">
        <v>46225</v>
      </c>
      <c r="C360" s="1" t="s">
        <v>3</v>
      </c>
      <c r="D360" s="1">
        <f t="shared" si="5"/>
        <v>7</v>
      </c>
    </row>
    <row r="361" spans="1:4" x14ac:dyDescent="0.35">
      <c r="A361" s="1">
        <v>6962</v>
      </c>
      <c r="B361" s="2">
        <v>46225</v>
      </c>
      <c r="C361" s="1" t="s">
        <v>19</v>
      </c>
      <c r="D361" s="1">
        <f t="shared" si="5"/>
        <v>7</v>
      </c>
    </row>
    <row r="362" spans="1:4" x14ac:dyDescent="0.35">
      <c r="A362" s="1">
        <v>6961</v>
      </c>
      <c r="B362" s="2">
        <v>46225</v>
      </c>
      <c r="C362" s="1" t="s">
        <v>9</v>
      </c>
      <c r="D362" s="1">
        <f t="shared" si="5"/>
        <v>7</v>
      </c>
    </row>
    <row r="363" spans="1:4" x14ac:dyDescent="0.35">
      <c r="A363" s="1">
        <v>6960</v>
      </c>
      <c r="B363" s="2">
        <v>46225</v>
      </c>
      <c r="C363" s="1" t="s">
        <v>9</v>
      </c>
      <c r="D363" s="1">
        <f t="shared" si="5"/>
        <v>7</v>
      </c>
    </row>
    <row r="364" spans="1:4" x14ac:dyDescent="0.35">
      <c r="A364" s="1">
        <v>6959</v>
      </c>
      <c r="B364" s="2">
        <v>46225</v>
      </c>
      <c r="C364" s="1" t="s">
        <v>9</v>
      </c>
      <c r="D364" s="1">
        <f t="shared" si="5"/>
        <v>7</v>
      </c>
    </row>
    <row r="365" spans="1:4" x14ac:dyDescent="0.35">
      <c r="A365" s="1">
        <v>6958</v>
      </c>
      <c r="B365" s="2">
        <v>46225</v>
      </c>
      <c r="C365" s="1" t="s">
        <v>3</v>
      </c>
      <c r="D365" s="1">
        <f t="shared" si="5"/>
        <v>7</v>
      </c>
    </row>
    <row r="366" spans="1:4" x14ac:dyDescent="0.35">
      <c r="A366" s="1">
        <v>6956</v>
      </c>
      <c r="B366" s="2">
        <v>46225</v>
      </c>
      <c r="C366" s="1" t="s">
        <v>19</v>
      </c>
      <c r="D366" s="1">
        <f t="shared" si="5"/>
        <v>7</v>
      </c>
    </row>
    <row r="367" spans="1:4" x14ac:dyDescent="0.35">
      <c r="A367" s="1">
        <v>6986</v>
      </c>
      <c r="B367" s="2">
        <v>46226</v>
      </c>
      <c r="C367" s="1" t="s">
        <v>9</v>
      </c>
      <c r="D367" s="1">
        <f t="shared" si="5"/>
        <v>7</v>
      </c>
    </row>
    <row r="368" spans="1:4" x14ac:dyDescent="0.35">
      <c r="A368" s="1">
        <v>6985</v>
      </c>
      <c r="B368" s="2">
        <v>46226</v>
      </c>
      <c r="C368" s="1" t="s">
        <v>9</v>
      </c>
      <c r="D368" s="1">
        <f t="shared" si="5"/>
        <v>7</v>
      </c>
    </row>
    <row r="369" spans="1:4" x14ac:dyDescent="0.35">
      <c r="A369" s="1">
        <v>6982</v>
      </c>
      <c r="B369" s="2">
        <v>46226</v>
      </c>
      <c r="C369" s="1" t="s">
        <v>19</v>
      </c>
      <c r="D369" s="1">
        <f t="shared" si="5"/>
        <v>7</v>
      </c>
    </row>
    <row r="370" spans="1:4" x14ac:dyDescent="0.35">
      <c r="A370" s="1">
        <v>6978</v>
      </c>
      <c r="B370" s="2">
        <v>46226</v>
      </c>
      <c r="C370" s="1" t="s">
        <v>9</v>
      </c>
      <c r="D370" s="1">
        <f t="shared" si="5"/>
        <v>7</v>
      </c>
    </row>
    <row r="371" spans="1:4" x14ac:dyDescent="0.35">
      <c r="A371" s="1">
        <v>6968</v>
      </c>
      <c r="B371" s="2">
        <v>46226</v>
      </c>
      <c r="C371" s="1" t="s">
        <v>9</v>
      </c>
      <c r="D371" s="1">
        <f t="shared" si="5"/>
        <v>7</v>
      </c>
    </row>
    <row r="372" spans="1:4" x14ac:dyDescent="0.35">
      <c r="A372" s="1">
        <v>6966</v>
      </c>
      <c r="B372" s="2">
        <v>46226</v>
      </c>
      <c r="C372" s="1" t="s">
        <v>9</v>
      </c>
      <c r="D372" s="1">
        <f t="shared" si="5"/>
        <v>7</v>
      </c>
    </row>
    <row r="373" spans="1:4" x14ac:dyDescent="0.35">
      <c r="A373" s="1">
        <v>6995</v>
      </c>
      <c r="B373" s="2">
        <v>46227</v>
      </c>
      <c r="C373" s="1" t="s">
        <v>9</v>
      </c>
      <c r="D373" s="1">
        <f t="shared" si="5"/>
        <v>7</v>
      </c>
    </row>
    <row r="374" spans="1:4" x14ac:dyDescent="0.35">
      <c r="A374" s="1">
        <v>6994</v>
      </c>
      <c r="B374" s="2">
        <v>46227</v>
      </c>
      <c r="C374" s="1" t="s">
        <v>9</v>
      </c>
      <c r="D374" s="1">
        <f t="shared" si="5"/>
        <v>7</v>
      </c>
    </row>
    <row r="375" spans="1:4" x14ac:dyDescent="0.35">
      <c r="A375" s="1">
        <v>6991</v>
      </c>
      <c r="B375" s="2">
        <v>46227</v>
      </c>
      <c r="C375" s="1" t="s">
        <v>9</v>
      </c>
      <c r="D375" s="1">
        <f t="shared" si="5"/>
        <v>7</v>
      </c>
    </row>
    <row r="376" spans="1:4" x14ac:dyDescent="0.35">
      <c r="A376" s="1">
        <v>7001</v>
      </c>
      <c r="B376" s="2">
        <v>46230</v>
      </c>
      <c r="C376" s="1" t="s">
        <v>9</v>
      </c>
      <c r="D376" s="1">
        <f t="shared" si="5"/>
        <v>7</v>
      </c>
    </row>
    <row r="377" spans="1:4" x14ac:dyDescent="0.35">
      <c r="A377" s="1">
        <v>7000</v>
      </c>
      <c r="B377" s="2">
        <v>46230</v>
      </c>
      <c r="C377" s="1" t="s">
        <v>9</v>
      </c>
      <c r="D377" s="1">
        <f t="shared" si="5"/>
        <v>7</v>
      </c>
    </row>
    <row r="378" spans="1:4" x14ac:dyDescent="0.35">
      <c r="A378" s="1">
        <v>6997</v>
      </c>
      <c r="B378" s="2">
        <v>46230</v>
      </c>
      <c r="C378" s="1" t="s">
        <v>19</v>
      </c>
      <c r="D378" s="1">
        <f t="shared" si="5"/>
        <v>7</v>
      </c>
    </row>
    <row r="379" spans="1:4" x14ac:dyDescent="0.35">
      <c r="A379" s="1">
        <v>7002</v>
      </c>
      <c r="B379" s="2">
        <v>46231</v>
      </c>
      <c r="C379" s="1" t="s">
        <v>19</v>
      </c>
      <c r="D379" s="1">
        <f t="shared" si="5"/>
        <v>7</v>
      </c>
    </row>
    <row r="380" spans="1:4" x14ac:dyDescent="0.35">
      <c r="A380" s="1">
        <v>7010</v>
      </c>
      <c r="B380" s="2">
        <v>46231</v>
      </c>
      <c r="C380" s="1" t="s">
        <v>9</v>
      </c>
      <c r="D380" s="1">
        <f t="shared" si="5"/>
        <v>7</v>
      </c>
    </row>
    <row r="381" spans="1:4" x14ac:dyDescent="0.35">
      <c r="A381" s="1">
        <v>7009</v>
      </c>
      <c r="B381" s="2">
        <v>46231</v>
      </c>
      <c r="C381" s="1" t="s">
        <v>9</v>
      </c>
      <c r="D381" s="1">
        <f t="shared" si="5"/>
        <v>7</v>
      </c>
    </row>
    <row r="382" spans="1:4" x14ac:dyDescent="0.35">
      <c r="A382" s="1">
        <v>7008</v>
      </c>
      <c r="B382" s="2">
        <v>46231</v>
      </c>
      <c r="C382" s="1" t="s">
        <v>9</v>
      </c>
      <c r="D382" s="1">
        <f t="shared" si="5"/>
        <v>7</v>
      </c>
    </row>
    <row r="383" spans="1:4" x14ac:dyDescent="0.35">
      <c r="A383" s="1">
        <v>7007</v>
      </c>
      <c r="B383" s="2">
        <v>46231</v>
      </c>
      <c r="C383" s="1" t="s">
        <v>9</v>
      </c>
      <c r="D383" s="1">
        <f t="shared" si="5"/>
        <v>7</v>
      </c>
    </row>
    <row r="384" spans="1:4" x14ac:dyDescent="0.35">
      <c r="A384" s="1">
        <v>7005</v>
      </c>
      <c r="B384" s="2">
        <v>46231</v>
      </c>
      <c r="C384" s="1" t="s">
        <v>3</v>
      </c>
      <c r="D384" s="1">
        <f t="shared" si="5"/>
        <v>7</v>
      </c>
    </row>
    <row r="385" spans="1:4" x14ac:dyDescent="0.35">
      <c r="A385" s="1">
        <v>7003</v>
      </c>
      <c r="B385" s="2">
        <v>46231</v>
      </c>
      <c r="C385" s="1" t="s">
        <v>21</v>
      </c>
      <c r="D385" s="1">
        <f t="shared" si="5"/>
        <v>7</v>
      </c>
    </row>
    <row r="386" spans="1:4" x14ac:dyDescent="0.35">
      <c r="A386" s="1">
        <v>7021</v>
      </c>
      <c r="B386" s="2">
        <v>46232</v>
      </c>
      <c r="C386" s="1" t="s">
        <v>9</v>
      </c>
      <c r="D386" s="1">
        <f t="shared" ref="D386:D449" si="6">MONTH(B386)</f>
        <v>7</v>
      </c>
    </row>
    <row r="387" spans="1:4" x14ac:dyDescent="0.35">
      <c r="A387" s="1">
        <v>7020</v>
      </c>
      <c r="B387" s="2">
        <v>46232</v>
      </c>
      <c r="C387" s="1" t="s">
        <v>9</v>
      </c>
      <c r="D387" s="1">
        <f t="shared" si="6"/>
        <v>7</v>
      </c>
    </row>
    <row r="388" spans="1:4" x14ac:dyDescent="0.35">
      <c r="A388" s="1">
        <v>7019</v>
      </c>
      <c r="B388" s="2">
        <v>46232</v>
      </c>
      <c r="C388" s="1" t="s">
        <v>9</v>
      </c>
      <c r="D388" s="1">
        <f t="shared" si="6"/>
        <v>7</v>
      </c>
    </row>
    <row r="389" spans="1:4" x14ac:dyDescent="0.35">
      <c r="A389" s="1">
        <v>7011</v>
      </c>
      <c r="B389" s="2">
        <v>46232</v>
      </c>
      <c r="C389" s="1" t="s">
        <v>19</v>
      </c>
      <c r="D389" s="1">
        <f t="shared" si="6"/>
        <v>7</v>
      </c>
    </row>
    <row r="390" spans="1:4" x14ac:dyDescent="0.35">
      <c r="A390" s="1">
        <v>7025</v>
      </c>
      <c r="B390" s="2">
        <v>46233</v>
      </c>
      <c r="C390" s="1" t="s">
        <v>3</v>
      </c>
      <c r="D390" s="1">
        <f t="shared" si="6"/>
        <v>7</v>
      </c>
    </row>
    <row r="391" spans="1:4" x14ac:dyDescent="0.35">
      <c r="A391" s="1">
        <v>7024</v>
      </c>
      <c r="B391" s="2">
        <v>46233</v>
      </c>
      <c r="C391" s="1" t="s">
        <v>3</v>
      </c>
      <c r="D391" s="1">
        <f t="shared" si="6"/>
        <v>7</v>
      </c>
    </row>
    <row r="392" spans="1:4" x14ac:dyDescent="0.35">
      <c r="A392" s="1">
        <v>7022</v>
      </c>
      <c r="B392" s="2">
        <v>46233</v>
      </c>
      <c r="C392" s="1" t="s">
        <v>3</v>
      </c>
      <c r="D392" s="1">
        <f t="shared" si="6"/>
        <v>7</v>
      </c>
    </row>
    <row r="393" spans="1:4" x14ac:dyDescent="0.35">
      <c r="A393" s="1">
        <v>7027</v>
      </c>
      <c r="B393" s="2">
        <v>46233</v>
      </c>
      <c r="C393" s="1" t="s">
        <v>9</v>
      </c>
      <c r="D393" s="1">
        <f t="shared" si="6"/>
        <v>7</v>
      </c>
    </row>
    <row r="394" spans="1:4" x14ac:dyDescent="0.35">
      <c r="A394" s="1">
        <v>7026</v>
      </c>
      <c r="B394" s="2">
        <v>46233</v>
      </c>
      <c r="C394" s="1" t="s">
        <v>9</v>
      </c>
      <c r="D394" s="1">
        <f t="shared" si="6"/>
        <v>7</v>
      </c>
    </row>
    <row r="395" spans="1:4" x14ac:dyDescent="0.35">
      <c r="A395" s="1">
        <v>7035</v>
      </c>
      <c r="B395" s="2">
        <v>46234</v>
      </c>
      <c r="C395" s="1" t="s">
        <v>3</v>
      </c>
      <c r="D395" s="1">
        <f t="shared" si="6"/>
        <v>7</v>
      </c>
    </row>
    <row r="396" spans="1:4" x14ac:dyDescent="0.35">
      <c r="A396" s="1">
        <v>7034</v>
      </c>
      <c r="B396" s="2">
        <v>46234</v>
      </c>
      <c r="C396" s="1" t="s">
        <v>9</v>
      </c>
      <c r="D396" s="1">
        <f t="shared" si="6"/>
        <v>7</v>
      </c>
    </row>
    <row r="397" spans="1:4" x14ac:dyDescent="0.35">
      <c r="A397" s="1">
        <v>7039</v>
      </c>
      <c r="B397" s="2">
        <v>46237</v>
      </c>
      <c r="C397" s="1" t="s">
        <v>34</v>
      </c>
      <c r="D397" s="1">
        <f t="shared" si="6"/>
        <v>8</v>
      </c>
    </row>
    <row r="398" spans="1:4" x14ac:dyDescent="0.35">
      <c r="A398" s="1">
        <v>7038</v>
      </c>
      <c r="B398" s="2">
        <v>46237</v>
      </c>
      <c r="C398" s="1" t="s">
        <v>34</v>
      </c>
      <c r="D398" s="1">
        <f t="shared" si="6"/>
        <v>8</v>
      </c>
    </row>
    <row r="399" spans="1:4" x14ac:dyDescent="0.35">
      <c r="A399" s="1">
        <v>7075</v>
      </c>
      <c r="B399" s="2">
        <v>46237</v>
      </c>
      <c r="C399" s="1" t="s">
        <v>34</v>
      </c>
      <c r="D399" s="1">
        <f t="shared" si="6"/>
        <v>8</v>
      </c>
    </row>
    <row r="400" spans="1:4" x14ac:dyDescent="0.35">
      <c r="A400" s="1">
        <v>7074</v>
      </c>
      <c r="B400" s="2">
        <v>46237</v>
      </c>
      <c r="C400" s="1" t="s">
        <v>34</v>
      </c>
      <c r="D400" s="1">
        <f t="shared" si="6"/>
        <v>8</v>
      </c>
    </row>
    <row r="401" spans="1:4" x14ac:dyDescent="0.35">
      <c r="A401" s="1">
        <v>7073</v>
      </c>
      <c r="B401" s="2">
        <v>46237</v>
      </c>
      <c r="C401" s="1" t="s">
        <v>34</v>
      </c>
      <c r="D401" s="1">
        <f t="shared" si="6"/>
        <v>8</v>
      </c>
    </row>
    <row r="402" spans="1:4" x14ac:dyDescent="0.35">
      <c r="A402" s="1">
        <v>7072</v>
      </c>
      <c r="B402" s="2">
        <v>46237</v>
      </c>
      <c r="C402" s="1" t="s">
        <v>34</v>
      </c>
      <c r="D402" s="1">
        <f t="shared" si="6"/>
        <v>8</v>
      </c>
    </row>
    <row r="403" spans="1:4" x14ac:dyDescent="0.35">
      <c r="A403" s="1">
        <v>7071</v>
      </c>
      <c r="B403" s="2">
        <v>46237</v>
      </c>
      <c r="C403" s="1" t="s">
        <v>34</v>
      </c>
      <c r="D403" s="1">
        <f t="shared" si="6"/>
        <v>8</v>
      </c>
    </row>
    <row r="404" spans="1:4" x14ac:dyDescent="0.35">
      <c r="A404" s="1">
        <v>7070</v>
      </c>
      <c r="B404" s="2">
        <v>46237</v>
      </c>
      <c r="C404" s="1" t="s">
        <v>34</v>
      </c>
      <c r="D404" s="1">
        <f t="shared" si="6"/>
        <v>8</v>
      </c>
    </row>
    <row r="405" spans="1:4" x14ac:dyDescent="0.35">
      <c r="A405" s="1">
        <v>7069</v>
      </c>
      <c r="B405" s="2">
        <v>46237</v>
      </c>
      <c r="C405" s="1" t="s">
        <v>34</v>
      </c>
      <c r="D405" s="1">
        <f t="shared" si="6"/>
        <v>8</v>
      </c>
    </row>
    <row r="406" spans="1:4" x14ac:dyDescent="0.35">
      <c r="A406" s="1">
        <v>7068</v>
      </c>
      <c r="B406" s="2">
        <v>46237</v>
      </c>
      <c r="C406" s="1" t="s">
        <v>34</v>
      </c>
      <c r="D406" s="1">
        <f t="shared" si="6"/>
        <v>8</v>
      </c>
    </row>
    <row r="407" spans="1:4" x14ac:dyDescent="0.35">
      <c r="A407" s="1">
        <v>7067</v>
      </c>
      <c r="B407" s="2">
        <v>46237</v>
      </c>
      <c r="C407" s="1" t="s">
        <v>34</v>
      </c>
      <c r="D407" s="1">
        <f t="shared" si="6"/>
        <v>8</v>
      </c>
    </row>
    <row r="408" spans="1:4" x14ac:dyDescent="0.35">
      <c r="A408" s="1">
        <v>7066</v>
      </c>
      <c r="B408" s="2">
        <v>46237</v>
      </c>
      <c r="C408" s="1" t="s">
        <v>34</v>
      </c>
      <c r="D408" s="1">
        <f t="shared" si="6"/>
        <v>8</v>
      </c>
    </row>
    <row r="409" spans="1:4" x14ac:dyDescent="0.35">
      <c r="A409" s="1">
        <v>7065</v>
      </c>
      <c r="B409" s="2">
        <v>46237</v>
      </c>
      <c r="C409" s="1" t="s">
        <v>34</v>
      </c>
      <c r="D409" s="1">
        <f t="shared" si="6"/>
        <v>8</v>
      </c>
    </row>
    <row r="410" spans="1:4" x14ac:dyDescent="0.35">
      <c r="A410" s="1">
        <v>7064</v>
      </c>
      <c r="B410" s="2">
        <v>46237</v>
      </c>
      <c r="C410" s="1" t="s">
        <v>34</v>
      </c>
      <c r="D410" s="1">
        <f t="shared" si="6"/>
        <v>8</v>
      </c>
    </row>
    <row r="411" spans="1:4" x14ac:dyDescent="0.35">
      <c r="A411" s="1">
        <v>7063</v>
      </c>
      <c r="B411" s="2">
        <v>46237</v>
      </c>
      <c r="C411" s="1" t="s">
        <v>34</v>
      </c>
      <c r="D411" s="1">
        <f t="shared" si="6"/>
        <v>8</v>
      </c>
    </row>
    <row r="412" spans="1:4" x14ac:dyDescent="0.35">
      <c r="A412" s="1">
        <v>7062</v>
      </c>
      <c r="B412" s="2">
        <v>46237</v>
      </c>
      <c r="C412" s="1" t="s">
        <v>34</v>
      </c>
      <c r="D412" s="1">
        <f t="shared" si="6"/>
        <v>8</v>
      </c>
    </row>
    <row r="413" spans="1:4" x14ac:dyDescent="0.35">
      <c r="A413" s="1">
        <v>7061</v>
      </c>
      <c r="B413" s="2">
        <v>46237</v>
      </c>
      <c r="C413" s="1" t="s">
        <v>34</v>
      </c>
      <c r="D413" s="1">
        <f t="shared" si="6"/>
        <v>8</v>
      </c>
    </row>
    <row r="414" spans="1:4" x14ac:dyDescent="0.35">
      <c r="A414" s="1">
        <v>7060</v>
      </c>
      <c r="B414" s="2">
        <v>46237</v>
      </c>
      <c r="C414" s="1" t="s">
        <v>34</v>
      </c>
      <c r="D414" s="1">
        <f t="shared" si="6"/>
        <v>8</v>
      </c>
    </row>
    <row r="415" spans="1:4" x14ac:dyDescent="0.35">
      <c r="A415" s="1">
        <v>7059</v>
      </c>
      <c r="B415" s="2">
        <v>46237</v>
      </c>
      <c r="C415" s="1" t="s">
        <v>34</v>
      </c>
      <c r="D415" s="1">
        <f t="shared" si="6"/>
        <v>8</v>
      </c>
    </row>
    <row r="416" spans="1:4" x14ac:dyDescent="0.35">
      <c r="A416" s="1">
        <v>7058</v>
      </c>
      <c r="B416" s="2">
        <v>46237</v>
      </c>
      <c r="C416" s="1" t="s">
        <v>34</v>
      </c>
      <c r="D416" s="1">
        <f t="shared" si="6"/>
        <v>8</v>
      </c>
    </row>
    <row r="417" spans="1:4" x14ac:dyDescent="0.35">
      <c r="A417" s="1">
        <v>7057</v>
      </c>
      <c r="B417" s="2">
        <v>46237</v>
      </c>
      <c r="C417" s="1" t="s">
        <v>34</v>
      </c>
      <c r="D417" s="1">
        <f t="shared" si="6"/>
        <v>8</v>
      </c>
    </row>
    <row r="418" spans="1:4" x14ac:dyDescent="0.35">
      <c r="A418" s="1">
        <v>7056</v>
      </c>
      <c r="B418" s="2">
        <v>46237</v>
      </c>
      <c r="C418" s="1" t="s">
        <v>34</v>
      </c>
      <c r="D418" s="1">
        <f t="shared" si="6"/>
        <v>8</v>
      </c>
    </row>
    <row r="419" spans="1:4" x14ac:dyDescent="0.35">
      <c r="A419" s="1">
        <v>7055</v>
      </c>
      <c r="B419" s="2">
        <v>46237</v>
      </c>
      <c r="C419" s="1" t="s">
        <v>34</v>
      </c>
      <c r="D419" s="1">
        <f t="shared" si="6"/>
        <v>8</v>
      </c>
    </row>
    <row r="420" spans="1:4" x14ac:dyDescent="0.35">
      <c r="A420" s="1">
        <v>7054</v>
      </c>
      <c r="B420" s="2">
        <v>46237</v>
      </c>
      <c r="C420" s="1" t="s">
        <v>34</v>
      </c>
      <c r="D420" s="1">
        <f t="shared" si="6"/>
        <v>8</v>
      </c>
    </row>
    <row r="421" spans="1:4" x14ac:dyDescent="0.35">
      <c r="A421" s="1">
        <v>7053</v>
      </c>
      <c r="B421" s="2">
        <v>46237</v>
      </c>
      <c r="C421" s="1" t="s">
        <v>34</v>
      </c>
      <c r="D421" s="1">
        <f t="shared" si="6"/>
        <v>8</v>
      </c>
    </row>
    <row r="422" spans="1:4" x14ac:dyDescent="0.35">
      <c r="A422" s="1">
        <v>7052</v>
      </c>
      <c r="B422" s="2">
        <v>46237</v>
      </c>
      <c r="C422" s="1" t="s">
        <v>34</v>
      </c>
      <c r="D422" s="1">
        <f t="shared" si="6"/>
        <v>8</v>
      </c>
    </row>
    <row r="423" spans="1:4" x14ac:dyDescent="0.35">
      <c r="A423" s="1">
        <v>7051</v>
      </c>
      <c r="B423" s="2">
        <v>46237</v>
      </c>
      <c r="C423" s="1" t="s">
        <v>34</v>
      </c>
      <c r="D423" s="1">
        <f t="shared" si="6"/>
        <v>8</v>
      </c>
    </row>
    <row r="424" spans="1:4" x14ac:dyDescent="0.35">
      <c r="A424" s="1">
        <v>7050</v>
      </c>
      <c r="B424" s="2">
        <v>46237</v>
      </c>
      <c r="C424" s="1" t="s">
        <v>34</v>
      </c>
      <c r="D424" s="1">
        <f t="shared" si="6"/>
        <v>8</v>
      </c>
    </row>
    <row r="425" spans="1:4" x14ac:dyDescent="0.35">
      <c r="A425" s="1">
        <v>7049</v>
      </c>
      <c r="B425" s="2">
        <v>46237</v>
      </c>
      <c r="C425" s="1" t="s">
        <v>34</v>
      </c>
      <c r="D425" s="1">
        <f t="shared" si="6"/>
        <v>8</v>
      </c>
    </row>
    <row r="426" spans="1:4" x14ac:dyDescent="0.35">
      <c r="A426" s="1">
        <v>7048</v>
      </c>
      <c r="B426" s="2">
        <v>46237</v>
      </c>
      <c r="C426" s="1" t="s">
        <v>34</v>
      </c>
      <c r="D426" s="1">
        <f t="shared" si="6"/>
        <v>8</v>
      </c>
    </row>
    <row r="427" spans="1:4" x14ac:dyDescent="0.35">
      <c r="A427" s="1">
        <v>7047</v>
      </c>
      <c r="B427" s="2">
        <v>46237</v>
      </c>
      <c r="C427" s="1" t="s">
        <v>34</v>
      </c>
      <c r="D427" s="1">
        <f t="shared" si="6"/>
        <v>8</v>
      </c>
    </row>
    <row r="428" spans="1:4" x14ac:dyDescent="0.35">
      <c r="A428" s="1">
        <v>7046</v>
      </c>
      <c r="B428" s="2">
        <v>46237</v>
      </c>
      <c r="C428" s="1" t="s">
        <v>34</v>
      </c>
      <c r="D428" s="1">
        <f t="shared" si="6"/>
        <v>8</v>
      </c>
    </row>
    <row r="429" spans="1:4" x14ac:dyDescent="0.35">
      <c r="A429" s="1">
        <v>7045</v>
      </c>
      <c r="B429" s="2">
        <v>46237</v>
      </c>
      <c r="C429" s="1" t="s">
        <v>34</v>
      </c>
      <c r="D429" s="1">
        <f t="shared" si="6"/>
        <v>8</v>
      </c>
    </row>
    <row r="430" spans="1:4" x14ac:dyDescent="0.35">
      <c r="A430" s="1">
        <v>7044</v>
      </c>
      <c r="B430" s="2">
        <v>46237</v>
      </c>
      <c r="C430" s="1" t="s">
        <v>34</v>
      </c>
      <c r="D430" s="1">
        <f t="shared" si="6"/>
        <v>8</v>
      </c>
    </row>
    <row r="431" spans="1:4" x14ac:dyDescent="0.35">
      <c r="A431" s="1">
        <v>7043</v>
      </c>
      <c r="B431" s="2">
        <v>46237</v>
      </c>
      <c r="C431" s="1" t="s">
        <v>34</v>
      </c>
      <c r="D431" s="1">
        <f t="shared" si="6"/>
        <v>8</v>
      </c>
    </row>
    <row r="432" spans="1:4" x14ac:dyDescent="0.35">
      <c r="A432" s="1">
        <v>7042</v>
      </c>
      <c r="B432" s="2">
        <v>46237</v>
      </c>
      <c r="C432" s="1" t="s">
        <v>34</v>
      </c>
      <c r="D432" s="1">
        <f t="shared" si="6"/>
        <v>8</v>
      </c>
    </row>
    <row r="433" spans="1:4" x14ac:dyDescent="0.35">
      <c r="A433" s="1">
        <v>7041</v>
      </c>
      <c r="B433" s="2">
        <v>46237</v>
      </c>
      <c r="C433" s="1" t="s">
        <v>34</v>
      </c>
      <c r="D433" s="1">
        <f t="shared" si="6"/>
        <v>8</v>
      </c>
    </row>
    <row r="434" spans="1:4" x14ac:dyDescent="0.35">
      <c r="A434" s="1">
        <v>7040</v>
      </c>
      <c r="B434" s="2">
        <v>46237</v>
      </c>
      <c r="C434" s="1" t="s">
        <v>34</v>
      </c>
      <c r="D434" s="1">
        <f t="shared" si="6"/>
        <v>8</v>
      </c>
    </row>
    <row r="435" spans="1:4" x14ac:dyDescent="0.35">
      <c r="A435" s="1">
        <v>7086</v>
      </c>
      <c r="B435" s="2">
        <v>46239</v>
      </c>
      <c r="C435" s="1" t="s">
        <v>9</v>
      </c>
      <c r="D435" s="1">
        <f t="shared" si="6"/>
        <v>8</v>
      </c>
    </row>
    <row r="436" spans="1:4" x14ac:dyDescent="0.35">
      <c r="A436" s="1">
        <v>7085</v>
      </c>
      <c r="B436" s="2">
        <v>46239</v>
      </c>
      <c r="C436" s="1" t="s">
        <v>9</v>
      </c>
      <c r="D436" s="1">
        <f t="shared" si="6"/>
        <v>8</v>
      </c>
    </row>
    <row r="437" spans="1:4" x14ac:dyDescent="0.35">
      <c r="A437" s="1">
        <v>7084</v>
      </c>
      <c r="B437" s="2">
        <v>46239</v>
      </c>
      <c r="C437" s="1" t="s">
        <v>9</v>
      </c>
      <c r="D437" s="1">
        <f t="shared" si="6"/>
        <v>8</v>
      </c>
    </row>
    <row r="438" spans="1:4" x14ac:dyDescent="0.35">
      <c r="A438" s="1">
        <v>7083</v>
      </c>
      <c r="B438" s="2">
        <v>46239</v>
      </c>
      <c r="C438" s="1" t="s">
        <v>19</v>
      </c>
      <c r="D438" s="1">
        <f t="shared" si="6"/>
        <v>8</v>
      </c>
    </row>
    <row r="439" spans="1:4" x14ac:dyDescent="0.35">
      <c r="A439" s="1">
        <v>7081</v>
      </c>
      <c r="B439" s="2">
        <v>46239</v>
      </c>
      <c r="C439" s="1" t="s">
        <v>3</v>
      </c>
      <c r="D439" s="1">
        <f t="shared" si="6"/>
        <v>8</v>
      </c>
    </row>
    <row r="440" spans="1:4" x14ac:dyDescent="0.35">
      <c r="A440" s="1">
        <v>7092</v>
      </c>
      <c r="B440" s="2">
        <v>46240</v>
      </c>
      <c r="C440" s="1" t="s">
        <v>3</v>
      </c>
      <c r="D440" s="1">
        <f t="shared" si="6"/>
        <v>8</v>
      </c>
    </row>
    <row r="441" spans="1:4" x14ac:dyDescent="0.35">
      <c r="A441" s="1">
        <v>7091</v>
      </c>
      <c r="B441" s="2">
        <v>46240</v>
      </c>
      <c r="C441" s="1" t="s">
        <v>3</v>
      </c>
      <c r="D441" s="1">
        <f t="shared" si="6"/>
        <v>8</v>
      </c>
    </row>
    <row r="442" spans="1:4" x14ac:dyDescent="0.35">
      <c r="A442" s="1">
        <v>7090</v>
      </c>
      <c r="B442" s="2">
        <v>46240</v>
      </c>
      <c r="C442" s="1" t="s">
        <v>9</v>
      </c>
      <c r="D442" s="1">
        <f t="shared" si="6"/>
        <v>8</v>
      </c>
    </row>
    <row r="443" spans="1:4" x14ac:dyDescent="0.35">
      <c r="A443" s="1">
        <v>7089</v>
      </c>
      <c r="B443" s="2">
        <v>46240</v>
      </c>
      <c r="C443" s="1" t="s">
        <v>9</v>
      </c>
      <c r="D443" s="1">
        <f t="shared" si="6"/>
        <v>8</v>
      </c>
    </row>
    <row r="444" spans="1:4" x14ac:dyDescent="0.35">
      <c r="A444" s="1">
        <v>7088</v>
      </c>
      <c r="B444" s="2">
        <v>46240</v>
      </c>
      <c r="C444" s="1" t="s">
        <v>9</v>
      </c>
      <c r="D444" s="1">
        <f t="shared" si="6"/>
        <v>8</v>
      </c>
    </row>
    <row r="445" spans="1:4" x14ac:dyDescent="0.35">
      <c r="A445" s="1">
        <v>7087</v>
      </c>
      <c r="B445" s="2">
        <v>46240</v>
      </c>
      <c r="C445" s="1" t="s">
        <v>9</v>
      </c>
      <c r="D445" s="1">
        <f t="shared" si="6"/>
        <v>8</v>
      </c>
    </row>
    <row r="446" spans="1:4" x14ac:dyDescent="0.35">
      <c r="A446" s="1">
        <v>7109</v>
      </c>
      <c r="B446" s="2">
        <v>46241</v>
      </c>
      <c r="C446" s="1" t="s">
        <v>3</v>
      </c>
      <c r="D446" s="1">
        <f t="shared" si="6"/>
        <v>8</v>
      </c>
    </row>
    <row r="447" spans="1:4" x14ac:dyDescent="0.35">
      <c r="A447" s="1">
        <v>7115</v>
      </c>
      <c r="B447" s="2">
        <v>46244</v>
      </c>
      <c r="C447" s="1" t="s">
        <v>21</v>
      </c>
      <c r="D447" s="1">
        <f t="shared" si="6"/>
        <v>8</v>
      </c>
    </row>
    <row r="448" spans="1:4" x14ac:dyDescent="0.35">
      <c r="A448" s="1">
        <v>7114</v>
      </c>
      <c r="B448" s="2">
        <v>46244</v>
      </c>
      <c r="C448" s="1" t="s">
        <v>3</v>
      </c>
      <c r="D448" s="1">
        <f t="shared" si="6"/>
        <v>8</v>
      </c>
    </row>
    <row r="449" spans="1:4" x14ac:dyDescent="0.35">
      <c r="A449" s="1">
        <v>7113</v>
      </c>
      <c r="B449" s="2">
        <v>46244</v>
      </c>
      <c r="C449" s="1" t="s">
        <v>9</v>
      </c>
      <c r="D449" s="1">
        <f t="shared" si="6"/>
        <v>8</v>
      </c>
    </row>
    <row r="450" spans="1:4" x14ac:dyDescent="0.35">
      <c r="A450" s="1">
        <v>7112</v>
      </c>
      <c r="B450" s="2">
        <v>46244</v>
      </c>
      <c r="C450" s="1" t="s">
        <v>9</v>
      </c>
      <c r="D450" s="1">
        <f t="shared" ref="D450:D513" si="7">MONTH(B450)</f>
        <v>8</v>
      </c>
    </row>
    <row r="451" spans="1:4" x14ac:dyDescent="0.35">
      <c r="A451" s="1">
        <v>7111</v>
      </c>
      <c r="B451" s="2">
        <v>46244</v>
      </c>
      <c r="C451" s="1" t="s">
        <v>9</v>
      </c>
      <c r="D451" s="1">
        <f t="shared" si="7"/>
        <v>8</v>
      </c>
    </row>
    <row r="452" spans="1:4" x14ac:dyDescent="0.35">
      <c r="A452" s="1">
        <v>7118</v>
      </c>
      <c r="B452" s="2">
        <v>46245</v>
      </c>
      <c r="C452" s="1" t="s">
        <v>9</v>
      </c>
      <c r="D452" s="1">
        <f t="shared" si="7"/>
        <v>8</v>
      </c>
    </row>
    <row r="453" spans="1:4" x14ac:dyDescent="0.35">
      <c r="A453" s="1">
        <v>7117</v>
      </c>
      <c r="B453" s="2">
        <v>46245</v>
      </c>
      <c r="C453" s="1" t="s">
        <v>9</v>
      </c>
      <c r="D453" s="1">
        <f t="shared" si="7"/>
        <v>8</v>
      </c>
    </row>
    <row r="454" spans="1:4" x14ac:dyDescent="0.35">
      <c r="A454" s="1">
        <v>7116</v>
      </c>
      <c r="B454" s="2">
        <v>46245</v>
      </c>
      <c r="C454" s="1" t="s">
        <v>9</v>
      </c>
      <c r="D454" s="1">
        <f t="shared" si="7"/>
        <v>8</v>
      </c>
    </row>
    <row r="455" spans="1:4" x14ac:dyDescent="0.35">
      <c r="A455" s="1">
        <v>7139</v>
      </c>
      <c r="B455" s="2">
        <v>46246</v>
      </c>
      <c r="C455" s="1" t="s">
        <v>5</v>
      </c>
      <c r="D455" s="1">
        <f t="shared" si="7"/>
        <v>8</v>
      </c>
    </row>
    <row r="456" spans="1:4" x14ac:dyDescent="0.35">
      <c r="A456" s="1">
        <v>7138</v>
      </c>
      <c r="B456" s="2">
        <v>46246</v>
      </c>
      <c r="C456" s="1" t="s">
        <v>5</v>
      </c>
      <c r="D456" s="1">
        <f t="shared" si="7"/>
        <v>8</v>
      </c>
    </row>
    <row r="457" spans="1:4" x14ac:dyDescent="0.35">
      <c r="A457" s="1">
        <v>7137</v>
      </c>
      <c r="B457" s="2">
        <v>46246</v>
      </c>
      <c r="C457" s="1" t="s">
        <v>24</v>
      </c>
      <c r="D457" s="1">
        <f t="shared" si="7"/>
        <v>8</v>
      </c>
    </row>
    <row r="458" spans="1:4" x14ac:dyDescent="0.35">
      <c r="A458" s="1">
        <v>7134</v>
      </c>
      <c r="B458" s="2">
        <v>46246</v>
      </c>
      <c r="C458" s="1" t="s">
        <v>9</v>
      </c>
      <c r="D458" s="1">
        <f t="shared" si="7"/>
        <v>8</v>
      </c>
    </row>
    <row r="459" spans="1:4" x14ac:dyDescent="0.35">
      <c r="A459" s="1">
        <v>7133</v>
      </c>
      <c r="B459" s="2">
        <v>46246</v>
      </c>
      <c r="C459" s="1" t="s">
        <v>19</v>
      </c>
      <c r="D459" s="1">
        <f t="shared" si="7"/>
        <v>8</v>
      </c>
    </row>
    <row r="460" spans="1:4" x14ac:dyDescent="0.35">
      <c r="A460" s="1">
        <v>7131</v>
      </c>
      <c r="B460" s="2">
        <v>46246</v>
      </c>
      <c r="C460" s="1" t="s">
        <v>19</v>
      </c>
      <c r="D460" s="1">
        <f t="shared" si="7"/>
        <v>8</v>
      </c>
    </row>
    <row r="461" spans="1:4" x14ac:dyDescent="0.35">
      <c r="A461" s="1">
        <v>7130</v>
      </c>
      <c r="B461" s="2">
        <v>46246</v>
      </c>
      <c r="C461" s="1" t="s">
        <v>9</v>
      </c>
      <c r="D461" s="1">
        <f t="shared" si="7"/>
        <v>8</v>
      </c>
    </row>
    <row r="462" spans="1:4" x14ac:dyDescent="0.35">
      <c r="A462" s="1">
        <v>7129</v>
      </c>
      <c r="B462" s="2">
        <v>46246</v>
      </c>
      <c r="C462" s="1" t="s">
        <v>21</v>
      </c>
      <c r="D462" s="1">
        <f t="shared" si="7"/>
        <v>8</v>
      </c>
    </row>
    <row r="463" spans="1:4" x14ac:dyDescent="0.35">
      <c r="A463" s="1">
        <v>7128</v>
      </c>
      <c r="B463" s="2">
        <v>46246</v>
      </c>
      <c r="C463" s="1" t="s">
        <v>21</v>
      </c>
      <c r="D463" s="1">
        <f t="shared" si="7"/>
        <v>8</v>
      </c>
    </row>
    <row r="464" spans="1:4" x14ac:dyDescent="0.35">
      <c r="A464" s="1">
        <v>7127</v>
      </c>
      <c r="B464" s="2">
        <v>46246</v>
      </c>
      <c r="C464" s="1" t="s">
        <v>21</v>
      </c>
      <c r="D464" s="1">
        <f t="shared" si="7"/>
        <v>8</v>
      </c>
    </row>
    <row r="465" spans="1:4" x14ac:dyDescent="0.35">
      <c r="A465" s="1">
        <v>7126</v>
      </c>
      <c r="B465" s="2">
        <v>46246</v>
      </c>
      <c r="C465" s="1" t="s">
        <v>24</v>
      </c>
      <c r="D465" s="1">
        <f t="shared" si="7"/>
        <v>8</v>
      </c>
    </row>
    <row r="466" spans="1:4" x14ac:dyDescent="0.35">
      <c r="A466" s="1">
        <v>7125</v>
      </c>
      <c r="B466" s="2">
        <v>46246</v>
      </c>
      <c r="C466" s="1" t="s">
        <v>19</v>
      </c>
      <c r="D466" s="1">
        <f t="shared" si="7"/>
        <v>8</v>
      </c>
    </row>
    <row r="467" spans="1:4" x14ac:dyDescent="0.35">
      <c r="A467" s="1">
        <v>7124</v>
      </c>
      <c r="B467" s="2">
        <v>46246</v>
      </c>
      <c r="C467" s="1" t="s">
        <v>24</v>
      </c>
      <c r="D467" s="1">
        <f t="shared" si="7"/>
        <v>8</v>
      </c>
    </row>
    <row r="468" spans="1:4" x14ac:dyDescent="0.35">
      <c r="A468" s="1">
        <v>7123</v>
      </c>
      <c r="B468" s="2">
        <v>46246</v>
      </c>
      <c r="C468" s="1" t="s">
        <v>24</v>
      </c>
      <c r="D468" s="1">
        <f t="shared" si="7"/>
        <v>8</v>
      </c>
    </row>
    <row r="469" spans="1:4" x14ac:dyDescent="0.35">
      <c r="A469" s="1">
        <v>7122</v>
      </c>
      <c r="B469" s="2">
        <v>46246</v>
      </c>
      <c r="C469" s="1" t="s">
        <v>24</v>
      </c>
      <c r="D469" s="1">
        <f t="shared" si="7"/>
        <v>8</v>
      </c>
    </row>
    <row r="470" spans="1:4" x14ac:dyDescent="0.35">
      <c r="A470" s="1">
        <v>7121</v>
      </c>
      <c r="B470" s="2">
        <v>46246</v>
      </c>
      <c r="C470" s="1" t="s">
        <v>24</v>
      </c>
      <c r="D470" s="1">
        <f t="shared" si="7"/>
        <v>8</v>
      </c>
    </row>
    <row r="471" spans="1:4" x14ac:dyDescent="0.35">
      <c r="A471" s="1">
        <v>7120</v>
      </c>
      <c r="B471" s="2">
        <v>46246</v>
      </c>
      <c r="C471" s="1" t="s">
        <v>19</v>
      </c>
      <c r="D471" s="1">
        <f t="shared" si="7"/>
        <v>8</v>
      </c>
    </row>
    <row r="472" spans="1:4" x14ac:dyDescent="0.35">
      <c r="A472" s="1">
        <v>7119</v>
      </c>
      <c r="B472" s="2">
        <v>46246</v>
      </c>
      <c r="C472" s="1" t="s">
        <v>19</v>
      </c>
      <c r="D472" s="1">
        <f t="shared" si="7"/>
        <v>8</v>
      </c>
    </row>
    <row r="473" spans="1:4" x14ac:dyDescent="0.35">
      <c r="A473" s="1">
        <v>7153</v>
      </c>
      <c r="B473" s="2">
        <v>46247</v>
      </c>
      <c r="C473" s="1" t="s">
        <v>19</v>
      </c>
      <c r="D473" s="1">
        <f t="shared" si="7"/>
        <v>8</v>
      </c>
    </row>
    <row r="474" spans="1:4" x14ac:dyDescent="0.35">
      <c r="A474" s="1">
        <v>7152</v>
      </c>
      <c r="B474" s="2">
        <v>46247</v>
      </c>
      <c r="C474" s="1" t="s">
        <v>19</v>
      </c>
      <c r="D474" s="1">
        <f t="shared" si="7"/>
        <v>8</v>
      </c>
    </row>
    <row r="475" spans="1:4" x14ac:dyDescent="0.35">
      <c r="A475" s="1">
        <v>7151</v>
      </c>
      <c r="B475" s="2">
        <v>46247</v>
      </c>
      <c r="C475" s="1" t="s">
        <v>9</v>
      </c>
      <c r="D475" s="1">
        <f t="shared" si="7"/>
        <v>8</v>
      </c>
    </row>
    <row r="476" spans="1:4" x14ac:dyDescent="0.35">
      <c r="A476" s="1">
        <v>7150</v>
      </c>
      <c r="B476" s="2">
        <v>46247</v>
      </c>
      <c r="C476" s="1" t="s">
        <v>9</v>
      </c>
      <c r="D476" s="1">
        <f t="shared" si="7"/>
        <v>8</v>
      </c>
    </row>
    <row r="477" spans="1:4" x14ac:dyDescent="0.35">
      <c r="A477" s="1">
        <v>7149</v>
      </c>
      <c r="B477" s="2">
        <v>46247</v>
      </c>
      <c r="C477" s="1" t="s">
        <v>9</v>
      </c>
      <c r="D477" s="1">
        <f t="shared" si="7"/>
        <v>8</v>
      </c>
    </row>
    <row r="478" spans="1:4" x14ac:dyDescent="0.35">
      <c r="A478" s="1">
        <v>7148</v>
      </c>
      <c r="B478" s="2">
        <v>46247</v>
      </c>
      <c r="C478" s="1" t="s">
        <v>3</v>
      </c>
      <c r="D478" s="1">
        <f t="shared" si="7"/>
        <v>8</v>
      </c>
    </row>
    <row r="479" spans="1:4" x14ac:dyDescent="0.35">
      <c r="A479" s="1">
        <v>7147</v>
      </c>
      <c r="B479" s="2">
        <v>46247</v>
      </c>
      <c r="C479" s="1" t="s">
        <v>3</v>
      </c>
      <c r="D479" s="1">
        <f t="shared" si="7"/>
        <v>8</v>
      </c>
    </row>
    <row r="480" spans="1:4" x14ac:dyDescent="0.35">
      <c r="A480" s="1">
        <v>7146</v>
      </c>
      <c r="B480" s="2">
        <v>46247</v>
      </c>
      <c r="C480" s="1" t="s">
        <v>3</v>
      </c>
      <c r="D480" s="1">
        <f t="shared" si="7"/>
        <v>8</v>
      </c>
    </row>
    <row r="481" spans="1:4" x14ac:dyDescent="0.35">
      <c r="A481" s="1">
        <v>7144</v>
      </c>
      <c r="B481" s="2">
        <v>46247</v>
      </c>
      <c r="C481" s="1" t="s">
        <v>5</v>
      </c>
      <c r="D481" s="1">
        <f t="shared" si="7"/>
        <v>8</v>
      </c>
    </row>
    <row r="482" spans="1:4" x14ac:dyDescent="0.35">
      <c r="A482" s="1">
        <v>7141</v>
      </c>
      <c r="B482" s="2">
        <v>46247</v>
      </c>
      <c r="C482" s="1" t="s">
        <v>5</v>
      </c>
      <c r="D482" s="1">
        <f t="shared" si="7"/>
        <v>8</v>
      </c>
    </row>
    <row r="483" spans="1:4" x14ac:dyDescent="0.35">
      <c r="A483" s="1">
        <v>7179</v>
      </c>
      <c r="B483" s="2">
        <v>46248</v>
      </c>
      <c r="C483" s="1" t="s">
        <v>9</v>
      </c>
      <c r="D483" s="1">
        <f t="shared" si="7"/>
        <v>8</v>
      </c>
    </row>
    <row r="484" spans="1:4" x14ac:dyDescent="0.35">
      <c r="A484" s="1">
        <v>7178</v>
      </c>
      <c r="B484" s="2">
        <v>46248</v>
      </c>
      <c r="C484" s="1" t="s">
        <v>3</v>
      </c>
      <c r="D484" s="1">
        <f t="shared" si="7"/>
        <v>8</v>
      </c>
    </row>
    <row r="485" spans="1:4" x14ac:dyDescent="0.35">
      <c r="A485" s="1">
        <v>7177</v>
      </c>
      <c r="B485" s="2">
        <v>46248</v>
      </c>
      <c r="C485" s="1" t="s">
        <v>9</v>
      </c>
      <c r="D485" s="1">
        <f t="shared" si="7"/>
        <v>8</v>
      </c>
    </row>
    <row r="486" spans="1:4" x14ac:dyDescent="0.35">
      <c r="A486" s="1">
        <v>7176</v>
      </c>
      <c r="B486" s="2">
        <v>46248</v>
      </c>
      <c r="C486" s="1" t="s">
        <v>3</v>
      </c>
      <c r="D486" s="1">
        <f t="shared" si="7"/>
        <v>8</v>
      </c>
    </row>
    <row r="487" spans="1:4" x14ac:dyDescent="0.35">
      <c r="A487" s="1">
        <v>7173</v>
      </c>
      <c r="B487" s="2">
        <v>46248</v>
      </c>
      <c r="C487" s="1" t="s">
        <v>34</v>
      </c>
      <c r="D487" s="1">
        <f t="shared" si="7"/>
        <v>8</v>
      </c>
    </row>
    <row r="488" spans="1:4" x14ac:dyDescent="0.35">
      <c r="A488" s="1">
        <v>7172</v>
      </c>
      <c r="B488" s="2">
        <v>46248</v>
      </c>
      <c r="C488" s="1" t="s">
        <v>34</v>
      </c>
      <c r="D488" s="1">
        <f t="shared" si="7"/>
        <v>8</v>
      </c>
    </row>
    <row r="489" spans="1:4" x14ac:dyDescent="0.35">
      <c r="A489" s="1">
        <v>7171</v>
      </c>
      <c r="B489" s="2">
        <v>46248</v>
      </c>
      <c r="C489" s="1" t="s">
        <v>34</v>
      </c>
      <c r="D489" s="1">
        <f t="shared" si="7"/>
        <v>8</v>
      </c>
    </row>
    <row r="490" spans="1:4" x14ac:dyDescent="0.35">
      <c r="A490" s="1">
        <v>7170</v>
      </c>
      <c r="B490" s="2">
        <v>46248</v>
      </c>
      <c r="C490" s="1" t="s">
        <v>34</v>
      </c>
      <c r="D490" s="1">
        <f t="shared" si="7"/>
        <v>8</v>
      </c>
    </row>
    <row r="491" spans="1:4" x14ac:dyDescent="0.35">
      <c r="A491" s="1">
        <v>7169</v>
      </c>
      <c r="B491" s="2">
        <v>46248</v>
      </c>
      <c r="C491" s="1" t="s">
        <v>34</v>
      </c>
      <c r="D491" s="1">
        <f t="shared" si="7"/>
        <v>8</v>
      </c>
    </row>
    <row r="492" spans="1:4" x14ac:dyDescent="0.35">
      <c r="A492" s="1">
        <v>7168</v>
      </c>
      <c r="B492" s="2">
        <v>46248</v>
      </c>
      <c r="C492" s="1" t="s">
        <v>34</v>
      </c>
      <c r="D492" s="1">
        <f t="shared" si="7"/>
        <v>8</v>
      </c>
    </row>
    <row r="493" spans="1:4" x14ac:dyDescent="0.35">
      <c r="A493" s="1">
        <v>7167</v>
      </c>
      <c r="B493" s="2">
        <v>46248</v>
      </c>
      <c r="C493" s="1" t="s">
        <v>34</v>
      </c>
      <c r="D493" s="1">
        <f t="shared" si="7"/>
        <v>8</v>
      </c>
    </row>
    <row r="494" spans="1:4" x14ac:dyDescent="0.35">
      <c r="A494" s="1">
        <v>7166</v>
      </c>
      <c r="B494" s="2">
        <v>46248</v>
      </c>
      <c r="C494" s="1" t="s">
        <v>34</v>
      </c>
      <c r="D494" s="1">
        <f t="shared" si="7"/>
        <v>8</v>
      </c>
    </row>
    <row r="495" spans="1:4" x14ac:dyDescent="0.35">
      <c r="A495" s="1">
        <v>7165</v>
      </c>
      <c r="B495" s="2">
        <v>46248</v>
      </c>
      <c r="C495" s="1" t="s">
        <v>34</v>
      </c>
      <c r="D495" s="1">
        <f t="shared" si="7"/>
        <v>8</v>
      </c>
    </row>
    <row r="496" spans="1:4" x14ac:dyDescent="0.35">
      <c r="A496" s="1">
        <v>7164</v>
      </c>
      <c r="B496" s="2">
        <v>46248</v>
      </c>
      <c r="C496" s="1" t="s">
        <v>34</v>
      </c>
      <c r="D496" s="1">
        <f t="shared" si="7"/>
        <v>8</v>
      </c>
    </row>
    <row r="497" spans="1:4" x14ac:dyDescent="0.35">
      <c r="A497" s="1">
        <v>7163</v>
      </c>
      <c r="B497" s="2">
        <v>46248</v>
      </c>
      <c r="C497" s="1" t="s">
        <v>34</v>
      </c>
      <c r="D497" s="1">
        <f t="shared" si="7"/>
        <v>8</v>
      </c>
    </row>
    <row r="498" spans="1:4" x14ac:dyDescent="0.35">
      <c r="A498" s="1">
        <v>7162</v>
      </c>
      <c r="B498" s="2">
        <v>46248</v>
      </c>
      <c r="C498" s="1" t="s">
        <v>34</v>
      </c>
      <c r="D498" s="1">
        <f t="shared" si="7"/>
        <v>8</v>
      </c>
    </row>
    <row r="499" spans="1:4" x14ac:dyDescent="0.35">
      <c r="A499" s="1">
        <v>7160</v>
      </c>
      <c r="B499" s="2">
        <v>46248</v>
      </c>
      <c r="C499" s="1" t="s">
        <v>34</v>
      </c>
      <c r="D499" s="1">
        <f t="shared" si="7"/>
        <v>8</v>
      </c>
    </row>
    <row r="500" spans="1:4" x14ac:dyDescent="0.35">
      <c r="A500" s="1">
        <v>7159</v>
      </c>
      <c r="B500" s="2">
        <v>46248</v>
      </c>
      <c r="C500" s="1" t="s">
        <v>34</v>
      </c>
      <c r="D500" s="1">
        <f t="shared" si="7"/>
        <v>8</v>
      </c>
    </row>
    <row r="501" spans="1:4" x14ac:dyDescent="0.35">
      <c r="A501" s="1">
        <v>7158</v>
      </c>
      <c r="B501" s="2">
        <v>46248</v>
      </c>
      <c r="C501" s="1" t="s">
        <v>34</v>
      </c>
      <c r="D501" s="1">
        <f t="shared" si="7"/>
        <v>8</v>
      </c>
    </row>
    <row r="502" spans="1:4" x14ac:dyDescent="0.35">
      <c r="A502" s="1">
        <v>7155</v>
      </c>
      <c r="B502" s="2">
        <v>46248</v>
      </c>
      <c r="C502" s="1" t="s">
        <v>34</v>
      </c>
      <c r="D502" s="1">
        <f t="shared" si="7"/>
        <v>8</v>
      </c>
    </row>
    <row r="503" spans="1:4" x14ac:dyDescent="0.35">
      <c r="A503" s="1">
        <v>7189</v>
      </c>
      <c r="B503" s="2">
        <v>46251</v>
      </c>
      <c r="C503" s="1" t="s">
        <v>9</v>
      </c>
      <c r="D503" s="1">
        <f t="shared" si="7"/>
        <v>8</v>
      </c>
    </row>
    <row r="504" spans="1:4" x14ac:dyDescent="0.35">
      <c r="A504" s="1">
        <v>7188</v>
      </c>
      <c r="B504" s="2">
        <v>46251</v>
      </c>
      <c r="C504" s="1" t="s">
        <v>9</v>
      </c>
      <c r="D504" s="1">
        <f t="shared" si="7"/>
        <v>8</v>
      </c>
    </row>
    <row r="505" spans="1:4" x14ac:dyDescent="0.35">
      <c r="A505" s="1">
        <v>7187</v>
      </c>
      <c r="B505" s="2">
        <v>46251</v>
      </c>
      <c r="C505" s="1" t="s">
        <v>9</v>
      </c>
      <c r="D505" s="1">
        <f t="shared" si="7"/>
        <v>8</v>
      </c>
    </row>
    <row r="506" spans="1:4" x14ac:dyDescent="0.35">
      <c r="A506" s="1">
        <v>7186</v>
      </c>
      <c r="B506" s="2">
        <v>46251</v>
      </c>
      <c r="C506" s="1" t="s">
        <v>5</v>
      </c>
      <c r="D506" s="1">
        <f t="shared" si="7"/>
        <v>8</v>
      </c>
    </row>
    <row r="507" spans="1:4" x14ac:dyDescent="0.35">
      <c r="A507" s="1">
        <v>7185</v>
      </c>
      <c r="B507" s="2">
        <v>46251</v>
      </c>
      <c r="C507" s="1" t="s">
        <v>3</v>
      </c>
      <c r="D507" s="1">
        <f t="shared" si="7"/>
        <v>8</v>
      </c>
    </row>
    <row r="508" spans="1:4" x14ac:dyDescent="0.35">
      <c r="A508" s="1">
        <v>7184</v>
      </c>
      <c r="B508" s="2">
        <v>46251</v>
      </c>
      <c r="C508" s="1" t="s">
        <v>19</v>
      </c>
      <c r="D508" s="1">
        <f t="shared" si="7"/>
        <v>8</v>
      </c>
    </row>
    <row r="509" spans="1:4" x14ac:dyDescent="0.35">
      <c r="A509" s="1">
        <v>7183</v>
      </c>
      <c r="B509" s="2">
        <v>46251</v>
      </c>
      <c r="C509" s="1" t="s">
        <v>19</v>
      </c>
      <c r="D509" s="1">
        <f t="shared" si="7"/>
        <v>8</v>
      </c>
    </row>
    <row r="510" spans="1:4" x14ac:dyDescent="0.35">
      <c r="A510" s="1">
        <v>7182</v>
      </c>
      <c r="B510" s="2">
        <v>46251</v>
      </c>
      <c r="C510" s="1" t="s">
        <v>19</v>
      </c>
      <c r="D510" s="1">
        <f t="shared" si="7"/>
        <v>8</v>
      </c>
    </row>
    <row r="511" spans="1:4" x14ac:dyDescent="0.35">
      <c r="A511" s="1">
        <v>7198</v>
      </c>
      <c r="B511" s="2">
        <v>46252</v>
      </c>
      <c r="C511" s="1" t="s">
        <v>3</v>
      </c>
      <c r="D511" s="1">
        <f t="shared" si="7"/>
        <v>8</v>
      </c>
    </row>
    <row r="512" spans="1:4" x14ac:dyDescent="0.35">
      <c r="A512" s="1">
        <v>7197</v>
      </c>
      <c r="B512" s="2">
        <v>46252</v>
      </c>
      <c r="C512" s="1" t="s">
        <v>3</v>
      </c>
      <c r="D512" s="1">
        <f t="shared" si="7"/>
        <v>8</v>
      </c>
    </row>
    <row r="513" spans="1:4" x14ac:dyDescent="0.35">
      <c r="A513" s="1">
        <v>7196</v>
      </c>
      <c r="B513" s="2">
        <v>46252</v>
      </c>
      <c r="C513" s="1" t="s">
        <v>24</v>
      </c>
      <c r="D513" s="1">
        <f t="shared" si="7"/>
        <v>8</v>
      </c>
    </row>
    <row r="514" spans="1:4" x14ac:dyDescent="0.35">
      <c r="A514" s="1">
        <v>7195</v>
      </c>
      <c r="B514" s="2">
        <v>46252</v>
      </c>
      <c r="C514" s="1" t="s">
        <v>24</v>
      </c>
      <c r="D514" s="1">
        <f t="shared" ref="D514:D577" si="8">MONTH(B514)</f>
        <v>8</v>
      </c>
    </row>
    <row r="515" spans="1:4" x14ac:dyDescent="0.35">
      <c r="A515" s="1">
        <v>7194</v>
      </c>
      <c r="B515" s="2">
        <v>46252</v>
      </c>
      <c r="C515" s="1" t="s">
        <v>24</v>
      </c>
      <c r="D515" s="1">
        <f t="shared" si="8"/>
        <v>8</v>
      </c>
    </row>
    <row r="516" spans="1:4" x14ac:dyDescent="0.35">
      <c r="A516" s="1">
        <v>7212</v>
      </c>
      <c r="B516" s="2">
        <v>46253</v>
      </c>
      <c r="C516" s="1" t="s">
        <v>5</v>
      </c>
      <c r="D516" s="1">
        <f t="shared" si="8"/>
        <v>8</v>
      </c>
    </row>
    <row r="517" spans="1:4" x14ac:dyDescent="0.35">
      <c r="A517" s="1">
        <v>7206</v>
      </c>
      <c r="B517" s="2">
        <v>46253</v>
      </c>
      <c r="C517" s="1" t="s">
        <v>5</v>
      </c>
      <c r="D517" s="1">
        <f t="shared" si="8"/>
        <v>8</v>
      </c>
    </row>
    <row r="518" spans="1:4" x14ac:dyDescent="0.35">
      <c r="A518" s="1">
        <v>7205</v>
      </c>
      <c r="B518" s="2">
        <v>46253</v>
      </c>
      <c r="C518" s="1" t="s">
        <v>3</v>
      </c>
      <c r="D518" s="1">
        <f t="shared" si="8"/>
        <v>8</v>
      </c>
    </row>
    <row r="519" spans="1:4" x14ac:dyDescent="0.35">
      <c r="A519" s="1">
        <v>7225</v>
      </c>
      <c r="B519" s="2">
        <v>46254</v>
      </c>
      <c r="C519" s="1" t="s">
        <v>9</v>
      </c>
      <c r="D519" s="1">
        <f t="shared" si="8"/>
        <v>8</v>
      </c>
    </row>
    <row r="520" spans="1:4" x14ac:dyDescent="0.35">
      <c r="A520" s="1">
        <v>7224</v>
      </c>
      <c r="B520" s="2">
        <v>46254</v>
      </c>
      <c r="C520" s="1" t="s">
        <v>9</v>
      </c>
      <c r="D520" s="1">
        <f t="shared" si="8"/>
        <v>8</v>
      </c>
    </row>
    <row r="521" spans="1:4" x14ac:dyDescent="0.35">
      <c r="A521" s="1">
        <v>7223</v>
      </c>
      <c r="B521" s="2">
        <v>46254</v>
      </c>
      <c r="C521" s="1" t="s">
        <v>9</v>
      </c>
      <c r="D521" s="1">
        <f t="shared" si="8"/>
        <v>8</v>
      </c>
    </row>
    <row r="522" spans="1:4" x14ac:dyDescent="0.35">
      <c r="A522" s="1">
        <v>7221</v>
      </c>
      <c r="B522" s="2">
        <v>46254</v>
      </c>
      <c r="C522" s="1" t="s">
        <v>3</v>
      </c>
      <c r="D522" s="1">
        <f t="shared" si="8"/>
        <v>8</v>
      </c>
    </row>
    <row r="523" spans="1:4" x14ac:dyDescent="0.35">
      <c r="A523" s="1">
        <v>7213</v>
      </c>
      <c r="B523" s="2">
        <v>46254</v>
      </c>
      <c r="C523" s="1" t="s">
        <v>24</v>
      </c>
      <c r="D523" s="1">
        <f t="shared" si="8"/>
        <v>8</v>
      </c>
    </row>
    <row r="524" spans="1:4" x14ac:dyDescent="0.35">
      <c r="A524" s="1">
        <v>7243</v>
      </c>
      <c r="B524" s="2">
        <v>46255</v>
      </c>
      <c r="C524" s="1" t="s">
        <v>34</v>
      </c>
      <c r="D524" s="1">
        <f t="shared" si="8"/>
        <v>8</v>
      </c>
    </row>
    <row r="525" spans="1:4" x14ac:dyDescent="0.35">
      <c r="A525" s="1">
        <v>7242</v>
      </c>
      <c r="B525" s="2">
        <v>46255</v>
      </c>
      <c r="C525" s="1" t="s">
        <v>34</v>
      </c>
      <c r="D525" s="1">
        <f t="shared" si="8"/>
        <v>8</v>
      </c>
    </row>
    <row r="526" spans="1:4" x14ac:dyDescent="0.35">
      <c r="A526" s="1">
        <v>7241</v>
      </c>
      <c r="B526" s="2">
        <v>46255</v>
      </c>
      <c r="C526" s="1" t="s">
        <v>34</v>
      </c>
      <c r="D526" s="1">
        <f t="shared" si="8"/>
        <v>8</v>
      </c>
    </row>
    <row r="527" spans="1:4" x14ac:dyDescent="0.35">
      <c r="A527" s="1">
        <v>7240</v>
      </c>
      <c r="B527" s="2">
        <v>46255</v>
      </c>
      <c r="C527" s="1" t="s">
        <v>34</v>
      </c>
      <c r="D527" s="1">
        <f t="shared" si="8"/>
        <v>8</v>
      </c>
    </row>
    <row r="528" spans="1:4" x14ac:dyDescent="0.35">
      <c r="A528" s="1">
        <v>7239</v>
      </c>
      <c r="B528" s="2">
        <v>46255</v>
      </c>
      <c r="C528" s="1" t="s">
        <v>34</v>
      </c>
      <c r="D528" s="1">
        <f t="shared" si="8"/>
        <v>8</v>
      </c>
    </row>
    <row r="529" spans="1:4" x14ac:dyDescent="0.35">
      <c r="A529" s="1">
        <v>7238</v>
      </c>
      <c r="B529" s="2">
        <v>46255</v>
      </c>
      <c r="C529" s="1" t="s">
        <v>34</v>
      </c>
      <c r="D529" s="1">
        <f t="shared" si="8"/>
        <v>8</v>
      </c>
    </row>
    <row r="530" spans="1:4" x14ac:dyDescent="0.35">
      <c r="A530" s="1">
        <v>7237</v>
      </c>
      <c r="B530" s="2">
        <v>46255</v>
      </c>
      <c r="C530" s="1" t="s">
        <v>34</v>
      </c>
      <c r="D530" s="1">
        <f t="shared" si="8"/>
        <v>8</v>
      </c>
    </row>
    <row r="531" spans="1:4" x14ac:dyDescent="0.35">
      <c r="A531" s="1">
        <v>7236</v>
      </c>
      <c r="B531" s="2">
        <v>46255</v>
      </c>
      <c r="C531" s="1" t="s">
        <v>34</v>
      </c>
      <c r="D531" s="1">
        <f t="shared" si="8"/>
        <v>8</v>
      </c>
    </row>
    <row r="532" spans="1:4" x14ac:dyDescent="0.35">
      <c r="A532" s="1">
        <v>7235</v>
      </c>
      <c r="B532" s="2">
        <v>46255</v>
      </c>
      <c r="C532" s="1" t="s">
        <v>34</v>
      </c>
      <c r="D532" s="1">
        <f t="shared" si="8"/>
        <v>8</v>
      </c>
    </row>
    <row r="533" spans="1:4" x14ac:dyDescent="0.35">
      <c r="A533" s="1">
        <v>7234</v>
      </c>
      <c r="B533" s="2">
        <v>46255</v>
      </c>
      <c r="C533" s="1" t="s">
        <v>34</v>
      </c>
      <c r="D533" s="1">
        <f t="shared" si="8"/>
        <v>8</v>
      </c>
    </row>
    <row r="534" spans="1:4" x14ac:dyDescent="0.35">
      <c r="A534" s="1">
        <v>7233</v>
      </c>
      <c r="B534" s="2">
        <v>46255</v>
      </c>
      <c r="C534" s="1" t="s">
        <v>34</v>
      </c>
      <c r="D534" s="1">
        <f t="shared" si="8"/>
        <v>8</v>
      </c>
    </row>
    <row r="535" spans="1:4" x14ac:dyDescent="0.35">
      <c r="A535" s="1">
        <v>7232</v>
      </c>
      <c r="B535" s="2">
        <v>46255</v>
      </c>
      <c r="C535" s="1" t="s">
        <v>34</v>
      </c>
      <c r="D535" s="1">
        <f t="shared" si="8"/>
        <v>8</v>
      </c>
    </row>
    <row r="536" spans="1:4" x14ac:dyDescent="0.35">
      <c r="A536" s="1">
        <v>7231</v>
      </c>
      <c r="B536" s="2">
        <v>46255</v>
      </c>
      <c r="C536" s="1" t="s">
        <v>34</v>
      </c>
      <c r="D536" s="1">
        <f t="shared" si="8"/>
        <v>8</v>
      </c>
    </row>
    <row r="537" spans="1:4" x14ac:dyDescent="0.35">
      <c r="A537" s="1">
        <v>7230</v>
      </c>
      <c r="B537" s="2">
        <v>46255</v>
      </c>
      <c r="C537" s="1" t="s">
        <v>34</v>
      </c>
      <c r="D537" s="1">
        <f t="shared" si="8"/>
        <v>8</v>
      </c>
    </row>
    <row r="538" spans="1:4" x14ac:dyDescent="0.35">
      <c r="A538" s="1">
        <v>7229</v>
      </c>
      <c r="B538" s="2">
        <v>46255</v>
      </c>
      <c r="C538" s="1" t="s">
        <v>34</v>
      </c>
      <c r="D538" s="1">
        <f t="shared" si="8"/>
        <v>8</v>
      </c>
    </row>
    <row r="539" spans="1:4" x14ac:dyDescent="0.35">
      <c r="A539" s="1">
        <v>7227</v>
      </c>
      <c r="B539" s="2">
        <v>46255</v>
      </c>
      <c r="C539" s="1" t="s">
        <v>19</v>
      </c>
      <c r="D539" s="1">
        <f t="shared" si="8"/>
        <v>8</v>
      </c>
    </row>
    <row r="540" spans="1:4" x14ac:dyDescent="0.35">
      <c r="A540" s="1">
        <v>7248</v>
      </c>
      <c r="B540" s="2">
        <v>46256</v>
      </c>
      <c r="C540" s="1" t="s">
        <v>5</v>
      </c>
      <c r="D540" s="1">
        <f t="shared" si="8"/>
        <v>8</v>
      </c>
    </row>
    <row r="541" spans="1:4" x14ac:dyDescent="0.35">
      <c r="A541" s="1">
        <v>7247</v>
      </c>
      <c r="B541" s="2">
        <v>46256</v>
      </c>
      <c r="C541" s="1" t="s">
        <v>5</v>
      </c>
      <c r="D541" s="1">
        <f t="shared" si="8"/>
        <v>8</v>
      </c>
    </row>
    <row r="542" spans="1:4" x14ac:dyDescent="0.35">
      <c r="A542" s="1">
        <v>7246</v>
      </c>
      <c r="B542" s="2">
        <v>46256</v>
      </c>
      <c r="C542" s="1" t="s">
        <v>5</v>
      </c>
      <c r="D542" s="1">
        <f t="shared" si="8"/>
        <v>8</v>
      </c>
    </row>
    <row r="543" spans="1:4" x14ac:dyDescent="0.35">
      <c r="A543" s="1">
        <v>7249</v>
      </c>
      <c r="B543" s="2">
        <v>46258</v>
      </c>
      <c r="C543" s="1" t="s">
        <v>19</v>
      </c>
      <c r="D543" s="1">
        <f t="shared" si="8"/>
        <v>8</v>
      </c>
    </row>
    <row r="544" spans="1:4" x14ac:dyDescent="0.35">
      <c r="A544" s="1">
        <v>7253</v>
      </c>
      <c r="B544" s="2">
        <v>46258</v>
      </c>
      <c r="C544" s="1" t="s">
        <v>9</v>
      </c>
      <c r="D544" s="1">
        <f t="shared" si="8"/>
        <v>8</v>
      </c>
    </row>
    <row r="545" spans="1:4" x14ac:dyDescent="0.35">
      <c r="A545" s="1">
        <v>7252</v>
      </c>
      <c r="B545" s="2">
        <v>46258</v>
      </c>
      <c r="C545" s="1" t="s">
        <v>9</v>
      </c>
      <c r="D545" s="1">
        <f t="shared" si="8"/>
        <v>8</v>
      </c>
    </row>
    <row r="546" spans="1:4" x14ac:dyDescent="0.35">
      <c r="A546" s="1">
        <v>7259</v>
      </c>
      <c r="B546" s="2">
        <v>46259</v>
      </c>
      <c r="C546" s="1" t="s">
        <v>9</v>
      </c>
      <c r="D546" s="1">
        <f t="shared" si="8"/>
        <v>8</v>
      </c>
    </row>
    <row r="547" spans="1:4" x14ac:dyDescent="0.35">
      <c r="A547" s="1">
        <v>7257</v>
      </c>
      <c r="B547" s="2">
        <v>46259</v>
      </c>
      <c r="C547" s="1" t="s">
        <v>3</v>
      </c>
      <c r="D547" s="1">
        <f t="shared" si="8"/>
        <v>8</v>
      </c>
    </row>
    <row r="548" spans="1:4" x14ac:dyDescent="0.35">
      <c r="A548" s="1">
        <v>7256</v>
      </c>
      <c r="B548" s="2">
        <v>46259</v>
      </c>
      <c r="C548" s="1" t="s">
        <v>19</v>
      </c>
      <c r="D548" s="1">
        <f t="shared" si="8"/>
        <v>8</v>
      </c>
    </row>
    <row r="549" spans="1:4" x14ac:dyDescent="0.35">
      <c r="A549" s="1">
        <v>7270</v>
      </c>
      <c r="B549" s="2">
        <v>46260</v>
      </c>
      <c r="C549" s="1" t="s">
        <v>9</v>
      </c>
      <c r="D549" s="1">
        <f t="shared" si="8"/>
        <v>8</v>
      </c>
    </row>
    <row r="550" spans="1:4" x14ac:dyDescent="0.35">
      <c r="A550" s="1">
        <v>7267</v>
      </c>
      <c r="B550" s="2">
        <v>46260</v>
      </c>
      <c r="C550" s="1" t="s">
        <v>24</v>
      </c>
      <c r="D550" s="1">
        <f t="shared" si="8"/>
        <v>8</v>
      </c>
    </row>
    <row r="551" spans="1:4" x14ac:dyDescent="0.35">
      <c r="A551" s="1">
        <v>7266</v>
      </c>
      <c r="B551" s="2">
        <v>46260</v>
      </c>
      <c r="C551" s="1" t="s">
        <v>3</v>
      </c>
      <c r="D551" s="1">
        <f t="shared" si="8"/>
        <v>8</v>
      </c>
    </row>
    <row r="552" spans="1:4" x14ac:dyDescent="0.35">
      <c r="A552" s="1">
        <v>7265</v>
      </c>
      <c r="B552" s="2">
        <v>46260</v>
      </c>
      <c r="C552" s="1" t="s">
        <v>5</v>
      </c>
      <c r="D552" s="1">
        <f t="shared" si="8"/>
        <v>8</v>
      </c>
    </row>
    <row r="553" spans="1:4" x14ac:dyDescent="0.35">
      <c r="A553" s="1">
        <v>7264</v>
      </c>
      <c r="B553" s="2">
        <v>46260</v>
      </c>
      <c r="C553" s="1" t="s">
        <v>24</v>
      </c>
      <c r="D553" s="1">
        <f t="shared" si="8"/>
        <v>8</v>
      </c>
    </row>
    <row r="554" spans="1:4" x14ac:dyDescent="0.35">
      <c r="A554" s="1">
        <v>7263</v>
      </c>
      <c r="B554" s="2">
        <v>46260</v>
      </c>
      <c r="C554" s="1" t="s">
        <v>24</v>
      </c>
      <c r="D554" s="1">
        <f t="shared" si="8"/>
        <v>8</v>
      </c>
    </row>
    <row r="555" spans="1:4" x14ac:dyDescent="0.35">
      <c r="A555" s="1">
        <v>7262</v>
      </c>
      <c r="B555" s="2">
        <v>46260</v>
      </c>
      <c r="C555" s="1" t="s">
        <v>24</v>
      </c>
      <c r="D555" s="1">
        <f t="shared" si="8"/>
        <v>8</v>
      </c>
    </row>
    <row r="556" spans="1:4" x14ac:dyDescent="0.35">
      <c r="A556" s="1">
        <v>7261</v>
      </c>
      <c r="B556" s="2">
        <v>46260</v>
      </c>
      <c r="C556" s="1" t="s">
        <v>24</v>
      </c>
      <c r="D556" s="1">
        <f t="shared" si="8"/>
        <v>8</v>
      </c>
    </row>
    <row r="557" spans="1:4" x14ac:dyDescent="0.35">
      <c r="A557" s="1">
        <v>7260</v>
      </c>
      <c r="B557" s="2">
        <v>46260</v>
      </c>
      <c r="C557" s="1" t="s">
        <v>24</v>
      </c>
      <c r="D557" s="1">
        <f t="shared" si="8"/>
        <v>8</v>
      </c>
    </row>
    <row r="558" spans="1:4" x14ac:dyDescent="0.35">
      <c r="A558" s="1">
        <v>7285</v>
      </c>
      <c r="B558" s="2">
        <v>46261</v>
      </c>
      <c r="C558" s="1" t="s">
        <v>9</v>
      </c>
      <c r="D558" s="1">
        <f t="shared" si="8"/>
        <v>8</v>
      </c>
    </row>
    <row r="559" spans="1:4" x14ac:dyDescent="0.35">
      <c r="A559" s="1">
        <v>7284</v>
      </c>
      <c r="B559" s="2">
        <v>46261</v>
      </c>
      <c r="C559" s="1" t="s">
        <v>9</v>
      </c>
      <c r="D559" s="1">
        <f t="shared" si="8"/>
        <v>8</v>
      </c>
    </row>
    <row r="560" spans="1:4" x14ac:dyDescent="0.35">
      <c r="A560" s="1">
        <v>7283</v>
      </c>
      <c r="B560" s="2">
        <v>46261</v>
      </c>
      <c r="C560" s="1" t="s">
        <v>9</v>
      </c>
      <c r="D560" s="1">
        <f t="shared" si="8"/>
        <v>8</v>
      </c>
    </row>
    <row r="561" spans="1:4" x14ac:dyDescent="0.35">
      <c r="A561" s="1">
        <v>7280</v>
      </c>
      <c r="B561" s="2">
        <v>46261</v>
      </c>
      <c r="C561" s="1" t="s">
        <v>3</v>
      </c>
      <c r="D561" s="1">
        <f t="shared" si="8"/>
        <v>8</v>
      </c>
    </row>
    <row r="562" spans="1:4" x14ac:dyDescent="0.35">
      <c r="A562" s="1">
        <v>7271</v>
      </c>
      <c r="B562" s="2">
        <v>46261</v>
      </c>
      <c r="C562" s="1" t="s">
        <v>19</v>
      </c>
      <c r="D562" s="1">
        <f t="shared" si="8"/>
        <v>8</v>
      </c>
    </row>
    <row r="563" spans="1:4" x14ac:dyDescent="0.35">
      <c r="A563" s="1">
        <v>7286</v>
      </c>
      <c r="B563" s="2">
        <v>46262</v>
      </c>
      <c r="C563" s="1" t="s">
        <v>19</v>
      </c>
      <c r="D563" s="1">
        <f t="shared" si="8"/>
        <v>8</v>
      </c>
    </row>
    <row r="564" spans="1:4" x14ac:dyDescent="0.35">
      <c r="A564" s="1">
        <v>7293</v>
      </c>
      <c r="B564" s="2">
        <v>46265</v>
      </c>
      <c r="C564" s="1" t="s">
        <v>34</v>
      </c>
      <c r="D564" s="1">
        <f t="shared" si="8"/>
        <v>8</v>
      </c>
    </row>
    <row r="565" spans="1:4" x14ac:dyDescent="0.35">
      <c r="A565" s="1">
        <v>7292</v>
      </c>
      <c r="B565" s="2">
        <v>46265</v>
      </c>
      <c r="C565" s="1" t="s">
        <v>34</v>
      </c>
      <c r="D565" s="1">
        <f t="shared" si="8"/>
        <v>8</v>
      </c>
    </row>
    <row r="566" spans="1:4" x14ac:dyDescent="0.35">
      <c r="A566" s="1">
        <v>7291</v>
      </c>
      <c r="B566" s="2">
        <v>46265</v>
      </c>
      <c r="C566" s="1" t="s">
        <v>34</v>
      </c>
      <c r="D566" s="1">
        <f t="shared" si="8"/>
        <v>8</v>
      </c>
    </row>
    <row r="567" spans="1:4" x14ac:dyDescent="0.35">
      <c r="A567" s="1">
        <v>7290</v>
      </c>
      <c r="B567" s="2">
        <v>46265</v>
      </c>
      <c r="C567" s="1" t="s">
        <v>34</v>
      </c>
      <c r="D567" s="1">
        <f t="shared" si="8"/>
        <v>8</v>
      </c>
    </row>
    <row r="568" spans="1:4" x14ac:dyDescent="0.35">
      <c r="A568" s="1">
        <v>7289</v>
      </c>
      <c r="B568" s="2">
        <v>46265</v>
      </c>
      <c r="C568" s="1" t="s">
        <v>34</v>
      </c>
      <c r="D568" s="1">
        <f t="shared" si="8"/>
        <v>8</v>
      </c>
    </row>
    <row r="569" spans="1:4" x14ac:dyDescent="0.35">
      <c r="A569" s="1">
        <v>7315</v>
      </c>
      <c r="B569" s="2">
        <v>46265</v>
      </c>
      <c r="C569" s="1" t="s">
        <v>21</v>
      </c>
      <c r="D569" s="1">
        <f t="shared" si="8"/>
        <v>8</v>
      </c>
    </row>
    <row r="570" spans="1:4" x14ac:dyDescent="0.35">
      <c r="A570" s="1">
        <v>7313</v>
      </c>
      <c r="B570" s="2">
        <v>46265</v>
      </c>
      <c r="C570" s="1" t="s">
        <v>19</v>
      </c>
      <c r="D570" s="1">
        <f t="shared" si="8"/>
        <v>8</v>
      </c>
    </row>
    <row r="571" spans="1:4" x14ac:dyDescent="0.35">
      <c r="A571" s="1">
        <v>7311</v>
      </c>
      <c r="B571" s="2">
        <v>46265</v>
      </c>
      <c r="C571" s="1" t="s">
        <v>19</v>
      </c>
      <c r="D571" s="1">
        <f t="shared" si="8"/>
        <v>8</v>
      </c>
    </row>
    <row r="572" spans="1:4" x14ac:dyDescent="0.35">
      <c r="A572" s="1">
        <v>7310</v>
      </c>
      <c r="B572" s="2">
        <v>46265</v>
      </c>
      <c r="C572" s="1" t="s">
        <v>19</v>
      </c>
      <c r="D572" s="1">
        <f t="shared" si="8"/>
        <v>8</v>
      </c>
    </row>
    <row r="573" spans="1:4" x14ac:dyDescent="0.35">
      <c r="A573" s="1">
        <v>7309</v>
      </c>
      <c r="B573" s="2">
        <v>46265</v>
      </c>
      <c r="C573" s="1" t="s">
        <v>19</v>
      </c>
      <c r="D573" s="1">
        <f t="shared" si="8"/>
        <v>8</v>
      </c>
    </row>
    <row r="574" spans="1:4" x14ac:dyDescent="0.35">
      <c r="A574" s="1">
        <v>7308</v>
      </c>
      <c r="B574" s="2">
        <v>46265</v>
      </c>
      <c r="C574" s="1" t="s">
        <v>19</v>
      </c>
      <c r="D574" s="1">
        <f t="shared" si="8"/>
        <v>8</v>
      </c>
    </row>
    <row r="575" spans="1:4" x14ac:dyDescent="0.35">
      <c r="A575" s="1">
        <v>7307</v>
      </c>
      <c r="B575" s="2">
        <v>46265</v>
      </c>
      <c r="C575" s="1" t="s">
        <v>34</v>
      </c>
      <c r="D575" s="1">
        <f t="shared" si="8"/>
        <v>8</v>
      </c>
    </row>
    <row r="576" spans="1:4" x14ac:dyDescent="0.35">
      <c r="A576" s="1">
        <v>7306</v>
      </c>
      <c r="B576" s="2">
        <v>46265</v>
      </c>
      <c r="C576" s="1" t="s">
        <v>34</v>
      </c>
      <c r="D576" s="1">
        <f t="shared" si="8"/>
        <v>8</v>
      </c>
    </row>
    <row r="577" spans="1:4" x14ac:dyDescent="0.35">
      <c r="A577" s="1">
        <v>7305</v>
      </c>
      <c r="B577" s="2">
        <v>46265</v>
      </c>
      <c r="C577" s="1" t="s">
        <v>34</v>
      </c>
      <c r="D577" s="1">
        <f t="shared" si="8"/>
        <v>8</v>
      </c>
    </row>
    <row r="578" spans="1:4" x14ac:dyDescent="0.35">
      <c r="A578" s="1">
        <v>7304</v>
      </c>
      <c r="B578" s="2">
        <v>46265</v>
      </c>
      <c r="C578" s="1" t="s">
        <v>34</v>
      </c>
      <c r="D578" s="1">
        <f t="shared" ref="D578:D641" si="9">MONTH(B578)</f>
        <v>8</v>
      </c>
    </row>
    <row r="579" spans="1:4" x14ac:dyDescent="0.35">
      <c r="A579" s="1">
        <v>7303</v>
      </c>
      <c r="B579" s="2">
        <v>46265</v>
      </c>
      <c r="C579" s="1" t="s">
        <v>34</v>
      </c>
      <c r="D579" s="1">
        <f t="shared" si="9"/>
        <v>8</v>
      </c>
    </row>
    <row r="580" spans="1:4" x14ac:dyDescent="0.35">
      <c r="A580" s="1">
        <v>7302</v>
      </c>
      <c r="B580" s="2">
        <v>46265</v>
      </c>
      <c r="C580" s="1" t="s">
        <v>34</v>
      </c>
      <c r="D580" s="1">
        <f t="shared" si="9"/>
        <v>8</v>
      </c>
    </row>
    <row r="581" spans="1:4" x14ac:dyDescent="0.35">
      <c r="A581" s="1">
        <v>7301</v>
      </c>
      <c r="B581" s="2">
        <v>46265</v>
      </c>
      <c r="C581" s="1" t="s">
        <v>34</v>
      </c>
      <c r="D581" s="1">
        <f t="shared" si="9"/>
        <v>8</v>
      </c>
    </row>
    <row r="582" spans="1:4" x14ac:dyDescent="0.35">
      <c r="A582" s="1">
        <v>7300</v>
      </c>
      <c r="B582" s="2">
        <v>46265</v>
      </c>
      <c r="C582" s="1" t="s">
        <v>34</v>
      </c>
      <c r="D582" s="1">
        <f t="shared" si="9"/>
        <v>8</v>
      </c>
    </row>
    <row r="583" spans="1:4" x14ac:dyDescent="0.35">
      <c r="A583" s="1">
        <v>7299</v>
      </c>
      <c r="B583" s="2">
        <v>46265</v>
      </c>
      <c r="C583" s="1" t="s">
        <v>34</v>
      </c>
      <c r="D583" s="1">
        <f t="shared" si="9"/>
        <v>8</v>
      </c>
    </row>
    <row r="584" spans="1:4" x14ac:dyDescent="0.35">
      <c r="A584" s="1">
        <v>7298</v>
      </c>
      <c r="B584" s="2">
        <v>46265</v>
      </c>
      <c r="C584" s="1" t="s">
        <v>34</v>
      </c>
      <c r="D584" s="1">
        <f t="shared" si="9"/>
        <v>8</v>
      </c>
    </row>
    <row r="585" spans="1:4" x14ac:dyDescent="0.35">
      <c r="A585" s="1">
        <v>7297</v>
      </c>
      <c r="B585" s="2">
        <v>46265</v>
      </c>
      <c r="C585" s="1" t="s">
        <v>34</v>
      </c>
      <c r="D585" s="1">
        <f t="shared" si="9"/>
        <v>8</v>
      </c>
    </row>
    <row r="586" spans="1:4" x14ac:dyDescent="0.35">
      <c r="A586" s="1">
        <v>7296</v>
      </c>
      <c r="B586" s="2">
        <v>46265</v>
      </c>
      <c r="C586" s="1" t="s">
        <v>34</v>
      </c>
      <c r="D586" s="1">
        <f t="shared" si="9"/>
        <v>8</v>
      </c>
    </row>
    <row r="587" spans="1:4" x14ac:dyDescent="0.35">
      <c r="A587" s="1">
        <v>7295</v>
      </c>
      <c r="B587" s="2">
        <v>46265</v>
      </c>
      <c r="C587" s="1" t="s">
        <v>34</v>
      </c>
      <c r="D587" s="1">
        <f t="shared" si="9"/>
        <v>8</v>
      </c>
    </row>
    <row r="588" spans="1:4" x14ac:dyDescent="0.35">
      <c r="A588" s="1">
        <v>7294</v>
      </c>
      <c r="B588" s="2">
        <v>46265</v>
      </c>
      <c r="C588" s="1" t="s">
        <v>21</v>
      </c>
      <c r="D588" s="1">
        <f t="shared" si="9"/>
        <v>8</v>
      </c>
    </row>
    <row r="589" spans="1:4" x14ac:dyDescent="0.35">
      <c r="A589" s="1">
        <v>7319</v>
      </c>
      <c r="B589" s="2">
        <v>46266</v>
      </c>
      <c r="C589" s="1" t="s">
        <v>5</v>
      </c>
      <c r="D589" s="1">
        <f t="shared" si="9"/>
        <v>9</v>
      </c>
    </row>
    <row r="590" spans="1:4" x14ac:dyDescent="0.35">
      <c r="A590" s="1">
        <v>7323</v>
      </c>
      <c r="B590" s="2">
        <v>46266</v>
      </c>
      <c r="C590" s="1" t="s">
        <v>24</v>
      </c>
      <c r="D590" s="1">
        <f t="shared" si="9"/>
        <v>9</v>
      </c>
    </row>
    <row r="591" spans="1:4" x14ac:dyDescent="0.35">
      <c r="A591" s="1">
        <v>7322</v>
      </c>
      <c r="B591" s="2">
        <v>46266</v>
      </c>
      <c r="C591" s="1" t="s">
        <v>24</v>
      </c>
      <c r="D591" s="1">
        <f t="shared" si="9"/>
        <v>9</v>
      </c>
    </row>
    <row r="592" spans="1:4" x14ac:dyDescent="0.35">
      <c r="A592" s="1">
        <v>7321</v>
      </c>
      <c r="B592" s="2">
        <v>46266</v>
      </c>
      <c r="C592" s="1" t="s">
        <v>24</v>
      </c>
      <c r="D592" s="1">
        <f t="shared" si="9"/>
        <v>9</v>
      </c>
    </row>
    <row r="593" spans="1:4" x14ac:dyDescent="0.35">
      <c r="A593" s="1">
        <v>7320</v>
      </c>
      <c r="B593" s="2">
        <v>46266</v>
      </c>
      <c r="C593" s="1" t="s">
        <v>24</v>
      </c>
      <c r="D593" s="1">
        <f t="shared" si="9"/>
        <v>9</v>
      </c>
    </row>
    <row r="594" spans="1:4" x14ac:dyDescent="0.35">
      <c r="A594" s="1">
        <v>7324</v>
      </c>
      <c r="B594" s="2">
        <v>46266</v>
      </c>
      <c r="C594" s="1" t="s">
        <v>9</v>
      </c>
      <c r="D594" s="1">
        <f t="shared" si="9"/>
        <v>9</v>
      </c>
    </row>
    <row r="595" spans="1:4" x14ac:dyDescent="0.35">
      <c r="A595" s="1">
        <v>7328</v>
      </c>
      <c r="B595" s="2">
        <v>46267</v>
      </c>
      <c r="C595" s="1" t="s">
        <v>21</v>
      </c>
      <c r="D595" s="1">
        <f t="shared" si="9"/>
        <v>9</v>
      </c>
    </row>
    <row r="596" spans="1:4" x14ac:dyDescent="0.35">
      <c r="A596" s="1">
        <v>7332</v>
      </c>
      <c r="B596" s="2">
        <v>46267</v>
      </c>
      <c r="C596" s="1" t="s">
        <v>24</v>
      </c>
      <c r="D596" s="1">
        <f t="shared" si="9"/>
        <v>9</v>
      </c>
    </row>
    <row r="597" spans="1:4" x14ac:dyDescent="0.35">
      <c r="A597" s="1">
        <v>7330</v>
      </c>
      <c r="B597" s="2">
        <v>46267</v>
      </c>
      <c r="C597" s="1" t="s">
        <v>24</v>
      </c>
      <c r="D597" s="1">
        <f t="shared" si="9"/>
        <v>9</v>
      </c>
    </row>
    <row r="598" spans="1:4" x14ac:dyDescent="0.35">
      <c r="A598" s="1">
        <v>7329</v>
      </c>
      <c r="B598" s="2">
        <v>46267</v>
      </c>
      <c r="C598" s="1" t="s">
        <v>24</v>
      </c>
      <c r="D598" s="1">
        <f t="shared" si="9"/>
        <v>9</v>
      </c>
    </row>
    <row r="599" spans="1:4" x14ac:dyDescent="0.35">
      <c r="A599" s="1">
        <v>7336</v>
      </c>
      <c r="B599" s="2">
        <v>46267</v>
      </c>
      <c r="C599" s="1" t="s">
        <v>9</v>
      </c>
      <c r="D599" s="1">
        <f t="shared" si="9"/>
        <v>9</v>
      </c>
    </row>
    <row r="600" spans="1:4" x14ac:dyDescent="0.35">
      <c r="A600" s="1">
        <v>7335</v>
      </c>
      <c r="B600" s="2">
        <v>46267</v>
      </c>
      <c r="C600" s="1" t="s">
        <v>9</v>
      </c>
      <c r="D600" s="1">
        <f t="shared" si="9"/>
        <v>9</v>
      </c>
    </row>
    <row r="601" spans="1:4" x14ac:dyDescent="0.35">
      <c r="A601" s="1">
        <v>7334</v>
      </c>
      <c r="B601" s="2">
        <v>46267</v>
      </c>
      <c r="C601" s="1" t="s">
        <v>9</v>
      </c>
      <c r="D601" s="1">
        <f t="shared" si="9"/>
        <v>9</v>
      </c>
    </row>
    <row r="602" spans="1:4" x14ac:dyDescent="0.35">
      <c r="A602" s="1">
        <v>7337</v>
      </c>
      <c r="B602" s="2">
        <v>46268</v>
      </c>
      <c r="C602" s="1" t="s">
        <v>21</v>
      </c>
      <c r="D602" s="1">
        <f t="shared" si="9"/>
        <v>9</v>
      </c>
    </row>
    <row r="603" spans="1:4" x14ac:dyDescent="0.35">
      <c r="A603" s="1">
        <v>7348</v>
      </c>
      <c r="B603" s="2">
        <v>46269</v>
      </c>
      <c r="C603" s="1" t="s">
        <v>24</v>
      </c>
      <c r="D603" s="1">
        <f t="shared" si="9"/>
        <v>9</v>
      </c>
    </row>
    <row r="604" spans="1:4" x14ac:dyDescent="0.35">
      <c r="A604" s="1">
        <v>7347</v>
      </c>
      <c r="B604" s="2">
        <v>46269</v>
      </c>
      <c r="C604" s="1" t="s">
        <v>24</v>
      </c>
      <c r="D604" s="1">
        <f t="shared" si="9"/>
        <v>9</v>
      </c>
    </row>
    <row r="605" spans="1:4" x14ac:dyDescent="0.35">
      <c r="A605" s="1">
        <v>7345</v>
      </c>
      <c r="B605" s="2">
        <v>46269</v>
      </c>
      <c r="C605" s="1" t="s">
        <v>24</v>
      </c>
      <c r="D605" s="1">
        <f t="shared" si="9"/>
        <v>9</v>
      </c>
    </row>
    <row r="606" spans="1:4" x14ac:dyDescent="0.35">
      <c r="A606" s="1">
        <v>7344</v>
      </c>
      <c r="B606" s="2">
        <v>46269</v>
      </c>
      <c r="C606" s="1" t="s">
        <v>24</v>
      </c>
      <c r="D606" s="1">
        <f t="shared" si="9"/>
        <v>9</v>
      </c>
    </row>
    <row r="607" spans="1:4" x14ac:dyDescent="0.35">
      <c r="A607" s="1">
        <v>7357</v>
      </c>
      <c r="B607" s="2">
        <v>46273</v>
      </c>
      <c r="C607" s="1" t="s">
        <v>3</v>
      </c>
      <c r="D607" s="1">
        <f t="shared" si="9"/>
        <v>9</v>
      </c>
    </row>
    <row r="608" spans="1:4" x14ac:dyDescent="0.35">
      <c r="A608" s="1">
        <v>7354</v>
      </c>
      <c r="B608" s="2">
        <v>46273</v>
      </c>
      <c r="C608" s="1" t="s">
        <v>3</v>
      </c>
      <c r="D608" s="1">
        <f t="shared" si="9"/>
        <v>9</v>
      </c>
    </row>
    <row r="609" spans="1:4" x14ac:dyDescent="0.35">
      <c r="A609" s="1">
        <v>7353</v>
      </c>
      <c r="B609" s="2">
        <v>46273</v>
      </c>
      <c r="C609" s="1" t="s">
        <v>3</v>
      </c>
      <c r="D609" s="1">
        <f t="shared" si="9"/>
        <v>9</v>
      </c>
    </row>
    <row r="610" spans="1:4" x14ac:dyDescent="0.35">
      <c r="A610" s="1">
        <v>7356</v>
      </c>
      <c r="B610" s="2">
        <v>46273</v>
      </c>
      <c r="C610" s="1" t="s">
        <v>24</v>
      </c>
      <c r="D610" s="1">
        <f t="shared" si="9"/>
        <v>9</v>
      </c>
    </row>
    <row r="611" spans="1:4" x14ac:dyDescent="0.35">
      <c r="A611" s="1">
        <v>7351</v>
      </c>
      <c r="B611" s="2">
        <v>46273</v>
      </c>
      <c r="C611" s="1" t="s">
        <v>9</v>
      </c>
      <c r="D611" s="1">
        <f t="shared" si="9"/>
        <v>9</v>
      </c>
    </row>
    <row r="612" spans="1:4" x14ac:dyDescent="0.35">
      <c r="A612" s="1">
        <v>7360</v>
      </c>
      <c r="B612" s="2">
        <v>46273</v>
      </c>
      <c r="C612" s="1" t="s">
        <v>9</v>
      </c>
      <c r="D612" s="1">
        <f t="shared" si="9"/>
        <v>9</v>
      </c>
    </row>
    <row r="613" spans="1:4" x14ac:dyDescent="0.35">
      <c r="A613" s="1">
        <v>7355</v>
      </c>
      <c r="B613" s="2">
        <v>46273</v>
      </c>
      <c r="C613" s="1" t="s">
        <v>19</v>
      </c>
      <c r="D613" s="1">
        <f t="shared" si="9"/>
        <v>9</v>
      </c>
    </row>
    <row r="614" spans="1:4" x14ac:dyDescent="0.35">
      <c r="A614" s="1">
        <v>7352</v>
      </c>
      <c r="B614" s="2">
        <v>46273</v>
      </c>
      <c r="C614" s="1" t="s">
        <v>19</v>
      </c>
      <c r="D614" s="1">
        <f t="shared" si="9"/>
        <v>9</v>
      </c>
    </row>
    <row r="615" spans="1:4" x14ac:dyDescent="0.35">
      <c r="A615" s="1">
        <v>7365</v>
      </c>
      <c r="B615" s="2">
        <v>46275</v>
      </c>
      <c r="C615" s="1" t="s">
        <v>5</v>
      </c>
      <c r="D615" s="1">
        <f t="shared" si="9"/>
        <v>9</v>
      </c>
    </row>
    <row r="616" spans="1:4" x14ac:dyDescent="0.35">
      <c r="A616" s="1">
        <v>7364</v>
      </c>
      <c r="B616" s="2">
        <v>46275</v>
      </c>
      <c r="C616" s="1" t="s">
        <v>5</v>
      </c>
      <c r="D616" s="1">
        <f t="shared" si="9"/>
        <v>9</v>
      </c>
    </row>
    <row r="617" spans="1:4" x14ac:dyDescent="0.35">
      <c r="A617" s="1">
        <v>7368</v>
      </c>
      <c r="B617" s="2">
        <v>46276</v>
      </c>
      <c r="C617" s="1" t="s">
        <v>3</v>
      </c>
      <c r="D617" s="1">
        <f t="shared" si="9"/>
        <v>9</v>
      </c>
    </row>
    <row r="618" spans="1:4" x14ac:dyDescent="0.35">
      <c r="A618" s="1">
        <v>7367</v>
      </c>
      <c r="B618" s="2">
        <v>46276</v>
      </c>
      <c r="C618" s="1" t="s">
        <v>3</v>
      </c>
      <c r="D618" s="1">
        <f t="shared" si="9"/>
        <v>9</v>
      </c>
    </row>
    <row r="619" spans="1:4" x14ac:dyDescent="0.35">
      <c r="A619" s="1">
        <v>7369</v>
      </c>
      <c r="B619" s="2">
        <v>46276</v>
      </c>
      <c r="C619" s="1" t="s">
        <v>24</v>
      </c>
      <c r="D619" s="1">
        <f t="shared" si="9"/>
        <v>9</v>
      </c>
    </row>
    <row r="620" spans="1:4" x14ac:dyDescent="0.35">
      <c r="A620" s="1">
        <v>7372</v>
      </c>
      <c r="B620" s="2">
        <v>46276</v>
      </c>
      <c r="C620" s="1" t="s">
        <v>9</v>
      </c>
      <c r="D620" s="1">
        <f t="shared" si="9"/>
        <v>9</v>
      </c>
    </row>
    <row r="621" spans="1:4" x14ac:dyDescent="0.35">
      <c r="A621" s="1">
        <v>7371</v>
      </c>
      <c r="B621" s="2">
        <v>46276</v>
      </c>
      <c r="C621" s="1" t="s">
        <v>28</v>
      </c>
      <c r="D621" s="1">
        <f t="shared" si="9"/>
        <v>9</v>
      </c>
    </row>
    <row r="622" spans="1:4" x14ac:dyDescent="0.35">
      <c r="A622" s="1">
        <v>7370</v>
      </c>
      <c r="B622" s="2">
        <v>46276</v>
      </c>
      <c r="C622" s="1" t="s">
        <v>28</v>
      </c>
      <c r="D622" s="1">
        <f t="shared" si="9"/>
        <v>9</v>
      </c>
    </row>
    <row r="623" spans="1:4" x14ac:dyDescent="0.35">
      <c r="A623" s="1">
        <v>7403</v>
      </c>
      <c r="B623" s="2">
        <v>46279</v>
      </c>
      <c r="C623" s="1" t="s">
        <v>3</v>
      </c>
      <c r="D623" s="1">
        <f t="shared" si="9"/>
        <v>9</v>
      </c>
    </row>
    <row r="624" spans="1:4" x14ac:dyDescent="0.35">
      <c r="A624" s="1">
        <v>7401</v>
      </c>
      <c r="B624" s="2">
        <v>46279</v>
      </c>
      <c r="C624" s="1" t="s">
        <v>3</v>
      </c>
      <c r="D624" s="1">
        <f t="shared" si="9"/>
        <v>9</v>
      </c>
    </row>
    <row r="625" spans="1:4" x14ac:dyDescent="0.35">
      <c r="A625" s="1">
        <v>7399</v>
      </c>
      <c r="B625" s="2">
        <v>46279</v>
      </c>
      <c r="C625" s="1" t="s">
        <v>34</v>
      </c>
      <c r="D625" s="1">
        <f t="shared" si="9"/>
        <v>9</v>
      </c>
    </row>
    <row r="626" spans="1:4" x14ac:dyDescent="0.35">
      <c r="A626" s="1">
        <v>7398</v>
      </c>
      <c r="B626" s="2">
        <v>46279</v>
      </c>
      <c r="C626" s="1" t="s">
        <v>34</v>
      </c>
      <c r="D626" s="1">
        <f t="shared" si="9"/>
        <v>9</v>
      </c>
    </row>
    <row r="627" spans="1:4" x14ac:dyDescent="0.35">
      <c r="A627" s="1">
        <v>7397</v>
      </c>
      <c r="B627" s="2">
        <v>46279</v>
      </c>
      <c r="C627" s="1" t="s">
        <v>34</v>
      </c>
      <c r="D627" s="1">
        <f t="shared" si="9"/>
        <v>9</v>
      </c>
    </row>
    <row r="628" spans="1:4" x14ac:dyDescent="0.35">
      <c r="A628" s="1">
        <v>7396</v>
      </c>
      <c r="B628" s="2">
        <v>46279</v>
      </c>
      <c r="C628" s="1" t="s">
        <v>34</v>
      </c>
      <c r="D628" s="1">
        <f t="shared" si="9"/>
        <v>9</v>
      </c>
    </row>
    <row r="629" spans="1:4" x14ac:dyDescent="0.35">
      <c r="A629" s="1">
        <v>7395</v>
      </c>
      <c r="B629" s="2">
        <v>46279</v>
      </c>
      <c r="C629" s="1" t="s">
        <v>34</v>
      </c>
      <c r="D629" s="1">
        <f t="shared" si="9"/>
        <v>9</v>
      </c>
    </row>
    <row r="630" spans="1:4" x14ac:dyDescent="0.35">
      <c r="A630" s="1">
        <v>7394</v>
      </c>
      <c r="B630" s="2">
        <v>46279</v>
      </c>
      <c r="C630" s="1" t="s">
        <v>34</v>
      </c>
      <c r="D630" s="1">
        <f t="shared" si="9"/>
        <v>9</v>
      </c>
    </row>
    <row r="631" spans="1:4" x14ac:dyDescent="0.35">
      <c r="A631" s="1">
        <v>7393</v>
      </c>
      <c r="B631" s="2">
        <v>46279</v>
      </c>
      <c r="C631" s="1" t="s">
        <v>34</v>
      </c>
      <c r="D631" s="1">
        <f t="shared" si="9"/>
        <v>9</v>
      </c>
    </row>
    <row r="632" spans="1:4" x14ac:dyDescent="0.35">
      <c r="A632" s="1">
        <v>7390</v>
      </c>
      <c r="B632" s="2">
        <v>46279</v>
      </c>
      <c r="C632" s="1" t="s">
        <v>34</v>
      </c>
      <c r="D632" s="1">
        <f t="shared" si="9"/>
        <v>9</v>
      </c>
    </row>
    <row r="633" spans="1:4" x14ac:dyDescent="0.35">
      <c r="A633" s="1">
        <v>7389</v>
      </c>
      <c r="B633" s="2">
        <v>46279</v>
      </c>
      <c r="C633" s="1" t="s">
        <v>34</v>
      </c>
      <c r="D633" s="1">
        <f t="shared" si="9"/>
        <v>9</v>
      </c>
    </row>
    <row r="634" spans="1:4" x14ac:dyDescent="0.35">
      <c r="A634" s="1">
        <v>7388</v>
      </c>
      <c r="B634" s="2">
        <v>46279</v>
      </c>
      <c r="C634" s="1" t="s">
        <v>34</v>
      </c>
      <c r="D634" s="1">
        <f t="shared" si="9"/>
        <v>9</v>
      </c>
    </row>
    <row r="635" spans="1:4" x14ac:dyDescent="0.35">
      <c r="A635" s="1">
        <v>7387</v>
      </c>
      <c r="B635" s="2">
        <v>46279</v>
      </c>
      <c r="C635" s="1" t="s">
        <v>34</v>
      </c>
      <c r="D635" s="1">
        <f t="shared" si="9"/>
        <v>9</v>
      </c>
    </row>
    <row r="636" spans="1:4" x14ac:dyDescent="0.35">
      <c r="A636" s="1">
        <v>7386</v>
      </c>
      <c r="B636" s="2">
        <v>46279</v>
      </c>
      <c r="C636" s="1" t="s">
        <v>34</v>
      </c>
      <c r="D636" s="1">
        <f t="shared" si="9"/>
        <v>9</v>
      </c>
    </row>
    <row r="637" spans="1:4" x14ac:dyDescent="0.35">
      <c r="A637" s="1">
        <v>7385</v>
      </c>
      <c r="B637" s="2">
        <v>46279</v>
      </c>
      <c r="C637" s="1" t="s">
        <v>34</v>
      </c>
      <c r="D637" s="1">
        <f t="shared" si="9"/>
        <v>9</v>
      </c>
    </row>
    <row r="638" spans="1:4" x14ac:dyDescent="0.35">
      <c r="A638" s="1">
        <v>7384</v>
      </c>
      <c r="B638" s="2">
        <v>46279</v>
      </c>
      <c r="C638" s="1" t="s">
        <v>34</v>
      </c>
      <c r="D638" s="1">
        <f t="shared" si="9"/>
        <v>9</v>
      </c>
    </row>
    <row r="639" spans="1:4" x14ac:dyDescent="0.35">
      <c r="A639" s="1">
        <v>7383</v>
      </c>
      <c r="B639" s="2">
        <v>46279</v>
      </c>
      <c r="C639" s="1" t="s">
        <v>34</v>
      </c>
      <c r="D639" s="1">
        <f t="shared" si="9"/>
        <v>9</v>
      </c>
    </row>
    <row r="640" spans="1:4" x14ac:dyDescent="0.35">
      <c r="A640" s="1">
        <v>7382</v>
      </c>
      <c r="B640" s="2">
        <v>46279</v>
      </c>
      <c r="C640" s="1" t="s">
        <v>34</v>
      </c>
      <c r="D640" s="1">
        <f t="shared" si="9"/>
        <v>9</v>
      </c>
    </row>
    <row r="641" spans="1:4" x14ac:dyDescent="0.35">
      <c r="A641" s="1">
        <v>7381</v>
      </c>
      <c r="B641" s="2">
        <v>46279</v>
      </c>
      <c r="C641" s="1" t="s">
        <v>34</v>
      </c>
      <c r="D641" s="1">
        <f t="shared" si="9"/>
        <v>9</v>
      </c>
    </row>
    <row r="642" spans="1:4" x14ac:dyDescent="0.35">
      <c r="A642" s="1">
        <v>7380</v>
      </c>
      <c r="B642" s="2">
        <v>46279</v>
      </c>
      <c r="C642" s="1" t="s">
        <v>34</v>
      </c>
      <c r="D642" s="1">
        <f t="shared" ref="D642:D705" si="10">MONTH(B642)</f>
        <v>9</v>
      </c>
    </row>
    <row r="643" spans="1:4" x14ac:dyDescent="0.35">
      <c r="A643" s="1">
        <v>7379</v>
      </c>
      <c r="B643" s="2">
        <v>46279</v>
      </c>
      <c r="C643" s="1" t="s">
        <v>34</v>
      </c>
      <c r="D643" s="1">
        <f t="shared" si="10"/>
        <v>9</v>
      </c>
    </row>
    <row r="644" spans="1:4" x14ac:dyDescent="0.35">
      <c r="A644" s="1">
        <v>7378</v>
      </c>
      <c r="B644" s="2">
        <v>46279</v>
      </c>
      <c r="C644" s="1" t="s">
        <v>34</v>
      </c>
      <c r="D644" s="1">
        <f t="shared" si="10"/>
        <v>9</v>
      </c>
    </row>
    <row r="645" spans="1:4" x14ac:dyDescent="0.35">
      <c r="A645" s="1">
        <v>7377</v>
      </c>
      <c r="B645" s="2">
        <v>46279</v>
      </c>
      <c r="C645" s="1" t="s">
        <v>34</v>
      </c>
      <c r="D645" s="1">
        <f t="shared" si="10"/>
        <v>9</v>
      </c>
    </row>
    <row r="646" spans="1:4" x14ac:dyDescent="0.35">
      <c r="A646" s="1">
        <v>7376</v>
      </c>
      <c r="B646" s="2">
        <v>46279</v>
      </c>
      <c r="C646" s="1" t="s">
        <v>34</v>
      </c>
      <c r="D646" s="1">
        <f t="shared" si="10"/>
        <v>9</v>
      </c>
    </row>
    <row r="647" spans="1:4" x14ac:dyDescent="0.35">
      <c r="A647" s="1">
        <v>7375</v>
      </c>
      <c r="B647" s="2">
        <v>46279</v>
      </c>
      <c r="C647" s="1" t="s">
        <v>34</v>
      </c>
      <c r="D647" s="1">
        <f t="shared" si="10"/>
        <v>9</v>
      </c>
    </row>
    <row r="648" spans="1:4" x14ac:dyDescent="0.35">
      <c r="A648" s="1">
        <v>7374</v>
      </c>
      <c r="B648" s="2">
        <v>46279</v>
      </c>
      <c r="C648" s="1" t="s">
        <v>34</v>
      </c>
      <c r="D648" s="1">
        <f t="shared" si="10"/>
        <v>9</v>
      </c>
    </row>
    <row r="649" spans="1:4" x14ac:dyDescent="0.35">
      <c r="A649" s="1">
        <v>7373</v>
      </c>
      <c r="B649" s="2">
        <v>46279</v>
      </c>
      <c r="C649" s="1" t="s">
        <v>34</v>
      </c>
      <c r="D649" s="1">
        <f t="shared" si="10"/>
        <v>9</v>
      </c>
    </row>
    <row r="650" spans="1:4" x14ac:dyDescent="0.35">
      <c r="A650" s="1">
        <v>7392</v>
      </c>
      <c r="B650" s="2">
        <v>46279</v>
      </c>
      <c r="C650" s="1" t="s">
        <v>19</v>
      </c>
      <c r="D650" s="1">
        <f t="shared" si="10"/>
        <v>9</v>
      </c>
    </row>
    <row r="651" spans="1:4" x14ac:dyDescent="0.35">
      <c r="A651" s="1">
        <v>7391</v>
      </c>
      <c r="B651" s="2">
        <v>46279</v>
      </c>
      <c r="C651" s="1" t="s">
        <v>19</v>
      </c>
      <c r="D651" s="1">
        <f t="shared" si="10"/>
        <v>9</v>
      </c>
    </row>
    <row r="652" spans="1:4" x14ac:dyDescent="0.35">
      <c r="A652" s="1">
        <v>7402</v>
      </c>
      <c r="B652" s="2">
        <v>46279</v>
      </c>
      <c r="C652" s="1" t="s">
        <v>28</v>
      </c>
      <c r="D652" s="1">
        <f t="shared" si="10"/>
        <v>9</v>
      </c>
    </row>
    <row r="653" spans="1:4" x14ac:dyDescent="0.35">
      <c r="A653" s="1">
        <v>7416</v>
      </c>
      <c r="B653" s="2">
        <v>46280</v>
      </c>
      <c r="C653" s="1" t="s">
        <v>24</v>
      </c>
      <c r="D653" s="1">
        <f t="shared" si="10"/>
        <v>9</v>
      </c>
    </row>
    <row r="654" spans="1:4" x14ac:dyDescent="0.35">
      <c r="A654" s="1">
        <v>7414</v>
      </c>
      <c r="B654" s="2">
        <v>46280</v>
      </c>
      <c r="C654" s="1" t="s">
        <v>24</v>
      </c>
      <c r="D654" s="1">
        <f t="shared" si="10"/>
        <v>9</v>
      </c>
    </row>
    <row r="655" spans="1:4" x14ac:dyDescent="0.35">
      <c r="A655" s="1">
        <v>7413</v>
      </c>
      <c r="B655" s="2">
        <v>46280</v>
      </c>
      <c r="C655" s="1" t="s">
        <v>24</v>
      </c>
      <c r="D655" s="1">
        <f t="shared" si="10"/>
        <v>9</v>
      </c>
    </row>
    <row r="656" spans="1:4" x14ac:dyDescent="0.35">
      <c r="A656" s="1">
        <v>7412</v>
      </c>
      <c r="B656" s="2">
        <v>46280</v>
      </c>
      <c r="C656" s="1" t="s">
        <v>24</v>
      </c>
      <c r="D656" s="1">
        <f t="shared" si="10"/>
        <v>9</v>
      </c>
    </row>
    <row r="657" spans="1:4" x14ac:dyDescent="0.35">
      <c r="A657" s="1">
        <v>7411</v>
      </c>
      <c r="B657" s="2">
        <v>46280</v>
      </c>
      <c r="C657" s="1" t="s">
        <v>24</v>
      </c>
      <c r="D657" s="1">
        <f t="shared" si="10"/>
        <v>9</v>
      </c>
    </row>
    <row r="658" spans="1:4" x14ac:dyDescent="0.35">
      <c r="A658" s="1">
        <v>7410</v>
      </c>
      <c r="B658" s="2">
        <v>46280</v>
      </c>
      <c r="C658" s="1" t="s">
        <v>24</v>
      </c>
      <c r="D658" s="1">
        <f t="shared" si="10"/>
        <v>9</v>
      </c>
    </row>
    <row r="659" spans="1:4" x14ac:dyDescent="0.35">
      <c r="A659" s="1">
        <v>7415</v>
      </c>
      <c r="B659" s="2">
        <v>46280</v>
      </c>
      <c r="C659" s="1" t="s">
        <v>9</v>
      </c>
      <c r="D659" s="1">
        <f t="shared" si="10"/>
        <v>9</v>
      </c>
    </row>
    <row r="660" spans="1:4" x14ac:dyDescent="0.35">
      <c r="A660" s="1">
        <v>7409</v>
      </c>
      <c r="B660" s="2">
        <v>46280</v>
      </c>
      <c r="C660" s="1" t="s">
        <v>9</v>
      </c>
      <c r="D660" s="1">
        <f t="shared" si="10"/>
        <v>9</v>
      </c>
    </row>
    <row r="661" spans="1:4" x14ac:dyDescent="0.35">
      <c r="A661" s="1">
        <v>7408</v>
      </c>
      <c r="B661" s="2">
        <v>46280</v>
      </c>
      <c r="C661" s="1" t="s">
        <v>19</v>
      </c>
      <c r="D661" s="1">
        <f t="shared" si="10"/>
        <v>9</v>
      </c>
    </row>
    <row r="662" spans="1:4" x14ac:dyDescent="0.35">
      <c r="A662" s="1">
        <v>7417</v>
      </c>
      <c r="B662" s="2">
        <v>46280</v>
      </c>
      <c r="C662" s="1" t="s">
        <v>28</v>
      </c>
      <c r="D662" s="1">
        <f t="shared" si="10"/>
        <v>9</v>
      </c>
    </row>
    <row r="663" spans="1:4" x14ac:dyDescent="0.35">
      <c r="A663" s="1">
        <v>7420</v>
      </c>
      <c r="B663" s="2">
        <v>46281</v>
      </c>
      <c r="C663" s="1" t="s">
        <v>3</v>
      </c>
      <c r="D663" s="1">
        <f t="shared" si="10"/>
        <v>9</v>
      </c>
    </row>
    <row r="664" spans="1:4" x14ac:dyDescent="0.35">
      <c r="A664" s="1">
        <v>7419</v>
      </c>
      <c r="B664" s="2">
        <v>46281</v>
      </c>
      <c r="C664" s="1" t="s">
        <v>3</v>
      </c>
      <c r="D664" s="1">
        <f t="shared" si="10"/>
        <v>9</v>
      </c>
    </row>
    <row r="665" spans="1:4" x14ac:dyDescent="0.35">
      <c r="A665" s="1">
        <v>7427</v>
      </c>
      <c r="B665" s="2">
        <v>46281</v>
      </c>
      <c r="C665" s="1" t="s">
        <v>9</v>
      </c>
      <c r="D665" s="1">
        <f t="shared" si="10"/>
        <v>9</v>
      </c>
    </row>
    <row r="666" spans="1:4" x14ac:dyDescent="0.35">
      <c r="A666" s="1">
        <v>7429</v>
      </c>
      <c r="B666" s="2">
        <v>46282</v>
      </c>
      <c r="C666" s="1" t="s">
        <v>19</v>
      </c>
      <c r="D666" s="1">
        <f t="shared" si="10"/>
        <v>9</v>
      </c>
    </row>
    <row r="667" spans="1:4" x14ac:dyDescent="0.35">
      <c r="A667" s="1">
        <v>7428</v>
      </c>
      <c r="B667" s="2">
        <v>46282</v>
      </c>
      <c r="C667" s="1" t="s">
        <v>19</v>
      </c>
      <c r="D667" s="1">
        <f t="shared" si="10"/>
        <v>9</v>
      </c>
    </row>
    <row r="668" spans="1:4" x14ac:dyDescent="0.35">
      <c r="A668" s="1">
        <v>7435</v>
      </c>
      <c r="B668" s="2">
        <v>46283</v>
      </c>
      <c r="C668" s="1" t="s">
        <v>3</v>
      </c>
      <c r="D668" s="1">
        <f t="shared" si="10"/>
        <v>9</v>
      </c>
    </row>
    <row r="669" spans="1:4" x14ac:dyDescent="0.35">
      <c r="A669" s="1">
        <v>7434</v>
      </c>
      <c r="B669" s="2">
        <v>46283</v>
      </c>
      <c r="C669" s="1" t="s">
        <v>19</v>
      </c>
      <c r="D669" s="1">
        <f t="shared" si="10"/>
        <v>9</v>
      </c>
    </row>
    <row r="670" spans="1:4" x14ac:dyDescent="0.35">
      <c r="A670" s="1">
        <v>7437</v>
      </c>
      <c r="B670" s="2">
        <v>46286.661111111112</v>
      </c>
      <c r="C670" s="1" t="s">
        <v>3</v>
      </c>
      <c r="D670" s="1">
        <f t="shared" si="10"/>
        <v>9</v>
      </c>
    </row>
    <row r="671" spans="1:4" x14ac:dyDescent="0.35">
      <c r="A671" s="1">
        <v>7438</v>
      </c>
      <c r="B671" s="2">
        <v>46286.689583333333</v>
      </c>
      <c r="C671" s="1" t="s">
        <v>3</v>
      </c>
      <c r="D671" s="1">
        <f t="shared" si="10"/>
        <v>9</v>
      </c>
    </row>
    <row r="672" spans="1:4" x14ac:dyDescent="0.35">
      <c r="A672" s="1">
        <v>7439</v>
      </c>
      <c r="B672" s="2">
        <v>46286.727083333331</v>
      </c>
      <c r="C672" s="1" t="s">
        <v>9</v>
      </c>
      <c r="D672" s="1">
        <f t="shared" si="10"/>
        <v>9</v>
      </c>
    </row>
    <row r="673" spans="1:4" x14ac:dyDescent="0.35">
      <c r="A673" s="1">
        <v>7441</v>
      </c>
      <c r="B673" s="2">
        <v>46288.386805555558</v>
      </c>
      <c r="C673" s="1" t="s">
        <v>21</v>
      </c>
      <c r="D673" s="1">
        <f t="shared" si="10"/>
        <v>9</v>
      </c>
    </row>
    <row r="674" spans="1:4" x14ac:dyDescent="0.35">
      <c r="A674" s="1">
        <v>7442</v>
      </c>
      <c r="B674" s="2">
        <v>46288.59097222222</v>
      </c>
      <c r="C674" s="1" t="s">
        <v>21</v>
      </c>
      <c r="D674" s="1">
        <f t="shared" si="10"/>
        <v>9</v>
      </c>
    </row>
    <row r="675" spans="1:4" x14ac:dyDescent="0.35">
      <c r="A675" s="1">
        <v>7443</v>
      </c>
      <c r="B675" s="2">
        <v>46288.64166666667</v>
      </c>
      <c r="C675" s="1" t="s">
        <v>28</v>
      </c>
      <c r="D675" s="1">
        <f t="shared" si="10"/>
        <v>9</v>
      </c>
    </row>
    <row r="676" spans="1:4" x14ac:dyDescent="0.35">
      <c r="A676" s="1">
        <v>7444</v>
      </c>
      <c r="B676" s="2">
        <v>46288.645833333336</v>
      </c>
      <c r="C676" s="1" t="s">
        <v>28</v>
      </c>
      <c r="D676" s="1">
        <f t="shared" si="10"/>
        <v>9</v>
      </c>
    </row>
    <row r="677" spans="1:4" x14ac:dyDescent="0.35">
      <c r="A677" s="1">
        <v>7445</v>
      </c>
      <c r="B677" s="2">
        <v>46288.646527777775</v>
      </c>
      <c r="C677" s="1" t="s">
        <v>28</v>
      </c>
      <c r="D677" s="1">
        <f t="shared" si="10"/>
        <v>9</v>
      </c>
    </row>
    <row r="678" spans="1:4" x14ac:dyDescent="0.35">
      <c r="A678" s="1">
        <v>7446</v>
      </c>
      <c r="B678" s="2">
        <v>46290.386111111111</v>
      </c>
      <c r="C678" s="1" t="s">
        <v>24</v>
      </c>
      <c r="D678" s="1">
        <f t="shared" si="10"/>
        <v>9</v>
      </c>
    </row>
    <row r="679" spans="1:4" x14ac:dyDescent="0.35">
      <c r="A679" s="1">
        <v>7447</v>
      </c>
      <c r="B679" s="2">
        <v>46290.386805555558</v>
      </c>
      <c r="C679" s="1" t="s">
        <v>24</v>
      </c>
      <c r="D679" s="1">
        <f t="shared" si="10"/>
        <v>9</v>
      </c>
    </row>
    <row r="680" spans="1:4" x14ac:dyDescent="0.35">
      <c r="A680" s="1">
        <v>7448</v>
      </c>
      <c r="B680" s="2">
        <v>46290.388194444444</v>
      </c>
      <c r="C680" s="1" t="s">
        <v>24</v>
      </c>
      <c r="D680" s="1">
        <f t="shared" si="10"/>
        <v>9</v>
      </c>
    </row>
    <row r="681" spans="1:4" x14ac:dyDescent="0.35">
      <c r="A681" s="1">
        <v>7449</v>
      </c>
      <c r="B681" s="2">
        <v>46290.431250000001</v>
      </c>
      <c r="C681" s="1" t="s">
        <v>9</v>
      </c>
      <c r="D681" s="1">
        <f t="shared" si="10"/>
        <v>9</v>
      </c>
    </row>
    <row r="682" spans="1:4" x14ac:dyDescent="0.35">
      <c r="A682" s="1">
        <v>7450</v>
      </c>
      <c r="B682" s="2">
        <v>46290.431944444441</v>
      </c>
      <c r="C682" s="1" t="s">
        <v>9</v>
      </c>
      <c r="D682" s="1">
        <f t="shared" si="10"/>
        <v>9</v>
      </c>
    </row>
    <row r="683" spans="1:4" x14ac:dyDescent="0.35">
      <c r="A683" s="1">
        <v>7452</v>
      </c>
      <c r="B683" s="2">
        <v>46293.567361111112</v>
      </c>
      <c r="C683" s="1" t="s">
        <v>3</v>
      </c>
      <c r="D683" s="1">
        <f t="shared" si="10"/>
        <v>9</v>
      </c>
    </row>
    <row r="684" spans="1:4" x14ac:dyDescent="0.35">
      <c r="A684" s="1">
        <v>7453</v>
      </c>
      <c r="B684" s="2">
        <v>46293.731944444444</v>
      </c>
      <c r="C684" s="1" t="s">
        <v>24</v>
      </c>
      <c r="D684" s="1">
        <f t="shared" si="10"/>
        <v>9</v>
      </c>
    </row>
    <row r="685" spans="1:4" x14ac:dyDescent="0.35">
      <c r="A685" s="1">
        <v>7455</v>
      </c>
      <c r="B685" s="2">
        <v>46294.757638888892</v>
      </c>
      <c r="C685" s="1" t="s">
        <v>5</v>
      </c>
      <c r="D685" s="1">
        <f t="shared" si="10"/>
        <v>9</v>
      </c>
    </row>
    <row r="686" spans="1:4" x14ac:dyDescent="0.35">
      <c r="A686" s="1">
        <v>7456</v>
      </c>
      <c r="B686" s="2">
        <v>46294.787499999999</v>
      </c>
      <c r="C686" s="1" t="s">
        <v>5</v>
      </c>
      <c r="D686" s="1">
        <f t="shared" si="10"/>
        <v>9</v>
      </c>
    </row>
    <row r="687" spans="1:4" x14ac:dyDescent="0.35">
      <c r="A687" s="1">
        <v>7457</v>
      </c>
      <c r="B687" s="2">
        <v>46294.790972222225</v>
      </c>
      <c r="C687" s="1" t="s">
        <v>5</v>
      </c>
      <c r="D687" s="1">
        <f t="shared" si="10"/>
        <v>9</v>
      </c>
    </row>
    <row r="688" spans="1:4" x14ac:dyDescent="0.35">
      <c r="A688" s="1">
        <v>7460</v>
      </c>
      <c r="B688" s="2">
        <v>46295.581944444442</v>
      </c>
      <c r="C688" s="1" t="s">
        <v>3</v>
      </c>
      <c r="D688" s="1">
        <f t="shared" si="10"/>
        <v>9</v>
      </c>
    </row>
    <row r="689" spans="1:4" x14ac:dyDescent="0.35">
      <c r="A689" s="1">
        <v>7461</v>
      </c>
      <c r="B689" s="2">
        <v>46296.474305555559</v>
      </c>
      <c r="C689" s="1" t="s">
        <v>19</v>
      </c>
      <c r="D689" s="1">
        <f t="shared" si="10"/>
        <v>10</v>
      </c>
    </row>
    <row r="690" spans="1:4" x14ac:dyDescent="0.35">
      <c r="A690" s="1">
        <v>7462</v>
      </c>
      <c r="B690" s="2">
        <v>46296.475694444445</v>
      </c>
      <c r="C690" s="1" t="s">
        <v>19</v>
      </c>
      <c r="D690" s="1">
        <f t="shared" si="10"/>
        <v>10</v>
      </c>
    </row>
    <row r="691" spans="1:4" x14ac:dyDescent="0.35">
      <c r="A691" s="1">
        <v>7463</v>
      </c>
      <c r="B691" s="2">
        <v>46296.522222222222</v>
      </c>
      <c r="C691" s="1" t="s">
        <v>5</v>
      </c>
      <c r="D691" s="1">
        <f t="shared" si="10"/>
        <v>10</v>
      </c>
    </row>
    <row r="692" spans="1:4" x14ac:dyDescent="0.35">
      <c r="A692" s="1">
        <v>7464</v>
      </c>
      <c r="B692" s="2">
        <v>46296.524305555555</v>
      </c>
      <c r="C692" s="1" t="s">
        <v>5</v>
      </c>
      <c r="D692" s="1">
        <f t="shared" si="10"/>
        <v>10</v>
      </c>
    </row>
    <row r="693" spans="1:4" x14ac:dyDescent="0.35">
      <c r="A693" s="1">
        <v>7465</v>
      </c>
      <c r="B693" s="2">
        <v>46296.525694444441</v>
      </c>
      <c r="C693" s="1" t="s">
        <v>5</v>
      </c>
      <c r="D693" s="1">
        <f t="shared" si="10"/>
        <v>10</v>
      </c>
    </row>
    <row r="694" spans="1:4" x14ac:dyDescent="0.35">
      <c r="A694" s="1">
        <v>7466</v>
      </c>
      <c r="B694" s="2">
        <v>46296.531944444447</v>
      </c>
      <c r="C694" s="1" t="s">
        <v>5</v>
      </c>
      <c r="D694" s="1">
        <f t="shared" si="10"/>
        <v>10</v>
      </c>
    </row>
    <row r="695" spans="1:4" x14ac:dyDescent="0.35">
      <c r="A695" s="1">
        <v>7467</v>
      </c>
      <c r="B695" s="2">
        <v>46296.533333333333</v>
      </c>
      <c r="C695" s="1" t="s">
        <v>5</v>
      </c>
      <c r="D695" s="1">
        <f t="shared" si="10"/>
        <v>10</v>
      </c>
    </row>
    <row r="696" spans="1:4" x14ac:dyDescent="0.35">
      <c r="A696" s="1">
        <v>7468</v>
      </c>
      <c r="B696" s="2">
        <v>46296.53402777778</v>
      </c>
      <c r="C696" s="1" t="s">
        <v>5</v>
      </c>
      <c r="D696" s="1">
        <f t="shared" si="10"/>
        <v>10</v>
      </c>
    </row>
    <row r="697" spans="1:4" x14ac:dyDescent="0.35">
      <c r="A697" s="1">
        <v>7469</v>
      </c>
      <c r="B697" s="2">
        <v>46296.543055555558</v>
      </c>
      <c r="C697" s="1" t="s">
        <v>9</v>
      </c>
      <c r="D697" s="1">
        <f t="shared" si="10"/>
        <v>10</v>
      </c>
    </row>
    <row r="698" spans="1:4" x14ac:dyDescent="0.35">
      <c r="A698" s="1">
        <v>7470</v>
      </c>
      <c r="B698" s="2">
        <v>46296.605555555558</v>
      </c>
      <c r="C698" s="1" t="s">
        <v>19</v>
      </c>
      <c r="D698" s="1">
        <f t="shared" si="10"/>
        <v>10</v>
      </c>
    </row>
    <row r="699" spans="1:4" x14ac:dyDescent="0.35">
      <c r="A699" s="1">
        <v>7471</v>
      </c>
      <c r="B699" s="2">
        <v>46297.411805555559</v>
      </c>
      <c r="C699" s="1" t="s">
        <v>9</v>
      </c>
      <c r="D699" s="1">
        <f t="shared" si="10"/>
        <v>10</v>
      </c>
    </row>
    <row r="700" spans="1:4" x14ac:dyDescent="0.35">
      <c r="A700" s="1">
        <v>7472</v>
      </c>
      <c r="B700" s="2">
        <v>46297.458333333336</v>
      </c>
      <c r="C700" s="1" t="s">
        <v>3</v>
      </c>
      <c r="D700" s="1">
        <f t="shared" si="10"/>
        <v>10</v>
      </c>
    </row>
    <row r="701" spans="1:4" x14ac:dyDescent="0.35">
      <c r="A701" s="1">
        <v>7473</v>
      </c>
      <c r="B701" s="2">
        <v>46297.522222222222</v>
      </c>
      <c r="C701" s="1" t="s">
        <v>28</v>
      </c>
      <c r="D701" s="1">
        <f t="shared" si="10"/>
        <v>10</v>
      </c>
    </row>
    <row r="702" spans="1:4" x14ac:dyDescent="0.35">
      <c r="A702" s="1">
        <v>7474</v>
      </c>
      <c r="B702" s="2">
        <v>46297.522916666669</v>
      </c>
      <c r="C702" s="1" t="s">
        <v>28</v>
      </c>
      <c r="D702" s="1">
        <f t="shared" si="10"/>
        <v>10</v>
      </c>
    </row>
    <row r="703" spans="1:4" x14ac:dyDescent="0.35">
      <c r="A703" s="1">
        <v>7475</v>
      </c>
      <c r="B703" s="2">
        <v>46297.597222222219</v>
      </c>
      <c r="C703" s="1" t="s">
        <v>9</v>
      </c>
      <c r="D703" s="1">
        <f t="shared" si="10"/>
        <v>10</v>
      </c>
    </row>
    <row r="704" spans="1:4" x14ac:dyDescent="0.35">
      <c r="A704" s="1">
        <v>7476</v>
      </c>
      <c r="B704" s="2">
        <v>46297.69027777778</v>
      </c>
      <c r="C704" s="1" t="s">
        <v>22</v>
      </c>
      <c r="D704" s="1">
        <f t="shared" si="10"/>
        <v>10</v>
      </c>
    </row>
    <row r="705" spans="1:4" x14ac:dyDescent="0.35">
      <c r="A705" s="1">
        <v>7477</v>
      </c>
      <c r="B705" s="2">
        <v>46297.690972222219</v>
      </c>
      <c r="C705" s="1" t="s">
        <v>22</v>
      </c>
      <c r="D705" s="1">
        <f t="shared" si="10"/>
        <v>10</v>
      </c>
    </row>
    <row r="706" spans="1:4" x14ac:dyDescent="0.35">
      <c r="A706" s="1">
        <v>7478</v>
      </c>
      <c r="B706" s="2">
        <v>46297.777777777781</v>
      </c>
      <c r="C706" s="1" t="s">
        <v>5</v>
      </c>
      <c r="D706" s="1">
        <f t="shared" ref="D706:D744" si="11">MONTH(B706)</f>
        <v>10</v>
      </c>
    </row>
    <row r="707" spans="1:4" x14ac:dyDescent="0.35">
      <c r="A707" s="1">
        <v>7479</v>
      </c>
      <c r="B707" s="2">
        <v>46297.779166666667</v>
      </c>
      <c r="C707" s="1" t="s">
        <v>5</v>
      </c>
      <c r="D707" s="1">
        <f t="shared" si="11"/>
        <v>10</v>
      </c>
    </row>
    <row r="708" spans="1:4" x14ac:dyDescent="0.35">
      <c r="A708" s="1">
        <v>7480</v>
      </c>
      <c r="B708" s="2">
        <v>46297.781944444447</v>
      </c>
      <c r="C708" s="1" t="s">
        <v>5</v>
      </c>
      <c r="D708" s="1">
        <f t="shared" si="11"/>
        <v>10</v>
      </c>
    </row>
    <row r="709" spans="1:4" x14ac:dyDescent="0.35">
      <c r="A709" s="1">
        <v>7481</v>
      </c>
      <c r="B709" s="2">
        <v>46297.78402777778</v>
      </c>
      <c r="C709" s="1" t="s">
        <v>5</v>
      </c>
      <c r="D709" s="1">
        <f t="shared" si="11"/>
        <v>10</v>
      </c>
    </row>
    <row r="710" spans="1:4" x14ac:dyDescent="0.35">
      <c r="A710" s="1">
        <v>7482</v>
      </c>
      <c r="B710" s="2">
        <v>46297.784722222219</v>
      </c>
      <c r="C710" s="1" t="s">
        <v>5</v>
      </c>
      <c r="D710" s="1">
        <f t="shared" si="11"/>
        <v>10</v>
      </c>
    </row>
    <row r="711" spans="1:4" x14ac:dyDescent="0.35">
      <c r="A711" s="1">
        <v>7484</v>
      </c>
      <c r="B711" s="2">
        <v>46301.286805555559</v>
      </c>
      <c r="C711" s="1" t="s">
        <v>9</v>
      </c>
      <c r="D711" s="1">
        <f t="shared" si="11"/>
        <v>10</v>
      </c>
    </row>
    <row r="712" spans="1:4" x14ac:dyDescent="0.35">
      <c r="A712" s="1">
        <v>7485</v>
      </c>
      <c r="B712" s="2">
        <v>46301.287499999999</v>
      </c>
      <c r="C712" s="1" t="s">
        <v>9</v>
      </c>
      <c r="D712" s="1">
        <f t="shared" si="11"/>
        <v>10</v>
      </c>
    </row>
    <row r="713" spans="1:4" x14ac:dyDescent="0.35">
      <c r="A713" s="1">
        <v>7486</v>
      </c>
      <c r="B713" s="2">
        <v>46301.288194444445</v>
      </c>
      <c r="C713" s="1" t="s">
        <v>9</v>
      </c>
      <c r="D713" s="1">
        <f t="shared" si="11"/>
        <v>10</v>
      </c>
    </row>
    <row r="714" spans="1:4" x14ac:dyDescent="0.35">
      <c r="A714" s="1">
        <v>7487</v>
      </c>
      <c r="B714" s="2">
        <v>46301.356944444444</v>
      </c>
      <c r="C714" s="1" t="s">
        <v>3</v>
      </c>
      <c r="D714" s="1">
        <f t="shared" si="11"/>
        <v>10</v>
      </c>
    </row>
    <row r="715" spans="1:4" x14ac:dyDescent="0.35">
      <c r="A715" s="1">
        <v>7489</v>
      </c>
      <c r="B715" s="2">
        <v>46301.35833333333</v>
      </c>
      <c r="C715" s="1" t="s">
        <v>19</v>
      </c>
      <c r="D715" s="1">
        <f t="shared" si="11"/>
        <v>10</v>
      </c>
    </row>
    <row r="716" spans="1:4" x14ac:dyDescent="0.35">
      <c r="A716" s="1">
        <v>7488</v>
      </c>
      <c r="B716" s="2">
        <v>46301.35833333333</v>
      </c>
      <c r="C716" s="1" t="s">
        <v>3</v>
      </c>
      <c r="D716" s="1">
        <f t="shared" si="11"/>
        <v>10</v>
      </c>
    </row>
    <row r="717" spans="1:4" x14ac:dyDescent="0.35">
      <c r="A717" s="1">
        <v>7491</v>
      </c>
      <c r="B717" s="2">
        <v>46301.359027777777</v>
      </c>
      <c r="C717" s="1" t="s">
        <v>3</v>
      </c>
      <c r="D717" s="1">
        <f t="shared" si="11"/>
        <v>10</v>
      </c>
    </row>
    <row r="718" spans="1:4" x14ac:dyDescent="0.35">
      <c r="A718" s="1">
        <v>7492</v>
      </c>
      <c r="B718" s="2">
        <v>46301.361111111109</v>
      </c>
      <c r="C718" s="1" t="s">
        <v>24</v>
      </c>
      <c r="D718" s="1">
        <f t="shared" si="11"/>
        <v>10</v>
      </c>
    </row>
    <row r="719" spans="1:4" x14ac:dyDescent="0.35">
      <c r="A719" s="1">
        <v>7490</v>
      </c>
      <c r="B719" s="2">
        <v>46301.361111111109</v>
      </c>
      <c r="C719" s="1" t="s">
        <v>24</v>
      </c>
      <c r="D719" s="1">
        <f t="shared" si="11"/>
        <v>10</v>
      </c>
    </row>
    <row r="720" spans="1:4" x14ac:dyDescent="0.35">
      <c r="A720" s="1">
        <v>7493</v>
      </c>
      <c r="B720" s="2">
        <v>46301.361805555556</v>
      </c>
      <c r="C720" s="1" t="s">
        <v>24</v>
      </c>
      <c r="D720" s="1">
        <f t="shared" si="11"/>
        <v>10</v>
      </c>
    </row>
    <row r="721" spans="1:4" x14ac:dyDescent="0.35">
      <c r="A721" s="1">
        <v>7495</v>
      </c>
      <c r="B721" s="2">
        <v>46301.362500000003</v>
      </c>
      <c r="C721" s="1" t="s">
        <v>24</v>
      </c>
      <c r="D721" s="1">
        <f t="shared" si="11"/>
        <v>10</v>
      </c>
    </row>
    <row r="722" spans="1:4" x14ac:dyDescent="0.35">
      <c r="A722" s="1">
        <v>7494</v>
      </c>
      <c r="B722" s="2">
        <v>46301.362500000003</v>
      </c>
      <c r="C722" s="1" t="s">
        <v>24</v>
      </c>
      <c r="D722" s="1">
        <f t="shared" si="11"/>
        <v>10</v>
      </c>
    </row>
    <row r="723" spans="1:4" x14ac:dyDescent="0.35">
      <c r="A723" s="1">
        <v>7496</v>
      </c>
      <c r="B723" s="2">
        <v>46301.363194444442</v>
      </c>
      <c r="C723" s="1" t="s">
        <v>24</v>
      </c>
      <c r="D723" s="1">
        <f t="shared" si="11"/>
        <v>10</v>
      </c>
    </row>
    <row r="724" spans="1:4" x14ac:dyDescent="0.35">
      <c r="A724" s="1">
        <v>7497</v>
      </c>
      <c r="B724" s="2">
        <v>46301.363888888889</v>
      </c>
      <c r="C724" s="1" t="s">
        <v>24</v>
      </c>
      <c r="D724" s="1">
        <f t="shared" si="11"/>
        <v>10</v>
      </c>
    </row>
    <row r="725" spans="1:4" x14ac:dyDescent="0.35">
      <c r="A725" s="1">
        <v>7498</v>
      </c>
      <c r="B725" s="2">
        <v>46301.365277777775</v>
      </c>
      <c r="C725" s="1" t="s">
        <v>24</v>
      </c>
      <c r="D725" s="1">
        <f t="shared" si="11"/>
        <v>10</v>
      </c>
    </row>
    <row r="726" spans="1:4" x14ac:dyDescent="0.35">
      <c r="A726" s="1">
        <v>7499</v>
      </c>
      <c r="B726" s="2">
        <v>46301.365972222222</v>
      </c>
      <c r="C726" s="1" t="s">
        <v>24</v>
      </c>
      <c r="D726" s="1">
        <f t="shared" si="11"/>
        <v>10</v>
      </c>
    </row>
    <row r="727" spans="1:4" x14ac:dyDescent="0.35">
      <c r="A727" s="1">
        <v>7500</v>
      </c>
      <c r="B727" s="2">
        <v>46301.366666666669</v>
      </c>
      <c r="C727" s="1" t="s">
        <v>24</v>
      </c>
      <c r="D727" s="1">
        <f t="shared" si="11"/>
        <v>10</v>
      </c>
    </row>
    <row r="728" spans="1:4" x14ac:dyDescent="0.35">
      <c r="A728" s="1">
        <v>7502</v>
      </c>
      <c r="B728" s="2">
        <v>46301.393750000003</v>
      </c>
      <c r="C728" s="1" t="s">
        <v>28</v>
      </c>
      <c r="D728" s="1">
        <f t="shared" si="11"/>
        <v>10</v>
      </c>
    </row>
    <row r="729" spans="1:4" x14ac:dyDescent="0.35">
      <c r="A729" s="1">
        <v>7503</v>
      </c>
      <c r="B729" s="2">
        <v>46301.394444444442</v>
      </c>
      <c r="C729" s="1" t="s">
        <v>28</v>
      </c>
      <c r="D729" s="1">
        <f t="shared" si="11"/>
        <v>10</v>
      </c>
    </row>
    <row r="730" spans="1:4" x14ac:dyDescent="0.35">
      <c r="A730" s="1">
        <v>7504</v>
      </c>
      <c r="B730" s="2">
        <v>46301.395138888889</v>
      </c>
      <c r="C730" s="1" t="s">
        <v>28</v>
      </c>
      <c r="D730" s="1">
        <f t="shared" si="11"/>
        <v>10</v>
      </c>
    </row>
    <row r="731" spans="1:4" x14ac:dyDescent="0.35">
      <c r="A731" s="1">
        <v>7506</v>
      </c>
      <c r="B731" s="2">
        <v>46301.395833333336</v>
      </c>
      <c r="C731" s="1" t="s">
        <v>28</v>
      </c>
      <c r="D731" s="1">
        <f t="shared" si="11"/>
        <v>10</v>
      </c>
    </row>
    <row r="732" spans="1:4" x14ac:dyDescent="0.35">
      <c r="A732" s="1">
        <v>7505</v>
      </c>
      <c r="B732" s="2">
        <v>46301.395833333336</v>
      </c>
      <c r="C732" s="1" t="s">
        <v>28</v>
      </c>
      <c r="D732" s="1">
        <f t="shared" si="11"/>
        <v>10</v>
      </c>
    </row>
    <row r="733" spans="1:4" x14ac:dyDescent="0.35">
      <c r="A733" s="1">
        <v>7507</v>
      </c>
      <c r="B733" s="2">
        <v>46301.433333333334</v>
      </c>
      <c r="C733" s="1" t="s">
        <v>3</v>
      </c>
      <c r="D733" s="1">
        <f t="shared" si="11"/>
        <v>10</v>
      </c>
    </row>
    <row r="734" spans="1:4" x14ac:dyDescent="0.35">
      <c r="A734" s="1">
        <v>7508</v>
      </c>
      <c r="B734" s="2">
        <v>46301.470138888886</v>
      </c>
      <c r="C734" s="1" t="s">
        <v>19</v>
      </c>
      <c r="D734" s="1">
        <f t="shared" si="11"/>
        <v>10</v>
      </c>
    </row>
    <row r="735" spans="1:4" x14ac:dyDescent="0.35">
      <c r="A735" s="1">
        <v>7509</v>
      </c>
      <c r="B735" s="2">
        <v>46301.48541666667</v>
      </c>
      <c r="C735" s="1" t="s">
        <v>24</v>
      </c>
      <c r="D735" s="1">
        <f t="shared" si="11"/>
        <v>10</v>
      </c>
    </row>
    <row r="736" spans="1:4" x14ac:dyDescent="0.35">
      <c r="A736" s="1">
        <v>7510</v>
      </c>
      <c r="B736" s="2">
        <v>46301.500694444447</v>
      </c>
      <c r="C736" s="1" t="s">
        <v>24</v>
      </c>
      <c r="D736" s="1">
        <f t="shared" si="11"/>
        <v>10</v>
      </c>
    </row>
    <row r="737" spans="1:4" x14ac:dyDescent="0.35">
      <c r="A737" s="1">
        <v>7513</v>
      </c>
      <c r="B737" s="2">
        <v>46301.513194444444</v>
      </c>
      <c r="C737" s="1" t="s">
        <v>21</v>
      </c>
      <c r="D737" s="1">
        <f t="shared" si="11"/>
        <v>10</v>
      </c>
    </row>
    <row r="738" spans="1:4" x14ac:dyDescent="0.35">
      <c r="A738" s="1">
        <v>7514</v>
      </c>
      <c r="B738" s="2">
        <v>46301.63958333333</v>
      </c>
      <c r="C738" s="1" t="s">
        <v>21</v>
      </c>
      <c r="D738" s="1">
        <f t="shared" si="11"/>
        <v>10</v>
      </c>
    </row>
    <row r="739" spans="1:4" x14ac:dyDescent="0.35">
      <c r="A739" s="1">
        <v>7515</v>
      </c>
      <c r="B739" s="2">
        <v>46301.724305555559</v>
      </c>
      <c r="C739" s="1" t="s">
        <v>22</v>
      </c>
      <c r="D739" s="1">
        <f t="shared" si="11"/>
        <v>10</v>
      </c>
    </row>
    <row r="740" spans="1:4" x14ac:dyDescent="0.35">
      <c r="A740" s="1">
        <v>7517</v>
      </c>
      <c r="B740" s="2">
        <v>46301.743750000001</v>
      </c>
      <c r="C740" s="1" t="s">
        <v>5</v>
      </c>
      <c r="D740" s="1">
        <f t="shared" si="11"/>
        <v>10</v>
      </c>
    </row>
    <row r="741" spans="1:4" x14ac:dyDescent="0.35">
      <c r="A741" s="1">
        <v>7518</v>
      </c>
      <c r="B741" s="2">
        <v>46301.745138888888</v>
      </c>
      <c r="C741" s="1" t="s">
        <v>5</v>
      </c>
      <c r="D741" s="1">
        <f t="shared" si="11"/>
        <v>10</v>
      </c>
    </row>
    <row r="742" spans="1:4" x14ac:dyDescent="0.35">
      <c r="A742" s="1">
        <v>7519</v>
      </c>
      <c r="B742" s="2">
        <v>46301.745833333334</v>
      </c>
      <c r="C742" s="1" t="s">
        <v>5</v>
      </c>
      <c r="D742" s="1">
        <f t="shared" si="11"/>
        <v>10</v>
      </c>
    </row>
    <row r="743" spans="1:4" x14ac:dyDescent="0.35">
      <c r="A743" s="1">
        <v>7520</v>
      </c>
      <c r="B743" s="2">
        <v>46301.746527777781</v>
      </c>
      <c r="C743" s="1" t="s">
        <v>5</v>
      </c>
      <c r="D743" s="1">
        <f t="shared" si="11"/>
        <v>10</v>
      </c>
    </row>
    <row r="744" spans="1:4" x14ac:dyDescent="0.35">
      <c r="A744" s="1">
        <v>7521</v>
      </c>
      <c r="B744" s="2">
        <v>46301.74722222222</v>
      </c>
      <c r="C744" s="1" t="s">
        <v>24</v>
      </c>
      <c r="D744" s="1">
        <f t="shared" si="11"/>
        <v>10</v>
      </c>
    </row>
    <row r="745" spans="1:4" x14ac:dyDescent="0.35">
      <c r="A745" s="1">
        <v>7523</v>
      </c>
      <c r="B745" s="2">
        <v>46302.624305555553</v>
      </c>
      <c r="C745" s="1" t="s">
        <v>3</v>
      </c>
      <c r="D745" s="1">
        <f t="shared" ref="D745:D746" si="12">MONTH(B745)</f>
        <v>10</v>
      </c>
    </row>
    <row r="746" spans="1:4" x14ac:dyDescent="0.35">
      <c r="A746" s="1">
        <v>7522</v>
      </c>
      <c r="B746" s="2">
        <v>46302.615277777775</v>
      </c>
      <c r="C746" s="1" t="s">
        <v>19</v>
      </c>
      <c r="D746" s="1">
        <f t="shared" si="12"/>
        <v>10</v>
      </c>
    </row>
    <row r="747" spans="1:4" x14ac:dyDescent="0.35">
      <c r="A747" s="1">
        <v>7555</v>
      </c>
      <c r="B747" s="2">
        <v>46308.431944444441</v>
      </c>
      <c r="C747" s="1" t="s">
        <v>3</v>
      </c>
      <c r="D747" s="1">
        <f t="shared" ref="D747:D771" si="13">MONTH(B747)</f>
        <v>10</v>
      </c>
    </row>
    <row r="748" spans="1:4" x14ac:dyDescent="0.35">
      <c r="A748" s="1">
        <v>7551</v>
      </c>
      <c r="B748" s="2">
        <v>46304.76666666667</v>
      </c>
      <c r="C748" s="1" t="s">
        <v>5</v>
      </c>
      <c r="D748" s="1">
        <f t="shared" si="13"/>
        <v>10</v>
      </c>
    </row>
    <row r="749" spans="1:4" x14ac:dyDescent="0.35">
      <c r="A749" s="1">
        <v>7550</v>
      </c>
      <c r="B749" s="2">
        <v>46304.765972222223</v>
      </c>
      <c r="C749" s="1" t="s">
        <v>5</v>
      </c>
      <c r="D749" s="1">
        <f t="shared" si="13"/>
        <v>10</v>
      </c>
    </row>
    <row r="750" spans="1:4" x14ac:dyDescent="0.35">
      <c r="A750" s="1">
        <v>7549</v>
      </c>
      <c r="B750" s="2">
        <v>46304.763888888891</v>
      </c>
      <c r="C750" s="1" t="s">
        <v>5</v>
      </c>
      <c r="D750" s="1">
        <f t="shared" si="13"/>
        <v>10</v>
      </c>
    </row>
    <row r="751" spans="1:4" x14ac:dyDescent="0.35">
      <c r="A751" s="1">
        <v>7548</v>
      </c>
      <c r="B751" s="2">
        <v>46304.763194444444</v>
      </c>
      <c r="C751" s="1" t="s">
        <v>5</v>
      </c>
      <c r="D751" s="1">
        <f t="shared" si="13"/>
        <v>10</v>
      </c>
    </row>
    <row r="752" spans="1:4" x14ac:dyDescent="0.35">
      <c r="A752" s="1">
        <v>7547</v>
      </c>
      <c r="B752" s="2">
        <v>46304.761111111111</v>
      </c>
      <c r="C752" s="1" t="s">
        <v>5</v>
      </c>
      <c r="D752" s="1">
        <f t="shared" si="13"/>
        <v>10</v>
      </c>
    </row>
    <row r="753" spans="1:4" x14ac:dyDescent="0.35">
      <c r="A753" s="1">
        <v>7546</v>
      </c>
      <c r="B753" s="2">
        <v>46304.663888888892</v>
      </c>
      <c r="C753" s="1" t="s">
        <v>28</v>
      </c>
      <c r="D753" s="1">
        <f t="shared" si="13"/>
        <v>10</v>
      </c>
    </row>
    <row r="754" spans="1:4" x14ac:dyDescent="0.35">
      <c r="A754" s="1">
        <v>7542</v>
      </c>
      <c r="B754" s="2">
        <v>46304.580555555556</v>
      </c>
      <c r="C754" s="1" t="s">
        <v>24</v>
      </c>
      <c r="D754" s="1">
        <f t="shared" si="13"/>
        <v>10</v>
      </c>
    </row>
    <row r="755" spans="1:4" x14ac:dyDescent="0.35">
      <c r="A755" s="1">
        <v>7541</v>
      </c>
      <c r="B755" s="2">
        <v>46304.464583333334</v>
      </c>
      <c r="C755" s="1" t="s">
        <v>21</v>
      </c>
      <c r="D755" s="1">
        <f t="shared" si="13"/>
        <v>10</v>
      </c>
    </row>
    <row r="756" spans="1:4" x14ac:dyDescent="0.35">
      <c r="A756" s="1">
        <v>7540</v>
      </c>
      <c r="B756" s="2">
        <v>46304.463194444441</v>
      </c>
      <c r="C756" s="1" t="s">
        <v>21</v>
      </c>
      <c r="D756" s="1">
        <f t="shared" si="13"/>
        <v>10</v>
      </c>
    </row>
    <row r="757" spans="1:4" x14ac:dyDescent="0.35">
      <c r="A757" s="1">
        <v>7539</v>
      </c>
      <c r="B757" s="2">
        <v>46304.461805555555</v>
      </c>
      <c r="C757" s="1" t="s">
        <v>3</v>
      </c>
      <c r="D757" s="1">
        <f t="shared" si="13"/>
        <v>10</v>
      </c>
    </row>
    <row r="758" spans="1:4" x14ac:dyDescent="0.35">
      <c r="A758" s="1">
        <v>7538</v>
      </c>
      <c r="B758" s="2">
        <v>46304.415972222225</v>
      </c>
      <c r="C758" s="1" t="s">
        <v>21</v>
      </c>
      <c r="D758" s="1">
        <f t="shared" si="13"/>
        <v>10</v>
      </c>
    </row>
    <row r="759" spans="1:4" x14ac:dyDescent="0.35">
      <c r="A759" s="1">
        <v>7537</v>
      </c>
      <c r="B759" s="2">
        <v>46304.40902777778</v>
      </c>
      <c r="C759" s="1" t="s">
        <v>19</v>
      </c>
      <c r="D759" s="1">
        <f t="shared" si="13"/>
        <v>10</v>
      </c>
    </row>
    <row r="760" spans="1:4" x14ac:dyDescent="0.35">
      <c r="A760" s="1">
        <v>7536</v>
      </c>
      <c r="B760" s="2">
        <v>46304.354166666664</v>
      </c>
      <c r="C760" s="1" t="s">
        <v>19</v>
      </c>
      <c r="D760" s="1">
        <f t="shared" si="13"/>
        <v>10</v>
      </c>
    </row>
    <row r="761" spans="1:4" x14ac:dyDescent="0.35">
      <c r="A761" s="1">
        <v>7534</v>
      </c>
      <c r="B761" s="2">
        <v>46303.762499999997</v>
      </c>
      <c r="C761" s="1" t="s">
        <v>5</v>
      </c>
      <c r="D761" s="1">
        <f t="shared" si="13"/>
        <v>10</v>
      </c>
    </row>
    <row r="762" spans="1:4" x14ac:dyDescent="0.35">
      <c r="A762" s="1">
        <v>7533</v>
      </c>
      <c r="B762" s="2">
        <v>46303.717361111114</v>
      </c>
      <c r="C762" s="1" t="s">
        <v>5</v>
      </c>
      <c r="D762" s="1">
        <f t="shared" si="13"/>
        <v>10</v>
      </c>
    </row>
    <row r="763" spans="1:4" x14ac:dyDescent="0.35">
      <c r="A763" s="1">
        <v>7532</v>
      </c>
      <c r="B763" s="2">
        <v>46303.680555555555</v>
      </c>
      <c r="C763" s="1" t="s">
        <v>22</v>
      </c>
      <c r="D763" s="1">
        <f t="shared" si="13"/>
        <v>10</v>
      </c>
    </row>
    <row r="764" spans="1:4" x14ac:dyDescent="0.35">
      <c r="A764" s="1">
        <v>7531</v>
      </c>
      <c r="B764" s="2">
        <v>46303.669444444444</v>
      </c>
      <c r="C764" s="1" t="s">
        <v>5</v>
      </c>
      <c r="D764" s="1">
        <f t="shared" si="13"/>
        <v>10</v>
      </c>
    </row>
    <row r="765" spans="1:4" x14ac:dyDescent="0.35">
      <c r="A765" s="1">
        <v>7530</v>
      </c>
      <c r="B765" s="2">
        <v>46303.668749999997</v>
      </c>
      <c r="C765" s="1" t="s">
        <v>5</v>
      </c>
      <c r="D765" s="1">
        <f t="shared" si="13"/>
        <v>10</v>
      </c>
    </row>
    <row r="766" spans="1:4" x14ac:dyDescent="0.35">
      <c r="A766" s="1">
        <v>7529</v>
      </c>
      <c r="B766" s="2">
        <v>46303.668055555558</v>
      </c>
      <c r="C766" s="1" t="s">
        <v>5</v>
      </c>
      <c r="D766" s="1">
        <f t="shared" si="13"/>
        <v>10</v>
      </c>
    </row>
    <row r="767" spans="1:4" x14ac:dyDescent="0.35">
      <c r="A767" s="1">
        <v>7528</v>
      </c>
      <c r="B767" s="2">
        <v>46303.652083333334</v>
      </c>
      <c r="C767" s="1" t="s">
        <v>19</v>
      </c>
      <c r="D767" s="1">
        <f t="shared" si="13"/>
        <v>10</v>
      </c>
    </row>
    <row r="768" spans="1:4" x14ac:dyDescent="0.35">
      <c r="A768" s="1">
        <v>7527</v>
      </c>
      <c r="B768" s="2">
        <v>46303.651388888888</v>
      </c>
      <c r="C768" s="1" t="s">
        <v>19</v>
      </c>
      <c r="D768" s="1">
        <f t="shared" si="13"/>
        <v>10</v>
      </c>
    </row>
    <row r="769" spans="1:4" x14ac:dyDescent="0.35">
      <c r="A769" s="1">
        <v>7526</v>
      </c>
      <c r="B769" s="2">
        <v>46303.611111111109</v>
      </c>
      <c r="C769" s="1" t="s">
        <v>9</v>
      </c>
      <c r="D769" s="1">
        <f t="shared" si="13"/>
        <v>10</v>
      </c>
    </row>
    <row r="770" spans="1:4" x14ac:dyDescent="0.35">
      <c r="A770" s="1">
        <v>7525</v>
      </c>
      <c r="B770" s="2">
        <v>46303.588194444441</v>
      </c>
      <c r="C770" s="1" t="s">
        <v>21</v>
      </c>
      <c r="D770" s="1">
        <f t="shared" si="13"/>
        <v>10</v>
      </c>
    </row>
    <row r="771" spans="1:4" x14ac:dyDescent="0.35">
      <c r="A771" s="1">
        <v>7524</v>
      </c>
      <c r="B771" s="2">
        <v>46303.42083333333</v>
      </c>
      <c r="C771" s="1" t="s">
        <v>21</v>
      </c>
      <c r="D771" s="1">
        <f t="shared" si="13"/>
        <v>10</v>
      </c>
    </row>
    <row r="772" spans="1:4" x14ac:dyDescent="0.35">
      <c r="A772" s="1">
        <v>7588</v>
      </c>
      <c r="B772" s="2">
        <v>46311.509027777778</v>
      </c>
      <c r="C772" s="1" t="s">
        <v>21</v>
      </c>
      <c r="D772" s="1">
        <f t="shared" ref="D772:D798" si="14">MONTH(B772)</f>
        <v>10</v>
      </c>
    </row>
    <row r="773" spans="1:4" x14ac:dyDescent="0.35">
      <c r="A773" s="1">
        <v>7587</v>
      </c>
      <c r="B773" s="2">
        <v>46311.493055555555</v>
      </c>
      <c r="C773" s="1" t="s">
        <v>21</v>
      </c>
      <c r="D773" s="1">
        <f t="shared" si="14"/>
        <v>10</v>
      </c>
    </row>
    <row r="774" spans="1:4" x14ac:dyDescent="0.35">
      <c r="A774" s="1">
        <v>7586</v>
      </c>
      <c r="B774" s="2">
        <v>46311.472916666666</v>
      </c>
      <c r="C774" s="1" t="s">
        <v>9</v>
      </c>
      <c r="D774" s="1">
        <f t="shared" si="14"/>
        <v>10</v>
      </c>
    </row>
    <row r="775" spans="1:4" x14ac:dyDescent="0.35">
      <c r="A775" s="1">
        <v>7584</v>
      </c>
      <c r="B775" s="2">
        <v>46311.413194444445</v>
      </c>
      <c r="C775" s="1" t="s">
        <v>9</v>
      </c>
      <c r="D775" s="1">
        <f t="shared" si="14"/>
        <v>10</v>
      </c>
    </row>
    <row r="776" spans="1:4" x14ac:dyDescent="0.35">
      <c r="A776" s="1">
        <v>7582</v>
      </c>
      <c r="B776" s="2">
        <v>46311.366666666669</v>
      </c>
      <c r="C776" s="1" t="s">
        <v>19</v>
      </c>
      <c r="D776" s="1">
        <f t="shared" si="14"/>
        <v>10</v>
      </c>
    </row>
    <row r="777" spans="1:4" x14ac:dyDescent="0.35">
      <c r="A777" s="1">
        <v>7581</v>
      </c>
      <c r="B777" s="2">
        <v>46310.748611111114</v>
      </c>
      <c r="C777" s="1" t="s">
        <v>5</v>
      </c>
      <c r="D777" s="1">
        <f t="shared" si="14"/>
        <v>10</v>
      </c>
    </row>
    <row r="778" spans="1:4" x14ac:dyDescent="0.35">
      <c r="A778" s="1">
        <v>7580</v>
      </c>
      <c r="B778" s="2">
        <v>46310.746527777781</v>
      </c>
      <c r="C778" s="1" t="s">
        <v>5</v>
      </c>
      <c r="D778" s="1">
        <f t="shared" si="14"/>
        <v>10</v>
      </c>
    </row>
    <row r="779" spans="1:4" x14ac:dyDescent="0.35">
      <c r="A779" s="1">
        <v>7578</v>
      </c>
      <c r="B779" s="2">
        <v>46310.652083333334</v>
      </c>
      <c r="C779" s="1" t="s">
        <v>5</v>
      </c>
      <c r="D779" s="1">
        <f t="shared" si="14"/>
        <v>10</v>
      </c>
    </row>
    <row r="780" spans="1:4" x14ac:dyDescent="0.35">
      <c r="A780" s="1">
        <v>7577</v>
      </c>
      <c r="B780" s="2">
        <v>46310.650694444441</v>
      </c>
      <c r="C780" s="1" t="s">
        <v>5</v>
      </c>
      <c r="D780" s="1">
        <f t="shared" si="14"/>
        <v>10</v>
      </c>
    </row>
    <row r="781" spans="1:4" x14ac:dyDescent="0.35">
      <c r="A781" s="1">
        <v>7576</v>
      </c>
      <c r="B781" s="2">
        <v>46310.602083333331</v>
      </c>
      <c r="C781" s="1" t="s">
        <v>9</v>
      </c>
      <c r="D781" s="1">
        <f t="shared" si="14"/>
        <v>10</v>
      </c>
    </row>
    <row r="782" spans="1:4" x14ac:dyDescent="0.35">
      <c r="A782" s="1">
        <v>7575</v>
      </c>
      <c r="B782" s="2">
        <v>46310.601388888892</v>
      </c>
      <c r="C782" s="1" t="s">
        <v>9</v>
      </c>
      <c r="D782" s="1">
        <f t="shared" si="14"/>
        <v>10</v>
      </c>
    </row>
    <row r="783" spans="1:4" x14ac:dyDescent="0.35">
      <c r="A783" s="1">
        <v>7574</v>
      </c>
      <c r="B783" s="2">
        <v>46310.59097222222</v>
      </c>
      <c r="C783" s="1" t="s">
        <v>19</v>
      </c>
      <c r="D783" s="1">
        <f t="shared" si="14"/>
        <v>10</v>
      </c>
    </row>
    <row r="784" spans="1:4" x14ac:dyDescent="0.35">
      <c r="A784" s="1">
        <v>7572</v>
      </c>
      <c r="B784" s="2">
        <v>46309.731249999997</v>
      </c>
      <c r="C784" s="1" t="s">
        <v>5</v>
      </c>
      <c r="D784" s="1">
        <f t="shared" si="14"/>
        <v>10</v>
      </c>
    </row>
    <row r="785" spans="1:4" x14ac:dyDescent="0.35">
      <c r="A785" s="1">
        <v>7571</v>
      </c>
      <c r="B785" s="2">
        <v>46309.676388888889</v>
      </c>
      <c r="C785" s="1" t="s">
        <v>5</v>
      </c>
      <c r="D785" s="1">
        <f t="shared" si="14"/>
        <v>10</v>
      </c>
    </row>
    <row r="786" spans="1:4" x14ac:dyDescent="0.35">
      <c r="A786" s="1">
        <v>7570</v>
      </c>
      <c r="B786" s="2">
        <v>46309.675694444442</v>
      </c>
      <c r="C786" s="1" t="s">
        <v>5</v>
      </c>
      <c r="D786" s="1">
        <f t="shared" si="14"/>
        <v>10</v>
      </c>
    </row>
    <row r="787" spans="1:4" x14ac:dyDescent="0.35">
      <c r="A787" s="1">
        <v>7569</v>
      </c>
      <c r="B787" s="2">
        <v>46309.675000000003</v>
      </c>
      <c r="C787" s="1" t="s">
        <v>5</v>
      </c>
      <c r="D787" s="1">
        <f t="shared" si="14"/>
        <v>10</v>
      </c>
    </row>
    <row r="788" spans="1:4" x14ac:dyDescent="0.35">
      <c r="A788" s="1">
        <v>7568</v>
      </c>
      <c r="B788" s="2">
        <v>46309.558333333334</v>
      </c>
      <c r="C788" s="1" t="s">
        <v>19</v>
      </c>
      <c r="D788" s="1">
        <f t="shared" si="14"/>
        <v>10</v>
      </c>
    </row>
    <row r="789" spans="1:4" x14ac:dyDescent="0.35">
      <c r="A789" s="1">
        <v>7567</v>
      </c>
      <c r="B789" s="2">
        <v>46309.493055555555</v>
      </c>
      <c r="C789" s="1" t="s">
        <v>21</v>
      </c>
      <c r="D789" s="1">
        <f t="shared" si="14"/>
        <v>10</v>
      </c>
    </row>
    <row r="790" spans="1:4" x14ac:dyDescent="0.35">
      <c r="A790" s="1">
        <v>7566</v>
      </c>
      <c r="B790" s="2">
        <v>46309.493055555555</v>
      </c>
      <c r="C790" s="1" t="s">
        <v>21</v>
      </c>
      <c r="D790" s="1">
        <f t="shared" si="14"/>
        <v>10</v>
      </c>
    </row>
    <row r="791" spans="1:4" x14ac:dyDescent="0.35">
      <c r="A791" s="1">
        <v>7565</v>
      </c>
      <c r="B791" s="2">
        <v>46309.467361111114</v>
      </c>
      <c r="C791" s="1" t="s">
        <v>3</v>
      </c>
      <c r="D791" s="1">
        <f t="shared" si="14"/>
        <v>10</v>
      </c>
    </row>
    <row r="792" spans="1:4" x14ac:dyDescent="0.35">
      <c r="A792" s="1">
        <v>7562</v>
      </c>
      <c r="B792" s="2">
        <v>46308.74722222222</v>
      </c>
      <c r="C792" s="1" t="s">
        <v>24</v>
      </c>
      <c r="D792" s="1">
        <f t="shared" si="14"/>
        <v>10</v>
      </c>
    </row>
    <row r="793" spans="1:4" x14ac:dyDescent="0.35">
      <c r="A793" s="1">
        <v>7561</v>
      </c>
      <c r="B793" s="2">
        <v>46308.722916666666</v>
      </c>
      <c r="C793" s="1" t="s">
        <v>5</v>
      </c>
      <c r="D793" s="1">
        <f t="shared" si="14"/>
        <v>10</v>
      </c>
    </row>
    <row r="794" spans="1:4" x14ac:dyDescent="0.35">
      <c r="A794" s="1">
        <v>7560</v>
      </c>
      <c r="B794" s="2">
        <v>46308.722222222219</v>
      </c>
      <c r="C794" s="1" t="s">
        <v>5</v>
      </c>
      <c r="D794" s="1">
        <f t="shared" si="14"/>
        <v>10</v>
      </c>
    </row>
    <row r="795" spans="1:4" x14ac:dyDescent="0.35">
      <c r="A795" s="1">
        <v>7559</v>
      </c>
      <c r="B795" s="2">
        <v>46308.72152777778</v>
      </c>
      <c r="C795" s="1" t="s">
        <v>5</v>
      </c>
      <c r="D795" s="1">
        <f t="shared" si="14"/>
        <v>10</v>
      </c>
    </row>
    <row r="796" spans="1:4" x14ac:dyDescent="0.35">
      <c r="A796" s="1">
        <v>7558</v>
      </c>
      <c r="B796" s="2">
        <v>46308.720833333333</v>
      </c>
      <c r="C796" s="1" t="s">
        <v>5</v>
      </c>
      <c r="D796" s="1">
        <f t="shared" si="14"/>
        <v>10</v>
      </c>
    </row>
    <row r="797" spans="1:4" x14ac:dyDescent="0.35">
      <c r="A797" s="1">
        <v>7557</v>
      </c>
      <c r="B797" s="2">
        <v>46308.691666666666</v>
      </c>
      <c r="C797" s="1" t="s">
        <v>28</v>
      </c>
      <c r="D797" s="1">
        <f t="shared" si="14"/>
        <v>10</v>
      </c>
    </row>
    <row r="798" spans="1:4" x14ac:dyDescent="0.35">
      <c r="A798" s="1">
        <v>7556</v>
      </c>
      <c r="B798" s="2">
        <v>46308.48333333333</v>
      </c>
      <c r="C798" s="1" t="s">
        <v>3</v>
      </c>
      <c r="D798" s="1">
        <f t="shared" si="14"/>
        <v>10</v>
      </c>
    </row>
    <row r="799" spans="1:4" x14ac:dyDescent="0.35">
      <c r="A799" s="1">
        <v>7595</v>
      </c>
      <c r="B799" s="2">
        <v>46311.754166666666</v>
      </c>
      <c r="C799" s="1" t="s">
        <v>5</v>
      </c>
      <c r="D799" s="1">
        <f t="shared" ref="D799:D804" si="15">MONTH(B799)</f>
        <v>10</v>
      </c>
    </row>
    <row r="800" spans="1:4" x14ac:dyDescent="0.35">
      <c r="A800" s="1">
        <v>7594</v>
      </c>
      <c r="B800" s="2">
        <v>46311.753472222219</v>
      </c>
      <c r="C800" s="1" t="s">
        <v>5</v>
      </c>
      <c r="D800" s="1">
        <f t="shared" si="15"/>
        <v>10</v>
      </c>
    </row>
    <row r="801" spans="1:4" x14ac:dyDescent="0.35">
      <c r="A801" s="1">
        <v>7593</v>
      </c>
      <c r="B801" s="2">
        <v>46311.75277777778</v>
      </c>
      <c r="C801" s="1" t="s">
        <v>5</v>
      </c>
      <c r="D801" s="1">
        <f t="shared" si="15"/>
        <v>10</v>
      </c>
    </row>
    <row r="802" spans="1:4" x14ac:dyDescent="0.35">
      <c r="A802" s="1">
        <v>7592</v>
      </c>
      <c r="B802" s="2">
        <v>46311.751388888886</v>
      </c>
      <c r="C802" s="1" t="s">
        <v>5</v>
      </c>
      <c r="D802" s="1">
        <f t="shared" si="15"/>
        <v>10</v>
      </c>
    </row>
    <row r="803" spans="1:4" x14ac:dyDescent="0.35">
      <c r="A803" s="1">
        <v>7591</v>
      </c>
      <c r="B803" s="2">
        <v>46311.75</v>
      </c>
      <c r="C803" s="1" t="s">
        <v>5</v>
      </c>
      <c r="D803" s="1">
        <f t="shared" si="15"/>
        <v>10</v>
      </c>
    </row>
    <row r="804" spans="1:4" x14ac:dyDescent="0.35">
      <c r="A804" s="1">
        <v>7589</v>
      </c>
      <c r="B804" s="2">
        <v>46311.640277777777</v>
      </c>
      <c r="C804" s="1" t="s">
        <v>22</v>
      </c>
      <c r="D804" s="1">
        <f t="shared" si="15"/>
        <v>10</v>
      </c>
    </row>
    <row r="805" spans="1:4" x14ac:dyDescent="0.35">
      <c r="A805" s="1">
        <v>7604</v>
      </c>
      <c r="B805" s="2">
        <v>46315.373611111114</v>
      </c>
      <c r="C805" s="1" t="s">
        <v>9</v>
      </c>
      <c r="D805" s="1">
        <f t="shared" ref="D805:D813" si="16">MONTH(B805)</f>
        <v>10</v>
      </c>
    </row>
    <row r="806" spans="1:4" x14ac:dyDescent="0.35">
      <c r="A806" s="1">
        <v>7603</v>
      </c>
      <c r="B806" s="2">
        <v>46315.359027777777</v>
      </c>
      <c r="C806" s="1" t="s">
        <v>19</v>
      </c>
      <c r="D806" s="1">
        <f t="shared" si="16"/>
        <v>10</v>
      </c>
    </row>
    <row r="807" spans="1:4" x14ac:dyDescent="0.35">
      <c r="A807" s="1">
        <v>7602</v>
      </c>
      <c r="B807" s="2">
        <v>46314.731249999997</v>
      </c>
      <c r="C807" s="1" t="s">
        <v>3</v>
      </c>
      <c r="D807" s="1">
        <f t="shared" si="16"/>
        <v>10</v>
      </c>
    </row>
    <row r="808" spans="1:4" x14ac:dyDescent="0.35">
      <c r="A808" s="1">
        <v>7601</v>
      </c>
      <c r="B808" s="2">
        <v>46314.697222222225</v>
      </c>
      <c r="C808" s="1" t="s">
        <v>9</v>
      </c>
      <c r="D808" s="1">
        <f t="shared" si="16"/>
        <v>10</v>
      </c>
    </row>
    <row r="809" spans="1:4" x14ac:dyDescent="0.35">
      <c r="A809" s="1">
        <v>7600</v>
      </c>
      <c r="B809" s="2">
        <v>46314.696527777778</v>
      </c>
      <c r="C809" s="1" t="s">
        <v>9</v>
      </c>
      <c r="D809" s="1">
        <f t="shared" si="16"/>
        <v>10</v>
      </c>
    </row>
    <row r="810" spans="1:4" x14ac:dyDescent="0.35">
      <c r="A810" s="1">
        <v>7599</v>
      </c>
      <c r="B810" s="2">
        <v>46314.584722222222</v>
      </c>
      <c r="C810" s="1" t="s">
        <v>9</v>
      </c>
      <c r="D810" s="1">
        <f t="shared" si="16"/>
        <v>10</v>
      </c>
    </row>
    <row r="811" spans="1:4" x14ac:dyDescent="0.35">
      <c r="A811" s="1">
        <v>7598</v>
      </c>
      <c r="B811" s="2">
        <v>46314.538888888892</v>
      </c>
      <c r="C811" s="1" t="s">
        <v>5</v>
      </c>
      <c r="D811" s="1">
        <f t="shared" si="16"/>
        <v>10</v>
      </c>
    </row>
    <row r="812" spans="1:4" x14ac:dyDescent="0.35">
      <c r="A812" s="1">
        <v>7597</v>
      </c>
      <c r="B812" s="2">
        <v>46314.538888888892</v>
      </c>
      <c r="C812" s="1" t="s">
        <v>5</v>
      </c>
      <c r="D812" s="1">
        <f t="shared" si="16"/>
        <v>10</v>
      </c>
    </row>
    <row r="813" spans="1:4" x14ac:dyDescent="0.35">
      <c r="A813" s="1">
        <v>7596</v>
      </c>
      <c r="B813" s="2">
        <v>46314.474305555559</v>
      </c>
      <c r="C813" s="1" t="s">
        <v>9</v>
      </c>
      <c r="D813" s="1">
        <f t="shared" si="16"/>
        <v>10</v>
      </c>
    </row>
    <row r="814" spans="1:4" x14ac:dyDescent="0.35">
      <c r="A814" s="1">
        <v>7616</v>
      </c>
      <c r="B814" s="2">
        <v>46316.368055555555</v>
      </c>
      <c r="C814" s="1" t="s">
        <v>19</v>
      </c>
      <c r="D814" s="1">
        <f t="shared" ref="D814:D825" si="17">MONTH(B814)</f>
        <v>10</v>
      </c>
    </row>
    <row r="815" spans="1:4" x14ac:dyDescent="0.35">
      <c r="A815" s="1">
        <v>7615</v>
      </c>
      <c r="B815" s="2">
        <v>46315.771527777775</v>
      </c>
      <c r="C815" s="1" t="s">
        <v>5</v>
      </c>
      <c r="D815" s="1">
        <f t="shared" si="17"/>
        <v>10</v>
      </c>
    </row>
    <row r="816" spans="1:4" x14ac:dyDescent="0.35">
      <c r="A816" s="1">
        <v>7614</v>
      </c>
      <c r="B816" s="2">
        <v>46315.768750000003</v>
      </c>
      <c r="C816" s="1" t="s">
        <v>5</v>
      </c>
      <c r="D816" s="1">
        <f t="shared" si="17"/>
        <v>10</v>
      </c>
    </row>
    <row r="817" spans="1:4" x14ac:dyDescent="0.35">
      <c r="A817" s="1">
        <v>7613</v>
      </c>
      <c r="B817" s="2">
        <v>46315.767361111109</v>
      </c>
      <c r="C817" s="1" t="s">
        <v>5</v>
      </c>
      <c r="D817" s="1">
        <f t="shared" si="17"/>
        <v>10</v>
      </c>
    </row>
    <row r="818" spans="1:4" x14ac:dyDescent="0.35">
      <c r="A818" s="1">
        <v>7612</v>
      </c>
      <c r="B818" s="2">
        <v>46315.76666666667</v>
      </c>
      <c r="C818" s="1" t="s">
        <v>5</v>
      </c>
      <c r="D818" s="1">
        <f t="shared" si="17"/>
        <v>10</v>
      </c>
    </row>
    <row r="819" spans="1:4" x14ac:dyDescent="0.35">
      <c r="A819" s="1">
        <v>7611</v>
      </c>
      <c r="B819" s="2">
        <v>46315.569444444445</v>
      </c>
      <c r="C819" s="1" t="s">
        <v>3</v>
      </c>
      <c r="D819" s="1">
        <f t="shared" si="17"/>
        <v>10</v>
      </c>
    </row>
    <row r="820" spans="1:4" x14ac:dyDescent="0.35">
      <c r="A820" s="1">
        <v>7610</v>
      </c>
      <c r="B820" s="2">
        <v>46314.55972222222</v>
      </c>
      <c r="C820" s="1" t="s">
        <v>21</v>
      </c>
      <c r="D820" s="1">
        <f t="shared" si="17"/>
        <v>10</v>
      </c>
    </row>
    <row r="821" spans="1:4" x14ac:dyDescent="0.35">
      <c r="A821" s="1">
        <v>7609</v>
      </c>
      <c r="B821" s="2">
        <v>46314.557638888888</v>
      </c>
      <c r="C821" s="1" t="s">
        <v>21</v>
      </c>
      <c r="D821" s="1">
        <f t="shared" si="17"/>
        <v>10</v>
      </c>
    </row>
    <row r="822" spans="1:4" x14ac:dyDescent="0.35">
      <c r="A822" s="1">
        <v>7608</v>
      </c>
      <c r="B822" s="2">
        <v>46314.556944444441</v>
      </c>
      <c r="C822" s="1" t="s">
        <v>21</v>
      </c>
      <c r="D822" s="1">
        <f t="shared" si="17"/>
        <v>10</v>
      </c>
    </row>
    <row r="823" spans="1:4" x14ac:dyDescent="0.35">
      <c r="A823" s="1">
        <v>7607</v>
      </c>
      <c r="B823" s="2">
        <v>46315.45208333333</v>
      </c>
      <c r="C823" s="1" t="s">
        <v>3</v>
      </c>
      <c r="D823" s="1">
        <f t="shared" si="17"/>
        <v>10</v>
      </c>
    </row>
    <row r="824" spans="1:4" x14ac:dyDescent="0.35">
      <c r="A824" s="1">
        <v>7606</v>
      </c>
      <c r="B824" s="2">
        <v>46315.450694444444</v>
      </c>
      <c r="C824" s="1" t="s">
        <v>3</v>
      </c>
      <c r="D824" s="1">
        <f t="shared" si="17"/>
        <v>10</v>
      </c>
    </row>
    <row r="825" spans="1:4" x14ac:dyDescent="0.35">
      <c r="A825" s="1">
        <v>7605</v>
      </c>
      <c r="B825" s="2">
        <v>46315.378472222219</v>
      </c>
      <c r="C825" s="1" t="s">
        <v>9</v>
      </c>
      <c r="D825" s="1">
        <f t="shared" si="17"/>
        <v>10</v>
      </c>
    </row>
    <row r="826" spans="1:4" x14ac:dyDescent="0.35">
      <c r="A826" s="1">
        <v>7631</v>
      </c>
      <c r="B826" s="2">
        <v>46314.369444444441</v>
      </c>
      <c r="C826" s="1" t="s">
        <v>21</v>
      </c>
      <c r="D826" s="1">
        <f t="shared" ref="D826:D840" si="18">MONTH(B826)</f>
        <v>10</v>
      </c>
    </row>
    <row r="827" spans="1:4" x14ac:dyDescent="0.35">
      <c r="A827" s="1">
        <v>7630</v>
      </c>
      <c r="B827" s="2">
        <v>46314.363888888889</v>
      </c>
      <c r="C827" s="1" t="s">
        <v>21</v>
      </c>
      <c r="D827" s="1">
        <f t="shared" si="18"/>
        <v>10</v>
      </c>
    </row>
    <row r="828" spans="1:4" x14ac:dyDescent="0.35">
      <c r="A828" s="1">
        <v>7629</v>
      </c>
      <c r="B828" s="2">
        <v>46317.359027777777</v>
      </c>
      <c r="C828" s="1" t="s">
        <v>21</v>
      </c>
      <c r="D828" s="1">
        <f t="shared" si="18"/>
        <v>10</v>
      </c>
    </row>
    <row r="829" spans="1:4" x14ac:dyDescent="0.35">
      <c r="A829" s="1">
        <v>7628</v>
      </c>
      <c r="B829" s="2">
        <v>46317.354166666664</v>
      </c>
      <c r="C829" s="1" t="s">
        <v>21</v>
      </c>
      <c r="D829" s="1">
        <f t="shared" si="18"/>
        <v>10</v>
      </c>
    </row>
    <row r="830" spans="1:4" x14ac:dyDescent="0.35">
      <c r="A830" s="1">
        <v>7627</v>
      </c>
      <c r="B830" s="2">
        <v>46316.730555555558</v>
      </c>
      <c r="C830" s="1" t="s">
        <v>5</v>
      </c>
      <c r="D830" s="1">
        <f t="shared" si="18"/>
        <v>10</v>
      </c>
    </row>
    <row r="831" spans="1:4" x14ac:dyDescent="0.35">
      <c r="A831" s="1">
        <v>7626</v>
      </c>
      <c r="B831" s="2">
        <v>46316.728472222225</v>
      </c>
      <c r="C831" s="1" t="s">
        <v>5</v>
      </c>
      <c r="D831" s="1">
        <f t="shared" si="18"/>
        <v>10</v>
      </c>
    </row>
    <row r="832" spans="1:4" x14ac:dyDescent="0.35">
      <c r="A832" s="1">
        <v>7625</v>
      </c>
      <c r="B832" s="2">
        <v>46316.727777777778</v>
      </c>
      <c r="C832" s="1" t="s">
        <v>5</v>
      </c>
      <c r="D832" s="1">
        <f t="shared" si="18"/>
        <v>10</v>
      </c>
    </row>
    <row r="833" spans="1:4" x14ac:dyDescent="0.35">
      <c r="A833" s="1">
        <v>7624</v>
      </c>
      <c r="B833" s="2">
        <v>46316.726388888892</v>
      </c>
      <c r="C833" s="1" t="s">
        <v>5</v>
      </c>
      <c r="D833" s="1">
        <f t="shared" si="18"/>
        <v>10</v>
      </c>
    </row>
    <row r="834" spans="1:4" x14ac:dyDescent="0.35">
      <c r="A834" s="1">
        <v>7623</v>
      </c>
      <c r="B834" s="2">
        <v>46316.713888888888</v>
      </c>
      <c r="C834" s="1" t="s">
        <v>9</v>
      </c>
      <c r="D834" s="1">
        <f t="shared" si="18"/>
        <v>10</v>
      </c>
    </row>
    <row r="835" spans="1:4" x14ac:dyDescent="0.35">
      <c r="A835" s="1">
        <v>7622</v>
      </c>
      <c r="B835" s="2">
        <v>46316.673611111109</v>
      </c>
      <c r="C835" s="1" t="s">
        <v>5</v>
      </c>
      <c r="D835" s="1">
        <f t="shared" si="18"/>
        <v>10</v>
      </c>
    </row>
    <row r="836" spans="1:4" x14ac:dyDescent="0.35">
      <c r="A836" s="1">
        <v>7621</v>
      </c>
      <c r="B836" s="2">
        <v>46316.645138888889</v>
      </c>
      <c r="C836" s="1" t="s">
        <v>9</v>
      </c>
      <c r="D836" s="1">
        <f t="shared" si="18"/>
        <v>10</v>
      </c>
    </row>
    <row r="837" spans="1:4" x14ac:dyDescent="0.35">
      <c r="A837" s="1">
        <v>7620</v>
      </c>
      <c r="B837" s="2">
        <v>46316.617361111108</v>
      </c>
      <c r="C837" s="1" t="s">
        <v>9</v>
      </c>
      <c r="D837" s="1">
        <f t="shared" si="18"/>
        <v>10</v>
      </c>
    </row>
    <row r="838" spans="1:4" x14ac:dyDescent="0.35">
      <c r="A838" s="1">
        <v>7619</v>
      </c>
      <c r="B838" s="2">
        <v>46316.543055555558</v>
      </c>
      <c r="C838" s="1" t="s">
        <v>3</v>
      </c>
      <c r="D838" s="1">
        <f t="shared" si="18"/>
        <v>10</v>
      </c>
    </row>
    <row r="839" spans="1:4" x14ac:dyDescent="0.35">
      <c r="A839" s="1">
        <v>7618</v>
      </c>
      <c r="B839" s="2">
        <v>46316.541666666664</v>
      </c>
      <c r="C839" s="1" t="s">
        <v>3</v>
      </c>
      <c r="D839" s="1">
        <f t="shared" si="18"/>
        <v>10</v>
      </c>
    </row>
    <row r="840" spans="1:4" x14ac:dyDescent="0.35">
      <c r="A840" s="1">
        <v>7617</v>
      </c>
      <c r="B840" s="2">
        <v>46316.456250000003</v>
      </c>
      <c r="C840" s="1" t="s">
        <v>9</v>
      </c>
      <c r="D840" s="1">
        <f t="shared" si="18"/>
        <v>10</v>
      </c>
    </row>
    <row r="841" spans="1:4" x14ac:dyDescent="0.35">
      <c r="A841" s="1">
        <v>7650</v>
      </c>
      <c r="B841" s="2">
        <v>46317.724999999999</v>
      </c>
      <c r="C841" s="1" t="s">
        <v>5</v>
      </c>
      <c r="D841" s="1">
        <f t="shared" ref="D841:D853" si="19">MONTH(B841)</f>
        <v>10</v>
      </c>
    </row>
    <row r="842" spans="1:4" x14ac:dyDescent="0.35">
      <c r="A842" s="1">
        <v>7649</v>
      </c>
      <c r="B842" s="2">
        <v>46317.724305555559</v>
      </c>
      <c r="C842" s="1" t="s">
        <v>5</v>
      </c>
      <c r="D842" s="1">
        <f t="shared" si="19"/>
        <v>10</v>
      </c>
    </row>
    <row r="843" spans="1:4" x14ac:dyDescent="0.35">
      <c r="A843" s="1">
        <v>7648</v>
      </c>
      <c r="B843" s="2">
        <v>46317.720833333333</v>
      </c>
      <c r="C843" s="1" t="s">
        <v>5</v>
      </c>
      <c r="D843" s="1">
        <f t="shared" si="19"/>
        <v>10</v>
      </c>
    </row>
    <row r="844" spans="1:4" x14ac:dyDescent="0.35">
      <c r="A844" s="1">
        <v>7647</v>
      </c>
      <c r="B844" s="2">
        <v>46317.722916666666</v>
      </c>
      <c r="C844" s="1" t="s">
        <v>21</v>
      </c>
      <c r="D844" s="1">
        <f t="shared" si="19"/>
        <v>10</v>
      </c>
    </row>
    <row r="845" spans="1:4" x14ac:dyDescent="0.35">
      <c r="A845" s="1">
        <v>7646</v>
      </c>
      <c r="B845" s="2">
        <v>46317.720138888886</v>
      </c>
      <c r="C845" s="1" t="s">
        <v>5</v>
      </c>
      <c r="D845" s="1">
        <f t="shared" si="19"/>
        <v>10</v>
      </c>
    </row>
    <row r="846" spans="1:4" x14ac:dyDescent="0.35">
      <c r="A846" s="1">
        <v>7645</v>
      </c>
      <c r="B846" s="2">
        <v>46317.68472222222</v>
      </c>
      <c r="C846" s="1" t="s">
        <v>21</v>
      </c>
      <c r="D846" s="1">
        <f t="shared" si="19"/>
        <v>10</v>
      </c>
    </row>
    <row r="847" spans="1:4" x14ac:dyDescent="0.35">
      <c r="A847" s="1">
        <v>7640</v>
      </c>
      <c r="B847" s="2">
        <v>46317.598611111112</v>
      </c>
      <c r="C847" s="1" t="s">
        <v>3</v>
      </c>
      <c r="D847" s="1">
        <f t="shared" si="19"/>
        <v>10</v>
      </c>
    </row>
    <row r="848" spans="1:4" x14ac:dyDescent="0.35">
      <c r="A848" s="1">
        <v>7639</v>
      </c>
      <c r="B848" s="2">
        <v>46317.458333333336</v>
      </c>
      <c r="C848" s="1" t="s">
        <v>19</v>
      </c>
      <c r="D848" s="1">
        <f t="shared" si="19"/>
        <v>10</v>
      </c>
    </row>
    <row r="849" spans="1:4" x14ac:dyDescent="0.35">
      <c r="A849" s="1">
        <v>7638</v>
      </c>
      <c r="B849" s="2">
        <v>46317.420138888891</v>
      </c>
      <c r="C849" s="1" t="s">
        <v>9</v>
      </c>
      <c r="D849" s="1">
        <f t="shared" si="19"/>
        <v>10</v>
      </c>
    </row>
    <row r="850" spans="1:4" x14ac:dyDescent="0.35">
      <c r="A850" s="1">
        <v>7637</v>
      </c>
      <c r="B850" s="2">
        <v>46316.409722222219</v>
      </c>
      <c r="C850" s="1" t="s">
        <v>21</v>
      </c>
      <c r="D850" s="1">
        <f t="shared" si="19"/>
        <v>10</v>
      </c>
    </row>
    <row r="851" spans="1:4" x14ac:dyDescent="0.35">
      <c r="A851" s="1">
        <v>7636</v>
      </c>
      <c r="B851" s="2">
        <v>46316.40902777778</v>
      </c>
      <c r="C851" s="1" t="s">
        <v>21</v>
      </c>
      <c r="D851" s="1">
        <f t="shared" si="19"/>
        <v>10</v>
      </c>
    </row>
    <row r="852" spans="1:4" x14ac:dyDescent="0.35">
      <c r="A852" s="1">
        <v>7635</v>
      </c>
      <c r="B852" s="2">
        <v>46315.404166666667</v>
      </c>
      <c r="C852" s="1" t="s">
        <v>21</v>
      </c>
      <c r="D852" s="1">
        <f t="shared" si="19"/>
        <v>10</v>
      </c>
    </row>
    <row r="853" spans="1:4" x14ac:dyDescent="0.35">
      <c r="A853" s="1">
        <v>7632</v>
      </c>
      <c r="B853" s="2">
        <v>46314.381249999999</v>
      </c>
      <c r="C853" s="1" t="s">
        <v>21</v>
      </c>
      <c r="D853" s="1">
        <f t="shared" si="19"/>
        <v>10</v>
      </c>
    </row>
    <row r="854" spans="1:4" x14ac:dyDescent="0.35">
      <c r="A854" s="1">
        <v>7669</v>
      </c>
      <c r="B854" s="2">
        <v>46323.753472222219</v>
      </c>
      <c r="C854" s="1" t="s">
        <v>5</v>
      </c>
      <c r="D854" s="1">
        <f t="shared" ref="D854:D872" si="20">MONTH(B854)</f>
        <v>10</v>
      </c>
    </row>
    <row r="855" spans="1:4" x14ac:dyDescent="0.35">
      <c r="A855" s="1">
        <v>7668</v>
      </c>
      <c r="B855" s="2">
        <v>46323.75277777778</v>
      </c>
      <c r="C855" s="1" t="s">
        <v>5</v>
      </c>
      <c r="D855" s="1">
        <f t="shared" si="20"/>
        <v>10</v>
      </c>
    </row>
    <row r="856" spans="1:4" x14ac:dyDescent="0.35">
      <c r="A856" s="1">
        <v>7667</v>
      </c>
      <c r="B856" s="2">
        <v>46323.750694444447</v>
      </c>
      <c r="C856" s="1" t="s">
        <v>5</v>
      </c>
      <c r="D856" s="1">
        <f t="shared" si="20"/>
        <v>10</v>
      </c>
    </row>
    <row r="857" spans="1:4" x14ac:dyDescent="0.35">
      <c r="A857" s="1">
        <v>7666</v>
      </c>
      <c r="B857" s="2">
        <v>46323.75</v>
      </c>
      <c r="C857" s="1" t="s">
        <v>5</v>
      </c>
      <c r="D857" s="1">
        <f t="shared" si="20"/>
        <v>10</v>
      </c>
    </row>
    <row r="858" spans="1:4" x14ac:dyDescent="0.35">
      <c r="A858" s="1">
        <v>7665</v>
      </c>
      <c r="B858" s="2">
        <v>46323.748611111114</v>
      </c>
      <c r="C858" s="1" t="s">
        <v>5</v>
      </c>
      <c r="D858" s="1">
        <f t="shared" si="20"/>
        <v>10</v>
      </c>
    </row>
    <row r="859" spans="1:4" x14ac:dyDescent="0.35">
      <c r="A859" s="1">
        <v>7664</v>
      </c>
      <c r="B859" s="2">
        <v>46323.696527777778</v>
      </c>
      <c r="C859" s="1" t="s">
        <v>19</v>
      </c>
      <c r="D859" s="1">
        <f t="shared" si="20"/>
        <v>10</v>
      </c>
    </row>
    <row r="860" spans="1:4" x14ac:dyDescent="0.35">
      <c r="A860" s="1">
        <v>7663</v>
      </c>
      <c r="B860" s="2">
        <v>46323.618055555555</v>
      </c>
      <c r="C860" s="1" t="s">
        <v>9</v>
      </c>
      <c r="D860" s="1">
        <f t="shared" si="20"/>
        <v>10</v>
      </c>
    </row>
    <row r="861" spans="1:4" x14ac:dyDescent="0.35">
      <c r="A861" s="1">
        <v>7662</v>
      </c>
      <c r="B861" s="2">
        <v>46323.615972222222</v>
      </c>
      <c r="C861" s="1" t="s">
        <v>9</v>
      </c>
      <c r="D861" s="1">
        <f t="shared" si="20"/>
        <v>10</v>
      </c>
    </row>
    <row r="862" spans="1:4" x14ac:dyDescent="0.35">
      <c r="A862" s="1">
        <v>7661</v>
      </c>
      <c r="B862" s="2">
        <v>46322.408333333333</v>
      </c>
      <c r="C862" s="1" t="s">
        <v>21</v>
      </c>
      <c r="D862" s="1">
        <f t="shared" si="20"/>
        <v>10</v>
      </c>
    </row>
    <row r="863" spans="1:4" x14ac:dyDescent="0.35">
      <c r="A863" s="1">
        <v>7660</v>
      </c>
      <c r="B863" s="2">
        <v>46323.398611111108</v>
      </c>
      <c r="C863" s="1" t="s">
        <v>9</v>
      </c>
      <c r="D863" s="1">
        <f t="shared" si="20"/>
        <v>10</v>
      </c>
    </row>
    <row r="864" spans="1:4" x14ac:dyDescent="0.35">
      <c r="A864" s="1">
        <v>7659</v>
      </c>
      <c r="B864" s="2">
        <v>46323.397916666669</v>
      </c>
      <c r="C864" s="1" t="s">
        <v>9</v>
      </c>
      <c r="D864" s="1">
        <f t="shared" si="20"/>
        <v>10</v>
      </c>
    </row>
    <row r="865" spans="1:4" x14ac:dyDescent="0.35">
      <c r="A865" s="1">
        <v>7658</v>
      </c>
      <c r="B865" s="2">
        <v>46322.751388888886</v>
      </c>
      <c r="C865" s="1" t="s">
        <v>5</v>
      </c>
      <c r="D865" s="1">
        <f t="shared" si="20"/>
        <v>10</v>
      </c>
    </row>
    <row r="866" spans="1:4" x14ac:dyDescent="0.35">
      <c r="A866" s="1">
        <v>7657</v>
      </c>
      <c r="B866" s="2">
        <v>46322.749305555553</v>
      </c>
      <c r="C866" s="1" t="s">
        <v>5</v>
      </c>
      <c r="D866" s="1">
        <f t="shared" si="20"/>
        <v>10</v>
      </c>
    </row>
    <row r="867" spans="1:4" x14ac:dyDescent="0.35">
      <c r="A867" s="1">
        <v>7656</v>
      </c>
      <c r="B867" s="2">
        <v>46322.74722222222</v>
      </c>
      <c r="C867" s="1" t="s">
        <v>5</v>
      </c>
      <c r="D867" s="1">
        <f t="shared" si="20"/>
        <v>10</v>
      </c>
    </row>
    <row r="868" spans="1:4" x14ac:dyDescent="0.35">
      <c r="A868" s="1">
        <v>7655</v>
      </c>
      <c r="B868" s="2">
        <v>46322.745833333334</v>
      </c>
      <c r="C868" s="1" t="s">
        <v>5</v>
      </c>
      <c r="D868" s="1">
        <f t="shared" si="20"/>
        <v>10</v>
      </c>
    </row>
    <row r="869" spans="1:4" x14ac:dyDescent="0.35">
      <c r="A869" s="1">
        <v>7654</v>
      </c>
      <c r="B869" s="2">
        <v>46322.689583333333</v>
      </c>
      <c r="C869" s="1" t="s">
        <v>3</v>
      </c>
      <c r="D869" s="1">
        <f t="shared" si="20"/>
        <v>10</v>
      </c>
    </row>
    <row r="870" spans="1:4" x14ac:dyDescent="0.35">
      <c r="A870" s="1">
        <v>7653</v>
      </c>
      <c r="B870" s="2">
        <v>46322.478472222225</v>
      </c>
      <c r="C870" s="1" t="s">
        <v>9</v>
      </c>
      <c r="D870" s="1">
        <f t="shared" si="20"/>
        <v>10</v>
      </c>
    </row>
    <row r="871" spans="1:4" x14ac:dyDescent="0.35">
      <c r="A871" s="1">
        <v>7652</v>
      </c>
      <c r="B871" s="2">
        <v>46322.412499999999</v>
      </c>
      <c r="C871" s="1" t="s">
        <v>9</v>
      </c>
      <c r="D871" s="1">
        <f t="shared" si="20"/>
        <v>10</v>
      </c>
    </row>
    <row r="872" spans="1:4" x14ac:dyDescent="0.35">
      <c r="A872" s="1">
        <v>7651</v>
      </c>
      <c r="B872" s="2">
        <v>46322.411805555559</v>
      </c>
      <c r="C872" s="1" t="s">
        <v>9</v>
      </c>
      <c r="D872" s="1">
        <f t="shared" si="20"/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53401-BC8B-4BF1-B761-09110AFFDE43}">
  <dimension ref="A1:D1369"/>
  <sheetViews>
    <sheetView showGridLines="0" workbookViewId="0">
      <selection sqref="A1:D1369"/>
    </sheetView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1.81640625" style="1" bestFit="1" customWidth="1"/>
    <col min="4" max="4" width="12.5429687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66</v>
      </c>
      <c r="D1" s="1" t="s">
        <v>30</v>
      </c>
    </row>
    <row r="2" spans="1:4" hidden="1" x14ac:dyDescent="0.35">
      <c r="A2" s="1">
        <v>204</v>
      </c>
      <c r="B2" s="2">
        <v>46150</v>
      </c>
      <c r="C2" s="1" t="s">
        <v>51</v>
      </c>
      <c r="D2" s="1">
        <f>IFERROR(VLOOKUP(DEG_REDE[[#This Row],[ID]],DEG_ACUM!A:A,1,0),"NOVO")</f>
        <v>204</v>
      </c>
    </row>
    <row r="3" spans="1:4" hidden="1" x14ac:dyDescent="0.35">
      <c r="A3" s="1">
        <v>205</v>
      </c>
      <c r="B3" s="2">
        <v>46150</v>
      </c>
      <c r="C3" s="1" t="s">
        <v>51</v>
      </c>
      <c r="D3" s="1">
        <f>IFERROR(VLOOKUP(DEG_REDE[[#This Row],[ID]],DEG_ACUM!A:A,1,0),"NOVO")</f>
        <v>205</v>
      </c>
    </row>
    <row r="4" spans="1:4" hidden="1" x14ac:dyDescent="0.35">
      <c r="A4" s="1">
        <v>206</v>
      </c>
      <c r="B4" s="2">
        <v>46150</v>
      </c>
      <c r="C4" s="1" t="s">
        <v>51</v>
      </c>
      <c r="D4" s="1">
        <f>IFERROR(VLOOKUP(DEG_REDE[[#This Row],[ID]],DEG_ACUM!A:A,1,0),"NOVO")</f>
        <v>206</v>
      </c>
    </row>
    <row r="5" spans="1:4" hidden="1" x14ac:dyDescent="0.35">
      <c r="A5" s="1">
        <v>207</v>
      </c>
      <c r="B5" s="2">
        <v>46150</v>
      </c>
      <c r="C5" s="1" t="s">
        <v>51</v>
      </c>
      <c r="D5" s="1">
        <f>IFERROR(VLOOKUP(DEG_REDE[[#This Row],[ID]],DEG_ACUM!A:A,1,0),"NOVO")</f>
        <v>207</v>
      </c>
    </row>
    <row r="6" spans="1:4" hidden="1" x14ac:dyDescent="0.35">
      <c r="A6" s="1">
        <v>208</v>
      </c>
      <c r="B6" s="2">
        <v>46150</v>
      </c>
      <c r="C6" s="1" t="s">
        <v>51</v>
      </c>
      <c r="D6" s="1">
        <f>IFERROR(VLOOKUP(DEG_REDE[[#This Row],[ID]],DEG_ACUM!A:A,1,0),"NOVO")</f>
        <v>208</v>
      </c>
    </row>
    <row r="7" spans="1:4" hidden="1" x14ac:dyDescent="0.35">
      <c r="A7" s="1">
        <v>209</v>
      </c>
      <c r="B7" s="2">
        <v>46150</v>
      </c>
      <c r="C7" s="1" t="s">
        <v>51</v>
      </c>
      <c r="D7" s="1">
        <f>IFERROR(VLOOKUP(DEG_REDE[[#This Row],[ID]],DEG_ACUM!A:A,1,0),"NOVO")</f>
        <v>209</v>
      </c>
    </row>
    <row r="8" spans="1:4" hidden="1" x14ac:dyDescent="0.35">
      <c r="A8" s="1">
        <v>210</v>
      </c>
      <c r="B8" s="2">
        <v>46150</v>
      </c>
      <c r="C8" s="1" t="s">
        <v>51</v>
      </c>
      <c r="D8" s="1">
        <f>IFERROR(VLOOKUP(DEG_REDE[[#This Row],[ID]],DEG_ACUM!A:A,1,0),"NOVO")</f>
        <v>210</v>
      </c>
    </row>
    <row r="9" spans="1:4" hidden="1" x14ac:dyDescent="0.35">
      <c r="A9" s="1">
        <v>211</v>
      </c>
      <c r="B9" s="2">
        <v>46150</v>
      </c>
      <c r="C9" s="1" t="s">
        <v>51</v>
      </c>
      <c r="D9" s="1">
        <f>IFERROR(VLOOKUP(DEG_REDE[[#This Row],[ID]],DEG_ACUM!A:A,1,0),"NOVO")</f>
        <v>211</v>
      </c>
    </row>
    <row r="10" spans="1:4" hidden="1" x14ac:dyDescent="0.35">
      <c r="A10" s="1">
        <v>212</v>
      </c>
      <c r="B10" s="2">
        <v>46150</v>
      </c>
      <c r="C10" s="1" t="s">
        <v>51</v>
      </c>
      <c r="D10" s="1">
        <f>IFERROR(VLOOKUP(DEG_REDE[[#This Row],[ID]],DEG_ACUM!A:A,1,0),"NOVO")</f>
        <v>212</v>
      </c>
    </row>
    <row r="11" spans="1:4" hidden="1" x14ac:dyDescent="0.35">
      <c r="A11" s="1">
        <v>213</v>
      </c>
      <c r="B11" s="2">
        <v>46150</v>
      </c>
      <c r="C11" s="1" t="s">
        <v>51</v>
      </c>
      <c r="D11" s="1">
        <f>IFERROR(VLOOKUP(DEG_REDE[[#This Row],[ID]],DEG_ACUM!A:A,1,0),"NOVO")</f>
        <v>213</v>
      </c>
    </row>
    <row r="12" spans="1:4" hidden="1" x14ac:dyDescent="0.35">
      <c r="A12" s="1">
        <v>214</v>
      </c>
      <c r="B12" s="2">
        <v>46150</v>
      </c>
      <c r="C12" s="1" t="s">
        <v>51</v>
      </c>
      <c r="D12" s="1">
        <f>IFERROR(VLOOKUP(DEG_REDE[[#This Row],[ID]],DEG_ACUM!A:A,1,0),"NOVO")</f>
        <v>214</v>
      </c>
    </row>
    <row r="13" spans="1:4" hidden="1" x14ac:dyDescent="0.35">
      <c r="A13" s="1">
        <v>215</v>
      </c>
      <c r="B13" s="2">
        <v>46150</v>
      </c>
      <c r="C13" s="1" t="s">
        <v>51</v>
      </c>
      <c r="D13" s="1">
        <f>IFERROR(VLOOKUP(DEG_REDE[[#This Row],[ID]],DEG_ACUM!A:A,1,0),"NOVO")</f>
        <v>215</v>
      </c>
    </row>
    <row r="14" spans="1:4" hidden="1" x14ac:dyDescent="0.35">
      <c r="A14" s="1">
        <v>216</v>
      </c>
      <c r="B14" s="2">
        <v>46150</v>
      </c>
      <c r="C14" s="1" t="s">
        <v>51</v>
      </c>
      <c r="D14" s="1">
        <f>IFERROR(VLOOKUP(DEG_REDE[[#This Row],[ID]],DEG_ACUM!A:A,1,0),"NOVO")</f>
        <v>216</v>
      </c>
    </row>
    <row r="15" spans="1:4" hidden="1" x14ac:dyDescent="0.35">
      <c r="A15" s="1">
        <v>217</v>
      </c>
      <c r="B15" s="2">
        <v>46150</v>
      </c>
      <c r="C15" s="1" t="s">
        <v>51</v>
      </c>
      <c r="D15" s="1">
        <f>IFERROR(VLOOKUP(DEG_REDE[[#This Row],[ID]],DEG_ACUM!A:A,1,0),"NOVO")</f>
        <v>217</v>
      </c>
    </row>
    <row r="16" spans="1:4" hidden="1" x14ac:dyDescent="0.35">
      <c r="A16" s="1">
        <v>218</v>
      </c>
      <c r="B16" s="2">
        <v>46150</v>
      </c>
      <c r="C16" s="1" t="s">
        <v>51</v>
      </c>
      <c r="D16" s="1">
        <f>IFERROR(VLOOKUP(DEG_REDE[[#This Row],[ID]],DEG_ACUM!A:A,1,0),"NOVO")</f>
        <v>218</v>
      </c>
    </row>
    <row r="17" spans="1:4" hidden="1" x14ac:dyDescent="0.35">
      <c r="A17" s="1">
        <v>219</v>
      </c>
      <c r="B17" s="2">
        <v>46150</v>
      </c>
      <c r="C17" s="1" t="s">
        <v>51</v>
      </c>
      <c r="D17" s="1">
        <f>IFERROR(VLOOKUP(DEG_REDE[[#This Row],[ID]],DEG_ACUM!A:A,1,0),"NOVO")</f>
        <v>219</v>
      </c>
    </row>
    <row r="18" spans="1:4" hidden="1" x14ac:dyDescent="0.35">
      <c r="A18" s="1">
        <v>220</v>
      </c>
      <c r="B18" s="2">
        <v>46150</v>
      </c>
      <c r="C18" s="1" t="s">
        <v>51</v>
      </c>
      <c r="D18" s="1">
        <f>IFERROR(VLOOKUP(DEG_REDE[[#This Row],[ID]],DEG_ACUM!A:A,1,0),"NOVO")</f>
        <v>220</v>
      </c>
    </row>
    <row r="19" spans="1:4" hidden="1" x14ac:dyDescent="0.35">
      <c r="A19" s="1">
        <v>221</v>
      </c>
      <c r="B19" s="2">
        <v>46150</v>
      </c>
      <c r="C19" s="1" t="s">
        <v>51</v>
      </c>
      <c r="D19" s="1">
        <f>IFERROR(VLOOKUP(DEG_REDE[[#This Row],[ID]],DEG_ACUM!A:A,1,0),"NOVO")</f>
        <v>221</v>
      </c>
    </row>
    <row r="20" spans="1:4" hidden="1" x14ac:dyDescent="0.35">
      <c r="A20" s="1">
        <v>222</v>
      </c>
      <c r="B20" s="2">
        <v>46150</v>
      </c>
      <c r="C20" s="1" t="s">
        <v>51</v>
      </c>
      <c r="D20" s="1">
        <f>IFERROR(VLOOKUP(DEG_REDE[[#This Row],[ID]],DEG_ACUM!A:A,1,0),"NOVO")</f>
        <v>222</v>
      </c>
    </row>
    <row r="21" spans="1:4" hidden="1" x14ac:dyDescent="0.35">
      <c r="A21" s="1">
        <v>223</v>
      </c>
      <c r="B21" s="2">
        <v>46150</v>
      </c>
      <c r="C21" s="1" t="s">
        <v>51</v>
      </c>
      <c r="D21" s="1">
        <f>IFERROR(VLOOKUP(DEG_REDE[[#This Row],[ID]],DEG_ACUM!A:A,1,0),"NOVO")</f>
        <v>223</v>
      </c>
    </row>
    <row r="22" spans="1:4" hidden="1" x14ac:dyDescent="0.35">
      <c r="A22" s="1">
        <v>224</v>
      </c>
      <c r="B22" s="2">
        <v>46150</v>
      </c>
      <c r="C22" s="1" t="s">
        <v>51</v>
      </c>
      <c r="D22" s="1">
        <f>IFERROR(VLOOKUP(DEG_REDE[[#This Row],[ID]],DEG_ACUM!A:A,1,0),"NOVO")</f>
        <v>224</v>
      </c>
    </row>
    <row r="23" spans="1:4" hidden="1" x14ac:dyDescent="0.35">
      <c r="A23" s="1">
        <v>225</v>
      </c>
      <c r="B23" s="2">
        <v>46150</v>
      </c>
      <c r="C23" s="1" t="s">
        <v>51</v>
      </c>
      <c r="D23" s="1">
        <f>IFERROR(VLOOKUP(DEG_REDE[[#This Row],[ID]],DEG_ACUM!A:A,1,0),"NOVO")</f>
        <v>225</v>
      </c>
    </row>
    <row r="24" spans="1:4" hidden="1" x14ac:dyDescent="0.35">
      <c r="A24" s="1">
        <v>226</v>
      </c>
      <c r="B24" s="2">
        <v>46150</v>
      </c>
      <c r="C24" s="1" t="s">
        <v>51</v>
      </c>
      <c r="D24" s="1">
        <f>IFERROR(VLOOKUP(DEG_REDE[[#This Row],[ID]],DEG_ACUM!A:A,1,0),"NOVO")</f>
        <v>226</v>
      </c>
    </row>
    <row r="25" spans="1:4" hidden="1" x14ac:dyDescent="0.35">
      <c r="A25" s="1">
        <v>227</v>
      </c>
      <c r="B25" s="2">
        <v>46150</v>
      </c>
      <c r="C25" s="1" t="s">
        <v>51</v>
      </c>
      <c r="D25" s="1">
        <f>IFERROR(VLOOKUP(DEG_REDE[[#This Row],[ID]],DEG_ACUM!A:A,1,0),"NOVO")</f>
        <v>227</v>
      </c>
    </row>
    <row r="26" spans="1:4" hidden="1" x14ac:dyDescent="0.35">
      <c r="A26" s="1">
        <v>228</v>
      </c>
      <c r="B26" s="2">
        <v>46150</v>
      </c>
      <c r="C26" s="1" t="s">
        <v>51</v>
      </c>
      <c r="D26" s="1">
        <f>IFERROR(VLOOKUP(DEG_REDE[[#This Row],[ID]],DEG_ACUM!A:A,1,0),"NOVO")</f>
        <v>228</v>
      </c>
    </row>
    <row r="27" spans="1:4" hidden="1" x14ac:dyDescent="0.35">
      <c r="A27" s="1">
        <v>230</v>
      </c>
      <c r="B27" s="2">
        <v>46150</v>
      </c>
      <c r="C27" s="1" t="s">
        <v>52</v>
      </c>
      <c r="D27" s="1">
        <f>IFERROR(VLOOKUP(DEG_REDE[[#This Row],[ID]],DEG_ACUM!A:A,1,0),"NOVO")</f>
        <v>230</v>
      </c>
    </row>
    <row r="28" spans="1:4" hidden="1" x14ac:dyDescent="0.35">
      <c r="A28" s="1">
        <v>231</v>
      </c>
      <c r="B28" s="2">
        <v>46150</v>
      </c>
      <c r="C28" s="1" t="s">
        <v>52</v>
      </c>
      <c r="D28" s="1">
        <f>IFERROR(VLOOKUP(DEG_REDE[[#This Row],[ID]],DEG_ACUM!A:A,1,0),"NOVO")</f>
        <v>231</v>
      </c>
    </row>
    <row r="29" spans="1:4" hidden="1" x14ac:dyDescent="0.35">
      <c r="A29" s="1">
        <v>232</v>
      </c>
      <c r="B29" s="2">
        <v>46150</v>
      </c>
      <c r="C29" s="1" t="s">
        <v>52</v>
      </c>
      <c r="D29" s="1">
        <f>IFERROR(VLOOKUP(DEG_REDE[[#This Row],[ID]],DEG_ACUM!A:A,1,0),"NOVO")</f>
        <v>232</v>
      </c>
    </row>
    <row r="30" spans="1:4" hidden="1" x14ac:dyDescent="0.35">
      <c r="A30" s="1">
        <v>233</v>
      </c>
      <c r="B30" s="2">
        <v>46150</v>
      </c>
      <c r="C30" s="1" t="s">
        <v>52</v>
      </c>
      <c r="D30" s="1">
        <f>IFERROR(VLOOKUP(DEG_REDE[[#This Row],[ID]],DEG_ACUM!A:A,1,0),"NOVO")</f>
        <v>233</v>
      </c>
    </row>
    <row r="31" spans="1:4" hidden="1" x14ac:dyDescent="0.35">
      <c r="A31" s="1">
        <v>234</v>
      </c>
      <c r="B31" s="2">
        <v>46150</v>
      </c>
      <c r="C31" s="1" t="s">
        <v>52</v>
      </c>
      <c r="D31" s="1">
        <f>IFERROR(VLOOKUP(DEG_REDE[[#This Row],[ID]],DEG_ACUM!A:A,1,0),"NOVO")</f>
        <v>234</v>
      </c>
    </row>
    <row r="32" spans="1:4" hidden="1" x14ac:dyDescent="0.35">
      <c r="A32" s="1">
        <v>235</v>
      </c>
      <c r="B32" s="2">
        <v>46150</v>
      </c>
      <c r="C32" s="1" t="s">
        <v>52</v>
      </c>
      <c r="D32" s="1">
        <f>IFERROR(VLOOKUP(DEG_REDE[[#This Row],[ID]],DEG_ACUM!A:A,1,0),"NOVO")</f>
        <v>235</v>
      </c>
    </row>
    <row r="33" spans="1:4" hidden="1" x14ac:dyDescent="0.35">
      <c r="A33" s="1">
        <v>236</v>
      </c>
      <c r="B33" s="2">
        <v>46150</v>
      </c>
      <c r="C33" s="1" t="s">
        <v>52</v>
      </c>
      <c r="D33" s="1">
        <f>IFERROR(VLOOKUP(DEG_REDE[[#This Row],[ID]],DEG_ACUM!A:A,1,0),"NOVO")</f>
        <v>236</v>
      </c>
    </row>
    <row r="34" spans="1:4" hidden="1" x14ac:dyDescent="0.35">
      <c r="A34" s="1">
        <v>237</v>
      </c>
      <c r="B34" s="2">
        <v>46150</v>
      </c>
      <c r="C34" s="1" t="s">
        <v>52</v>
      </c>
      <c r="D34" s="1">
        <f>IFERROR(VLOOKUP(DEG_REDE[[#This Row],[ID]],DEG_ACUM!A:A,1,0),"NOVO")</f>
        <v>237</v>
      </c>
    </row>
    <row r="35" spans="1:4" hidden="1" x14ac:dyDescent="0.35">
      <c r="A35" s="1">
        <v>240</v>
      </c>
      <c r="B35" s="2">
        <v>46153</v>
      </c>
      <c r="C35" s="1" t="s">
        <v>53</v>
      </c>
      <c r="D35" s="1">
        <f>IFERROR(VLOOKUP(DEG_REDE[[#This Row],[ID]],DEG_ACUM!A:A,1,0),"NOVO")</f>
        <v>240</v>
      </c>
    </row>
    <row r="36" spans="1:4" hidden="1" x14ac:dyDescent="0.35">
      <c r="A36" s="1">
        <v>241</v>
      </c>
      <c r="B36" s="2">
        <v>46153</v>
      </c>
      <c r="C36" s="1" t="s">
        <v>53</v>
      </c>
      <c r="D36" s="1">
        <f>IFERROR(VLOOKUP(DEG_REDE[[#This Row],[ID]],DEG_ACUM!A:A,1,0),"NOVO")</f>
        <v>241</v>
      </c>
    </row>
    <row r="37" spans="1:4" hidden="1" x14ac:dyDescent="0.35">
      <c r="A37" s="1">
        <v>253</v>
      </c>
      <c r="B37" s="2">
        <v>46153</v>
      </c>
      <c r="C37" s="1" t="s">
        <v>52</v>
      </c>
      <c r="D37" s="1">
        <f>IFERROR(VLOOKUP(DEG_REDE[[#This Row],[ID]],DEG_ACUM!A:A,1,0),"NOVO")</f>
        <v>253</v>
      </c>
    </row>
    <row r="38" spans="1:4" hidden="1" x14ac:dyDescent="0.35">
      <c r="A38" s="1">
        <v>255</v>
      </c>
      <c r="B38" s="2">
        <v>46153</v>
      </c>
      <c r="C38" s="1" t="s">
        <v>52</v>
      </c>
      <c r="D38" s="1">
        <f>IFERROR(VLOOKUP(DEG_REDE[[#This Row],[ID]],DEG_ACUM!A:A,1,0),"NOVO")</f>
        <v>255</v>
      </c>
    </row>
    <row r="39" spans="1:4" hidden="1" x14ac:dyDescent="0.35">
      <c r="A39" s="1">
        <v>257</v>
      </c>
      <c r="B39" s="2">
        <v>46153</v>
      </c>
      <c r="C39" s="1" t="s">
        <v>52</v>
      </c>
      <c r="D39" s="1">
        <f>IFERROR(VLOOKUP(DEG_REDE[[#This Row],[ID]],DEG_ACUM!A:A,1,0),"NOVO")</f>
        <v>257</v>
      </c>
    </row>
    <row r="40" spans="1:4" hidden="1" x14ac:dyDescent="0.35">
      <c r="A40" s="1">
        <v>258</v>
      </c>
      <c r="B40" s="2">
        <v>46153</v>
      </c>
      <c r="C40" s="1" t="s">
        <v>52</v>
      </c>
      <c r="D40" s="1">
        <f>IFERROR(VLOOKUP(DEG_REDE[[#This Row],[ID]],DEG_ACUM!A:A,1,0),"NOVO")</f>
        <v>258</v>
      </c>
    </row>
    <row r="41" spans="1:4" hidden="1" x14ac:dyDescent="0.35">
      <c r="A41" s="1">
        <v>260</v>
      </c>
      <c r="B41" s="2">
        <v>46153</v>
      </c>
      <c r="C41" s="1" t="s">
        <v>52</v>
      </c>
      <c r="D41" s="1">
        <f>IFERROR(VLOOKUP(DEG_REDE[[#This Row],[ID]],DEG_ACUM!A:A,1,0),"NOVO")</f>
        <v>260</v>
      </c>
    </row>
    <row r="42" spans="1:4" hidden="1" x14ac:dyDescent="0.35">
      <c r="A42" s="1">
        <v>285</v>
      </c>
      <c r="B42" s="2">
        <v>46154</v>
      </c>
      <c r="C42" s="1" t="s">
        <v>53</v>
      </c>
      <c r="D42" s="1">
        <f>IFERROR(VLOOKUP(DEG_REDE[[#This Row],[ID]],DEG_ACUM!A:A,1,0),"NOVO")</f>
        <v>285</v>
      </c>
    </row>
    <row r="43" spans="1:4" hidden="1" x14ac:dyDescent="0.35">
      <c r="A43" s="1">
        <v>314</v>
      </c>
      <c r="B43" s="2">
        <v>46155</v>
      </c>
      <c r="C43" s="1" t="s">
        <v>52</v>
      </c>
      <c r="D43" s="1">
        <f>IFERROR(VLOOKUP(DEG_REDE[[#This Row],[ID]],DEG_ACUM!A:A,1,0),"NOVO")</f>
        <v>314</v>
      </c>
    </row>
    <row r="44" spans="1:4" hidden="1" x14ac:dyDescent="0.35">
      <c r="A44" s="1">
        <v>315</v>
      </c>
      <c r="B44" s="2">
        <v>46155</v>
      </c>
      <c r="C44" s="1" t="s">
        <v>52</v>
      </c>
      <c r="D44" s="1">
        <f>IFERROR(VLOOKUP(DEG_REDE[[#This Row],[ID]],DEG_ACUM!A:A,1,0),"NOVO")</f>
        <v>315</v>
      </c>
    </row>
    <row r="45" spans="1:4" hidden="1" x14ac:dyDescent="0.35">
      <c r="A45" s="1">
        <v>316</v>
      </c>
      <c r="B45" s="2">
        <v>46155</v>
      </c>
      <c r="C45" s="1" t="s">
        <v>52</v>
      </c>
      <c r="D45" s="1">
        <f>IFERROR(VLOOKUP(DEG_REDE[[#This Row],[ID]],DEG_ACUM!A:A,1,0),"NOVO")</f>
        <v>316</v>
      </c>
    </row>
    <row r="46" spans="1:4" hidden="1" x14ac:dyDescent="0.35">
      <c r="A46" s="1">
        <v>317</v>
      </c>
      <c r="B46" s="2">
        <v>46155</v>
      </c>
      <c r="C46" s="1" t="s">
        <v>52</v>
      </c>
      <c r="D46" s="1">
        <f>IFERROR(VLOOKUP(DEG_REDE[[#This Row],[ID]],DEG_ACUM!A:A,1,0),"NOVO")</f>
        <v>317</v>
      </c>
    </row>
    <row r="47" spans="1:4" hidden="1" x14ac:dyDescent="0.35">
      <c r="A47" s="1">
        <v>318</v>
      </c>
      <c r="B47" s="2">
        <v>46155</v>
      </c>
      <c r="C47" s="1" t="s">
        <v>52</v>
      </c>
      <c r="D47" s="1">
        <f>IFERROR(VLOOKUP(DEG_REDE[[#This Row],[ID]],DEG_ACUM!A:A,1,0),"NOVO")</f>
        <v>318</v>
      </c>
    </row>
    <row r="48" spans="1:4" hidden="1" x14ac:dyDescent="0.35">
      <c r="A48" s="1">
        <v>353</v>
      </c>
      <c r="B48" s="2">
        <v>46155</v>
      </c>
      <c r="C48" s="1" t="s">
        <v>52</v>
      </c>
      <c r="D48" s="1">
        <f>IFERROR(VLOOKUP(DEG_REDE[[#This Row],[ID]],DEG_ACUM!A:A,1,0),"NOVO")</f>
        <v>353</v>
      </c>
    </row>
    <row r="49" spans="1:4" hidden="1" x14ac:dyDescent="0.35">
      <c r="A49" s="1">
        <v>354</v>
      </c>
      <c r="B49" s="2">
        <v>46155</v>
      </c>
      <c r="C49" s="1" t="s">
        <v>52</v>
      </c>
      <c r="D49" s="1">
        <f>IFERROR(VLOOKUP(DEG_REDE[[#This Row],[ID]],DEG_ACUM!A:A,1,0),"NOVO")</f>
        <v>354</v>
      </c>
    </row>
    <row r="50" spans="1:4" hidden="1" x14ac:dyDescent="0.35">
      <c r="A50" s="1">
        <v>355</v>
      </c>
      <c r="B50" s="2">
        <v>46155</v>
      </c>
      <c r="C50" s="1" t="s">
        <v>52</v>
      </c>
      <c r="D50" s="1">
        <f>IFERROR(VLOOKUP(DEG_REDE[[#This Row],[ID]],DEG_ACUM!A:A,1,0),"NOVO")</f>
        <v>355</v>
      </c>
    </row>
    <row r="51" spans="1:4" hidden="1" x14ac:dyDescent="0.35">
      <c r="A51" s="1">
        <v>356</v>
      </c>
      <c r="B51" s="2">
        <v>46155</v>
      </c>
      <c r="C51" s="1" t="s">
        <v>51</v>
      </c>
      <c r="D51" s="1">
        <f>IFERROR(VLOOKUP(DEG_REDE[[#This Row],[ID]],DEG_ACUM!A:A,1,0),"NOVO")</f>
        <v>356</v>
      </c>
    </row>
    <row r="52" spans="1:4" hidden="1" x14ac:dyDescent="0.35">
      <c r="A52" s="1">
        <v>357</v>
      </c>
      <c r="B52" s="2">
        <v>46155</v>
      </c>
      <c r="C52" s="1" t="s">
        <v>51</v>
      </c>
      <c r="D52" s="1">
        <f>IFERROR(VLOOKUP(DEG_REDE[[#This Row],[ID]],DEG_ACUM!A:A,1,0),"NOVO")</f>
        <v>357</v>
      </c>
    </row>
    <row r="53" spans="1:4" hidden="1" x14ac:dyDescent="0.35">
      <c r="A53" s="1">
        <v>358</v>
      </c>
      <c r="B53" s="2">
        <v>46155</v>
      </c>
      <c r="C53" s="1" t="s">
        <v>51</v>
      </c>
      <c r="D53" s="1">
        <f>IFERROR(VLOOKUP(DEG_REDE[[#This Row],[ID]],DEG_ACUM!A:A,1,0),"NOVO")</f>
        <v>358</v>
      </c>
    </row>
    <row r="54" spans="1:4" hidden="1" x14ac:dyDescent="0.35">
      <c r="A54" s="1">
        <v>359</v>
      </c>
      <c r="B54" s="2">
        <v>46155</v>
      </c>
      <c r="C54" s="1" t="s">
        <v>51</v>
      </c>
      <c r="D54" s="1">
        <f>IFERROR(VLOOKUP(DEG_REDE[[#This Row],[ID]],DEG_ACUM!A:A,1,0),"NOVO")</f>
        <v>359</v>
      </c>
    </row>
    <row r="55" spans="1:4" hidden="1" x14ac:dyDescent="0.35">
      <c r="A55" s="1">
        <v>398</v>
      </c>
      <c r="B55" s="2">
        <v>46157</v>
      </c>
      <c r="C55" s="1" t="s">
        <v>52</v>
      </c>
      <c r="D55" s="1">
        <f>IFERROR(VLOOKUP(DEG_REDE[[#This Row],[ID]],DEG_ACUM!A:A,1,0),"NOVO")</f>
        <v>398</v>
      </c>
    </row>
    <row r="56" spans="1:4" hidden="1" x14ac:dyDescent="0.35">
      <c r="A56" s="1">
        <v>399</v>
      </c>
      <c r="B56" s="2">
        <v>46157</v>
      </c>
      <c r="C56" s="1" t="s">
        <v>52</v>
      </c>
      <c r="D56" s="1">
        <f>IFERROR(VLOOKUP(DEG_REDE[[#This Row],[ID]],DEG_ACUM!A:A,1,0),"NOVO")</f>
        <v>399</v>
      </c>
    </row>
    <row r="57" spans="1:4" hidden="1" x14ac:dyDescent="0.35">
      <c r="A57" s="1">
        <v>400</v>
      </c>
      <c r="B57" s="2">
        <v>46157</v>
      </c>
      <c r="C57" s="1" t="s">
        <v>52</v>
      </c>
      <c r="D57" s="1">
        <f>IFERROR(VLOOKUP(DEG_REDE[[#This Row],[ID]],DEG_ACUM!A:A,1,0),"NOVO")</f>
        <v>400</v>
      </c>
    </row>
    <row r="58" spans="1:4" hidden="1" x14ac:dyDescent="0.35">
      <c r="A58" s="1">
        <v>401</v>
      </c>
      <c r="B58" s="2">
        <v>46157</v>
      </c>
      <c r="C58" s="1" t="s">
        <v>52</v>
      </c>
      <c r="D58" s="1">
        <f>IFERROR(VLOOKUP(DEG_REDE[[#This Row],[ID]],DEG_ACUM!A:A,1,0),"NOVO")</f>
        <v>401</v>
      </c>
    </row>
    <row r="59" spans="1:4" hidden="1" x14ac:dyDescent="0.35">
      <c r="A59" s="1">
        <v>402</v>
      </c>
      <c r="B59" s="2">
        <v>46157</v>
      </c>
      <c r="C59" s="1" t="s">
        <v>52</v>
      </c>
      <c r="D59" s="1">
        <f>IFERROR(VLOOKUP(DEG_REDE[[#This Row],[ID]],DEG_ACUM!A:A,1,0),"NOVO")</f>
        <v>402</v>
      </c>
    </row>
    <row r="60" spans="1:4" hidden="1" x14ac:dyDescent="0.35">
      <c r="A60" s="1">
        <v>403</v>
      </c>
      <c r="B60" s="2">
        <v>46157</v>
      </c>
      <c r="C60" s="1" t="s">
        <v>52</v>
      </c>
      <c r="D60" s="1">
        <f>IFERROR(VLOOKUP(DEG_REDE[[#This Row],[ID]],DEG_ACUM!A:A,1,0),"NOVO")</f>
        <v>403</v>
      </c>
    </row>
    <row r="61" spans="1:4" hidden="1" x14ac:dyDescent="0.35">
      <c r="A61" s="1">
        <v>404</v>
      </c>
      <c r="B61" s="2">
        <v>46157</v>
      </c>
      <c r="C61" s="1" t="s">
        <v>52</v>
      </c>
      <c r="D61" s="1">
        <f>IFERROR(VLOOKUP(DEG_REDE[[#This Row],[ID]],DEG_ACUM!A:A,1,0),"NOVO")</f>
        <v>404</v>
      </c>
    </row>
    <row r="62" spans="1:4" hidden="1" x14ac:dyDescent="0.35">
      <c r="A62" s="1">
        <v>421</v>
      </c>
      <c r="B62" s="2">
        <v>46157</v>
      </c>
      <c r="C62" s="1" t="s">
        <v>54</v>
      </c>
      <c r="D62" s="1">
        <f>IFERROR(VLOOKUP(DEG_REDE[[#This Row],[ID]],DEG_ACUM!A:A,1,0),"NOVO")</f>
        <v>421</v>
      </c>
    </row>
    <row r="63" spans="1:4" hidden="1" x14ac:dyDescent="0.35">
      <c r="A63" s="1">
        <v>422</v>
      </c>
      <c r="B63" s="2">
        <v>46157</v>
      </c>
      <c r="C63" s="1" t="s">
        <v>54</v>
      </c>
      <c r="D63" s="1">
        <f>IFERROR(VLOOKUP(DEG_REDE[[#This Row],[ID]],DEG_ACUM!A:A,1,0),"NOVO")</f>
        <v>422</v>
      </c>
    </row>
    <row r="64" spans="1:4" hidden="1" x14ac:dyDescent="0.35">
      <c r="A64" s="1">
        <v>423</v>
      </c>
      <c r="B64" s="2">
        <v>46157</v>
      </c>
      <c r="C64" s="1" t="s">
        <v>54</v>
      </c>
      <c r="D64" s="1">
        <f>IFERROR(VLOOKUP(DEG_REDE[[#This Row],[ID]],DEG_ACUM!A:A,1,0),"NOVO")</f>
        <v>423</v>
      </c>
    </row>
    <row r="65" spans="1:4" hidden="1" x14ac:dyDescent="0.35">
      <c r="A65" s="1">
        <v>424</v>
      </c>
      <c r="B65" s="2">
        <v>46157</v>
      </c>
      <c r="C65" s="1" t="s">
        <v>54</v>
      </c>
      <c r="D65" s="1">
        <f>IFERROR(VLOOKUP(DEG_REDE[[#This Row],[ID]],DEG_ACUM!A:A,1,0),"NOVO")</f>
        <v>424</v>
      </c>
    </row>
    <row r="66" spans="1:4" hidden="1" x14ac:dyDescent="0.35">
      <c r="A66" s="1">
        <v>425</v>
      </c>
      <c r="B66" s="2">
        <v>46157</v>
      </c>
      <c r="C66" s="1" t="s">
        <v>54</v>
      </c>
      <c r="D66" s="1">
        <f>IFERROR(VLOOKUP(DEG_REDE[[#This Row],[ID]],DEG_ACUM!A:A,1,0),"NOVO")</f>
        <v>425</v>
      </c>
    </row>
    <row r="67" spans="1:4" hidden="1" x14ac:dyDescent="0.35">
      <c r="A67" s="1">
        <v>426</v>
      </c>
      <c r="B67" s="2">
        <v>46157</v>
      </c>
      <c r="C67" s="1" t="s">
        <v>54</v>
      </c>
      <c r="D67" s="1">
        <f>IFERROR(VLOOKUP(DEG_REDE[[#This Row],[ID]],DEG_ACUM!A:A,1,0),"NOVO")</f>
        <v>426</v>
      </c>
    </row>
    <row r="68" spans="1:4" hidden="1" x14ac:dyDescent="0.35">
      <c r="A68" s="1">
        <v>427</v>
      </c>
      <c r="B68" s="2">
        <v>46157</v>
      </c>
      <c r="C68" s="1" t="s">
        <v>54</v>
      </c>
      <c r="D68" s="1">
        <f>IFERROR(VLOOKUP(DEG_REDE[[#This Row],[ID]],DEG_ACUM!A:A,1,0),"NOVO")</f>
        <v>427</v>
      </c>
    </row>
    <row r="69" spans="1:4" hidden="1" x14ac:dyDescent="0.35">
      <c r="A69" s="1">
        <v>428</v>
      </c>
      <c r="B69" s="2">
        <v>46157</v>
      </c>
      <c r="C69" s="1" t="s">
        <v>54</v>
      </c>
      <c r="D69" s="1">
        <f>IFERROR(VLOOKUP(DEG_REDE[[#This Row],[ID]],DEG_ACUM!A:A,1,0),"NOVO")</f>
        <v>428</v>
      </c>
    </row>
    <row r="70" spans="1:4" hidden="1" x14ac:dyDescent="0.35">
      <c r="A70" s="1">
        <v>429</v>
      </c>
      <c r="B70" s="2">
        <v>46157</v>
      </c>
      <c r="C70" s="1" t="s">
        <v>54</v>
      </c>
      <c r="D70" s="1">
        <f>IFERROR(VLOOKUP(DEG_REDE[[#This Row],[ID]],DEG_ACUM!A:A,1,0),"NOVO")</f>
        <v>429</v>
      </c>
    </row>
    <row r="71" spans="1:4" hidden="1" x14ac:dyDescent="0.35">
      <c r="A71" s="1">
        <v>430</v>
      </c>
      <c r="B71" s="2">
        <v>46157</v>
      </c>
      <c r="C71" s="1" t="s">
        <v>54</v>
      </c>
      <c r="D71" s="1">
        <f>IFERROR(VLOOKUP(DEG_REDE[[#This Row],[ID]],DEG_ACUM!A:A,1,0),"NOVO")</f>
        <v>430</v>
      </c>
    </row>
    <row r="72" spans="1:4" hidden="1" x14ac:dyDescent="0.35">
      <c r="A72" s="1">
        <v>431</v>
      </c>
      <c r="B72" s="2">
        <v>46157</v>
      </c>
      <c r="C72" s="1" t="s">
        <v>54</v>
      </c>
      <c r="D72" s="1">
        <f>IFERROR(VLOOKUP(DEG_REDE[[#This Row],[ID]],DEG_ACUM!A:A,1,0),"NOVO")</f>
        <v>431</v>
      </c>
    </row>
    <row r="73" spans="1:4" hidden="1" x14ac:dyDescent="0.35">
      <c r="A73" s="1">
        <v>432</v>
      </c>
      <c r="B73" s="2">
        <v>46157</v>
      </c>
      <c r="C73" s="1" t="s">
        <v>54</v>
      </c>
      <c r="D73" s="1">
        <f>IFERROR(VLOOKUP(DEG_REDE[[#This Row],[ID]],DEG_ACUM!A:A,1,0),"NOVO")</f>
        <v>432</v>
      </c>
    </row>
    <row r="74" spans="1:4" hidden="1" x14ac:dyDescent="0.35">
      <c r="A74" s="1">
        <v>433</v>
      </c>
      <c r="B74" s="2">
        <v>46157</v>
      </c>
      <c r="C74" s="1" t="s">
        <v>54</v>
      </c>
      <c r="D74" s="1">
        <f>IFERROR(VLOOKUP(DEG_REDE[[#This Row],[ID]],DEG_ACUM!A:A,1,0),"NOVO")</f>
        <v>433</v>
      </c>
    </row>
    <row r="75" spans="1:4" hidden="1" x14ac:dyDescent="0.35">
      <c r="A75" s="1">
        <v>435</v>
      </c>
      <c r="B75" s="2">
        <v>46157</v>
      </c>
      <c r="C75" s="1" t="s">
        <v>54</v>
      </c>
      <c r="D75" s="1">
        <f>IFERROR(VLOOKUP(DEG_REDE[[#This Row],[ID]],DEG_ACUM!A:A,1,0),"NOVO")</f>
        <v>435</v>
      </c>
    </row>
    <row r="76" spans="1:4" hidden="1" x14ac:dyDescent="0.35">
      <c r="A76" s="1">
        <v>436</v>
      </c>
      <c r="B76" s="2">
        <v>46157</v>
      </c>
      <c r="C76" s="1" t="s">
        <v>54</v>
      </c>
      <c r="D76" s="1">
        <f>IFERROR(VLOOKUP(DEG_REDE[[#This Row],[ID]],DEG_ACUM!A:A,1,0),"NOVO")</f>
        <v>436</v>
      </c>
    </row>
    <row r="77" spans="1:4" hidden="1" x14ac:dyDescent="0.35">
      <c r="A77" s="1">
        <v>437</v>
      </c>
      <c r="B77" s="2">
        <v>46157</v>
      </c>
      <c r="C77" s="1" t="s">
        <v>54</v>
      </c>
      <c r="D77" s="1">
        <f>IFERROR(VLOOKUP(DEG_REDE[[#This Row],[ID]],DEG_ACUM!A:A,1,0),"NOVO")</f>
        <v>437</v>
      </c>
    </row>
    <row r="78" spans="1:4" hidden="1" x14ac:dyDescent="0.35">
      <c r="A78" s="1">
        <v>439</v>
      </c>
      <c r="B78" s="2">
        <v>46157</v>
      </c>
      <c r="C78" s="1" t="s">
        <v>54</v>
      </c>
      <c r="D78" s="1">
        <f>IFERROR(VLOOKUP(DEG_REDE[[#This Row],[ID]],DEG_ACUM!A:A,1,0),"NOVO")</f>
        <v>439</v>
      </c>
    </row>
    <row r="79" spans="1:4" hidden="1" x14ac:dyDescent="0.35">
      <c r="A79" s="1">
        <v>440</v>
      </c>
      <c r="B79" s="2">
        <v>46157</v>
      </c>
      <c r="C79" s="1" t="s">
        <v>54</v>
      </c>
      <c r="D79" s="1">
        <f>IFERROR(VLOOKUP(DEG_REDE[[#This Row],[ID]],DEG_ACUM!A:A,1,0),"NOVO")</f>
        <v>440</v>
      </c>
    </row>
    <row r="80" spans="1:4" hidden="1" x14ac:dyDescent="0.35">
      <c r="A80" s="1">
        <v>442</v>
      </c>
      <c r="B80" s="2">
        <v>46157</v>
      </c>
      <c r="C80" s="1" t="s">
        <v>54</v>
      </c>
      <c r="D80" s="1">
        <f>IFERROR(VLOOKUP(DEG_REDE[[#This Row],[ID]],DEG_ACUM!A:A,1,0),"NOVO")</f>
        <v>442</v>
      </c>
    </row>
    <row r="81" spans="1:4" hidden="1" x14ac:dyDescent="0.35">
      <c r="A81" s="1">
        <v>443</v>
      </c>
      <c r="B81" s="2">
        <v>46157</v>
      </c>
      <c r="C81" s="1" t="s">
        <v>54</v>
      </c>
      <c r="D81" s="1">
        <f>IFERROR(VLOOKUP(DEG_REDE[[#This Row],[ID]],DEG_ACUM!A:A,1,0),"NOVO")</f>
        <v>443</v>
      </c>
    </row>
    <row r="82" spans="1:4" hidden="1" x14ac:dyDescent="0.35">
      <c r="A82" s="1">
        <v>444</v>
      </c>
      <c r="B82" s="2">
        <v>46157</v>
      </c>
      <c r="C82" s="1" t="s">
        <v>54</v>
      </c>
      <c r="D82" s="1">
        <f>IFERROR(VLOOKUP(DEG_REDE[[#This Row],[ID]],DEG_ACUM!A:A,1,0),"NOVO")</f>
        <v>444</v>
      </c>
    </row>
    <row r="83" spans="1:4" hidden="1" x14ac:dyDescent="0.35">
      <c r="A83" s="1">
        <v>445</v>
      </c>
      <c r="B83" s="2">
        <v>46157</v>
      </c>
      <c r="C83" s="1" t="s">
        <v>54</v>
      </c>
      <c r="D83" s="1">
        <f>IFERROR(VLOOKUP(DEG_REDE[[#This Row],[ID]],DEG_ACUM!A:A,1,0),"NOVO")</f>
        <v>445</v>
      </c>
    </row>
    <row r="84" spans="1:4" hidden="1" x14ac:dyDescent="0.35">
      <c r="A84" s="1">
        <v>446</v>
      </c>
      <c r="B84" s="2">
        <v>46157</v>
      </c>
      <c r="C84" s="1" t="s">
        <v>54</v>
      </c>
      <c r="D84" s="1">
        <f>IFERROR(VLOOKUP(DEG_REDE[[#This Row],[ID]],DEG_ACUM!A:A,1,0),"NOVO")</f>
        <v>446</v>
      </c>
    </row>
    <row r="85" spans="1:4" hidden="1" x14ac:dyDescent="0.35">
      <c r="A85" s="1">
        <v>448</v>
      </c>
      <c r="B85" s="2">
        <v>46157</v>
      </c>
      <c r="C85" s="1" t="s">
        <v>54</v>
      </c>
      <c r="D85" s="1">
        <f>IFERROR(VLOOKUP(DEG_REDE[[#This Row],[ID]],DEG_ACUM!A:A,1,0),"NOVO")</f>
        <v>448</v>
      </c>
    </row>
    <row r="86" spans="1:4" hidden="1" x14ac:dyDescent="0.35">
      <c r="A86" s="1">
        <v>449</v>
      </c>
      <c r="B86" s="2">
        <v>46157</v>
      </c>
      <c r="C86" s="1" t="s">
        <v>54</v>
      </c>
      <c r="D86" s="1">
        <f>IFERROR(VLOOKUP(DEG_REDE[[#This Row],[ID]],DEG_ACUM!A:A,1,0),"NOVO")</f>
        <v>449</v>
      </c>
    </row>
    <row r="87" spans="1:4" hidden="1" x14ac:dyDescent="0.35">
      <c r="A87" s="1">
        <v>450</v>
      </c>
      <c r="B87" s="2">
        <v>46157</v>
      </c>
      <c r="C87" s="1" t="s">
        <v>54</v>
      </c>
      <c r="D87" s="1">
        <f>IFERROR(VLOOKUP(DEG_REDE[[#This Row],[ID]],DEG_ACUM!A:A,1,0),"NOVO")</f>
        <v>450</v>
      </c>
    </row>
    <row r="88" spans="1:4" hidden="1" x14ac:dyDescent="0.35">
      <c r="A88" s="1">
        <v>451</v>
      </c>
      <c r="B88" s="2">
        <v>46157</v>
      </c>
      <c r="C88" s="1" t="s">
        <v>54</v>
      </c>
      <c r="D88" s="1">
        <f>IFERROR(VLOOKUP(DEG_REDE[[#This Row],[ID]],DEG_ACUM!A:A,1,0),"NOVO")</f>
        <v>451</v>
      </c>
    </row>
    <row r="89" spans="1:4" hidden="1" x14ac:dyDescent="0.35">
      <c r="A89" s="1">
        <v>453</v>
      </c>
      <c r="B89" s="2">
        <v>46157</v>
      </c>
      <c r="C89" s="1" t="s">
        <v>54</v>
      </c>
      <c r="D89" s="1">
        <f>IFERROR(VLOOKUP(DEG_REDE[[#This Row],[ID]],DEG_ACUM!A:A,1,0),"NOVO")</f>
        <v>453</v>
      </c>
    </row>
    <row r="90" spans="1:4" hidden="1" x14ac:dyDescent="0.35">
      <c r="A90" s="1">
        <v>454</v>
      </c>
      <c r="B90" s="2">
        <v>46157</v>
      </c>
      <c r="C90" s="1" t="s">
        <v>54</v>
      </c>
      <c r="D90" s="1">
        <f>IFERROR(VLOOKUP(DEG_REDE[[#This Row],[ID]],DEG_ACUM!A:A,1,0),"NOVO")</f>
        <v>454</v>
      </c>
    </row>
    <row r="91" spans="1:4" hidden="1" x14ac:dyDescent="0.35">
      <c r="A91" s="1">
        <v>455</v>
      </c>
      <c r="B91" s="2">
        <v>46157</v>
      </c>
      <c r="C91" s="1" t="s">
        <v>54</v>
      </c>
      <c r="D91" s="1">
        <f>IFERROR(VLOOKUP(DEG_REDE[[#This Row],[ID]],DEG_ACUM!A:A,1,0),"NOVO")</f>
        <v>455</v>
      </c>
    </row>
    <row r="92" spans="1:4" hidden="1" x14ac:dyDescent="0.35">
      <c r="A92" s="1">
        <v>456</v>
      </c>
      <c r="B92" s="2">
        <v>46157</v>
      </c>
      <c r="C92" s="1" t="s">
        <v>54</v>
      </c>
      <c r="D92" s="1">
        <f>IFERROR(VLOOKUP(DEG_REDE[[#This Row],[ID]],DEG_ACUM!A:A,1,0),"NOVO")</f>
        <v>456</v>
      </c>
    </row>
    <row r="93" spans="1:4" hidden="1" x14ac:dyDescent="0.35">
      <c r="A93" s="1">
        <v>457</v>
      </c>
      <c r="B93" s="2">
        <v>46157</v>
      </c>
      <c r="C93" s="1" t="s">
        <v>54</v>
      </c>
      <c r="D93" s="1">
        <f>IFERROR(VLOOKUP(DEG_REDE[[#This Row],[ID]],DEG_ACUM!A:A,1,0),"NOVO")</f>
        <v>457</v>
      </c>
    </row>
    <row r="94" spans="1:4" hidden="1" x14ac:dyDescent="0.35">
      <c r="A94" s="1">
        <v>458</v>
      </c>
      <c r="B94" s="2">
        <v>46157</v>
      </c>
      <c r="C94" s="1" t="s">
        <v>54</v>
      </c>
      <c r="D94" s="1">
        <f>IFERROR(VLOOKUP(DEG_REDE[[#This Row],[ID]],DEG_ACUM!A:A,1,0),"NOVO")</f>
        <v>458</v>
      </c>
    </row>
    <row r="95" spans="1:4" hidden="1" x14ac:dyDescent="0.35">
      <c r="A95" s="1">
        <v>459</v>
      </c>
      <c r="B95" s="2">
        <v>46157</v>
      </c>
      <c r="C95" s="1" t="s">
        <v>54</v>
      </c>
      <c r="D95" s="1">
        <f>IFERROR(VLOOKUP(DEG_REDE[[#This Row],[ID]],DEG_ACUM!A:A,1,0),"NOVO")</f>
        <v>459</v>
      </c>
    </row>
    <row r="96" spans="1:4" hidden="1" x14ac:dyDescent="0.35">
      <c r="A96" s="1">
        <v>460</v>
      </c>
      <c r="B96" s="2">
        <v>46157</v>
      </c>
      <c r="C96" s="1" t="s">
        <v>54</v>
      </c>
      <c r="D96" s="1">
        <f>IFERROR(VLOOKUP(DEG_REDE[[#This Row],[ID]],DEG_ACUM!A:A,1,0),"NOVO")</f>
        <v>460</v>
      </c>
    </row>
    <row r="97" spans="1:4" hidden="1" x14ac:dyDescent="0.35">
      <c r="A97" s="1">
        <v>461</v>
      </c>
      <c r="B97" s="2">
        <v>46157</v>
      </c>
      <c r="C97" s="1" t="s">
        <v>54</v>
      </c>
      <c r="D97" s="1">
        <f>IFERROR(VLOOKUP(DEG_REDE[[#This Row],[ID]],DEG_ACUM!A:A,1,0),"NOVO")</f>
        <v>461</v>
      </c>
    </row>
    <row r="98" spans="1:4" hidden="1" x14ac:dyDescent="0.35">
      <c r="A98" s="1">
        <v>462</v>
      </c>
      <c r="B98" s="2">
        <v>46157</v>
      </c>
      <c r="C98" s="1" t="s">
        <v>54</v>
      </c>
      <c r="D98" s="1">
        <f>IFERROR(VLOOKUP(DEG_REDE[[#This Row],[ID]],DEG_ACUM!A:A,1,0),"NOVO")</f>
        <v>462</v>
      </c>
    </row>
    <row r="99" spans="1:4" hidden="1" x14ac:dyDescent="0.35">
      <c r="A99" s="1">
        <v>463</v>
      </c>
      <c r="B99" s="2">
        <v>46157</v>
      </c>
      <c r="C99" s="1" t="s">
        <v>54</v>
      </c>
      <c r="D99" s="1">
        <f>IFERROR(VLOOKUP(DEG_REDE[[#This Row],[ID]],DEG_ACUM!A:A,1,0),"NOVO")</f>
        <v>463</v>
      </c>
    </row>
    <row r="100" spans="1:4" hidden="1" x14ac:dyDescent="0.35">
      <c r="A100" s="1">
        <v>464</v>
      </c>
      <c r="B100" s="2">
        <v>46157</v>
      </c>
      <c r="C100" s="1" t="s">
        <v>54</v>
      </c>
      <c r="D100" s="1">
        <f>IFERROR(VLOOKUP(DEG_REDE[[#This Row],[ID]],DEG_ACUM!A:A,1,0),"NOVO")</f>
        <v>464</v>
      </c>
    </row>
    <row r="101" spans="1:4" hidden="1" x14ac:dyDescent="0.35">
      <c r="A101" s="1">
        <v>465</v>
      </c>
      <c r="B101" s="2">
        <v>46157</v>
      </c>
      <c r="C101" s="1" t="s">
        <v>54</v>
      </c>
      <c r="D101" s="1">
        <f>IFERROR(VLOOKUP(DEG_REDE[[#This Row],[ID]],DEG_ACUM!A:A,1,0),"NOVO")</f>
        <v>465</v>
      </c>
    </row>
    <row r="102" spans="1:4" hidden="1" x14ac:dyDescent="0.35">
      <c r="A102" s="1">
        <v>466</v>
      </c>
      <c r="B102" s="2">
        <v>46157</v>
      </c>
      <c r="C102" s="1" t="s">
        <v>54</v>
      </c>
      <c r="D102" s="1">
        <f>IFERROR(VLOOKUP(DEG_REDE[[#This Row],[ID]],DEG_ACUM!A:A,1,0),"NOVO")</f>
        <v>466</v>
      </c>
    </row>
    <row r="103" spans="1:4" hidden="1" x14ac:dyDescent="0.35">
      <c r="A103" s="1">
        <v>477</v>
      </c>
      <c r="B103" s="2">
        <v>46160</v>
      </c>
      <c r="C103" s="1" t="s">
        <v>52</v>
      </c>
      <c r="D103" s="1">
        <f>IFERROR(VLOOKUP(DEG_REDE[[#This Row],[ID]],DEG_ACUM!A:A,1,0),"NOVO")</f>
        <v>477</v>
      </c>
    </row>
    <row r="104" spans="1:4" hidden="1" x14ac:dyDescent="0.35">
      <c r="A104" s="1">
        <v>478</v>
      </c>
      <c r="B104" s="2">
        <v>46160</v>
      </c>
      <c r="C104" s="1" t="s">
        <v>52</v>
      </c>
      <c r="D104" s="1">
        <f>IFERROR(VLOOKUP(DEG_REDE[[#This Row],[ID]],DEG_ACUM!A:A,1,0),"NOVO")</f>
        <v>478</v>
      </c>
    </row>
    <row r="105" spans="1:4" hidden="1" x14ac:dyDescent="0.35">
      <c r="A105" s="1">
        <v>479</v>
      </c>
      <c r="B105" s="2">
        <v>46160</v>
      </c>
      <c r="C105" s="1" t="s">
        <v>52</v>
      </c>
      <c r="D105" s="1">
        <f>IFERROR(VLOOKUP(DEG_REDE[[#This Row],[ID]],DEG_ACUM!A:A,1,0),"NOVO")</f>
        <v>479</v>
      </c>
    </row>
    <row r="106" spans="1:4" hidden="1" x14ac:dyDescent="0.35">
      <c r="A106" s="1">
        <v>480</v>
      </c>
      <c r="B106" s="2">
        <v>46160</v>
      </c>
      <c r="C106" s="1" t="s">
        <v>52</v>
      </c>
      <c r="D106" s="1">
        <f>IFERROR(VLOOKUP(DEG_REDE[[#This Row],[ID]],DEG_ACUM!A:A,1,0),"NOVO")</f>
        <v>480</v>
      </c>
    </row>
    <row r="107" spans="1:4" hidden="1" x14ac:dyDescent="0.35">
      <c r="A107" s="1">
        <v>481</v>
      </c>
      <c r="B107" s="2">
        <v>46160</v>
      </c>
      <c r="C107" s="1" t="s">
        <v>52</v>
      </c>
      <c r="D107" s="1">
        <f>IFERROR(VLOOKUP(DEG_REDE[[#This Row],[ID]],DEG_ACUM!A:A,1,0),"NOVO")</f>
        <v>481</v>
      </c>
    </row>
    <row r="108" spans="1:4" hidden="1" x14ac:dyDescent="0.35">
      <c r="A108" s="1">
        <v>482</v>
      </c>
      <c r="B108" s="2">
        <v>46160</v>
      </c>
      <c r="C108" s="1" t="s">
        <v>52</v>
      </c>
      <c r="D108" s="1">
        <f>IFERROR(VLOOKUP(DEG_REDE[[#This Row],[ID]],DEG_ACUM!A:A,1,0),"NOVO")</f>
        <v>482</v>
      </c>
    </row>
    <row r="109" spans="1:4" hidden="1" x14ac:dyDescent="0.35">
      <c r="A109" s="1">
        <v>489</v>
      </c>
      <c r="B109" s="2">
        <v>46160</v>
      </c>
      <c r="C109" s="1" t="s">
        <v>54</v>
      </c>
      <c r="D109" s="1">
        <f>IFERROR(VLOOKUP(DEG_REDE[[#This Row],[ID]],DEG_ACUM!A:A,1,0),"NOVO")</f>
        <v>489</v>
      </c>
    </row>
    <row r="110" spans="1:4" hidden="1" x14ac:dyDescent="0.35">
      <c r="A110" s="1">
        <v>490</v>
      </c>
      <c r="B110" s="2">
        <v>46160</v>
      </c>
      <c r="C110" s="1" t="s">
        <v>54</v>
      </c>
      <c r="D110" s="1">
        <f>IFERROR(VLOOKUP(DEG_REDE[[#This Row],[ID]],DEG_ACUM!A:A,1,0),"NOVO")</f>
        <v>490</v>
      </c>
    </row>
    <row r="111" spans="1:4" hidden="1" x14ac:dyDescent="0.35">
      <c r="A111" s="1">
        <v>491</v>
      </c>
      <c r="B111" s="2">
        <v>46160</v>
      </c>
      <c r="C111" s="1" t="s">
        <v>54</v>
      </c>
      <c r="D111" s="1">
        <f>IFERROR(VLOOKUP(DEG_REDE[[#This Row],[ID]],DEG_ACUM!A:A,1,0),"NOVO")</f>
        <v>491</v>
      </c>
    </row>
    <row r="112" spans="1:4" hidden="1" x14ac:dyDescent="0.35">
      <c r="A112" s="1">
        <v>492</v>
      </c>
      <c r="B112" s="2">
        <v>46160</v>
      </c>
      <c r="C112" s="1" t="s">
        <v>54</v>
      </c>
      <c r="D112" s="1">
        <f>IFERROR(VLOOKUP(DEG_REDE[[#This Row],[ID]],DEG_ACUM!A:A,1,0),"NOVO")</f>
        <v>492</v>
      </c>
    </row>
    <row r="113" spans="1:4" hidden="1" x14ac:dyDescent="0.35">
      <c r="A113" s="1">
        <v>493</v>
      </c>
      <c r="B113" s="2">
        <v>46160</v>
      </c>
      <c r="C113" s="1" t="s">
        <v>54</v>
      </c>
      <c r="D113" s="1">
        <f>IFERROR(VLOOKUP(DEG_REDE[[#This Row],[ID]],DEG_ACUM!A:A,1,0),"NOVO")</f>
        <v>493</v>
      </c>
    </row>
    <row r="114" spans="1:4" hidden="1" x14ac:dyDescent="0.35">
      <c r="A114" s="1">
        <v>494</v>
      </c>
      <c r="B114" s="2">
        <v>46160</v>
      </c>
      <c r="C114" s="1" t="s">
        <v>54</v>
      </c>
      <c r="D114" s="1">
        <f>IFERROR(VLOOKUP(DEG_REDE[[#This Row],[ID]],DEG_ACUM!A:A,1,0),"NOVO")</f>
        <v>494</v>
      </c>
    </row>
    <row r="115" spans="1:4" hidden="1" x14ac:dyDescent="0.35">
      <c r="A115" s="1">
        <v>497</v>
      </c>
      <c r="B115" s="2">
        <v>46161</v>
      </c>
      <c r="C115" s="1" t="s">
        <v>55</v>
      </c>
      <c r="D115" s="1">
        <f>IFERROR(VLOOKUP(DEG_REDE[[#This Row],[ID]],DEG_ACUM!A:A,1,0),"NOVO")</f>
        <v>497</v>
      </c>
    </row>
    <row r="116" spans="1:4" hidden="1" x14ac:dyDescent="0.35">
      <c r="A116" s="1">
        <v>499</v>
      </c>
      <c r="B116" s="2">
        <v>46161</v>
      </c>
      <c r="C116" s="1" t="s">
        <v>55</v>
      </c>
      <c r="D116" s="1">
        <f>IFERROR(VLOOKUP(DEG_REDE[[#This Row],[ID]],DEG_ACUM!A:A,1,0),"NOVO")</f>
        <v>499</v>
      </c>
    </row>
    <row r="117" spans="1:4" hidden="1" x14ac:dyDescent="0.35">
      <c r="A117" s="1">
        <v>509</v>
      </c>
      <c r="B117" s="2">
        <v>46161</v>
      </c>
      <c r="C117" s="1" t="s">
        <v>56</v>
      </c>
      <c r="D117" s="1">
        <f>IFERROR(VLOOKUP(DEG_REDE[[#This Row],[ID]],DEG_ACUM!A:A,1,0),"NOVO")</f>
        <v>509</v>
      </c>
    </row>
    <row r="118" spans="1:4" hidden="1" x14ac:dyDescent="0.35">
      <c r="A118" s="1">
        <v>510</v>
      </c>
      <c r="B118" s="2">
        <v>46161</v>
      </c>
      <c r="C118" s="1" t="s">
        <v>56</v>
      </c>
      <c r="D118" s="1">
        <f>IFERROR(VLOOKUP(DEG_REDE[[#This Row],[ID]],DEG_ACUM!A:A,1,0),"NOVO")</f>
        <v>510</v>
      </c>
    </row>
    <row r="119" spans="1:4" hidden="1" x14ac:dyDescent="0.35">
      <c r="A119" s="1">
        <v>511</v>
      </c>
      <c r="B119" s="2">
        <v>46161</v>
      </c>
      <c r="C119" s="1" t="s">
        <v>56</v>
      </c>
      <c r="D119" s="1">
        <f>IFERROR(VLOOKUP(DEG_REDE[[#This Row],[ID]],DEG_ACUM!A:A,1,0),"NOVO")</f>
        <v>511</v>
      </c>
    </row>
    <row r="120" spans="1:4" hidden="1" x14ac:dyDescent="0.35">
      <c r="A120" s="1">
        <v>532</v>
      </c>
      <c r="B120" s="2">
        <v>46161</v>
      </c>
      <c r="C120" s="1" t="s">
        <v>54</v>
      </c>
      <c r="D120" s="1">
        <f>IFERROR(VLOOKUP(DEG_REDE[[#This Row],[ID]],DEG_ACUM!A:A,1,0),"NOVO")</f>
        <v>532</v>
      </c>
    </row>
    <row r="121" spans="1:4" hidden="1" x14ac:dyDescent="0.35">
      <c r="A121" s="1">
        <v>533</v>
      </c>
      <c r="B121" s="2">
        <v>46161</v>
      </c>
      <c r="C121" s="1" t="s">
        <v>54</v>
      </c>
      <c r="D121" s="1">
        <f>IFERROR(VLOOKUP(DEG_REDE[[#This Row],[ID]],DEG_ACUM!A:A,1,0),"NOVO")</f>
        <v>533</v>
      </c>
    </row>
    <row r="122" spans="1:4" hidden="1" x14ac:dyDescent="0.35">
      <c r="A122" s="1">
        <v>534</v>
      </c>
      <c r="B122" s="2">
        <v>46161</v>
      </c>
      <c r="C122" s="1" t="s">
        <v>54</v>
      </c>
      <c r="D122" s="1">
        <f>IFERROR(VLOOKUP(DEG_REDE[[#This Row],[ID]],DEG_ACUM!A:A,1,0),"NOVO")</f>
        <v>534</v>
      </c>
    </row>
    <row r="123" spans="1:4" hidden="1" x14ac:dyDescent="0.35">
      <c r="A123" s="1">
        <v>535</v>
      </c>
      <c r="B123" s="2">
        <v>46161</v>
      </c>
      <c r="C123" s="1" t="s">
        <v>54</v>
      </c>
      <c r="D123" s="1">
        <f>IFERROR(VLOOKUP(DEG_REDE[[#This Row],[ID]],DEG_ACUM!A:A,1,0),"NOVO")</f>
        <v>535</v>
      </c>
    </row>
    <row r="124" spans="1:4" hidden="1" x14ac:dyDescent="0.35">
      <c r="A124" s="1">
        <v>536</v>
      </c>
      <c r="B124" s="2">
        <v>46161</v>
      </c>
      <c r="C124" s="1" t="s">
        <v>54</v>
      </c>
      <c r="D124" s="1">
        <f>IFERROR(VLOOKUP(DEG_REDE[[#This Row],[ID]],DEG_ACUM!A:A,1,0),"NOVO")</f>
        <v>536</v>
      </c>
    </row>
    <row r="125" spans="1:4" hidden="1" x14ac:dyDescent="0.35">
      <c r="A125" s="1">
        <v>537</v>
      </c>
      <c r="B125" s="2">
        <v>46161</v>
      </c>
      <c r="C125" s="1" t="s">
        <v>54</v>
      </c>
      <c r="D125" s="1">
        <f>IFERROR(VLOOKUP(DEG_REDE[[#This Row],[ID]],DEG_ACUM!A:A,1,0),"NOVO")</f>
        <v>537</v>
      </c>
    </row>
    <row r="126" spans="1:4" hidden="1" x14ac:dyDescent="0.35">
      <c r="A126" s="1">
        <v>538</v>
      </c>
      <c r="B126" s="2">
        <v>46161</v>
      </c>
      <c r="C126" s="1" t="s">
        <v>54</v>
      </c>
      <c r="D126" s="1">
        <f>IFERROR(VLOOKUP(DEG_REDE[[#This Row],[ID]],DEG_ACUM!A:A,1,0),"NOVO")</f>
        <v>538</v>
      </c>
    </row>
    <row r="127" spans="1:4" hidden="1" x14ac:dyDescent="0.35">
      <c r="A127" s="1">
        <v>539</v>
      </c>
      <c r="B127" s="2">
        <v>46161</v>
      </c>
      <c r="C127" s="1" t="s">
        <v>54</v>
      </c>
      <c r="D127" s="1">
        <f>IFERROR(VLOOKUP(DEG_REDE[[#This Row],[ID]],DEG_ACUM!A:A,1,0),"NOVO")</f>
        <v>539</v>
      </c>
    </row>
    <row r="128" spans="1:4" hidden="1" x14ac:dyDescent="0.35">
      <c r="A128" s="1">
        <v>540</v>
      </c>
      <c r="B128" s="2">
        <v>46161</v>
      </c>
      <c r="C128" s="1" t="s">
        <v>54</v>
      </c>
      <c r="D128" s="1">
        <f>IFERROR(VLOOKUP(DEG_REDE[[#This Row],[ID]],DEG_ACUM!A:A,1,0),"NOVO")</f>
        <v>540</v>
      </c>
    </row>
    <row r="129" spans="1:4" hidden="1" x14ac:dyDescent="0.35">
      <c r="A129" s="1">
        <v>541</v>
      </c>
      <c r="B129" s="2">
        <v>46161</v>
      </c>
      <c r="C129" s="1" t="s">
        <v>54</v>
      </c>
      <c r="D129" s="1">
        <f>IFERROR(VLOOKUP(DEG_REDE[[#This Row],[ID]],DEG_ACUM!A:A,1,0),"NOVO")</f>
        <v>541</v>
      </c>
    </row>
    <row r="130" spans="1:4" hidden="1" x14ac:dyDescent="0.35">
      <c r="A130" s="1">
        <v>542</v>
      </c>
      <c r="B130" s="2">
        <v>46161</v>
      </c>
      <c r="C130" s="1" t="s">
        <v>54</v>
      </c>
      <c r="D130" s="1">
        <f>IFERROR(VLOOKUP(DEG_REDE[[#This Row],[ID]],DEG_ACUM!A:A,1,0),"NOVO")</f>
        <v>542</v>
      </c>
    </row>
    <row r="131" spans="1:4" hidden="1" x14ac:dyDescent="0.35">
      <c r="A131" s="1">
        <v>543</v>
      </c>
      <c r="B131" s="2">
        <v>46161</v>
      </c>
      <c r="C131" s="1" t="s">
        <v>54</v>
      </c>
      <c r="D131" s="1">
        <f>IFERROR(VLOOKUP(DEG_REDE[[#This Row],[ID]],DEG_ACUM!A:A,1,0),"NOVO")</f>
        <v>543</v>
      </c>
    </row>
    <row r="132" spans="1:4" hidden="1" x14ac:dyDescent="0.35">
      <c r="A132" s="1">
        <v>544</v>
      </c>
      <c r="B132" s="2">
        <v>46161</v>
      </c>
      <c r="C132" s="1" t="s">
        <v>54</v>
      </c>
      <c r="D132" s="1">
        <f>IFERROR(VLOOKUP(DEG_REDE[[#This Row],[ID]],DEG_ACUM!A:A,1,0),"NOVO")</f>
        <v>544</v>
      </c>
    </row>
    <row r="133" spans="1:4" hidden="1" x14ac:dyDescent="0.35">
      <c r="A133" s="1">
        <v>545</v>
      </c>
      <c r="B133" s="2">
        <v>46161</v>
      </c>
      <c r="C133" s="1" t="s">
        <v>54</v>
      </c>
      <c r="D133" s="1">
        <f>IFERROR(VLOOKUP(DEG_REDE[[#This Row],[ID]],DEG_ACUM!A:A,1,0),"NOVO")</f>
        <v>545</v>
      </c>
    </row>
    <row r="134" spans="1:4" hidden="1" x14ac:dyDescent="0.35">
      <c r="A134" s="1">
        <v>546</v>
      </c>
      <c r="B134" s="2">
        <v>46161</v>
      </c>
      <c r="C134" s="1" t="s">
        <v>52</v>
      </c>
      <c r="D134" s="1">
        <f>IFERROR(VLOOKUP(DEG_REDE[[#This Row],[ID]],DEG_ACUM!A:A,1,0),"NOVO")</f>
        <v>546</v>
      </c>
    </row>
    <row r="135" spans="1:4" hidden="1" x14ac:dyDescent="0.35">
      <c r="A135" s="1">
        <v>547</v>
      </c>
      <c r="B135" s="2">
        <v>46161</v>
      </c>
      <c r="C135" s="1" t="s">
        <v>52</v>
      </c>
      <c r="D135" s="1">
        <f>IFERROR(VLOOKUP(DEG_REDE[[#This Row],[ID]],DEG_ACUM!A:A,1,0),"NOVO")</f>
        <v>547</v>
      </c>
    </row>
    <row r="136" spans="1:4" hidden="1" x14ac:dyDescent="0.35">
      <c r="A136" s="1">
        <v>548</v>
      </c>
      <c r="B136" s="2">
        <v>46161</v>
      </c>
      <c r="C136" s="1" t="s">
        <v>52</v>
      </c>
      <c r="D136" s="1">
        <f>IFERROR(VLOOKUP(DEG_REDE[[#This Row],[ID]],DEG_ACUM!A:A,1,0),"NOVO")</f>
        <v>548</v>
      </c>
    </row>
    <row r="137" spans="1:4" hidden="1" x14ac:dyDescent="0.35">
      <c r="A137" s="1">
        <v>549</v>
      </c>
      <c r="B137" s="2">
        <v>46161</v>
      </c>
      <c r="C137" s="1" t="s">
        <v>52</v>
      </c>
      <c r="D137" s="1">
        <f>IFERROR(VLOOKUP(DEG_REDE[[#This Row],[ID]],DEG_ACUM!A:A,1,0),"NOVO")</f>
        <v>549</v>
      </c>
    </row>
    <row r="138" spans="1:4" hidden="1" x14ac:dyDescent="0.35">
      <c r="A138" s="1">
        <v>579</v>
      </c>
      <c r="B138" s="2">
        <v>46162</v>
      </c>
      <c r="C138" s="1" t="s">
        <v>54</v>
      </c>
      <c r="D138" s="1">
        <f>IFERROR(VLOOKUP(DEG_REDE[[#This Row],[ID]],DEG_ACUM!A:A,1,0),"NOVO")</f>
        <v>579</v>
      </c>
    </row>
    <row r="139" spans="1:4" hidden="1" x14ac:dyDescent="0.35">
      <c r="A139" s="1">
        <v>580</v>
      </c>
      <c r="B139" s="2">
        <v>46162</v>
      </c>
      <c r="C139" s="1" t="s">
        <v>54</v>
      </c>
      <c r="D139" s="1">
        <f>IFERROR(VLOOKUP(DEG_REDE[[#This Row],[ID]],DEG_ACUM!A:A,1,0),"NOVO")</f>
        <v>580</v>
      </c>
    </row>
    <row r="140" spans="1:4" hidden="1" x14ac:dyDescent="0.35">
      <c r="A140" s="1">
        <v>581</v>
      </c>
      <c r="B140" s="2">
        <v>46162</v>
      </c>
      <c r="C140" s="1" t="s">
        <v>54</v>
      </c>
      <c r="D140" s="1">
        <f>IFERROR(VLOOKUP(DEG_REDE[[#This Row],[ID]],DEG_ACUM!A:A,1,0),"NOVO")</f>
        <v>581</v>
      </c>
    </row>
    <row r="141" spans="1:4" hidden="1" x14ac:dyDescent="0.35">
      <c r="A141" s="1">
        <v>582</v>
      </c>
      <c r="B141" s="2">
        <v>46162</v>
      </c>
      <c r="C141" s="1" t="s">
        <v>54</v>
      </c>
      <c r="D141" s="1">
        <f>IFERROR(VLOOKUP(DEG_REDE[[#This Row],[ID]],DEG_ACUM!A:A,1,0),"NOVO")</f>
        <v>582</v>
      </c>
    </row>
    <row r="142" spans="1:4" hidden="1" x14ac:dyDescent="0.35">
      <c r="A142" s="1">
        <v>583</v>
      </c>
      <c r="B142" s="2">
        <v>46162</v>
      </c>
      <c r="C142" s="1" t="s">
        <v>54</v>
      </c>
      <c r="D142" s="1">
        <f>IFERROR(VLOOKUP(DEG_REDE[[#This Row],[ID]],DEG_ACUM!A:A,1,0),"NOVO")</f>
        <v>583</v>
      </c>
    </row>
    <row r="143" spans="1:4" hidden="1" x14ac:dyDescent="0.35">
      <c r="A143" s="1">
        <v>584</v>
      </c>
      <c r="B143" s="2">
        <v>46162</v>
      </c>
      <c r="C143" s="1" t="s">
        <v>54</v>
      </c>
      <c r="D143" s="1">
        <f>IFERROR(VLOOKUP(DEG_REDE[[#This Row],[ID]],DEG_ACUM!A:A,1,0),"NOVO")</f>
        <v>584</v>
      </c>
    </row>
    <row r="144" spans="1:4" hidden="1" x14ac:dyDescent="0.35">
      <c r="A144" s="1">
        <v>585</v>
      </c>
      <c r="B144" s="2">
        <v>46162</v>
      </c>
      <c r="C144" s="1" t="s">
        <v>54</v>
      </c>
      <c r="D144" s="1">
        <f>IFERROR(VLOOKUP(DEG_REDE[[#This Row],[ID]],DEG_ACUM!A:A,1,0),"NOVO")</f>
        <v>585</v>
      </c>
    </row>
    <row r="145" spans="1:4" hidden="1" x14ac:dyDescent="0.35">
      <c r="A145" s="1">
        <v>586</v>
      </c>
      <c r="B145" s="2">
        <v>46162</v>
      </c>
      <c r="C145" s="1" t="s">
        <v>54</v>
      </c>
      <c r="D145" s="1">
        <f>IFERROR(VLOOKUP(DEG_REDE[[#This Row],[ID]],DEG_ACUM!A:A,1,0),"NOVO")</f>
        <v>586</v>
      </c>
    </row>
    <row r="146" spans="1:4" hidden="1" x14ac:dyDescent="0.35">
      <c r="A146" s="1">
        <v>587</v>
      </c>
      <c r="B146" s="2">
        <v>46162</v>
      </c>
      <c r="C146" s="1" t="s">
        <v>54</v>
      </c>
      <c r="D146" s="1">
        <f>IFERROR(VLOOKUP(DEG_REDE[[#This Row],[ID]],DEG_ACUM!A:A,1,0),"NOVO")</f>
        <v>587</v>
      </c>
    </row>
    <row r="147" spans="1:4" hidden="1" x14ac:dyDescent="0.35">
      <c r="A147" s="1">
        <v>588</v>
      </c>
      <c r="B147" s="2">
        <v>46162</v>
      </c>
      <c r="C147" s="1" t="s">
        <v>54</v>
      </c>
      <c r="D147" s="1">
        <f>IFERROR(VLOOKUP(DEG_REDE[[#This Row],[ID]],DEG_ACUM!A:A,1,0),"NOVO")</f>
        <v>588</v>
      </c>
    </row>
    <row r="148" spans="1:4" hidden="1" x14ac:dyDescent="0.35">
      <c r="A148" s="1">
        <v>589</v>
      </c>
      <c r="B148" s="2">
        <v>46162</v>
      </c>
      <c r="C148" s="1" t="s">
        <v>54</v>
      </c>
      <c r="D148" s="1">
        <f>IFERROR(VLOOKUP(DEG_REDE[[#This Row],[ID]],DEG_ACUM!A:A,1,0),"NOVO")</f>
        <v>589</v>
      </c>
    </row>
    <row r="149" spans="1:4" hidden="1" x14ac:dyDescent="0.35">
      <c r="A149" s="1">
        <v>590</v>
      </c>
      <c r="B149" s="2">
        <v>46162</v>
      </c>
      <c r="C149" s="1" t="s">
        <v>54</v>
      </c>
      <c r="D149" s="1">
        <f>IFERROR(VLOOKUP(DEG_REDE[[#This Row],[ID]],DEG_ACUM!A:A,1,0),"NOVO")</f>
        <v>590</v>
      </c>
    </row>
    <row r="150" spans="1:4" hidden="1" x14ac:dyDescent="0.35">
      <c r="A150" s="1">
        <v>599</v>
      </c>
      <c r="B150" s="2">
        <v>46163</v>
      </c>
      <c r="C150" s="1" t="s">
        <v>57</v>
      </c>
      <c r="D150" s="1">
        <f>IFERROR(VLOOKUP(DEG_REDE[[#This Row],[ID]],DEG_ACUM!A:A,1,0),"NOVO")</f>
        <v>599</v>
      </c>
    </row>
    <row r="151" spans="1:4" hidden="1" x14ac:dyDescent="0.35">
      <c r="A151" s="1">
        <v>600</v>
      </c>
      <c r="B151" s="2">
        <v>46163</v>
      </c>
      <c r="C151" s="1" t="s">
        <v>57</v>
      </c>
      <c r="D151" s="1">
        <f>IFERROR(VLOOKUP(DEG_REDE[[#This Row],[ID]],DEG_ACUM!A:A,1,0),"NOVO")</f>
        <v>600</v>
      </c>
    </row>
    <row r="152" spans="1:4" hidden="1" x14ac:dyDescent="0.35">
      <c r="A152" s="1">
        <v>601</v>
      </c>
      <c r="B152" s="2">
        <v>46163</v>
      </c>
      <c r="C152" s="1" t="s">
        <v>55</v>
      </c>
      <c r="D152" s="1">
        <f>IFERROR(VLOOKUP(DEG_REDE[[#This Row],[ID]],DEG_ACUM!A:A,1,0),"NOVO")</f>
        <v>601</v>
      </c>
    </row>
    <row r="153" spans="1:4" hidden="1" x14ac:dyDescent="0.35">
      <c r="A153" s="1">
        <v>603</v>
      </c>
      <c r="B153" s="2">
        <v>46163</v>
      </c>
      <c r="C153" s="1" t="s">
        <v>55</v>
      </c>
      <c r="D153" s="1">
        <f>IFERROR(VLOOKUP(DEG_REDE[[#This Row],[ID]],DEG_ACUM!A:A,1,0),"NOVO")</f>
        <v>603</v>
      </c>
    </row>
    <row r="154" spans="1:4" hidden="1" x14ac:dyDescent="0.35">
      <c r="A154" s="1">
        <v>604</v>
      </c>
      <c r="B154" s="2">
        <v>46163</v>
      </c>
      <c r="C154" s="1" t="s">
        <v>55</v>
      </c>
      <c r="D154" s="1">
        <f>IFERROR(VLOOKUP(DEG_REDE[[#This Row],[ID]],DEG_ACUM!A:A,1,0),"NOVO")</f>
        <v>604</v>
      </c>
    </row>
    <row r="155" spans="1:4" hidden="1" x14ac:dyDescent="0.35">
      <c r="A155" s="1">
        <v>605</v>
      </c>
      <c r="B155" s="2">
        <v>46163</v>
      </c>
      <c r="C155" s="1" t="s">
        <v>55</v>
      </c>
      <c r="D155" s="1">
        <f>IFERROR(VLOOKUP(DEG_REDE[[#This Row],[ID]],DEG_ACUM!A:A,1,0),"NOVO")</f>
        <v>605</v>
      </c>
    </row>
    <row r="156" spans="1:4" hidden="1" x14ac:dyDescent="0.35">
      <c r="A156" s="1">
        <v>607</v>
      </c>
      <c r="B156" s="2">
        <v>46163</v>
      </c>
      <c r="C156" s="1" t="s">
        <v>55</v>
      </c>
      <c r="D156" s="1">
        <f>IFERROR(VLOOKUP(DEG_REDE[[#This Row],[ID]],DEG_ACUM!A:A,1,0),"NOVO")</f>
        <v>607</v>
      </c>
    </row>
    <row r="157" spans="1:4" hidden="1" x14ac:dyDescent="0.35">
      <c r="A157" s="1">
        <v>608</v>
      </c>
      <c r="B157" s="2">
        <v>46163</v>
      </c>
      <c r="C157" s="1" t="s">
        <v>55</v>
      </c>
      <c r="D157" s="1">
        <f>IFERROR(VLOOKUP(DEG_REDE[[#This Row],[ID]],DEG_ACUM!A:A,1,0),"NOVO")</f>
        <v>608</v>
      </c>
    </row>
    <row r="158" spans="1:4" hidden="1" x14ac:dyDescent="0.35">
      <c r="A158" s="1">
        <v>609</v>
      </c>
      <c r="B158" s="2">
        <v>46163</v>
      </c>
      <c r="C158" s="1" t="s">
        <v>55</v>
      </c>
      <c r="D158" s="1">
        <f>IFERROR(VLOOKUP(DEG_REDE[[#This Row],[ID]],DEG_ACUM!A:A,1,0),"NOVO")</f>
        <v>609</v>
      </c>
    </row>
    <row r="159" spans="1:4" hidden="1" x14ac:dyDescent="0.35">
      <c r="A159" s="1">
        <v>612</v>
      </c>
      <c r="B159" s="2">
        <v>46163</v>
      </c>
      <c r="C159" s="1" t="s">
        <v>51</v>
      </c>
      <c r="D159" s="1">
        <f>IFERROR(VLOOKUP(DEG_REDE[[#This Row],[ID]],DEG_ACUM!A:A,1,0),"NOVO")</f>
        <v>612</v>
      </c>
    </row>
    <row r="160" spans="1:4" hidden="1" x14ac:dyDescent="0.35">
      <c r="A160" s="1">
        <v>613</v>
      </c>
      <c r="B160" s="2">
        <v>46163</v>
      </c>
      <c r="C160" s="1" t="s">
        <v>53</v>
      </c>
      <c r="D160" s="1">
        <f>IFERROR(VLOOKUP(DEG_REDE[[#This Row],[ID]],DEG_ACUM!A:A,1,0),"NOVO")</f>
        <v>613</v>
      </c>
    </row>
    <row r="161" spans="1:4" hidden="1" x14ac:dyDescent="0.35">
      <c r="A161" s="1">
        <v>614</v>
      </c>
      <c r="B161" s="2">
        <v>46163</v>
      </c>
      <c r="C161" s="1" t="s">
        <v>53</v>
      </c>
      <c r="D161" s="1">
        <f>IFERROR(VLOOKUP(DEG_REDE[[#This Row],[ID]],DEG_ACUM!A:A,1,0),"NOVO")</f>
        <v>614</v>
      </c>
    </row>
    <row r="162" spans="1:4" hidden="1" x14ac:dyDescent="0.35">
      <c r="A162" s="1">
        <v>615</v>
      </c>
      <c r="B162" s="2">
        <v>46163</v>
      </c>
      <c r="C162" s="1" t="s">
        <v>53</v>
      </c>
      <c r="D162" s="1">
        <f>IFERROR(VLOOKUP(DEG_REDE[[#This Row],[ID]],DEG_ACUM!A:A,1,0),"NOVO")</f>
        <v>615</v>
      </c>
    </row>
    <row r="163" spans="1:4" hidden="1" x14ac:dyDescent="0.35">
      <c r="A163" s="1">
        <v>621</v>
      </c>
      <c r="B163" s="2">
        <v>46164</v>
      </c>
      <c r="C163" s="1" t="s">
        <v>58</v>
      </c>
      <c r="D163" s="1">
        <f>IFERROR(VLOOKUP(DEG_REDE[[#This Row],[ID]],DEG_ACUM!A:A,1,0),"NOVO")</f>
        <v>621</v>
      </c>
    </row>
    <row r="164" spans="1:4" hidden="1" x14ac:dyDescent="0.35">
      <c r="A164" s="1">
        <v>622</v>
      </c>
      <c r="B164" s="2">
        <v>46164</v>
      </c>
      <c r="C164" s="1" t="s">
        <v>51</v>
      </c>
      <c r="D164" s="1">
        <f>IFERROR(VLOOKUP(DEG_REDE[[#This Row],[ID]],DEG_ACUM!A:A,1,0),"NOVO")</f>
        <v>622</v>
      </c>
    </row>
    <row r="165" spans="1:4" hidden="1" x14ac:dyDescent="0.35">
      <c r="A165" s="1">
        <v>623</v>
      </c>
      <c r="B165" s="2">
        <v>46164</v>
      </c>
      <c r="C165" s="1" t="s">
        <v>51</v>
      </c>
      <c r="D165" s="1">
        <f>IFERROR(VLOOKUP(DEG_REDE[[#This Row],[ID]],DEG_ACUM!A:A,1,0),"NOVO")</f>
        <v>623</v>
      </c>
    </row>
    <row r="166" spans="1:4" hidden="1" x14ac:dyDescent="0.35">
      <c r="A166" s="1">
        <v>624</v>
      </c>
      <c r="B166" s="2">
        <v>46164</v>
      </c>
      <c r="C166" s="1" t="s">
        <v>57</v>
      </c>
      <c r="D166" s="1">
        <f>IFERROR(VLOOKUP(DEG_REDE[[#This Row],[ID]],DEG_ACUM!A:A,1,0),"NOVO")</f>
        <v>624</v>
      </c>
    </row>
    <row r="167" spans="1:4" hidden="1" x14ac:dyDescent="0.35">
      <c r="A167" s="1">
        <v>625</v>
      </c>
      <c r="B167" s="2">
        <v>46164</v>
      </c>
      <c r="C167" s="1" t="s">
        <v>57</v>
      </c>
      <c r="D167" s="1">
        <f>IFERROR(VLOOKUP(DEG_REDE[[#This Row],[ID]],DEG_ACUM!A:A,1,0),"NOVO")</f>
        <v>625</v>
      </c>
    </row>
    <row r="168" spans="1:4" hidden="1" x14ac:dyDescent="0.35">
      <c r="A168" s="1">
        <v>626</v>
      </c>
      <c r="B168" s="2">
        <v>46164</v>
      </c>
      <c r="C168" s="1" t="s">
        <v>55</v>
      </c>
      <c r="D168" s="1">
        <f>IFERROR(VLOOKUP(DEG_REDE[[#This Row],[ID]],DEG_ACUM!A:A,1,0),"NOVO")</f>
        <v>626</v>
      </c>
    </row>
    <row r="169" spans="1:4" hidden="1" x14ac:dyDescent="0.35">
      <c r="A169" s="1">
        <v>627</v>
      </c>
      <c r="B169" s="2">
        <v>46164</v>
      </c>
      <c r="C169" s="1" t="s">
        <v>55</v>
      </c>
      <c r="D169" s="1">
        <f>IFERROR(VLOOKUP(DEG_REDE[[#This Row],[ID]],DEG_ACUM!A:A,1,0),"NOVO")</f>
        <v>627</v>
      </c>
    </row>
    <row r="170" spans="1:4" hidden="1" x14ac:dyDescent="0.35">
      <c r="A170" s="1">
        <v>628</v>
      </c>
      <c r="B170" s="2">
        <v>46164</v>
      </c>
      <c r="C170" s="1" t="s">
        <v>55</v>
      </c>
      <c r="D170" s="1">
        <f>IFERROR(VLOOKUP(DEG_REDE[[#This Row],[ID]],DEG_ACUM!A:A,1,0),"NOVO")</f>
        <v>628</v>
      </c>
    </row>
    <row r="171" spans="1:4" hidden="1" x14ac:dyDescent="0.35">
      <c r="A171" s="1">
        <v>629</v>
      </c>
      <c r="B171" s="2">
        <v>46164</v>
      </c>
      <c r="C171" s="1" t="s">
        <v>55</v>
      </c>
      <c r="D171" s="1">
        <f>IFERROR(VLOOKUP(DEG_REDE[[#This Row],[ID]],DEG_ACUM!A:A,1,0),"NOVO")</f>
        <v>629</v>
      </c>
    </row>
    <row r="172" spans="1:4" hidden="1" x14ac:dyDescent="0.35">
      <c r="A172" s="1">
        <v>630</v>
      </c>
      <c r="B172" s="2">
        <v>46164</v>
      </c>
      <c r="C172" s="1" t="s">
        <v>55</v>
      </c>
      <c r="D172" s="1">
        <f>IFERROR(VLOOKUP(DEG_REDE[[#This Row],[ID]],DEG_ACUM!A:A,1,0),"NOVO")</f>
        <v>630</v>
      </c>
    </row>
    <row r="173" spans="1:4" hidden="1" x14ac:dyDescent="0.35">
      <c r="A173" s="1">
        <v>655</v>
      </c>
      <c r="B173" s="2">
        <v>46167</v>
      </c>
      <c r="C173" s="1" t="s">
        <v>57</v>
      </c>
      <c r="D173" s="1">
        <f>IFERROR(VLOOKUP(DEG_REDE[[#This Row],[ID]],DEG_ACUM!A:A,1,0),"NOVO")</f>
        <v>655</v>
      </c>
    </row>
    <row r="174" spans="1:4" hidden="1" x14ac:dyDescent="0.35">
      <c r="A174" s="1">
        <v>656</v>
      </c>
      <c r="B174" s="2">
        <v>46167</v>
      </c>
      <c r="C174" s="1" t="s">
        <v>57</v>
      </c>
      <c r="D174" s="1">
        <f>IFERROR(VLOOKUP(DEG_REDE[[#This Row],[ID]],DEG_ACUM!A:A,1,0),"NOVO")</f>
        <v>656</v>
      </c>
    </row>
    <row r="175" spans="1:4" hidden="1" x14ac:dyDescent="0.35">
      <c r="A175" s="1">
        <v>657</v>
      </c>
      <c r="B175" s="2">
        <v>46167</v>
      </c>
      <c r="C175" s="1" t="s">
        <v>57</v>
      </c>
      <c r="D175" s="1">
        <f>IFERROR(VLOOKUP(DEG_REDE[[#This Row],[ID]],DEG_ACUM!A:A,1,0),"NOVO")</f>
        <v>657</v>
      </c>
    </row>
    <row r="176" spans="1:4" hidden="1" x14ac:dyDescent="0.35">
      <c r="A176" s="1">
        <v>658</v>
      </c>
      <c r="B176" s="2">
        <v>46167</v>
      </c>
      <c r="C176" s="1" t="s">
        <v>52</v>
      </c>
      <c r="D176" s="1">
        <f>IFERROR(VLOOKUP(DEG_REDE[[#This Row],[ID]],DEG_ACUM!A:A,1,0),"NOVO")</f>
        <v>658</v>
      </c>
    </row>
    <row r="177" spans="1:4" hidden="1" x14ac:dyDescent="0.35">
      <c r="A177" s="1">
        <v>659</v>
      </c>
      <c r="B177" s="2">
        <v>46167</v>
      </c>
      <c r="C177" s="1" t="s">
        <v>52</v>
      </c>
      <c r="D177" s="1">
        <f>IFERROR(VLOOKUP(DEG_REDE[[#This Row],[ID]],DEG_ACUM!A:A,1,0),"NOVO")</f>
        <v>659</v>
      </c>
    </row>
    <row r="178" spans="1:4" hidden="1" x14ac:dyDescent="0.35">
      <c r="A178" s="1">
        <v>660</v>
      </c>
      <c r="B178" s="2">
        <v>46167</v>
      </c>
      <c r="C178" s="1" t="s">
        <v>52</v>
      </c>
      <c r="D178" s="1">
        <f>IFERROR(VLOOKUP(DEG_REDE[[#This Row],[ID]],DEG_ACUM!A:A,1,0),"NOVO")</f>
        <v>660</v>
      </c>
    </row>
    <row r="179" spans="1:4" hidden="1" x14ac:dyDescent="0.35">
      <c r="A179" s="1">
        <v>661</v>
      </c>
      <c r="B179" s="2">
        <v>46168</v>
      </c>
      <c r="C179" s="1" t="s">
        <v>55</v>
      </c>
      <c r="D179" s="1">
        <f>IFERROR(VLOOKUP(DEG_REDE[[#This Row],[ID]],DEG_ACUM!A:A,1,0),"NOVO")</f>
        <v>661</v>
      </c>
    </row>
    <row r="180" spans="1:4" hidden="1" x14ac:dyDescent="0.35">
      <c r="A180" s="1">
        <v>681</v>
      </c>
      <c r="B180" s="2">
        <v>46168</v>
      </c>
      <c r="C180" s="1" t="s">
        <v>57</v>
      </c>
      <c r="D180" s="1">
        <f>IFERROR(VLOOKUP(DEG_REDE[[#This Row],[ID]],DEG_ACUM!A:A,1,0),"NOVO")</f>
        <v>681</v>
      </c>
    </row>
    <row r="181" spans="1:4" hidden="1" x14ac:dyDescent="0.35">
      <c r="A181" s="1">
        <v>682</v>
      </c>
      <c r="B181" s="2">
        <v>46168</v>
      </c>
      <c r="C181" s="1" t="s">
        <v>57</v>
      </c>
      <c r="D181" s="1">
        <f>IFERROR(VLOOKUP(DEG_REDE[[#This Row],[ID]],DEG_ACUM!A:A,1,0),"NOVO")</f>
        <v>682</v>
      </c>
    </row>
    <row r="182" spans="1:4" hidden="1" x14ac:dyDescent="0.35">
      <c r="A182" s="1">
        <v>683</v>
      </c>
      <c r="B182" s="2">
        <v>46168</v>
      </c>
      <c r="C182" s="1" t="s">
        <v>57</v>
      </c>
      <c r="D182" s="1">
        <f>IFERROR(VLOOKUP(DEG_REDE[[#This Row],[ID]],DEG_ACUM!A:A,1,0),"NOVO")</f>
        <v>683</v>
      </c>
    </row>
    <row r="183" spans="1:4" hidden="1" x14ac:dyDescent="0.35">
      <c r="A183" s="1">
        <v>684</v>
      </c>
      <c r="B183" s="2">
        <v>46168</v>
      </c>
      <c r="C183" s="1" t="s">
        <v>57</v>
      </c>
      <c r="D183" s="1">
        <f>IFERROR(VLOOKUP(DEG_REDE[[#This Row],[ID]],DEG_ACUM!A:A,1,0),"NOVO")</f>
        <v>684</v>
      </c>
    </row>
    <row r="184" spans="1:4" hidden="1" x14ac:dyDescent="0.35">
      <c r="A184" s="1">
        <v>685</v>
      </c>
      <c r="B184" s="2">
        <v>46168</v>
      </c>
      <c r="C184" s="1" t="s">
        <v>57</v>
      </c>
      <c r="D184" s="1">
        <f>IFERROR(VLOOKUP(DEG_REDE[[#This Row],[ID]],DEG_ACUM!A:A,1,0),"NOVO")</f>
        <v>685</v>
      </c>
    </row>
    <row r="185" spans="1:4" hidden="1" x14ac:dyDescent="0.35">
      <c r="A185" s="1">
        <v>703</v>
      </c>
      <c r="B185" s="2">
        <v>46169</v>
      </c>
      <c r="C185" s="1" t="s">
        <v>59</v>
      </c>
      <c r="D185" s="1">
        <f>IFERROR(VLOOKUP(DEG_REDE[[#This Row],[ID]],DEG_ACUM!A:A,1,0),"NOVO")</f>
        <v>703</v>
      </c>
    </row>
    <row r="186" spans="1:4" hidden="1" x14ac:dyDescent="0.35">
      <c r="A186" s="1">
        <v>704</v>
      </c>
      <c r="B186" s="2">
        <v>46169</v>
      </c>
      <c r="C186" s="1" t="s">
        <v>52</v>
      </c>
      <c r="D186" s="1">
        <f>IFERROR(VLOOKUP(DEG_REDE[[#This Row],[ID]],DEG_ACUM!A:A,1,0),"NOVO")</f>
        <v>704</v>
      </c>
    </row>
    <row r="187" spans="1:4" hidden="1" x14ac:dyDescent="0.35">
      <c r="A187" s="1">
        <v>705</v>
      </c>
      <c r="B187" s="2">
        <v>46169</v>
      </c>
      <c r="C187" s="1" t="s">
        <v>52</v>
      </c>
      <c r="D187" s="1">
        <f>IFERROR(VLOOKUP(DEG_REDE[[#This Row],[ID]],DEG_ACUM!A:A,1,0),"NOVO")</f>
        <v>705</v>
      </c>
    </row>
    <row r="188" spans="1:4" hidden="1" x14ac:dyDescent="0.35">
      <c r="A188" s="1">
        <v>706</v>
      </c>
      <c r="B188" s="2">
        <v>46169</v>
      </c>
      <c r="C188" s="1" t="s">
        <v>52</v>
      </c>
      <c r="D188" s="1">
        <f>IFERROR(VLOOKUP(DEG_REDE[[#This Row],[ID]],DEG_ACUM!A:A,1,0),"NOVO")</f>
        <v>706</v>
      </c>
    </row>
    <row r="189" spans="1:4" hidden="1" x14ac:dyDescent="0.35">
      <c r="A189" s="1">
        <v>723</v>
      </c>
      <c r="B189" s="2">
        <v>46169</v>
      </c>
      <c r="C189" s="1" t="s">
        <v>57</v>
      </c>
      <c r="D189" s="1">
        <f>IFERROR(VLOOKUP(DEG_REDE[[#This Row],[ID]],DEG_ACUM!A:A,1,0),"NOVO")</f>
        <v>723</v>
      </c>
    </row>
    <row r="190" spans="1:4" hidden="1" x14ac:dyDescent="0.35">
      <c r="A190" s="1">
        <v>724</v>
      </c>
      <c r="B190" s="2">
        <v>46169</v>
      </c>
      <c r="C190" s="1" t="s">
        <v>57</v>
      </c>
      <c r="D190" s="1">
        <f>IFERROR(VLOOKUP(DEG_REDE[[#This Row],[ID]],DEG_ACUM!A:A,1,0),"NOVO")</f>
        <v>724</v>
      </c>
    </row>
    <row r="191" spans="1:4" hidden="1" x14ac:dyDescent="0.35">
      <c r="A191" s="1">
        <v>725</v>
      </c>
      <c r="B191" s="2">
        <v>46169</v>
      </c>
      <c r="C191" s="1" t="s">
        <v>57</v>
      </c>
      <c r="D191" s="1">
        <f>IFERROR(VLOOKUP(DEG_REDE[[#This Row],[ID]],DEG_ACUM!A:A,1,0),"NOVO")</f>
        <v>725</v>
      </c>
    </row>
    <row r="192" spans="1:4" hidden="1" x14ac:dyDescent="0.35">
      <c r="A192" s="1">
        <v>726</v>
      </c>
      <c r="B192" s="2">
        <v>46170</v>
      </c>
      <c r="C192" s="1" t="s">
        <v>55</v>
      </c>
      <c r="D192" s="1">
        <f>IFERROR(VLOOKUP(DEG_REDE[[#This Row],[ID]],DEG_ACUM!A:A,1,0),"NOVO")</f>
        <v>726</v>
      </c>
    </row>
    <row r="193" spans="1:4" hidden="1" x14ac:dyDescent="0.35">
      <c r="A193" s="1">
        <v>733</v>
      </c>
      <c r="B193" s="2">
        <v>46170</v>
      </c>
      <c r="C193" s="1" t="s">
        <v>58</v>
      </c>
      <c r="D193" s="1">
        <f>IFERROR(VLOOKUP(DEG_REDE[[#This Row],[ID]],DEG_ACUM!A:A,1,0),"NOVO")</f>
        <v>733</v>
      </c>
    </row>
    <row r="194" spans="1:4" hidden="1" x14ac:dyDescent="0.35">
      <c r="A194" s="1">
        <v>763</v>
      </c>
      <c r="B194" s="2">
        <v>46170</v>
      </c>
      <c r="C194" s="1" t="s">
        <v>52</v>
      </c>
      <c r="D194" s="1">
        <f>IFERROR(VLOOKUP(DEG_REDE[[#This Row],[ID]],DEG_ACUM!A:A,1,0),"NOVO")</f>
        <v>763</v>
      </c>
    </row>
    <row r="195" spans="1:4" hidden="1" x14ac:dyDescent="0.35">
      <c r="A195" s="1">
        <v>784</v>
      </c>
      <c r="B195" s="2">
        <v>46171</v>
      </c>
      <c r="C195" s="1" t="s">
        <v>51</v>
      </c>
      <c r="D195" s="1">
        <f>IFERROR(VLOOKUP(DEG_REDE[[#This Row],[ID]],DEG_ACUM!A:A,1,0),"NOVO")</f>
        <v>784</v>
      </c>
    </row>
    <row r="196" spans="1:4" hidden="1" x14ac:dyDescent="0.35">
      <c r="A196" s="1">
        <v>788</v>
      </c>
      <c r="B196" s="2">
        <v>46171</v>
      </c>
      <c r="C196" s="1" t="s">
        <v>58</v>
      </c>
      <c r="D196" s="1">
        <f>IFERROR(VLOOKUP(DEG_REDE[[#This Row],[ID]],DEG_ACUM!A:A,1,0),"NOVO")</f>
        <v>788</v>
      </c>
    </row>
    <row r="197" spans="1:4" hidden="1" x14ac:dyDescent="0.35">
      <c r="A197" s="1">
        <v>803</v>
      </c>
      <c r="B197" s="2">
        <v>46171</v>
      </c>
      <c r="C197" s="1" t="s">
        <v>52</v>
      </c>
      <c r="D197" s="1">
        <f>IFERROR(VLOOKUP(DEG_REDE[[#This Row],[ID]],DEG_ACUM!A:A,1,0),"NOVO")</f>
        <v>803</v>
      </c>
    </row>
    <row r="198" spans="1:4" hidden="1" x14ac:dyDescent="0.35">
      <c r="A198" s="1">
        <v>804</v>
      </c>
      <c r="B198" s="2">
        <v>46171</v>
      </c>
      <c r="C198" s="1" t="s">
        <v>52</v>
      </c>
      <c r="D198" s="1">
        <f>IFERROR(VLOOKUP(DEG_REDE[[#This Row],[ID]],DEG_ACUM!A:A,1,0),"NOVO")</f>
        <v>804</v>
      </c>
    </row>
    <row r="199" spans="1:4" hidden="1" x14ac:dyDescent="0.35">
      <c r="A199" s="1">
        <v>805</v>
      </c>
      <c r="B199" s="2">
        <v>46171</v>
      </c>
      <c r="C199" s="1" t="s">
        <v>52</v>
      </c>
      <c r="D199" s="1">
        <f>IFERROR(VLOOKUP(DEG_REDE[[#This Row],[ID]],DEG_ACUM!A:A,1,0),"NOVO")</f>
        <v>805</v>
      </c>
    </row>
    <row r="200" spans="1:4" hidden="1" x14ac:dyDescent="0.35">
      <c r="A200" s="1">
        <v>806</v>
      </c>
      <c r="B200" s="2">
        <v>46171</v>
      </c>
      <c r="C200" s="1" t="s">
        <v>52</v>
      </c>
      <c r="D200" s="1">
        <f>IFERROR(VLOOKUP(DEG_REDE[[#This Row],[ID]],DEG_ACUM!A:A,1,0),"NOVO")</f>
        <v>806</v>
      </c>
    </row>
    <row r="201" spans="1:4" hidden="1" x14ac:dyDescent="0.35">
      <c r="A201" s="1">
        <v>807</v>
      </c>
      <c r="B201" s="2">
        <v>46171</v>
      </c>
      <c r="C201" s="1" t="s">
        <v>52</v>
      </c>
      <c r="D201" s="1">
        <f>IFERROR(VLOOKUP(DEG_REDE[[#This Row],[ID]],DEG_ACUM!A:A,1,0),"NOVO")</f>
        <v>807</v>
      </c>
    </row>
    <row r="202" spans="1:4" hidden="1" x14ac:dyDescent="0.35">
      <c r="A202" s="1">
        <v>808</v>
      </c>
      <c r="B202" s="2">
        <v>46171</v>
      </c>
      <c r="C202" s="1" t="s">
        <v>52</v>
      </c>
      <c r="D202" s="1">
        <f>IFERROR(VLOOKUP(DEG_REDE[[#This Row],[ID]],DEG_ACUM!A:A,1,0),"NOVO")</f>
        <v>808</v>
      </c>
    </row>
    <row r="203" spans="1:4" hidden="1" x14ac:dyDescent="0.35">
      <c r="A203" s="1">
        <v>809</v>
      </c>
      <c r="B203" s="2">
        <v>46171</v>
      </c>
      <c r="C203" s="1" t="s">
        <v>52</v>
      </c>
      <c r="D203" s="1">
        <f>IFERROR(VLOOKUP(DEG_REDE[[#This Row],[ID]],DEG_ACUM!A:A,1,0),"NOVO")</f>
        <v>809</v>
      </c>
    </row>
    <row r="204" spans="1:4" hidden="1" x14ac:dyDescent="0.35">
      <c r="A204" s="1">
        <v>810</v>
      </c>
      <c r="B204" s="2">
        <v>46171</v>
      </c>
      <c r="C204" s="1" t="s">
        <v>52</v>
      </c>
      <c r="D204" s="1">
        <f>IFERROR(VLOOKUP(DEG_REDE[[#This Row],[ID]],DEG_ACUM!A:A,1,0),"NOVO")</f>
        <v>810</v>
      </c>
    </row>
    <row r="205" spans="1:4" hidden="1" x14ac:dyDescent="0.35">
      <c r="A205" s="1">
        <v>811</v>
      </c>
      <c r="B205" s="2">
        <v>46171</v>
      </c>
      <c r="C205" s="1" t="s">
        <v>52</v>
      </c>
      <c r="D205" s="1">
        <f>IFERROR(VLOOKUP(DEG_REDE[[#This Row],[ID]],DEG_ACUM!A:A,1,0),"NOVO")</f>
        <v>811</v>
      </c>
    </row>
    <row r="206" spans="1:4" hidden="1" x14ac:dyDescent="0.35">
      <c r="A206" s="1">
        <v>812</v>
      </c>
      <c r="B206" s="2">
        <v>46171</v>
      </c>
      <c r="C206" s="1" t="s">
        <v>52</v>
      </c>
      <c r="D206" s="1">
        <f>IFERROR(VLOOKUP(DEG_REDE[[#This Row],[ID]],DEG_ACUM!A:A,1,0),"NOVO")</f>
        <v>812</v>
      </c>
    </row>
    <row r="207" spans="1:4" hidden="1" x14ac:dyDescent="0.35">
      <c r="A207" s="1">
        <v>816</v>
      </c>
      <c r="B207" s="2">
        <v>46174</v>
      </c>
      <c r="C207" s="1" t="s">
        <v>55</v>
      </c>
      <c r="D207" s="1">
        <f>IFERROR(VLOOKUP(DEG_REDE[[#This Row],[ID]],DEG_ACUM!A:A,1,0),"NOVO")</f>
        <v>816</v>
      </c>
    </row>
    <row r="208" spans="1:4" hidden="1" x14ac:dyDescent="0.35">
      <c r="A208" s="1">
        <v>817</v>
      </c>
      <c r="B208" s="2">
        <v>46174</v>
      </c>
      <c r="C208" s="1" t="s">
        <v>58</v>
      </c>
      <c r="D208" s="1">
        <f>IFERROR(VLOOKUP(DEG_REDE[[#This Row],[ID]],DEG_ACUM!A:A,1,0),"NOVO")</f>
        <v>817</v>
      </c>
    </row>
    <row r="209" spans="1:4" hidden="1" x14ac:dyDescent="0.35">
      <c r="A209" s="1">
        <v>819</v>
      </c>
      <c r="B209" s="2">
        <v>46174</v>
      </c>
      <c r="C209" s="1" t="s">
        <v>60</v>
      </c>
      <c r="D209" s="1">
        <f>IFERROR(VLOOKUP(DEG_REDE[[#This Row],[ID]],DEG_ACUM!A:A,1,0),"NOVO")</f>
        <v>819</v>
      </c>
    </row>
    <row r="210" spans="1:4" hidden="1" x14ac:dyDescent="0.35">
      <c r="A210" s="1">
        <v>820</v>
      </c>
      <c r="B210" s="2">
        <v>46174</v>
      </c>
      <c r="C210" s="1" t="s">
        <v>60</v>
      </c>
      <c r="D210" s="1">
        <f>IFERROR(VLOOKUP(DEG_REDE[[#This Row],[ID]],DEG_ACUM!A:A,1,0),"NOVO")</f>
        <v>820</v>
      </c>
    </row>
    <row r="211" spans="1:4" hidden="1" x14ac:dyDescent="0.35">
      <c r="A211" s="1">
        <v>821</v>
      </c>
      <c r="B211" s="2">
        <v>46174</v>
      </c>
      <c r="C211" s="1" t="s">
        <v>60</v>
      </c>
      <c r="D211" s="1">
        <f>IFERROR(VLOOKUP(DEG_REDE[[#This Row],[ID]],DEG_ACUM!A:A,1,0),"NOVO")</f>
        <v>821</v>
      </c>
    </row>
    <row r="212" spans="1:4" hidden="1" x14ac:dyDescent="0.35">
      <c r="A212" s="1">
        <v>822</v>
      </c>
      <c r="B212" s="2">
        <v>46174</v>
      </c>
      <c r="C212" s="1" t="s">
        <v>60</v>
      </c>
      <c r="D212" s="1">
        <f>IFERROR(VLOOKUP(DEG_REDE[[#This Row],[ID]],DEG_ACUM!A:A,1,0),"NOVO")</f>
        <v>822</v>
      </c>
    </row>
    <row r="213" spans="1:4" hidden="1" x14ac:dyDescent="0.35">
      <c r="A213" s="1">
        <v>824</v>
      </c>
      <c r="B213" s="2">
        <v>46174</v>
      </c>
      <c r="C213" s="1" t="s">
        <v>52</v>
      </c>
      <c r="D213" s="1">
        <f>IFERROR(VLOOKUP(DEG_REDE[[#This Row],[ID]],DEG_ACUM!A:A,1,0),"NOVO")</f>
        <v>824</v>
      </c>
    </row>
    <row r="214" spans="1:4" hidden="1" x14ac:dyDescent="0.35">
      <c r="A214" s="1">
        <v>825</v>
      </c>
      <c r="B214" s="2">
        <v>46174</v>
      </c>
      <c r="C214" s="1" t="s">
        <v>52</v>
      </c>
      <c r="D214" s="1">
        <f>IFERROR(VLOOKUP(DEG_REDE[[#This Row],[ID]],DEG_ACUM!A:A,1,0),"NOVO")</f>
        <v>825</v>
      </c>
    </row>
    <row r="215" spans="1:4" hidden="1" x14ac:dyDescent="0.35">
      <c r="A215" s="1">
        <v>826</v>
      </c>
      <c r="B215" s="2">
        <v>46174</v>
      </c>
      <c r="C215" s="1" t="s">
        <v>52</v>
      </c>
      <c r="D215" s="1">
        <f>IFERROR(VLOOKUP(DEG_REDE[[#This Row],[ID]],DEG_ACUM!A:A,1,0),"NOVO")</f>
        <v>826</v>
      </c>
    </row>
    <row r="216" spans="1:4" hidden="1" x14ac:dyDescent="0.35">
      <c r="A216" s="1">
        <v>828</v>
      </c>
      <c r="B216" s="2">
        <v>46174</v>
      </c>
      <c r="C216" s="1" t="s">
        <v>52</v>
      </c>
      <c r="D216" s="1">
        <f>IFERROR(VLOOKUP(DEG_REDE[[#This Row],[ID]],DEG_ACUM!A:A,1,0),"NOVO")</f>
        <v>828</v>
      </c>
    </row>
    <row r="217" spans="1:4" hidden="1" x14ac:dyDescent="0.35">
      <c r="A217" s="1">
        <v>829</v>
      </c>
      <c r="B217" s="2">
        <v>46174</v>
      </c>
      <c r="C217" s="1" t="s">
        <v>52</v>
      </c>
      <c r="D217" s="1">
        <f>IFERROR(VLOOKUP(DEG_REDE[[#This Row],[ID]],DEG_ACUM!A:A,1,0),"NOVO")</f>
        <v>829</v>
      </c>
    </row>
    <row r="218" spans="1:4" hidden="1" x14ac:dyDescent="0.35">
      <c r="A218" s="1">
        <v>855</v>
      </c>
      <c r="B218" s="2">
        <v>46175</v>
      </c>
      <c r="C218" s="1" t="s">
        <v>60</v>
      </c>
      <c r="D218" s="1">
        <f>IFERROR(VLOOKUP(DEG_REDE[[#This Row],[ID]],DEG_ACUM!A:A,1,0),"NOVO")</f>
        <v>855</v>
      </c>
    </row>
    <row r="219" spans="1:4" hidden="1" x14ac:dyDescent="0.35">
      <c r="A219" s="1">
        <v>867</v>
      </c>
      <c r="B219" s="2">
        <v>46175</v>
      </c>
      <c r="C219" s="1" t="s">
        <v>52</v>
      </c>
      <c r="D219" s="1">
        <f>IFERROR(VLOOKUP(DEG_REDE[[#This Row],[ID]],DEG_ACUM!A:A,1,0),"NOVO")</f>
        <v>867</v>
      </c>
    </row>
    <row r="220" spans="1:4" hidden="1" x14ac:dyDescent="0.35">
      <c r="A220" s="1">
        <v>868</v>
      </c>
      <c r="B220" s="2">
        <v>46175</v>
      </c>
      <c r="C220" s="1" t="s">
        <v>52</v>
      </c>
      <c r="D220" s="1">
        <f>IFERROR(VLOOKUP(DEG_REDE[[#This Row],[ID]],DEG_ACUM!A:A,1,0),"NOVO")</f>
        <v>868</v>
      </c>
    </row>
    <row r="221" spans="1:4" hidden="1" x14ac:dyDescent="0.35">
      <c r="A221" s="1">
        <v>869</v>
      </c>
      <c r="B221" s="2">
        <v>46175</v>
      </c>
      <c r="C221" s="1" t="s">
        <v>52</v>
      </c>
      <c r="D221" s="1">
        <f>IFERROR(VLOOKUP(DEG_REDE[[#This Row],[ID]],DEG_ACUM!A:A,1,0),"NOVO")</f>
        <v>869</v>
      </c>
    </row>
    <row r="222" spans="1:4" hidden="1" x14ac:dyDescent="0.35">
      <c r="A222" s="1">
        <v>870</v>
      </c>
      <c r="B222" s="2">
        <v>46175</v>
      </c>
      <c r="C222" s="1" t="s">
        <v>52</v>
      </c>
      <c r="D222" s="1">
        <f>IFERROR(VLOOKUP(DEG_REDE[[#This Row],[ID]],DEG_ACUM!A:A,1,0),"NOVO")</f>
        <v>870</v>
      </c>
    </row>
    <row r="223" spans="1:4" hidden="1" x14ac:dyDescent="0.35">
      <c r="A223" s="1">
        <v>871</v>
      </c>
      <c r="B223" s="2">
        <v>46175</v>
      </c>
      <c r="C223" s="1" t="s">
        <v>52</v>
      </c>
      <c r="D223" s="1">
        <f>IFERROR(VLOOKUP(DEG_REDE[[#This Row],[ID]],DEG_ACUM!A:A,1,0),"NOVO")</f>
        <v>871</v>
      </c>
    </row>
    <row r="224" spans="1:4" hidden="1" x14ac:dyDescent="0.35">
      <c r="A224" s="1">
        <v>873</v>
      </c>
      <c r="B224" s="2">
        <v>46175</v>
      </c>
      <c r="C224" s="1" t="s">
        <v>52</v>
      </c>
      <c r="D224" s="1">
        <f>IFERROR(VLOOKUP(DEG_REDE[[#This Row],[ID]],DEG_ACUM!A:A,1,0),"NOVO")</f>
        <v>873</v>
      </c>
    </row>
    <row r="225" spans="1:4" hidden="1" x14ac:dyDescent="0.35">
      <c r="A225" s="1">
        <v>880</v>
      </c>
      <c r="B225" s="2">
        <v>46175</v>
      </c>
      <c r="C225" s="1" t="s">
        <v>57</v>
      </c>
      <c r="D225" s="1">
        <f>IFERROR(VLOOKUP(DEG_REDE[[#This Row],[ID]],DEG_ACUM!A:A,1,0),"NOVO")</f>
        <v>880</v>
      </c>
    </row>
    <row r="226" spans="1:4" hidden="1" x14ac:dyDescent="0.35">
      <c r="A226" s="1">
        <v>883</v>
      </c>
      <c r="B226" s="2">
        <v>46175</v>
      </c>
      <c r="C226" s="1" t="s">
        <v>57</v>
      </c>
      <c r="D226" s="1">
        <f>IFERROR(VLOOKUP(DEG_REDE[[#This Row],[ID]],DEG_ACUM!A:A,1,0),"NOVO")</f>
        <v>883</v>
      </c>
    </row>
    <row r="227" spans="1:4" hidden="1" x14ac:dyDescent="0.35">
      <c r="A227" s="1">
        <v>884</v>
      </c>
      <c r="B227" s="2">
        <v>46175</v>
      </c>
      <c r="C227" s="1" t="s">
        <v>57</v>
      </c>
      <c r="D227" s="1">
        <f>IFERROR(VLOOKUP(DEG_REDE[[#This Row],[ID]],DEG_ACUM!A:A,1,0),"NOVO")</f>
        <v>884</v>
      </c>
    </row>
    <row r="228" spans="1:4" hidden="1" x14ac:dyDescent="0.35">
      <c r="A228" s="1">
        <v>885</v>
      </c>
      <c r="B228" s="2">
        <v>46175</v>
      </c>
      <c r="C228" s="1" t="s">
        <v>57</v>
      </c>
      <c r="D228" s="1">
        <f>IFERROR(VLOOKUP(DEG_REDE[[#This Row],[ID]],DEG_ACUM!A:A,1,0),"NOVO")</f>
        <v>885</v>
      </c>
    </row>
    <row r="229" spans="1:4" hidden="1" x14ac:dyDescent="0.35">
      <c r="A229" s="1">
        <v>887</v>
      </c>
      <c r="B229" s="2">
        <v>46175</v>
      </c>
      <c r="C229" s="1" t="s">
        <v>57</v>
      </c>
      <c r="D229" s="1">
        <f>IFERROR(VLOOKUP(DEG_REDE[[#This Row],[ID]],DEG_ACUM!A:A,1,0),"NOVO")</f>
        <v>887</v>
      </c>
    </row>
    <row r="230" spans="1:4" hidden="1" x14ac:dyDescent="0.35">
      <c r="A230" s="1">
        <v>889</v>
      </c>
      <c r="B230" s="2">
        <v>46175</v>
      </c>
      <c r="C230" s="1" t="s">
        <v>60</v>
      </c>
      <c r="D230" s="1">
        <f>IFERROR(VLOOKUP(DEG_REDE[[#This Row],[ID]],DEG_ACUM!A:A,1,0),"NOVO")</f>
        <v>889</v>
      </c>
    </row>
    <row r="231" spans="1:4" hidden="1" x14ac:dyDescent="0.35">
      <c r="A231" s="1">
        <v>890</v>
      </c>
      <c r="B231" s="2">
        <v>46175</v>
      </c>
      <c r="C231" s="1" t="s">
        <v>60</v>
      </c>
      <c r="D231" s="1">
        <f>IFERROR(VLOOKUP(DEG_REDE[[#This Row],[ID]],DEG_ACUM!A:A,1,0),"NOVO")</f>
        <v>890</v>
      </c>
    </row>
    <row r="232" spans="1:4" hidden="1" x14ac:dyDescent="0.35">
      <c r="A232" s="1">
        <v>891</v>
      </c>
      <c r="B232" s="2">
        <v>46175</v>
      </c>
      <c r="C232" s="1" t="s">
        <v>60</v>
      </c>
      <c r="D232" s="1">
        <f>IFERROR(VLOOKUP(DEG_REDE[[#This Row],[ID]],DEG_ACUM!A:A,1,0),"NOVO")</f>
        <v>891</v>
      </c>
    </row>
    <row r="233" spans="1:4" hidden="1" x14ac:dyDescent="0.35">
      <c r="A233" s="1">
        <v>892</v>
      </c>
      <c r="B233" s="2">
        <v>46175</v>
      </c>
      <c r="C233" s="1" t="s">
        <v>60</v>
      </c>
      <c r="D233" s="1">
        <f>IFERROR(VLOOKUP(DEG_REDE[[#This Row],[ID]],DEG_ACUM!A:A,1,0),"NOVO")</f>
        <v>892</v>
      </c>
    </row>
    <row r="234" spans="1:4" hidden="1" x14ac:dyDescent="0.35">
      <c r="A234" s="1">
        <v>906</v>
      </c>
      <c r="B234" s="2">
        <v>46176</v>
      </c>
      <c r="C234" s="1" t="s">
        <v>55</v>
      </c>
      <c r="D234" s="1">
        <f>IFERROR(VLOOKUP(DEG_REDE[[#This Row],[ID]],DEG_ACUM!A:A,1,0),"NOVO")</f>
        <v>906</v>
      </c>
    </row>
    <row r="235" spans="1:4" hidden="1" x14ac:dyDescent="0.35">
      <c r="A235" s="1">
        <v>907</v>
      </c>
      <c r="B235" s="2">
        <v>46176</v>
      </c>
      <c r="C235" s="1" t="s">
        <v>55</v>
      </c>
      <c r="D235" s="1">
        <f>IFERROR(VLOOKUP(DEG_REDE[[#This Row],[ID]],DEG_ACUM!A:A,1,0),"NOVO")</f>
        <v>907</v>
      </c>
    </row>
    <row r="236" spans="1:4" hidden="1" x14ac:dyDescent="0.35">
      <c r="A236" s="1">
        <v>908</v>
      </c>
      <c r="B236" s="2">
        <v>46176</v>
      </c>
      <c r="C236" s="1" t="s">
        <v>55</v>
      </c>
      <c r="D236" s="1">
        <f>IFERROR(VLOOKUP(DEG_REDE[[#This Row],[ID]],DEG_ACUM!A:A,1,0),"NOVO")</f>
        <v>908</v>
      </c>
    </row>
    <row r="237" spans="1:4" hidden="1" x14ac:dyDescent="0.35">
      <c r="A237" s="1">
        <v>909</v>
      </c>
      <c r="B237" s="2">
        <v>46176</v>
      </c>
      <c r="C237" s="1" t="s">
        <v>52</v>
      </c>
      <c r="D237" s="1">
        <f>IFERROR(VLOOKUP(DEG_REDE[[#This Row],[ID]],DEG_ACUM!A:A,1,0),"NOVO")</f>
        <v>909</v>
      </c>
    </row>
    <row r="238" spans="1:4" hidden="1" x14ac:dyDescent="0.35">
      <c r="A238" s="1">
        <v>910</v>
      </c>
      <c r="B238" s="2">
        <v>46178</v>
      </c>
      <c r="C238" s="1" t="s">
        <v>52</v>
      </c>
      <c r="D238" s="1">
        <f>IFERROR(VLOOKUP(DEG_REDE[[#This Row],[ID]],DEG_ACUM!A:A,1,0),"NOVO")</f>
        <v>910</v>
      </c>
    </row>
    <row r="239" spans="1:4" hidden="1" x14ac:dyDescent="0.35">
      <c r="A239" s="1">
        <v>915</v>
      </c>
      <c r="B239" s="2">
        <v>46178</v>
      </c>
      <c r="C239" s="1" t="s">
        <v>52</v>
      </c>
      <c r="D239" s="1">
        <f>IFERROR(VLOOKUP(DEG_REDE[[#This Row],[ID]],DEG_ACUM!A:A,1,0),"NOVO")</f>
        <v>915</v>
      </c>
    </row>
    <row r="240" spans="1:4" hidden="1" x14ac:dyDescent="0.35">
      <c r="A240" s="1">
        <v>916</v>
      </c>
      <c r="B240" s="2">
        <v>46178</v>
      </c>
      <c r="C240" s="1" t="s">
        <v>52</v>
      </c>
      <c r="D240" s="1">
        <f>IFERROR(VLOOKUP(DEG_REDE[[#This Row],[ID]],DEG_ACUM!A:A,1,0),"NOVO")</f>
        <v>916</v>
      </c>
    </row>
    <row r="241" spans="1:4" hidden="1" x14ac:dyDescent="0.35">
      <c r="A241" s="1">
        <v>917</v>
      </c>
      <c r="B241" s="2">
        <v>46178</v>
      </c>
      <c r="C241" s="1" t="s">
        <v>52</v>
      </c>
      <c r="D241" s="1">
        <f>IFERROR(VLOOKUP(DEG_REDE[[#This Row],[ID]],DEG_ACUM!A:A,1,0),"NOVO")</f>
        <v>917</v>
      </c>
    </row>
    <row r="242" spans="1:4" hidden="1" x14ac:dyDescent="0.35">
      <c r="A242" s="1">
        <v>918</v>
      </c>
      <c r="B242" s="2">
        <v>46178</v>
      </c>
      <c r="C242" s="1" t="s">
        <v>52</v>
      </c>
      <c r="D242" s="1">
        <f>IFERROR(VLOOKUP(DEG_REDE[[#This Row],[ID]],DEG_ACUM!A:A,1,0),"NOVO")</f>
        <v>918</v>
      </c>
    </row>
    <row r="243" spans="1:4" hidden="1" x14ac:dyDescent="0.35">
      <c r="A243" s="1">
        <v>919</v>
      </c>
      <c r="B243" s="2">
        <v>46178</v>
      </c>
      <c r="C243" s="1" t="s">
        <v>52</v>
      </c>
      <c r="D243" s="1">
        <f>IFERROR(VLOOKUP(DEG_REDE[[#This Row],[ID]],DEG_ACUM!A:A,1,0),"NOVO")</f>
        <v>919</v>
      </c>
    </row>
    <row r="244" spans="1:4" hidden="1" x14ac:dyDescent="0.35">
      <c r="A244" s="1">
        <v>920</v>
      </c>
      <c r="B244" s="2">
        <v>46178</v>
      </c>
      <c r="C244" s="1" t="s">
        <v>52</v>
      </c>
      <c r="D244" s="1">
        <f>IFERROR(VLOOKUP(DEG_REDE[[#This Row],[ID]],DEG_ACUM!A:A,1,0),"NOVO")</f>
        <v>920</v>
      </c>
    </row>
    <row r="245" spans="1:4" hidden="1" x14ac:dyDescent="0.35">
      <c r="A245" s="1">
        <v>922</v>
      </c>
      <c r="B245" s="2">
        <v>46178</v>
      </c>
      <c r="C245" s="1" t="s">
        <v>52</v>
      </c>
      <c r="D245" s="1">
        <f>IFERROR(VLOOKUP(DEG_REDE[[#This Row],[ID]],DEG_ACUM!A:A,1,0),"NOVO")</f>
        <v>922</v>
      </c>
    </row>
    <row r="246" spans="1:4" hidden="1" x14ac:dyDescent="0.35">
      <c r="A246" s="1">
        <v>923</v>
      </c>
      <c r="B246" s="2">
        <v>46178</v>
      </c>
      <c r="C246" s="1" t="s">
        <v>52</v>
      </c>
      <c r="D246" s="1">
        <f>IFERROR(VLOOKUP(DEG_REDE[[#This Row],[ID]],DEG_ACUM!A:A,1,0),"NOVO")</f>
        <v>923</v>
      </c>
    </row>
    <row r="247" spans="1:4" hidden="1" x14ac:dyDescent="0.35">
      <c r="A247" s="1">
        <v>924</v>
      </c>
      <c r="B247" s="2">
        <v>46178</v>
      </c>
      <c r="C247" s="1" t="s">
        <v>52</v>
      </c>
      <c r="D247" s="1">
        <f>IFERROR(VLOOKUP(DEG_REDE[[#This Row],[ID]],DEG_ACUM!A:A,1,0),"NOVO")</f>
        <v>924</v>
      </c>
    </row>
    <row r="248" spans="1:4" hidden="1" x14ac:dyDescent="0.35">
      <c r="A248" s="1">
        <v>925</v>
      </c>
      <c r="B248" s="2">
        <v>46178</v>
      </c>
      <c r="C248" s="1" t="s">
        <v>52</v>
      </c>
      <c r="D248" s="1">
        <f>IFERROR(VLOOKUP(DEG_REDE[[#This Row],[ID]],DEG_ACUM!A:A,1,0),"NOVO")</f>
        <v>925</v>
      </c>
    </row>
    <row r="249" spans="1:4" hidden="1" x14ac:dyDescent="0.35">
      <c r="A249" s="1">
        <v>934</v>
      </c>
      <c r="B249" s="2">
        <v>46178</v>
      </c>
      <c r="C249" s="1" t="s">
        <v>57</v>
      </c>
      <c r="D249" s="1">
        <f>IFERROR(VLOOKUP(DEG_REDE[[#This Row],[ID]],DEG_ACUM!A:A,1,0),"NOVO")</f>
        <v>934</v>
      </c>
    </row>
    <row r="250" spans="1:4" hidden="1" x14ac:dyDescent="0.35">
      <c r="A250" s="1">
        <v>935</v>
      </c>
      <c r="B250" s="2">
        <v>46178</v>
      </c>
      <c r="C250" s="1" t="s">
        <v>57</v>
      </c>
      <c r="D250" s="1">
        <f>IFERROR(VLOOKUP(DEG_REDE[[#This Row],[ID]],DEG_ACUM!A:A,1,0),"NOVO")</f>
        <v>935</v>
      </c>
    </row>
    <row r="251" spans="1:4" hidden="1" x14ac:dyDescent="0.35">
      <c r="A251" s="1">
        <v>936</v>
      </c>
      <c r="B251" s="2">
        <v>46178</v>
      </c>
      <c r="C251" s="1" t="s">
        <v>57</v>
      </c>
      <c r="D251" s="1">
        <f>IFERROR(VLOOKUP(DEG_REDE[[#This Row],[ID]],DEG_ACUM!A:A,1,0),"NOVO")</f>
        <v>936</v>
      </c>
    </row>
    <row r="252" spans="1:4" hidden="1" x14ac:dyDescent="0.35">
      <c r="A252" s="1">
        <v>937</v>
      </c>
      <c r="B252" s="2">
        <v>46178</v>
      </c>
      <c r="C252" s="1" t="s">
        <v>57</v>
      </c>
      <c r="D252" s="1">
        <f>IFERROR(VLOOKUP(DEG_REDE[[#This Row],[ID]],DEG_ACUM!A:A,1,0),"NOVO")</f>
        <v>937</v>
      </c>
    </row>
    <row r="253" spans="1:4" hidden="1" x14ac:dyDescent="0.35">
      <c r="A253" s="1">
        <v>938</v>
      </c>
      <c r="B253" s="2">
        <v>46178</v>
      </c>
      <c r="C253" s="1" t="s">
        <v>57</v>
      </c>
      <c r="D253" s="1">
        <f>IFERROR(VLOOKUP(DEG_REDE[[#This Row],[ID]],DEG_ACUM!A:A,1,0),"NOVO")</f>
        <v>938</v>
      </c>
    </row>
    <row r="254" spans="1:4" hidden="1" x14ac:dyDescent="0.35">
      <c r="A254" s="1">
        <v>941</v>
      </c>
      <c r="B254" s="2">
        <v>46181</v>
      </c>
      <c r="C254" s="1" t="s">
        <v>58</v>
      </c>
      <c r="D254" s="1">
        <f>IFERROR(VLOOKUP(DEG_REDE[[#This Row],[ID]],DEG_ACUM!A:A,1,0),"NOVO")</f>
        <v>941</v>
      </c>
    </row>
    <row r="255" spans="1:4" hidden="1" x14ac:dyDescent="0.35">
      <c r="A255" s="1">
        <v>979</v>
      </c>
      <c r="B255" s="2">
        <v>46181</v>
      </c>
      <c r="C255" s="1" t="s">
        <v>55</v>
      </c>
      <c r="D255" s="1">
        <f>IFERROR(VLOOKUP(DEG_REDE[[#This Row],[ID]],DEG_ACUM!A:A,1,0),"NOVO")</f>
        <v>979</v>
      </c>
    </row>
    <row r="256" spans="1:4" hidden="1" x14ac:dyDescent="0.35">
      <c r="A256" s="1">
        <v>992</v>
      </c>
      <c r="B256" s="2">
        <v>46181</v>
      </c>
      <c r="C256" s="1" t="s">
        <v>52</v>
      </c>
      <c r="D256" s="1">
        <f>IFERROR(VLOOKUP(DEG_REDE[[#This Row],[ID]],DEG_ACUM!A:A,1,0),"NOVO")</f>
        <v>992</v>
      </c>
    </row>
    <row r="257" spans="1:4" hidden="1" x14ac:dyDescent="0.35">
      <c r="A257" s="1">
        <v>993</v>
      </c>
      <c r="B257" s="2">
        <v>46181</v>
      </c>
      <c r="C257" s="1" t="s">
        <v>52</v>
      </c>
      <c r="D257" s="1">
        <f>IFERROR(VLOOKUP(DEG_REDE[[#This Row],[ID]],DEG_ACUM!A:A,1,0),"NOVO")</f>
        <v>993</v>
      </c>
    </row>
    <row r="258" spans="1:4" hidden="1" x14ac:dyDescent="0.35">
      <c r="A258" s="1">
        <v>994</v>
      </c>
      <c r="B258" s="2">
        <v>46181</v>
      </c>
      <c r="C258" s="1" t="s">
        <v>52</v>
      </c>
      <c r="D258" s="1">
        <f>IFERROR(VLOOKUP(DEG_REDE[[#This Row],[ID]],DEG_ACUM!A:A,1,0),"NOVO")</f>
        <v>994</v>
      </c>
    </row>
    <row r="259" spans="1:4" hidden="1" x14ac:dyDescent="0.35">
      <c r="A259" s="1">
        <v>995</v>
      </c>
      <c r="B259" s="2">
        <v>46181</v>
      </c>
      <c r="C259" s="1" t="s">
        <v>52</v>
      </c>
      <c r="D259" s="1">
        <f>IFERROR(VLOOKUP(DEG_REDE[[#This Row],[ID]],DEG_ACUM!A:A,1,0),"NOVO")</f>
        <v>995</v>
      </c>
    </row>
    <row r="260" spans="1:4" hidden="1" x14ac:dyDescent="0.35">
      <c r="A260" s="1">
        <v>996</v>
      </c>
      <c r="B260" s="2">
        <v>46181</v>
      </c>
      <c r="C260" s="1" t="s">
        <v>52</v>
      </c>
      <c r="D260" s="1">
        <f>IFERROR(VLOOKUP(DEG_REDE[[#This Row],[ID]],DEG_ACUM!A:A,1,0),"NOVO")</f>
        <v>996</v>
      </c>
    </row>
    <row r="261" spans="1:4" hidden="1" x14ac:dyDescent="0.35">
      <c r="A261" s="1">
        <v>997</v>
      </c>
      <c r="B261" s="2">
        <v>46181</v>
      </c>
      <c r="C261" s="1" t="s">
        <v>52</v>
      </c>
      <c r="D261" s="1">
        <f>IFERROR(VLOOKUP(DEG_REDE[[#This Row],[ID]],DEG_ACUM!A:A,1,0),"NOVO")</f>
        <v>997</v>
      </c>
    </row>
    <row r="262" spans="1:4" hidden="1" x14ac:dyDescent="0.35">
      <c r="A262" s="1">
        <v>998</v>
      </c>
      <c r="B262" s="2">
        <v>46181</v>
      </c>
      <c r="C262" s="1" t="s">
        <v>52</v>
      </c>
      <c r="D262" s="1">
        <f>IFERROR(VLOOKUP(DEG_REDE[[#This Row],[ID]],DEG_ACUM!A:A,1,0),"NOVO")</f>
        <v>998</v>
      </c>
    </row>
    <row r="263" spans="1:4" hidden="1" x14ac:dyDescent="0.35">
      <c r="A263" s="1">
        <v>999</v>
      </c>
      <c r="B263" s="2">
        <v>46181</v>
      </c>
      <c r="C263" s="1" t="s">
        <v>52</v>
      </c>
      <c r="D263" s="1">
        <f>IFERROR(VLOOKUP(DEG_REDE[[#This Row],[ID]],DEG_ACUM!A:A,1,0),"NOVO")</f>
        <v>999</v>
      </c>
    </row>
    <row r="264" spans="1:4" hidden="1" x14ac:dyDescent="0.35">
      <c r="A264" s="1">
        <v>1001</v>
      </c>
      <c r="B264" s="2">
        <v>46182</v>
      </c>
      <c r="C264" s="1" t="s">
        <v>55</v>
      </c>
      <c r="D264" s="1">
        <f>IFERROR(VLOOKUP(DEG_REDE[[#This Row],[ID]],DEG_ACUM!A:A,1,0),"NOVO")</f>
        <v>1001</v>
      </c>
    </row>
    <row r="265" spans="1:4" hidden="1" x14ac:dyDescent="0.35">
      <c r="A265" s="1">
        <v>1002</v>
      </c>
      <c r="B265" s="2">
        <v>46182</v>
      </c>
      <c r="C265" s="1" t="s">
        <v>52</v>
      </c>
      <c r="D265" s="1">
        <f>IFERROR(VLOOKUP(DEG_REDE[[#This Row],[ID]],DEG_ACUM!A:A,1,0),"NOVO")</f>
        <v>1002</v>
      </c>
    </row>
    <row r="266" spans="1:4" hidden="1" x14ac:dyDescent="0.35">
      <c r="A266" s="1">
        <v>1003</v>
      </c>
      <c r="B266" s="2">
        <v>46182</v>
      </c>
      <c r="C266" s="1" t="s">
        <v>60</v>
      </c>
      <c r="D266" s="1">
        <f>IFERROR(VLOOKUP(DEG_REDE[[#This Row],[ID]],DEG_ACUM!A:A,1,0),"NOVO")</f>
        <v>1003</v>
      </c>
    </row>
    <row r="267" spans="1:4" hidden="1" x14ac:dyDescent="0.35">
      <c r="A267" s="1">
        <v>1006</v>
      </c>
      <c r="B267" s="2">
        <v>46182</v>
      </c>
      <c r="C267" s="1" t="s">
        <v>52</v>
      </c>
      <c r="D267" s="1">
        <f>IFERROR(VLOOKUP(DEG_REDE[[#This Row],[ID]],DEG_ACUM!A:A,1,0),"NOVO")</f>
        <v>1006</v>
      </c>
    </row>
    <row r="268" spans="1:4" hidden="1" x14ac:dyDescent="0.35">
      <c r="A268" s="1">
        <v>1007</v>
      </c>
      <c r="B268" s="2">
        <v>46182</v>
      </c>
      <c r="C268" s="1" t="s">
        <v>52</v>
      </c>
      <c r="D268" s="1">
        <f>IFERROR(VLOOKUP(DEG_REDE[[#This Row],[ID]],DEG_ACUM!A:A,1,0),"NOVO")</f>
        <v>1007</v>
      </c>
    </row>
    <row r="269" spans="1:4" hidden="1" x14ac:dyDescent="0.35">
      <c r="A269" s="1">
        <v>1008</v>
      </c>
      <c r="B269" s="2">
        <v>46182</v>
      </c>
      <c r="C269" s="1" t="s">
        <v>52</v>
      </c>
      <c r="D269" s="1">
        <f>IFERROR(VLOOKUP(DEG_REDE[[#This Row],[ID]],DEG_ACUM!A:A,1,0),"NOVO")</f>
        <v>1008</v>
      </c>
    </row>
    <row r="270" spans="1:4" hidden="1" x14ac:dyDescent="0.35">
      <c r="A270" s="1">
        <v>1009</v>
      </c>
      <c r="B270" s="2">
        <v>46182</v>
      </c>
      <c r="C270" s="1" t="s">
        <v>58</v>
      </c>
      <c r="D270" s="1">
        <f>IFERROR(VLOOKUP(DEG_REDE[[#This Row],[ID]],DEG_ACUM!A:A,1,0),"NOVO")</f>
        <v>1009</v>
      </c>
    </row>
    <row r="271" spans="1:4" hidden="1" x14ac:dyDescent="0.35">
      <c r="A271" s="1">
        <v>1010</v>
      </c>
      <c r="B271" s="2">
        <v>46182</v>
      </c>
      <c r="C271" s="1" t="s">
        <v>52</v>
      </c>
      <c r="D271" s="1">
        <f>IFERROR(VLOOKUP(DEG_REDE[[#This Row],[ID]],DEG_ACUM!A:A,1,0),"NOVO")</f>
        <v>1010</v>
      </c>
    </row>
    <row r="272" spans="1:4" hidden="1" x14ac:dyDescent="0.35">
      <c r="A272" s="1">
        <v>1011</v>
      </c>
      <c r="B272" s="2">
        <v>46182</v>
      </c>
      <c r="C272" s="1" t="s">
        <v>52</v>
      </c>
      <c r="D272" s="1">
        <f>IFERROR(VLOOKUP(DEG_REDE[[#This Row],[ID]],DEG_ACUM!A:A,1,0),"NOVO")</f>
        <v>1011</v>
      </c>
    </row>
    <row r="273" spans="1:4" hidden="1" x14ac:dyDescent="0.35">
      <c r="A273" s="1">
        <v>1025</v>
      </c>
      <c r="B273" s="2">
        <v>46182</v>
      </c>
      <c r="C273" s="1" t="s">
        <v>52</v>
      </c>
      <c r="D273" s="1">
        <f>IFERROR(VLOOKUP(DEG_REDE[[#This Row],[ID]],DEG_ACUM!A:A,1,0),"NOVO")</f>
        <v>1025</v>
      </c>
    </row>
    <row r="274" spans="1:4" hidden="1" x14ac:dyDescent="0.35">
      <c r="A274" s="1">
        <v>1026</v>
      </c>
      <c r="B274" s="2">
        <v>46182</v>
      </c>
      <c r="C274" s="1" t="s">
        <v>52</v>
      </c>
      <c r="D274" s="1">
        <f>IFERROR(VLOOKUP(DEG_REDE[[#This Row],[ID]],DEG_ACUM!A:A,1,0),"NOVO")</f>
        <v>1026</v>
      </c>
    </row>
    <row r="275" spans="1:4" hidden="1" x14ac:dyDescent="0.35">
      <c r="A275" s="1">
        <v>1027</v>
      </c>
      <c r="B275" s="2">
        <v>46182</v>
      </c>
      <c r="C275" s="1" t="s">
        <v>52</v>
      </c>
      <c r="D275" s="1">
        <f>IFERROR(VLOOKUP(DEG_REDE[[#This Row],[ID]],DEG_ACUM!A:A,1,0),"NOVO")</f>
        <v>1027</v>
      </c>
    </row>
    <row r="276" spans="1:4" hidden="1" x14ac:dyDescent="0.35">
      <c r="A276" s="1">
        <v>1028</v>
      </c>
      <c r="B276" s="2">
        <v>46182</v>
      </c>
      <c r="C276" s="1" t="s">
        <v>52</v>
      </c>
      <c r="D276" s="1">
        <f>IFERROR(VLOOKUP(DEG_REDE[[#This Row],[ID]],DEG_ACUM!A:A,1,0),"NOVO")</f>
        <v>1028</v>
      </c>
    </row>
    <row r="277" spans="1:4" hidden="1" x14ac:dyDescent="0.35">
      <c r="A277" s="1">
        <v>1029</v>
      </c>
      <c r="B277" s="2">
        <v>46182</v>
      </c>
      <c r="C277" s="1" t="s">
        <v>52</v>
      </c>
      <c r="D277" s="1">
        <f>IFERROR(VLOOKUP(DEG_REDE[[#This Row],[ID]],DEG_ACUM!A:A,1,0),"NOVO")</f>
        <v>1029</v>
      </c>
    </row>
    <row r="278" spans="1:4" hidden="1" x14ac:dyDescent="0.35">
      <c r="A278" s="1">
        <v>1032</v>
      </c>
      <c r="B278" s="2">
        <v>46183</v>
      </c>
      <c r="C278" s="1" t="s">
        <v>55</v>
      </c>
      <c r="D278" s="1">
        <f>IFERROR(VLOOKUP(DEG_REDE[[#This Row],[ID]],DEG_ACUM!A:A,1,0),"NOVO")</f>
        <v>1032</v>
      </c>
    </row>
    <row r="279" spans="1:4" hidden="1" x14ac:dyDescent="0.35">
      <c r="A279" s="1">
        <v>1033</v>
      </c>
      <c r="B279" s="2">
        <v>46183</v>
      </c>
      <c r="C279" s="1" t="s">
        <v>58</v>
      </c>
      <c r="D279" s="1">
        <f>IFERROR(VLOOKUP(DEG_REDE[[#This Row],[ID]],DEG_ACUM!A:A,1,0),"NOVO")</f>
        <v>1033</v>
      </c>
    </row>
    <row r="280" spans="1:4" hidden="1" x14ac:dyDescent="0.35">
      <c r="A280" s="1">
        <v>1057</v>
      </c>
      <c r="B280" s="2">
        <v>46183</v>
      </c>
      <c r="C280" s="1" t="s">
        <v>52</v>
      </c>
      <c r="D280" s="1">
        <f>IFERROR(VLOOKUP(DEG_REDE[[#This Row],[ID]],DEG_ACUM!A:A,1,0),"NOVO")</f>
        <v>1057</v>
      </c>
    </row>
    <row r="281" spans="1:4" hidden="1" x14ac:dyDescent="0.35">
      <c r="A281" s="1">
        <v>1058</v>
      </c>
      <c r="B281" s="2">
        <v>46183</v>
      </c>
      <c r="C281" s="1" t="s">
        <v>52</v>
      </c>
      <c r="D281" s="1">
        <f>IFERROR(VLOOKUP(DEG_REDE[[#This Row],[ID]],DEG_ACUM!A:A,1,0),"NOVO")</f>
        <v>1058</v>
      </c>
    </row>
    <row r="282" spans="1:4" hidden="1" x14ac:dyDescent="0.35">
      <c r="A282" s="1">
        <v>1059</v>
      </c>
      <c r="B282" s="2">
        <v>46183</v>
      </c>
      <c r="C282" s="1" t="s">
        <v>52</v>
      </c>
      <c r="D282" s="1">
        <f>IFERROR(VLOOKUP(DEG_REDE[[#This Row],[ID]],DEG_ACUM!A:A,1,0),"NOVO")</f>
        <v>1059</v>
      </c>
    </row>
    <row r="283" spans="1:4" hidden="1" x14ac:dyDescent="0.35">
      <c r="A283" s="1">
        <v>1060</v>
      </c>
      <c r="B283" s="2">
        <v>46183</v>
      </c>
      <c r="C283" s="1" t="s">
        <v>52</v>
      </c>
      <c r="D283" s="1">
        <f>IFERROR(VLOOKUP(DEG_REDE[[#This Row],[ID]],DEG_ACUM!A:A,1,0),"NOVO")</f>
        <v>1060</v>
      </c>
    </row>
    <row r="284" spans="1:4" hidden="1" x14ac:dyDescent="0.35">
      <c r="A284" s="1">
        <v>1061</v>
      </c>
      <c r="B284" s="2">
        <v>46183</v>
      </c>
      <c r="C284" s="1" t="s">
        <v>52</v>
      </c>
      <c r="D284" s="1">
        <f>IFERROR(VLOOKUP(DEG_REDE[[#This Row],[ID]],DEG_ACUM!A:A,1,0),"NOVO")</f>
        <v>1061</v>
      </c>
    </row>
    <row r="285" spans="1:4" hidden="1" x14ac:dyDescent="0.35">
      <c r="A285" s="1">
        <v>1062</v>
      </c>
      <c r="B285" s="2">
        <v>46183</v>
      </c>
      <c r="C285" s="1" t="s">
        <v>52</v>
      </c>
      <c r="D285" s="1">
        <f>IFERROR(VLOOKUP(DEG_REDE[[#This Row],[ID]],DEG_ACUM!A:A,1,0),"NOVO")</f>
        <v>1062</v>
      </c>
    </row>
    <row r="286" spans="1:4" hidden="1" x14ac:dyDescent="0.35">
      <c r="A286" s="1">
        <v>1063</v>
      </c>
      <c r="B286" s="2">
        <v>46183</v>
      </c>
      <c r="C286" s="1" t="s">
        <v>52</v>
      </c>
      <c r="D286" s="1">
        <f>IFERROR(VLOOKUP(DEG_REDE[[#This Row],[ID]],DEG_ACUM!A:A,1,0),"NOVO")</f>
        <v>1063</v>
      </c>
    </row>
    <row r="287" spans="1:4" hidden="1" x14ac:dyDescent="0.35">
      <c r="A287" s="1">
        <v>1069</v>
      </c>
      <c r="B287" s="2">
        <v>46184</v>
      </c>
      <c r="C287" s="1" t="s">
        <v>61</v>
      </c>
      <c r="D287" s="1">
        <f>IFERROR(VLOOKUP(DEG_REDE[[#This Row],[ID]],DEG_ACUM!A:A,1,0),"NOVO")</f>
        <v>1069</v>
      </c>
    </row>
    <row r="288" spans="1:4" hidden="1" x14ac:dyDescent="0.35">
      <c r="A288" s="1">
        <v>1073</v>
      </c>
      <c r="B288" s="2">
        <v>46184</v>
      </c>
      <c r="C288" s="1" t="s">
        <v>55</v>
      </c>
      <c r="D288" s="1">
        <f>IFERROR(VLOOKUP(DEG_REDE[[#This Row],[ID]],DEG_ACUM!A:A,1,0),"NOVO")</f>
        <v>1073</v>
      </c>
    </row>
    <row r="289" spans="1:4" hidden="1" x14ac:dyDescent="0.35">
      <c r="A289" s="1">
        <v>1074</v>
      </c>
      <c r="B289" s="2">
        <v>46184</v>
      </c>
      <c r="C289" s="1" t="s">
        <v>52</v>
      </c>
      <c r="D289" s="1">
        <f>IFERROR(VLOOKUP(DEG_REDE[[#This Row],[ID]],DEG_ACUM!A:A,1,0),"NOVO")</f>
        <v>1074</v>
      </c>
    </row>
    <row r="290" spans="1:4" hidden="1" x14ac:dyDescent="0.35">
      <c r="A290" s="1">
        <v>1075</v>
      </c>
      <c r="B290" s="2">
        <v>46184</v>
      </c>
      <c r="C290" s="1" t="s">
        <v>52</v>
      </c>
      <c r="D290" s="1">
        <f>IFERROR(VLOOKUP(DEG_REDE[[#This Row],[ID]],DEG_ACUM!A:A,1,0),"NOVO")</f>
        <v>1075</v>
      </c>
    </row>
    <row r="291" spans="1:4" hidden="1" x14ac:dyDescent="0.35">
      <c r="A291" s="1">
        <v>1076</v>
      </c>
      <c r="B291" s="2">
        <v>46185</v>
      </c>
      <c r="C291" s="1" t="s">
        <v>61</v>
      </c>
      <c r="D291" s="1">
        <f>IFERROR(VLOOKUP(DEG_REDE[[#This Row],[ID]],DEG_ACUM!A:A,1,0),"NOVO")</f>
        <v>1076</v>
      </c>
    </row>
    <row r="292" spans="1:4" hidden="1" x14ac:dyDescent="0.35">
      <c r="A292" s="1">
        <v>1077</v>
      </c>
      <c r="B292" s="2">
        <v>46185</v>
      </c>
      <c r="C292" s="1" t="s">
        <v>62</v>
      </c>
      <c r="D292" s="1">
        <f>IFERROR(VLOOKUP(DEG_REDE[[#This Row],[ID]],DEG_ACUM!A:A,1,0),"NOVO")</f>
        <v>1077</v>
      </c>
    </row>
    <row r="293" spans="1:4" hidden="1" x14ac:dyDescent="0.35">
      <c r="A293" s="1">
        <v>1078</v>
      </c>
      <c r="B293" s="2">
        <v>46185</v>
      </c>
      <c r="C293" s="1" t="s">
        <v>62</v>
      </c>
      <c r="D293" s="1">
        <f>IFERROR(VLOOKUP(DEG_REDE[[#This Row],[ID]],DEG_ACUM!A:A,1,0),"NOVO")</f>
        <v>1078</v>
      </c>
    </row>
    <row r="294" spans="1:4" hidden="1" x14ac:dyDescent="0.35">
      <c r="A294" s="1">
        <v>1079</v>
      </c>
      <c r="B294" s="2">
        <v>46185</v>
      </c>
      <c r="C294" s="1" t="s">
        <v>51</v>
      </c>
      <c r="D294" s="1">
        <f>IFERROR(VLOOKUP(DEG_REDE[[#This Row],[ID]],DEG_ACUM!A:A,1,0),"NOVO")</f>
        <v>1079</v>
      </c>
    </row>
    <row r="295" spans="1:4" hidden="1" x14ac:dyDescent="0.35">
      <c r="A295" s="1">
        <v>1080</v>
      </c>
      <c r="B295" s="2">
        <v>46185</v>
      </c>
      <c r="C295" s="1" t="s">
        <v>60</v>
      </c>
      <c r="D295" s="1">
        <f>IFERROR(VLOOKUP(DEG_REDE[[#This Row],[ID]],DEG_ACUM!A:A,1,0),"NOVO")</f>
        <v>1080</v>
      </c>
    </row>
    <row r="296" spans="1:4" hidden="1" x14ac:dyDescent="0.35">
      <c r="A296" s="1">
        <v>1081</v>
      </c>
      <c r="B296" s="2">
        <v>46185</v>
      </c>
      <c r="C296" s="1" t="s">
        <v>55</v>
      </c>
      <c r="D296" s="1">
        <f>IFERROR(VLOOKUP(DEG_REDE[[#This Row],[ID]],DEG_ACUM!A:A,1,0),"NOVO")</f>
        <v>1081</v>
      </c>
    </row>
    <row r="297" spans="1:4" hidden="1" x14ac:dyDescent="0.35">
      <c r="A297" s="1">
        <v>1082</v>
      </c>
      <c r="B297" s="2">
        <v>46185</v>
      </c>
      <c r="C297" s="1" t="s">
        <v>62</v>
      </c>
      <c r="D297" s="1">
        <f>IFERROR(VLOOKUP(DEG_REDE[[#This Row],[ID]],DEG_ACUM!A:A,1,0),"NOVO")</f>
        <v>1082</v>
      </c>
    </row>
    <row r="298" spans="1:4" hidden="1" x14ac:dyDescent="0.35">
      <c r="A298" s="1">
        <v>1083</v>
      </c>
      <c r="B298" s="2">
        <v>46185</v>
      </c>
      <c r="C298" s="1" t="s">
        <v>58</v>
      </c>
      <c r="D298" s="1">
        <f>IFERROR(VLOOKUP(DEG_REDE[[#This Row],[ID]],DEG_ACUM!A:A,1,0),"NOVO")</f>
        <v>1083</v>
      </c>
    </row>
    <row r="299" spans="1:4" hidden="1" x14ac:dyDescent="0.35">
      <c r="A299" s="1">
        <v>1108</v>
      </c>
      <c r="B299" s="2">
        <v>46188</v>
      </c>
      <c r="C299" s="1" t="s">
        <v>61</v>
      </c>
      <c r="D299" s="1">
        <f>IFERROR(VLOOKUP(DEG_REDE[[#This Row],[ID]],DEG_ACUM!A:A,1,0),"NOVO")</f>
        <v>1108</v>
      </c>
    </row>
    <row r="300" spans="1:4" hidden="1" x14ac:dyDescent="0.35">
      <c r="A300" s="1">
        <v>1110</v>
      </c>
      <c r="B300" s="2">
        <v>46188</v>
      </c>
      <c r="C300" s="1" t="s">
        <v>52</v>
      </c>
      <c r="D300" s="1">
        <f>IFERROR(VLOOKUP(DEG_REDE[[#This Row],[ID]],DEG_ACUM!A:A,1,0),"NOVO")</f>
        <v>1110</v>
      </c>
    </row>
    <row r="301" spans="1:4" hidden="1" x14ac:dyDescent="0.35">
      <c r="A301" s="1">
        <v>1111</v>
      </c>
      <c r="B301" s="2">
        <v>46188</v>
      </c>
      <c r="C301" s="1" t="s">
        <v>52</v>
      </c>
      <c r="D301" s="1">
        <f>IFERROR(VLOOKUP(DEG_REDE[[#This Row],[ID]],DEG_ACUM!A:A,1,0),"NOVO")</f>
        <v>1111</v>
      </c>
    </row>
    <row r="302" spans="1:4" hidden="1" x14ac:dyDescent="0.35">
      <c r="A302" s="1">
        <v>1112</v>
      </c>
      <c r="B302" s="2">
        <v>46188</v>
      </c>
      <c r="C302" s="1" t="s">
        <v>52</v>
      </c>
      <c r="D302" s="1">
        <f>IFERROR(VLOOKUP(DEG_REDE[[#This Row],[ID]],DEG_ACUM!A:A,1,0),"NOVO")</f>
        <v>1112</v>
      </c>
    </row>
    <row r="303" spans="1:4" hidden="1" x14ac:dyDescent="0.35">
      <c r="A303" s="1">
        <v>1113</v>
      </c>
      <c r="B303" s="2">
        <v>46188</v>
      </c>
      <c r="C303" s="1" t="s">
        <v>52</v>
      </c>
      <c r="D303" s="1">
        <f>IFERROR(VLOOKUP(DEG_REDE[[#This Row],[ID]],DEG_ACUM!A:A,1,0),"NOVO")</f>
        <v>1113</v>
      </c>
    </row>
    <row r="304" spans="1:4" hidden="1" x14ac:dyDescent="0.35">
      <c r="A304" s="1">
        <v>1116</v>
      </c>
      <c r="B304" s="2">
        <v>46188</v>
      </c>
      <c r="C304" s="1" t="s">
        <v>52</v>
      </c>
      <c r="D304" s="1">
        <f>IFERROR(VLOOKUP(DEG_REDE[[#This Row],[ID]],DEG_ACUM!A:A,1,0),"NOVO")</f>
        <v>1116</v>
      </c>
    </row>
    <row r="305" spans="1:4" hidden="1" x14ac:dyDescent="0.35">
      <c r="A305" s="1">
        <v>1118</v>
      </c>
      <c r="B305" s="2">
        <v>46188</v>
      </c>
      <c r="C305" s="1" t="s">
        <v>52</v>
      </c>
      <c r="D305" s="1">
        <f>IFERROR(VLOOKUP(DEG_REDE[[#This Row],[ID]],DEG_ACUM!A:A,1,0),"NOVO")</f>
        <v>1118</v>
      </c>
    </row>
    <row r="306" spans="1:4" hidden="1" x14ac:dyDescent="0.35">
      <c r="A306" s="1">
        <v>1120</v>
      </c>
      <c r="B306" s="2">
        <v>46188</v>
      </c>
      <c r="C306" s="1" t="s">
        <v>52</v>
      </c>
      <c r="D306" s="1">
        <f>IFERROR(VLOOKUP(DEG_REDE[[#This Row],[ID]],DEG_ACUM!A:A,1,0),"NOVO")</f>
        <v>1120</v>
      </c>
    </row>
    <row r="307" spans="1:4" hidden="1" x14ac:dyDescent="0.35">
      <c r="A307" s="1">
        <v>1124</v>
      </c>
      <c r="B307" s="2">
        <v>46188</v>
      </c>
      <c r="C307" s="1" t="s">
        <v>52</v>
      </c>
      <c r="D307" s="1">
        <f>IFERROR(VLOOKUP(DEG_REDE[[#This Row],[ID]],DEG_ACUM!A:A,1,0),"NOVO")</f>
        <v>1124</v>
      </c>
    </row>
    <row r="308" spans="1:4" hidden="1" x14ac:dyDescent="0.35">
      <c r="A308" s="1">
        <v>1125</v>
      </c>
      <c r="B308" s="2">
        <v>46188</v>
      </c>
      <c r="C308" s="1" t="s">
        <v>52</v>
      </c>
      <c r="D308" s="1">
        <f>IFERROR(VLOOKUP(DEG_REDE[[#This Row],[ID]],DEG_ACUM!A:A,1,0),"NOVO")</f>
        <v>1125</v>
      </c>
    </row>
    <row r="309" spans="1:4" hidden="1" x14ac:dyDescent="0.35">
      <c r="A309" s="1">
        <v>1126</v>
      </c>
      <c r="B309" s="2">
        <v>46188</v>
      </c>
      <c r="C309" s="1" t="s">
        <v>52</v>
      </c>
      <c r="D309" s="1">
        <f>IFERROR(VLOOKUP(DEG_REDE[[#This Row],[ID]],DEG_ACUM!A:A,1,0),"NOVO")</f>
        <v>1126</v>
      </c>
    </row>
    <row r="310" spans="1:4" hidden="1" x14ac:dyDescent="0.35">
      <c r="A310" s="1">
        <v>1127</v>
      </c>
      <c r="B310" s="2">
        <v>46188</v>
      </c>
      <c r="C310" s="1" t="s">
        <v>52</v>
      </c>
      <c r="D310" s="1">
        <f>IFERROR(VLOOKUP(DEG_REDE[[#This Row],[ID]],DEG_ACUM!A:A,1,0),"NOVO")</f>
        <v>1127</v>
      </c>
    </row>
    <row r="311" spans="1:4" hidden="1" x14ac:dyDescent="0.35">
      <c r="A311" s="1">
        <v>1138</v>
      </c>
      <c r="B311" s="2">
        <v>46189</v>
      </c>
      <c r="C311" s="1" t="s">
        <v>61</v>
      </c>
      <c r="D311" s="1">
        <f>IFERROR(VLOOKUP(DEG_REDE[[#This Row],[ID]],DEG_ACUM!A:A,1,0),"NOVO")</f>
        <v>1138</v>
      </c>
    </row>
    <row r="312" spans="1:4" hidden="1" x14ac:dyDescent="0.35">
      <c r="A312" s="1">
        <v>1140</v>
      </c>
      <c r="B312" s="2">
        <v>46189</v>
      </c>
      <c r="C312" s="1" t="s">
        <v>60</v>
      </c>
      <c r="D312" s="1">
        <f>IFERROR(VLOOKUP(DEG_REDE[[#This Row],[ID]],DEG_ACUM!A:A,1,0),"NOVO")</f>
        <v>1140</v>
      </c>
    </row>
    <row r="313" spans="1:4" hidden="1" x14ac:dyDescent="0.35">
      <c r="A313" s="1">
        <v>1148</v>
      </c>
      <c r="B313" s="2">
        <v>46189</v>
      </c>
      <c r="C313" s="1" t="s">
        <v>59</v>
      </c>
      <c r="D313" s="1">
        <f>IFERROR(VLOOKUP(DEG_REDE[[#This Row],[ID]],DEG_ACUM!A:A,1,0),"NOVO")</f>
        <v>1148</v>
      </c>
    </row>
    <row r="314" spans="1:4" hidden="1" x14ac:dyDescent="0.35">
      <c r="A314" s="1">
        <v>1149</v>
      </c>
      <c r="B314" s="2">
        <v>46189</v>
      </c>
      <c r="C314" s="1" t="s">
        <v>59</v>
      </c>
      <c r="D314" s="1">
        <f>IFERROR(VLOOKUP(DEG_REDE[[#This Row],[ID]],DEG_ACUM!A:A,1,0),"NOVO")</f>
        <v>1149</v>
      </c>
    </row>
    <row r="315" spans="1:4" hidden="1" x14ac:dyDescent="0.35">
      <c r="A315" s="1">
        <v>1150</v>
      </c>
      <c r="B315" s="2">
        <v>46189</v>
      </c>
      <c r="C315" s="1" t="s">
        <v>59</v>
      </c>
      <c r="D315" s="1">
        <f>IFERROR(VLOOKUP(DEG_REDE[[#This Row],[ID]],DEG_ACUM!A:A,1,0),"NOVO")</f>
        <v>1150</v>
      </c>
    </row>
    <row r="316" spans="1:4" hidden="1" x14ac:dyDescent="0.35">
      <c r="A316" s="1">
        <v>1151</v>
      </c>
      <c r="B316" s="2">
        <v>46189</v>
      </c>
      <c r="C316" s="1" t="s">
        <v>59</v>
      </c>
      <c r="D316" s="1">
        <f>IFERROR(VLOOKUP(DEG_REDE[[#This Row],[ID]],DEG_ACUM!A:A,1,0),"NOVO")</f>
        <v>1151</v>
      </c>
    </row>
    <row r="317" spans="1:4" hidden="1" x14ac:dyDescent="0.35">
      <c r="A317" s="1">
        <v>1152</v>
      </c>
      <c r="B317" s="2">
        <v>46189</v>
      </c>
      <c r="C317" s="1" t="s">
        <v>59</v>
      </c>
      <c r="D317" s="1">
        <f>IFERROR(VLOOKUP(DEG_REDE[[#This Row],[ID]],DEG_ACUM!A:A,1,0),"NOVO")</f>
        <v>1152</v>
      </c>
    </row>
    <row r="318" spans="1:4" hidden="1" x14ac:dyDescent="0.35">
      <c r="A318" s="1">
        <v>1153</v>
      </c>
      <c r="B318" s="2">
        <v>46189</v>
      </c>
      <c r="C318" s="1" t="s">
        <v>59</v>
      </c>
      <c r="D318" s="1">
        <f>IFERROR(VLOOKUP(DEG_REDE[[#This Row],[ID]],DEG_ACUM!A:A,1,0),"NOVO")</f>
        <v>1153</v>
      </c>
    </row>
    <row r="319" spans="1:4" hidden="1" x14ac:dyDescent="0.35">
      <c r="A319" s="1">
        <v>1154</v>
      </c>
      <c r="B319" s="2">
        <v>46189</v>
      </c>
      <c r="C319" s="1" t="s">
        <v>59</v>
      </c>
      <c r="D319" s="1">
        <f>IFERROR(VLOOKUP(DEG_REDE[[#This Row],[ID]],DEG_ACUM!A:A,1,0),"NOVO")</f>
        <v>1154</v>
      </c>
    </row>
    <row r="320" spans="1:4" hidden="1" x14ac:dyDescent="0.35">
      <c r="A320" s="1">
        <v>1155</v>
      </c>
      <c r="B320" s="2">
        <v>46189</v>
      </c>
      <c r="C320" s="1" t="s">
        <v>59</v>
      </c>
      <c r="D320" s="1">
        <f>IFERROR(VLOOKUP(DEG_REDE[[#This Row],[ID]],DEG_ACUM!A:A,1,0),"NOVO")</f>
        <v>1155</v>
      </c>
    </row>
    <row r="321" spans="1:4" hidden="1" x14ac:dyDescent="0.35">
      <c r="A321" s="1">
        <v>1156</v>
      </c>
      <c r="B321" s="2">
        <v>46189</v>
      </c>
      <c r="C321" s="1" t="s">
        <v>59</v>
      </c>
      <c r="D321" s="1">
        <f>IFERROR(VLOOKUP(DEG_REDE[[#This Row],[ID]],DEG_ACUM!A:A,1,0),"NOVO")</f>
        <v>1156</v>
      </c>
    </row>
    <row r="322" spans="1:4" hidden="1" x14ac:dyDescent="0.35">
      <c r="A322" s="1">
        <v>1157</v>
      </c>
      <c r="B322" s="2">
        <v>46189</v>
      </c>
      <c r="C322" s="1" t="s">
        <v>59</v>
      </c>
      <c r="D322" s="1">
        <f>IFERROR(VLOOKUP(DEG_REDE[[#This Row],[ID]],DEG_ACUM!A:A,1,0),"NOVO")</f>
        <v>1157</v>
      </c>
    </row>
    <row r="323" spans="1:4" hidden="1" x14ac:dyDescent="0.35">
      <c r="A323" s="1">
        <v>1158</v>
      </c>
      <c r="B323" s="2">
        <v>46189</v>
      </c>
      <c r="C323" s="1" t="s">
        <v>59</v>
      </c>
      <c r="D323" s="1">
        <f>IFERROR(VLOOKUP(DEG_REDE[[#This Row],[ID]],DEG_ACUM!A:A,1,0),"NOVO")</f>
        <v>1158</v>
      </c>
    </row>
    <row r="324" spans="1:4" hidden="1" x14ac:dyDescent="0.35">
      <c r="A324" s="1">
        <v>1165</v>
      </c>
      <c r="B324" s="2">
        <v>46190</v>
      </c>
      <c r="C324" s="1" t="s">
        <v>60</v>
      </c>
      <c r="D324" s="1">
        <f>IFERROR(VLOOKUP(DEG_REDE[[#This Row],[ID]],DEG_ACUM!A:A,1,0),"NOVO")</f>
        <v>1165</v>
      </c>
    </row>
    <row r="325" spans="1:4" hidden="1" x14ac:dyDescent="0.35">
      <c r="A325" s="1">
        <v>1173</v>
      </c>
      <c r="B325" s="2">
        <v>46190</v>
      </c>
      <c r="C325" s="1" t="s">
        <v>57</v>
      </c>
      <c r="D325" s="1">
        <f>IFERROR(VLOOKUP(DEG_REDE[[#This Row],[ID]],DEG_ACUM!A:A,1,0),"NOVO")</f>
        <v>1173</v>
      </c>
    </row>
    <row r="326" spans="1:4" hidden="1" x14ac:dyDescent="0.35">
      <c r="A326" s="1">
        <v>1174</v>
      </c>
      <c r="B326" s="2">
        <v>46190</v>
      </c>
      <c r="C326" s="1" t="s">
        <v>52</v>
      </c>
      <c r="D326" s="1">
        <f>IFERROR(VLOOKUP(DEG_REDE[[#This Row],[ID]],DEG_ACUM!A:A,1,0),"NOVO")</f>
        <v>1174</v>
      </c>
    </row>
    <row r="327" spans="1:4" hidden="1" x14ac:dyDescent="0.35">
      <c r="A327" s="1">
        <v>1175</v>
      </c>
      <c r="B327" s="2">
        <v>46190</v>
      </c>
      <c r="C327" s="1" t="s">
        <v>52</v>
      </c>
      <c r="D327" s="1">
        <f>IFERROR(VLOOKUP(DEG_REDE[[#This Row],[ID]],DEG_ACUM!A:A,1,0),"NOVO")</f>
        <v>1175</v>
      </c>
    </row>
    <row r="328" spans="1:4" hidden="1" x14ac:dyDescent="0.35">
      <c r="A328" s="1">
        <v>1176</v>
      </c>
      <c r="B328" s="2">
        <v>46190</v>
      </c>
      <c r="C328" s="1" t="s">
        <v>52</v>
      </c>
      <c r="D328" s="1">
        <f>IFERROR(VLOOKUP(DEG_REDE[[#This Row],[ID]],DEG_ACUM!A:A,1,0),"NOVO")</f>
        <v>1176</v>
      </c>
    </row>
    <row r="329" spans="1:4" hidden="1" x14ac:dyDescent="0.35">
      <c r="A329" s="1">
        <v>1177</v>
      </c>
      <c r="B329" s="2">
        <v>46190</v>
      </c>
      <c r="C329" s="1" t="s">
        <v>52</v>
      </c>
      <c r="D329" s="1">
        <f>IFERROR(VLOOKUP(DEG_REDE[[#This Row],[ID]],DEG_ACUM!A:A,1,0),"NOVO")</f>
        <v>1177</v>
      </c>
    </row>
    <row r="330" spans="1:4" hidden="1" x14ac:dyDescent="0.35">
      <c r="A330" s="1">
        <v>1178</v>
      </c>
      <c r="B330" s="2">
        <v>46190</v>
      </c>
      <c r="C330" s="1" t="s">
        <v>52</v>
      </c>
      <c r="D330" s="1">
        <f>IFERROR(VLOOKUP(DEG_REDE[[#This Row],[ID]],DEG_ACUM!A:A,1,0),"NOVO")</f>
        <v>1178</v>
      </c>
    </row>
    <row r="331" spans="1:4" hidden="1" x14ac:dyDescent="0.35">
      <c r="A331" s="1">
        <v>1179</v>
      </c>
      <c r="B331" s="2">
        <v>46190</v>
      </c>
      <c r="C331" s="1" t="s">
        <v>52</v>
      </c>
      <c r="D331" s="1">
        <f>IFERROR(VLOOKUP(DEG_REDE[[#This Row],[ID]],DEG_ACUM!A:A,1,0),"NOVO")</f>
        <v>1179</v>
      </c>
    </row>
    <row r="332" spans="1:4" hidden="1" x14ac:dyDescent="0.35">
      <c r="A332" s="1">
        <v>1181</v>
      </c>
      <c r="B332" s="2">
        <v>46191</v>
      </c>
      <c r="C332" s="1" t="s">
        <v>62</v>
      </c>
      <c r="D332" s="1">
        <f>IFERROR(VLOOKUP(DEG_REDE[[#This Row],[ID]],DEG_ACUM!A:A,1,0),"NOVO")</f>
        <v>1181</v>
      </c>
    </row>
    <row r="333" spans="1:4" hidden="1" x14ac:dyDescent="0.35">
      <c r="A333" s="1">
        <v>1192</v>
      </c>
      <c r="B333" s="2">
        <v>46191</v>
      </c>
      <c r="C333" s="1" t="s">
        <v>51</v>
      </c>
      <c r="D333" s="1">
        <f>IFERROR(VLOOKUP(DEG_REDE[[#This Row],[ID]],DEG_ACUM!A:A,1,0),"NOVO")</f>
        <v>1192</v>
      </c>
    </row>
    <row r="334" spans="1:4" hidden="1" x14ac:dyDescent="0.35">
      <c r="A334" s="1">
        <v>1227</v>
      </c>
      <c r="B334" s="2">
        <v>46191</v>
      </c>
      <c r="C334" s="1" t="s">
        <v>57</v>
      </c>
      <c r="D334" s="1">
        <f>IFERROR(VLOOKUP(DEG_REDE[[#This Row],[ID]],DEG_ACUM!A:A,1,0),"NOVO")</f>
        <v>1227</v>
      </c>
    </row>
    <row r="335" spans="1:4" hidden="1" x14ac:dyDescent="0.35">
      <c r="A335" s="1">
        <v>1228</v>
      </c>
      <c r="B335" s="2">
        <v>46191</v>
      </c>
      <c r="C335" s="1" t="s">
        <v>60</v>
      </c>
      <c r="D335" s="1">
        <f>IFERROR(VLOOKUP(DEG_REDE[[#This Row],[ID]],DEG_ACUM!A:A,1,0),"NOVO")</f>
        <v>1228</v>
      </c>
    </row>
    <row r="336" spans="1:4" hidden="1" x14ac:dyDescent="0.35">
      <c r="A336" s="1">
        <v>1229</v>
      </c>
      <c r="B336" s="2">
        <v>46191</v>
      </c>
      <c r="C336" s="1" t="s">
        <v>52</v>
      </c>
      <c r="D336" s="1">
        <f>IFERROR(VLOOKUP(DEG_REDE[[#This Row],[ID]],DEG_ACUM!A:A,1,0),"NOVO")</f>
        <v>1229</v>
      </c>
    </row>
    <row r="337" spans="1:4" hidden="1" x14ac:dyDescent="0.35">
      <c r="A337" s="1">
        <v>1230</v>
      </c>
      <c r="B337" s="2">
        <v>46191</v>
      </c>
      <c r="C337" s="1" t="s">
        <v>52</v>
      </c>
      <c r="D337" s="1">
        <f>IFERROR(VLOOKUP(DEG_REDE[[#This Row],[ID]],DEG_ACUM!A:A,1,0),"NOVO")</f>
        <v>1230</v>
      </c>
    </row>
    <row r="338" spans="1:4" hidden="1" x14ac:dyDescent="0.35">
      <c r="A338" s="1">
        <v>1231</v>
      </c>
      <c r="B338" s="2">
        <v>46191</v>
      </c>
      <c r="C338" s="1" t="s">
        <v>52</v>
      </c>
      <c r="D338" s="1">
        <f>IFERROR(VLOOKUP(DEG_REDE[[#This Row],[ID]],DEG_ACUM!A:A,1,0),"NOVO")</f>
        <v>1231</v>
      </c>
    </row>
    <row r="339" spans="1:4" hidden="1" x14ac:dyDescent="0.35">
      <c r="A339" s="1">
        <v>1232</v>
      </c>
      <c r="B339" s="2">
        <v>46191</v>
      </c>
      <c r="C339" s="1" t="s">
        <v>52</v>
      </c>
      <c r="D339" s="1">
        <f>IFERROR(VLOOKUP(DEG_REDE[[#This Row],[ID]],DEG_ACUM!A:A,1,0),"NOVO")</f>
        <v>1232</v>
      </c>
    </row>
    <row r="340" spans="1:4" hidden="1" x14ac:dyDescent="0.35">
      <c r="A340" s="1">
        <v>1233</v>
      </c>
      <c r="B340" s="2">
        <v>46191</v>
      </c>
      <c r="C340" s="1" t="s">
        <v>52</v>
      </c>
      <c r="D340" s="1">
        <f>IFERROR(VLOOKUP(DEG_REDE[[#This Row],[ID]],DEG_ACUM!A:A,1,0),"NOVO")</f>
        <v>1233</v>
      </c>
    </row>
    <row r="341" spans="1:4" hidden="1" x14ac:dyDescent="0.35">
      <c r="A341" s="1">
        <v>1234</v>
      </c>
      <c r="B341" s="2">
        <v>46191</v>
      </c>
      <c r="C341" s="1" t="s">
        <v>52</v>
      </c>
      <c r="D341" s="1">
        <f>IFERROR(VLOOKUP(DEG_REDE[[#This Row],[ID]],DEG_ACUM!A:A,1,0),"NOVO")</f>
        <v>1234</v>
      </c>
    </row>
    <row r="342" spans="1:4" hidden="1" x14ac:dyDescent="0.35">
      <c r="A342" s="1">
        <v>1242</v>
      </c>
      <c r="B342" s="2">
        <v>46192</v>
      </c>
      <c r="C342" s="1" t="s">
        <v>57</v>
      </c>
      <c r="D342" s="1">
        <f>IFERROR(VLOOKUP(DEG_REDE[[#This Row],[ID]],DEG_ACUM!A:A,1,0),"NOVO")</f>
        <v>1242</v>
      </c>
    </row>
    <row r="343" spans="1:4" hidden="1" x14ac:dyDescent="0.35">
      <c r="A343" s="1">
        <v>1243</v>
      </c>
      <c r="B343" s="2">
        <v>46192</v>
      </c>
      <c r="C343" s="1" t="s">
        <v>52</v>
      </c>
      <c r="D343" s="1">
        <f>IFERROR(VLOOKUP(DEG_REDE[[#This Row],[ID]],DEG_ACUM!A:A,1,0),"NOVO")</f>
        <v>1243</v>
      </c>
    </row>
    <row r="344" spans="1:4" hidden="1" x14ac:dyDescent="0.35">
      <c r="A344" s="1">
        <v>1247</v>
      </c>
      <c r="B344" s="2">
        <v>46192</v>
      </c>
      <c r="C344" s="1" t="s">
        <v>60</v>
      </c>
      <c r="D344" s="1">
        <f>IFERROR(VLOOKUP(DEG_REDE[[#This Row],[ID]],DEG_ACUM!A:A,1,0),"NOVO")</f>
        <v>1247</v>
      </c>
    </row>
    <row r="345" spans="1:4" hidden="1" x14ac:dyDescent="0.35">
      <c r="A345" s="1">
        <v>1255</v>
      </c>
      <c r="B345" s="2">
        <v>46192</v>
      </c>
      <c r="C345" s="1" t="s">
        <v>52</v>
      </c>
      <c r="D345" s="1">
        <f>IFERROR(VLOOKUP(DEG_REDE[[#This Row],[ID]],DEG_ACUM!A:A,1,0),"NOVO")</f>
        <v>1255</v>
      </c>
    </row>
    <row r="346" spans="1:4" hidden="1" x14ac:dyDescent="0.35">
      <c r="A346" s="1">
        <v>1256</v>
      </c>
      <c r="B346" s="2">
        <v>46192</v>
      </c>
      <c r="C346" s="1" t="s">
        <v>52</v>
      </c>
      <c r="D346" s="1">
        <f>IFERROR(VLOOKUP(DEG_REDE[[#This Row],[ID]],DEG_ACUM!A:A,1,0),"NOVO")</f>
        <v>1256</v>
      </c>
    </row>
    <row r="347" spans="1:4" hidden="1" x14ac:dyDescent="0.35">
      <c r="A347" s="1">
        <v>1257</v>
      </c>
      <c r="B347" s="2">
        <v>46192</v>
      </c>
      <c r="C347" s="1" t="s">
        <v>52</v>
      </c>
      <c r="D347" s="1">
        <f>IFERROR(VLOOKUP(DEG_REDE[[#This Row],[ID]],DEG_ACUM!A:A,1,0),"NOVO")</f>
        <v>1257</v>
      </c>
    </row>
    <row r="348" spans="1:4" hidden="1" x14ac:dyDescent="0.35">
      <c r="A348" s="1">
        <v>1258</v>
      </c>
      <c r="B348" s="2">
        <v>46192</v>
      </c>
      <c r="C348" s="1" t="s">
        <v>52</v>
      </c>
      <c r="D348" s="1">
        <f>IFERROR(VLOOKUP(DEG_REDE[[#This Row],[ID]],DEG_ACUM!A:A,1,0),"NOVO")</f>
        <v>1258</v>
      </c>
    </row>
    <row r="349" spans="1:4" hidden="1" x14ac:dyDescent="0.35">
      <c r="A349" s="1">
        <v>1259</v>
      </c>
      <c r="B349" s="2">
        <v>46192</v>
      </c>
      <c r="C349" s="1" t="s">
        <v>52</v>
      </c>
      <c r="D349" s="1">
        <f>IFERROR(VLOOKUP(DEG_REDE[[#This Row],[ID]],DEG_ACUM!A:A,1,0),"NOVO")</f>
        <v>1259</v>
      </c>
    </row>
    <row r="350" spans="1:4" hidden="1" x14ac:dyDescent="0.35">
      <c r="A350" s="1">
        <v>1260</v>
      </c>
      <c r="B350" s="2">
        <v>46192</v>
      </c>
      <c r="C350" s="1" t="s">
        <v>52</v>
      </c>
      <c r="D350" s="1">
        <f>IFERROR(VLOOKUP(DEG_REDE[[#This Row],[ID]],DEG_ACUM!A:A,1,0),"NOVO")</f>
        <v>1260</v>
      </c>
    </row>
    <row r="351" spans="1:4" hidden="1" x14ac:dyDescent="0.35">
      <c r="A351" s="1">
        <v>1261</v>
      </c>
      <c r="B351" s="2">
        <v>46195</v>
      </c>
      <c r="C351" s="1" t="s">
        <v>61</v>
      </c>
      <c r="D351" s="1">
        <f>IFERROR(VLOOKUP(DEG_REDE[[#This Row],[ID]],DEG_ACUM!A:A,1,0),"NOVO")</f>
        <v>1261</v>
      </c>
    </row>
    <row r="352" spans="1:4" hidden="1" x14ac:dyDescent="0.35">
      <c r="A352" s="1">
        <v>1265</v>
      </c>
      <c r="B352" s="2">
        <v>46195</v>
      </c>
      <c r="C352" s="1" t="s">
        <v>57</v>
      </c>
      <c r="D352" s="1">
        <f>IFERROR(VLOOKUP(DEG_REDE[[#This Row],[ID]],DEG_ACUM!A:A,1,0),"NOVO")</f>
        <v>1265</v>
      </c>
    </row>
    <row r="353" spans="1:4" hidden="1" x14ac:dyDescent="0.35">
      <c r="A353" s="1">
        <v>1268</v>
      </c>
      <c r="B353" s="2">
        <v>46195</v>
      </c>
      <c r="C353" s="1" t="s">
        <v>52</v>
      </c>
      <c r="D353" s="1">
        <f>IFERROR(VLOOKUP(DEG_REDE[[#This Row],[ID]],DEG_ACUM!A:A,1,0),"NOVO")</f>
        <v>1268</v>
      </c>
    </row>
    <row r="354" spans="1:4" hidden="1" x14ac:dyDescent="0.35">
      <c r="A354" s="1">
        <v>1276</v>
      </c>
      <c r="B354" s="2">
        <v>46195</v>
      </c>
      <c r="C354" s="1" t="s">
        <v>51</v>
      </c>
      <c r="D354" s="1">
        <f>IFERROR(VLOOKUP(DEG_REDE[[#This Row],[ID]],DEG_ACUM!A:A,1,0),"NOVO")</f>
        <v>1276</v>
      </c>
    </row>
    <row r="355" spans="1:4" hidden="1" x14ac:dyDescent="0.35">
      <c r="A355" s="1">
        <v>1294</v>
      </c>
      <c r="B355" s="2">
        <v>46195</v>
      </c>
      <c r="C355" s="1" t="s">
        <v>52</v>
      </c>
      <c r="D355" s="1">
        <f>IFERROR(VLOOKUP(DEG_REDE[[#This Row],[ID]],DEG_ACUM!A:A,1,0),"NOVO")</f>
        <v>1294</v>
      </c>
    </row>
    <row r="356" spans="1:4" hidden="1" x14ac:dyDescent="0.35">
      <c r="A356" s="1">
        <v>1295</v>
      </c>
      <c r="B356" s="2">
        <v>46195</v>
      </c>
      <c r="C356" s="1" t="s">
        <v>52</v>
      </c>
      <c r="D356" s="1">
        <f>IFERROR(VLOOKUP(DEG_REDE[[#This Row],[ID]],DEG_ACUM!A:A,1,0),"NOVO")</f>
        <v>1295</v>
      </c>
    </row>
    <row r="357" spans="1:4" hidden="1" x14ac:dyDescent="0.35">
      <c r="A357" s="1">
        <v>1296</v>
      </c>
      <c r="B357" s="2">
        <v>46195</v>
      </c>
      <c r="C357" s="1" t="s">
        <v>52</v>
      </c>
      <c r="D357" s="1">
        <f>IFERROR(VLOOKUP(DEG_REDE[[#This Row],[ID]],DEG_ACUM!A:A,1,0),"NOVO")</f>
        <v>1296</v>
      </c>
    </row>
    <row r="358" spans="1:4" hidden="1" x14ac:dyDescent="0.35">
      <c r="A358" s="1">
        <v>1297</v>
      </c>
      <c r="B358" s="2">
        <v>46195</v>
      </c>
      <c r="C358" s="1" t="s">
        <v>52</v>
      </c>
      <c r="D358" s="1">
        <f>IFERROR(VLOOKUP(DEG_REDE[[#This Row],[ID]],DEG_ACUM!A:A,1,0),"NOVO")</f>
        <v>1297</v>
      </c>
    </row>
    <row r="359" spans="1:4" hidden="1" x14ac:dyDescent="0.35">
      <c r="A359" s="1">
        <v>1304</v>
      </c>
      <c r="B359" s="2">
        <v>46196</v>
      </c>
      <c r="C359" s="1" t="s">
        <v>52</v>
      </c>
      <c r="D359" s="1">
        <f>IFERROR(VLOOKUP(DEG_REDE[[#This Row],[ID]],DEG_ACUM!A:A,1,0),"NOVO")</f>
        <v>1304</v>
      </c>
    </row>
    <row r="360" spans="1:4" hidden="1" x14ac:dyDescent="0.35">
      <c r="A360" s="1">
        <v>1305</v>
      </c>
      <c r="B360" s="2">
        <v>46196</v>
      </c>
      <c r="C360" s="1" t="s">
        <v>52</v>
      </c>
      <c r="D360" s="1">
        <f>IFERROR(VLOOKUP(DEG_REDE[[#This Row],[ID]],DEG_ACUM!A:A,1,0),"NOVO")</f>
        <v>1305</v>
      </c>
    </row>
    <row r="361" spans="1:4" hidden="1" x14ac:dyDescent="0.35">
      <c r="A361" s="1">
        <v>1306</v>
      </c>
      <c r="B361" s="2">
        <v>46196</v>
      </c>
      <c r="C361" s="1" t="s">
        <v>52</v>
      </c>
      <c r="D361" s="1">
        <f>IFERROR(VLOOKUP(DEG_REDE[[#This Row],[ID]],DEG_ACUM!A:A,1,0),"NOVO")</f>
        <v>1306</v>
      </c>
    </row>
    <row r="362" spans="1:4" hidden="1" x14ac:dyDescent="0.35">
      <c r="A362" s="1">
        <v>1307</v>
      </c>
      <c r="B362" s="2">
        <v>46196</v>
      </c>
      <c r="C362" s="1" t="s">
        <v>62</v>
      </c>
      <c r="D362" s="1">
        <f>IFERROR(VLOOKUP(DEG_REDE[[#This Row],[ID]],DEG_ACUM!A:A,1,0),"NOVO")</f>
        <v>1307</v>
      </c>
    </row>
    <row r="363" spans="1:4" hidden="1" x14ac:dyDescent="0.35">
      <c r="A363" s="1">
        <v>1308</v>
      </c>
      <c r="B363" s="2">
        <v>46196</v>
      </c>
      <c r="C363" s="1" t="s">
        <v>62</v>
      </c>
      <c r="D363" s="1">
        <f>IFERROR(VLOOKUP(DEG_REDE[[#This Row],[ID]],DEG_ACUM!A:A,1,0),"NOVO")</f>
        <v>1308</v>
      </c>
    </row>
    <row r="364" spans="1:4" hidden="1" x14ac:dyDescent="0.35">
      <c r="A364" s="1">
        <v>1313</v>
      </c>
      <c r="B364" s="2">
        <v>46196</v>
      </c>
      <c r="C364" s="1" t="s">
        <v>60</v>
      </c>
      <c r="D364" s="1">
        <f>IFERROR(VLOOKUP(DEG_REDE[[#This Row],[ID]],DEG_ACUM!A:A,1,0),"NOVO")</f>
        <v>1313</v>
      </c>
    </row>
    <row r="365" spans="1:4" hidden="1" x14ac:dyDescent="0.35">
      <c r="A365" s="1">
        <v>1326</v>
      </c>
      <c r="B365" s="2">
        <v>46197</v>
      </c>
      <c r="C365" s="1" t="s">
        <v>63</v>
      </c>
      <c r="D365" s="1">
        <f>IFERROR(VLOOKUP(DEG_REDE[[#This Row],[ID]],DEG_ACUM!A:A,1,0),"NOVO")</f>
        <v>1326</v>
      </c>
    </row>
    <row r="366" spans="1:4" hidden="1" x14ac:dyDescent="0.35">
      <c r="A366" s="1">
        <v>1333</v>
      </c>
      <c r="B366" s="2">
        <v>46198</v>
      </c>
      <c r="C366" s="1" t="s">
        <v>61</v>
      </c>
      <c r="D366" s="1">
        <f>IFERROR(VLOOKUP(DEG_REDE[[#This Row],[ID]],DEG_ACUM!A:A,1,0),"NOVO")</f>
        <v>1333</v>
      </c>
    </row>
    <row r="367" spans="1:4" hidden="1" x14ac:dyDescent="0.35">
      <c r="A367" s="1">
        <v>1334</v>
      </c>
      <c r="B367" s="2">
        <v>46198</v>
      </c>
      <c r="C367" s="1" t="s">
        <v>57</v>
      </c>
      <c r="D367" s="1">
        <f>IFERROR(VLOOKUP(DEG_REDE[[#This Row],[ID]],DEG_ACUM!A:A,1,0),"NOVO")</f>
        <v>1334</v>
      </c>
    </row>
    <row r="368" spans="1:4" hidden="1" x14ac:dyDescent="0.35">
      <c r="A368" s="1">
        <v>1336</v>
      </c>
      <c r="B368" s="2">
        <v>46198</v>
      </c>
      <c r="C368" s="1" t="s">
        <v>60</v>
      </c>
      <c r="D368" s="1">
        <f>IFERROR(VLOOKUP(DEG_REDE[[#This Row],[ID]],DEG_ACUM!A:A,1,0),"NOVO")</f>
        <v>1336</v>
      </c>
    </row>
    <row r="369" spans="1:4" hidden="1" x14ac:dyDescent="0.35">
      <c r="A369" s="1">
        <v>1337</v>
      </c>
      <c r="B369" s="2">
        <v>46198</v>
      </c>
      <c r="C369" s="1" t="s">
        <v>60</v>
      </c>
      <c r="D369" s="1">
        <f>IFERROR(VLOOKUP(DEG_REDE[[#This Row],[ID]],DEG_ACUM!A:A,1,0),"NOVO")</f>
        <v>1337</v>
      </c>
    </row>
    <row r="370" spans="1:4" hidden="1" x14ac:dyDescent="0.35">
      <c r="A370" s="1">
        <v>1344</v>
      </c>
      <c r="B370" s="2">
        <v>46199</v>
      </c>
      <c r="C370" s="1" t="s">
        <v>61</v>
      </c>
      <c r="D370" s="1">
        <f>IFERROR(VLOOKUP(DEG_REDE[[#This Row],[ID]],DEG_ACUM!A:A,1,0),"NOVO")</f>
        <v>1344</v>
      </c>
    </row>
    <row r="371" spans="1:4" hidden="1" x14ac:dyDescent="0.35">
      <c r="A371" s="1">
        <v>1350</v>
      </c>
      <c r="B371" s="2">
        <v>46199</v>
      </c>
      <c r="C371" s="1" t="s">
        <v>57</v>
      </c>
      <c r="D371" s="1">
        <f>IFERROR(VLOOKUP(DEG_REDE[[#This Row],[ID]],DEG_ACUM!A:A,1,0),"NOVO")</f>
        <v>1350</v>
      </c>
    </row>
    <row r="372" spans="1:4" hidden="1" x14ac:dyDescent="0.35">
      <c r="A372" s="1">
        <v>1351</v>
      </c>
      <c r="B372" s="2">
        <v>46199</v>
      </c>
      <c r="C372" s="1" t="s">
        <v>57</v>
      </c>
      <c r="D372" s="1">
        <f>IFERROR(VLOOKUP(DEG_REDE[[#This Row],[ID]],DEG_ACUM!A:A,1,0),"NOVO")</f>
        <v>1351</v>
      </c>
    </row>
    <row r="373" spans="1:4" hidden="1" x14ac:dyDescent="0.35">
      <c r="A373" s="1">
        <v>1352</v>
      </c>
      <c r="B373" s="2">
        <v>46199</v>
      </c>
      <c r="C373" s="1" t="s">
        <v>57</v>
      </c>
      <c r="D373" s="1">
        <f>IFERROR(VLOOKUP(DEG_REDE[[#This Row],[ID]],DEG_ACUM!A:A,1,0),"NOVO")</f>
        <v>1352</v>
      </c>
    </row>
    <row r="374" spans="1:4" hidden="1" x14ac:dyDescent="0.35">
      <c r="A374" s="1">
        <v>1355</v>
      </c>
      <c r="B374" s="2">
        <v>46199</v>
      </c>
      <c r="C374" s="1" t="s">
        <v>60</v>
      </c>
      <c r="D374" s="1">
        <f>IFERROR(VLOOKUP(DEG_REDE[[#This Row],[ID]],DEG_ACUM!A:A,1,0),"NOVO")</f>
        <v>1355</v>
      </c>
    </row>
    <row r="375" spans="1:4" hidden="1" x14ac:dyDescent="0.35">
      <c r="A375" s="1">
        <v>1364</v>
      </c>
      <c r="B375" s="2">
        <v>46202</v>
      </c>
      <c r="C375" s="1" t="s">
        <v>57</v>
      </c>
      <c r="D375" s="1">
        <f>IFERROR(VLOOKUP(DEG_REDE[[#This Row],[ID]],DEG_ACUM!A:A,1,0),"NOVO")</f>
        <v>1364</v>
      </c>
    </row>
    <row r="376" spans="1:4" hidden="1" x14ac:dyDescent="0.35">
      <c r="A376" s="1">
        <v>1365</v>
      </c>
      <c r="B376" s="2">
        <v>46202</v>
      </c>
      <c r="C376" s="1" t="s">
        <v>51</v>
      </c>
      <c r="D376" s="1">
        <f>IFERROR(VLOOKUP(DEG_REDE[[#This Row],[ID]],DEG_ACUM!A:A,1,0),"NOVO")</f>
        <v>1365</v>
      </c>
    </row>
    <row r="377" spans="1:4" hidden="1" x14ac:dyDescent="0.35">
      <c r="A377" s="1">
        <v>1367</v>
      </c>
      <c r="B377" s="2">
        <v>46202</v>
      </c>
      <c r="C377" s="1" t="s">
        <v>62</v>
      </c>
      <c r="D377" s="1">
        <f>IFERROR(VLOOKUP(DEG_REDE[[#This Row],[ID]],DEG_ACUM!A:A,1,0),"NOVO")</f>
        <v>1367</v>
      </c>
    </row>
    <row r="378" spans="1:4" hidden="1" x14ac:dyDescent="0.35">
      <c r="A378" s="1">
        <v>1368</v>
      </c>
      <c r="B378" s="2">
        <v>46202</v>
      </c>
      <c r="C378" s="1" t="s">
        <v>62</v>
      </c>
      <c r="D378" s="1">
        <f>IFERROR(VLOOKUP(DEG_REDE[[#This Row],[ID]],DEG_ACUM!A:A,1,0),"NOVO")</f>
        <v>1368</v>
      </c>
    </row>
    <row r="379" spans="1:4" hidden="1" x14ac:dyDescent="0.35">
      <c r="A379" s="1">
        <v>1378</v>
      </c>
      <c r="B379" s="2">
        <v>46202</v>
      </c>
      <c r="C379" s="1" t="s">
        <v>52</v>
      </c>
      <c r="D379" s="1">
        <f>IFERROR(VLOOKUP(DEG_REDE[[#This Row],[ID]],DEG_ACUM!A:A,1,0),"NOVO")</f>
        <v>1378</v>
      </c>
    </row>
    <row r="380" spans="1:4" hidden="1" x14ac:dyDescent="0.35">
      <c r="A380" s="1">
        <v>1379</v>
      </c>
      <c r="B380" s="2">
        <v>46202</v>
      </c>
      <c r="C380" s="1" t="s">
        <v>52</v>
      </c>
      <c r="D380" s="1">
        <f>IFERROR(VLOOKUP(DEG_REDE[[#This Row],[ID]],DEG_ACUM!A:A,1,0),"NOVO")</f>
        <v>1379</v>
      </c>
    </row>
    <row r="381" spans="1:4" hidden="1" x14ac:dyDescent="0.35">
      <c r="A381" s="1">
        <v>1380</v>
      </c>
      <c r="B381" s="2">
        <v>46202</v>
      </c>
      <c r="C381" s="1" t="s">
        <v>52</v>
      </c>
      <c r="D381" s="1">
        <f>IFERROR(VLOOKUP(DEG_REDE[[#This Row],[ID]],DEG_ACUM!A:A,1,0),"NOVO")</f>
        <v>1380</v>
      </c>
    </row>
    <row r="382" spans="1:4" hidden="1" x14ac:dyDescent="0.35">
      <c r="A382" s="1">
        <v>1381</v>
      </c>
      <c r="B382" s="2">
        <v>46202</v>
      </c>
      <c r="C382" s="1" t="s">
        <v>52</v>
      </c>
      <c r="D382" s="1">
        <f>IFERROR(VLOOKUP(DEG_REDE[[#This Row],[ID]],DEG_ACUM!A:A,1,0),"NOVO")</f>
        <v>1381</v>
      </c>
    </row>
    <row r="383" spans="1:4" hidden="1" x14ac:dyDescent="0.35">
      <c r="A383" s="1">
        <v>1382</v>
      </c>
      <c r="B383" s="2">
        <v>46202</v>
      </c>
      <c r="C383" s="1" t="s">
        <v>62</v>
      </c>
      <c r="D383" s="1">
        <f>IFERROR(VLOOKUP(DEG_REDE[[#This Row],[ID]],DEG_ACUM!A:A,1,0),"NOVO")</f>
        <v>1382</v>
      </c>
    </row>
    <row r="384" spans="1:4" hidden="1" x14ac:dyDescent="0.35">
      <c r="A384" s="1">
        <v>1383</v>
      </c>
      <c r="B384" s="2">
        <v>46202</v>
      </c>
      <c r="C384" s="1" t="s">
        <v>62</v>
      </c>
      <c r="D384" s="1">
        <f>IFERROR(VLOOKUP(DEG_REDE[[#This Row],[ID]],DEG_ACUM!A:A,1,0),"NOVO")</f>
        <v>1383</v>
      </c>
    </row>
    <row r="385" spans="1:4" hidden="1" x14ac:dyDescent="0.35">
      <c r="A385" s="1">
        <v>1433</v>
      </c>
      <c r="B385" s="2">
        <v>46204</v>
      </c>
      <c r="C385" s="1" t="s">
        <v>61</v>
      </c>
      <c r="D385" s="1">
        <f>IFERROR(VLOOKUP(DEG_REDE[[#This Row],[ID]],DEG_ACUM!A:A,1,0),"NOVO")</f>
        <v>1433</v>
      </c>
    </row>
    <row r="386" spans="1:4" hidden="1" x14ac:dyDescent="0.35">
      <c r="A386" s="1">
        <v>1437</v>
      </c>
      <c r="B386" s="2">
        <v>46204</v>
      </c>
      <c r="C386" s="1" t="s">
        <v>52</v>
      </c>
      <c r="D386" s="1">
        <f>IFERROR(VLOOKUP(DEG_REDE[[#This Row],[ID]],DEG_ACUM!A:A,1,0),"NOVO")</f>
        <v>1437</v>
      </c>
    </row>
    <row r="387" spans="1:4" hidden="1" x14ac:dyDescent="0.35">
      <c r="A387" s="1">
        <v>1442</v>
      </c>
      <c r="B387" s="2">
        <v>46205</v>
      </c>
      <c r="C387" s="1" t="s">
        <v>52</v>
      </c>
      <c r="D387" s="1">
        <f>IFERROR(VLOOKUP(DEG_REDE[[#This Row],[ID]],DEG_ACUM!A:A,1,0),"NOVO")</f>
        <v>1442</v>
      </c>
    </row>
    <row r="388" spans="1:4" hidden="1" x14ac:dyDescent="0.35">
      <c r="A388" s="1">
        <v>1443</v>
      </c>
      <c r="B388" s="2">
        <v>46205</v>
      </c>
      <c r="C388" s="1" t="s">
        <v>52</v>
      </c>
      <c r="D388" s="1">
        <f>IFERROR(VLOOKUP(DEG_REDE[[#This Row],[ID]],DEG_ACUM!A:A,1,0),"NOVO")</f>
        <v>1443</v>
      </c>
    </row>
    <row r="389" spans="1:4" hidden="1" x14ac:dyDescent="0.35">
      <c r="A389" s="1">
        <v>1444</v>
      </c>
      <c r="B389" s="2">
        <v>46205</v>
      </c>
      <c r="C389" s="1" t="s">
        <v>57</v>
      </c>
      <c r="D389" s="1">
        <f>IFERROR(VLOOKUP(DEG_REDE[[#This Row],[ID]],DEG_ACUM!A:A,1,0),"NOVO")</f>
        <v>1444</v>
      </c>
    </row>
    <row r="390" spans="1:4" hidden="1" x14ac:dyDescent="0.35">
      <c r="A390" s="1">
        <v>1445</v>
      </c>
      <c r="B390" s="2">
        <v>46205</v>
      </c>
      <c r="C390" s="1" t="s">
        <v>51</v>
      </c>
      <c r="D390" s="1">
        <f>IFERROR(VLOOKUP(DEG_REDE[[#This Row],[ID]],DEG_ACUM!A:A,1,0),"NOVO")</f>
        <v>1445</v>
      </c>
    </row>
    <row r="391" spans="1:4" hidden="1" x14ac:dyDescent="0.35">
      <c r="A391" s="1">
        <v>1447</v>
      </c>
      <c r="B391" s="2">
        <v>46205</v>
      </c>
      <c r="C391" s="1" t="s">
        <v>54</v>
      </c>
      <c r="D391" s="1">
        <f>IFERROR(VLOOKUP(DEG_REDE[[#This Row],[ID]],DEG_ACUM!A:A,1,0),"NOVO")</f>
        <v>1447</v>
      </c>
    </row>
    <row r="392" spans="1:4" hidden="1" x14ac:dyDescent="0.35">
      <c r="A392" s="1">
        <v>1474</v>
      </c>
      <c r="B392" s="2">
        <v>46206</v>
      </c>
      <c r="C392" s="1" t="s">
        <v>54</v>
      </c>
      <c r="D392" s="1">
        <f>IFERROR(VLOOKUP(DEG_REDE[[#This Row],[ID]],DEG_ACUM!A:A,1,0),"NOVO")</f>
        <v>1474</v>
      </c>
    </row>
    <row r="393" spans="1:4" hidden="1" x14ac:dyDescent="0.35">
      <c r="A393" s="1">
        <v>1475</v>
      </c>
      <c r="B393" s="2">
        <v>46206</v>
      </c>
      <c r="C393" s="1" t="s">
        <v>54</v>
      </c>
      <c r="D393" s="1">
        <f>IFERROR(VLOOKUP(DEG_REDE[[#This Row],[ID]],DEG_ACUM!A:A,1,0),"NOVO")</f>
        <v>1475</v>
      </c>
    </row>
    <row r="394" spans="1:4" hidden="1" x14ac:dyDescent="0.35">
      <c r="A394" s="1">
        <v>1476</v>
      </c>
      <c r="B394" s="2">
        <v>46206</v>
      </c>
      <c r="C394" s="1" t="s">
        <v>54</v>
      </c>
      <c r="D394" s="1">
        <f>IFERROR(VLOOKUP(DEG_REDE[[#This Row],[ID]],DEG_ACUM!A:A,1,0),"NOVO")</f>
        <v>1476</v>
      </c>
    </row>
    <row r="395" spans="1:4" hidden="1" x14ac:dyDescent="0.35">
      <c r="A395" s="1">
        <v>1477</v>
      </c>
      <c r="B395" s="2">
        <v>46206</v>
      </c>
      <c r="C395" s="1" t="s">
        <v>57</v>
      </c>
      <c r="D395" s="1">
        <f>IFERROR(VLOOKUP(DEG_REDE[[#This Row],[ID]],DEG_ACUM!A:A,1,0),"NOVO")</f>
        <v>1477</v>
      </c>
    </row>
    <row r="396" spans="1:4" hidden="1" x14ac:dyDescent="0.35">
      <c r="A396" s="1">
        <v>1478</v>
      </c>
      <c r="B396" s="2">
        <v>46206</v>
      </c>
      <c r="C396" s="1" t="s">
        <v>51</v>
      </c>
      <c r="D396" s="1">
        <f>IFERROR(VLOOKUP(DEG_REDE[[#This Row],[ID]],DEG_ACUM!A:A,1,0),"NOVO")</f>
        <v>1478</v>
      </c>
    </row>
    <row r="397" spans="1:4" hidden="1" x14ac:dyDescent="0.35">
      <c r="A397" s="1">
        <v>1479</v>
      </c>
      <c r="B397" s="2">
        <v>46206</v>
      </c>
      <c r="C397" s="1" t="s">
        <v>52</v>
      </c>
      <c r="D397" s="1">
        <f>IFERROR(VLOOKUP(DEG_REDE[[#This Row],[ID]],DEG_ACUM!A:A,1,0),"NOVO")</f>
        <v>1479</v>
      </c>
    </row>
    <row r="398" spans="1:4" hidden="1" x14ac:dyDescent="0.35">
      <c r="A398" s="1">
        <v>1480</v>
      </c>
      <c r="B398" s="2">
        <v>46206</v>
      </c>
      <c r="C398" s="1" t="s">
        <v>52</v>
      </c>
      <c r="D398" s="1">
        <f>IFERROR(VLOOKUP(DEG_REDE[[#This Row],[ID]],DEG_ACUM!A:A,1,0),"NOVO")</f>
        <v>1480</v>
      </c>
    </row>
    <row r="399" spans="1:4" hidden="1" x14ac:dyDescent="0.35">
      <c r="A399" s="1">
        <v>1481</v>
      </c>
      <c r="B399" s="2">
        <v>46206</v>
      </c>
      <c r="C399" s="1" t="s">
        <v>52</v>
      </c>
      <c r="D399" s="1">
        <f>IFERROR(VLOOKUP(DEG_REDE[[#This Row],[ID]],DEG_ACUM!A:A,1,0),"NOVO")</f>
        <v>1481</v>
      </c>
    </row>
    <row r="400" spans="1:4" hidden="1" x14ac:dyDescent="0.35">
      <c r="A400" s="1">
        <v>1482</v>
      </c>
      <c r="B400" s="2">
        <v>46206</v>
      </c>
      <c r="C400" s="1" t="s">
        <v>52</v>
      </c>
      <c r="D400" s="1">
        <f>IFERROR(VLOOKUP(DEG_REDE[[#This Row],[ID]],DEG_ACUM!A:A,1,0),"NOVO")</f>
        <v>1482</v>
      </c>
    </row>
    <row r="401" spans="1:4" hidden="1" x14ac:dyDescent="0.35">
      <c r="A401" s="1">
        <v>1489</v>
      </c>
      <c r="B401" s="2">
        <v>46206</v>
      </c>
      <c r="C401" s="1" t="s">
        <v>52</v>
      </c>
      <c r="D401" s="1">
        <f>IFERROR(VLOOKUP(DEG_REDE[[#This Row],[ID]],DEG_ACUM!A:A,1,0),"NOVO")</f>
        <v>1489</v>
      </c>
    </row>
    <row r="402" spans="1:4" hidden="1" x14ac:dyDescent="0.35">
      <c r="A402" s="1">
        <v>1532</v>
      </c>
      <c r="B402" s="2">
        <v>46209</v>
      </c>
      <c r="C402" s="1" t="s">
        <v>57</v>
      </c>
      <c r="D402" s="1">
        <f>IFERROR(VLOOKUP(DEG_REDE[[#This Row],[ID]],DEG_ACUM!A:A,1,0),"NOVO")</f>
        <v>1532</v>
      </c>
    </row>
    <row r="403" spans="1:4" hidden="1" x14ac:dyDescent="0.35">
      <c r="A403" s="1">
        <v>1533</v>
      </c>
      <c r="B403" s="2">
        <v>46209</v>
      </c>
      <c r="C403" s="1" t="s">
        <v>57</v>
      </c>
      <c r="D403" s="1">
        <f>IFERROR(VLOOKUP(DEG_REDE[[#This Row],[ID]],DEG_ACUM!A:A,1,0),"NOVO")</f>
        <v>1533</v>
      </c>
    </row>
    <row r="404" spans="1:4" hidden="1" x14ac:dyDescent="0.35">
      <c r="A404" s="1">
        <v>1534</v>
      </c>
      <c r="B404" s="2">
        <v>46209</v>
      </c>
      <c r="C404" s="1" t="s">
        <v>54</v>
      </c>
      <c r="D404" s="1">
        <f>IFERROR(VLOOKUP(DEG_REDE[[#This Row],[ID]],DEG_ACUM!A:A,1,0),"NOVO")</f>
        <v>1534</v>
      </c>
    </row>
    <row r="405" spans="1:4" hidden="1" x14ac:dyDescent="0.35">
      <c r="A405" s="1">
        <v>1535</v>
      </c>
      <c r="B405" s="2">
        <v>46209</v>
      </c>
      <c r="C405" s="1" t="s">
        <v>51</v>
      </c>
      <c r="D405" s="1">
        <f>IFERROR(VLOOKUP(DEG_REDE[[#This Row],[ID]],DEG_ACUM!A:A,1,0),"NOVO")</f>
        <v>1535</v>
      </c>
    </row>
    <row r="406" spans="1:4" hidden="1" x14ac:dyDescent="0.35">
      <c r="A406" s="1">
        <v>1537</v>
      </c>
      <c r="B406" s="2">
        <v>46209</v>
      </c>
      <c r="C406" s="1" t="s">
        <v>62</v>
      </c>
      <c r="D406" s="1">
        <f>IFERROR(VLOOKUP(DEG_REDE[[#This Row],[ID]],DEG_ACUM!A:A,1,0),"NOVO")</f>
        <v>1537</v>
      </c>
    </row>
    <row r="407" spans="1:4" hidden="1" x14ac:dyDescent="0.35">
      <c r="A407" s="1">
        <v>1538</v>
      </c>
      <c r="B407" s="2">
        <v>46209</v>
      </c>
      <c r="C407" s="1" t="s">
        <v>55</v>
      </c>
      <c r="D407" s="1">
        <f>IFERROR(VLOOKUP(DEG_REDE[[#This Row],[ID]],DEG_ACUM!A:A,1,0),"NOVO")</f>
        <v>1538</v>
      </c>
    </row>
    <row r="408" spans="1:4" hidden="1" x14ac:dyDescent="0.35">
      <c r="A408" s="1">
        <v>1539</v>
      </c>
      <c r="B408" s="2">
        <v>46209</v>
      </c>
      <c r="C408" s="1" t="s">
        <v>55</v>
      </c>
      <c r="D408" s="1">
        <f>IFERROR(VLOOKUP(DEG_REDE[[#This Row],[ID]],DEG_ACUM!A:A,1,0),"NOVO")</f>
        <v>1539</v>
      </c>
    </row>
    <row r="409" spans="1:4" hidden="1" x14ac:dyDescent="0.35">
      <c r="A409" s="1">
        <v>1545</v>
      </c>
      <c r="B409" s="2">
        <v>46209</v>
      </c>
      <c r="C409" s="1" t="s">
        <v>52</v>
      </c>
      <c r="D409" s="1">
        <f>IFERROR(VLOOKUP(DEG_REDE[[#This Row],[ID]],DEG_ACUM!A:A,1,0),"NOVO")</f>
        <v>1545</v>
      </c>
    </row>
    <row r="410" spans="1:4" hidden="1" x14ac:dyDescent="0.35">
      <c r="A410" s="1">
        <v>1546</v>
      </c>
      <c r="B410" s="2">
        <v>46209</v>
      </c>
      <c r="C410" s="1" t="s">
        <v>52</v>
      </c>
      <c r="D410" s="1">
        <f>IFERROR(VLOOKUP(DEG_REDE[[#This Row],[ID]],DEG_ACUM!A:A,1,0),"NOVO")</f>
        <v>1546</v>
      </c>
    </row>
    <row r="411" spans="1:4" hidden="1" x14ac:dyDescent="0.35">
      <c r="A411" s="1">
        <v>1570</v>
      </c>
      <c r="B411" s="2">
        <v>46209</v>
      </c>
      <c r="C411" s="1" t="s">
        <v>52</v>
      </c>
      <c r="D411" s="1">
        <f>IFERROR(VLOOKUP(DEG_REDE[[#This Row],[ID]],DEG_ACUM!A:A,1,0),"NOVO")</f>
        <v>1570</v>
      </c>
    </row>
    <row r="412" spans="1:4" hidden="1" x14ac:dyDescent="0.35">
      <c r="A412" s="1">
        <v>1571</v>
      </c>
      <c r="B412" s="2">
        <v>46209</v>
      </c>
      <c r="C412" s="1" t="s">
        <v>52</v>
      </c>
      <c r="D412" s="1">
        <f>IFERROR(VLOOKUP(DEG_REDE[[#This Row],[ID]],DEG_ACUM!A:A,1,0),"NOVO")</f>
        <v>1571</v>
      </c>
    </row>
    <row r="413" spans="1:4" hidden="1" x14ac:dyDescent="0.35">
      <c r="A413" s="1">
        <v>1572</v>
      </c>
      <c r="B413" s="2">
        <v>46209</v>
      </c>
      <c r="C413" s="1" t="s">
        <v>52</v>
      </c>
      <c r="D413" s="1">
        <f>IFERROR(VLOOKUP(DEG_REDE[[#This Row],[ID]],DEG_ACUM!A:A,1,0),"NOVO")</f>
        <v>1572</v>
      </c>
    </row>
    <row r="414" spans="1:4" hidden="1" x14ac:dyDescent="0.35">
      <c r="A414" s="1">
        <v>1573</v>
      </c>
      <c r="B414" s="2">
        <v>46209</v>
      </c>
      <c r="C414" s="1" t="s">
        <v>52</v>
      </c>
      <c r="D414" s="1">
        <f>IFERROR(VLOOKUP(DEG_REDE[[#This Row],[ID]],DEG_ACUM!A:A,1,0),"NOVO")</f>
        <v>1573</v>
      </c>
    </row>
    <row r="415" spans="1:4" hidden="1" x14ac:dyDescent="0.35">
      <c r="A415" s="1">
        <v>1574</v>
      </c>
      <c r="B415" s="2">
        <v>46209</v>
      </c>
      <c r="C415" s="1" t="s">
        <v>52</v>
      </c>
      <c r="D415" s="1">
        <f>IFERROR(VLOOKUP(DEG_REDE[[#This Row],[ID]],DEG_ACUM!A:A,1,0),"NOVO")</f>
        <v>1574</v>
      </c>
    </row>
    <row r="416" spans="1:4" hidden="1" x14ac:dyDescent="0.35">
      <c r="A416" s="1">
        <v>1575</v>
      </c>
      <c r="B416" s="2">
        <v>46209</v>
      </c>
      <c r="C416" s="1" t="s">
        <v>52</v>
      </c>
      <c r="D416" s="1">
        <f>IFERROR(VLOOKUP(DEG_REDE[[#This Row],[ID]],DEG_ACUM!A:A,1,0),"NOVO")</f>
        <v>1575</v>
      </c>
    </row>
    <row r="417" spans="1:4" hidden="1" x14ac:dyDescent="0.35">
      <c r="A417" s="1">
        <v>1576</v>
      </c>
      <c r="B417" s="2">
        <v>46210</v>
      </c>
      <c r="C417" s="1" t="s">
        <v>55</v>
      </c>
      <c r="D417" s="1">
        <f>IFERROR(VLOOKUP(DEG_REDE[[#This Row],[ID]],DEG_ACUM!A:A,1,0),"NOVO")</f>
        <v>1576</v>
      </c>
    </row>
    <row r="418" spans="1:4" hidden="1" x14ac:dyDescent="0.35">
      <c r="A418" s="1">
        <v>1577</v>
      </c>
      <c r="B418" s="2">
        <v>46210</v>
      </c>
      <c r="C418" s="1" t="s">
        <v>52</v>
      </c>
      <c r="D418" s="1">
        <f>IFERROR(VLOOKUP(DEG_REDE[[#This Row],[ID]],DEG_ACUM!A:A,1,0),"NOVO")</f>
        <v>1577</v>
      </c>
    </row>
    <row r="419" spans="1:4" hidden="1" x14ac:dyDescent="0.35">
      <c r="A419" s="1">
        <v>1578</v>
      </c>
      <c r="B419" s="2">
        <v>46210</v>
      </c>
      <c r="C419" s="1" t="s">
        <v>52</v>
      </c>
      <c r="D419" s="1">
        <f>IFERROR(VLOOKUP(DEG_REDE[[#This Row],[ID]],DEG_ACUM!A:A,1,0),"NOVO")</f>
        <v>1578</v>
      </c>
    </row>
    <row r="420" spans="1:4" hidden="1" x14ac:dyDescent="0.35">
      <c r="A420" s="1">
        <v>1579</v>
      </c>
      <c r="B420" s="2">
        <v>46210</v>
      </c>
      <c r="C420" s="1" t="s">
        <v>52</v>
      </c>
      <c r="D420" s="1">
        <f>IFERROR(VLOOKUP(DEG_REDE[[#This Row],[ID]],DEG_ACUM!A:A,1,0),"NOVO")</f>
        <v>1579</v>
      </c>
    </row>
    <row r="421" spans="1:4" hidden="1" x14ac:dyDescent="0.35">
      <c r="A421" s="1">
        <v>1580</v>
      </c>
      <c r="B421" s="2">
        <v>46210</v>
      </c>
      <c r="C421" s="1" t="s">
        <v>52</v>
      </c>
      <c r="D421" s="1">
        <f>IFERROR(VLOOKUP(DEG_REDE[[#This Row],[ID]],DEG_ACUM!A:A,1,0),"NOVO")</f>
        <v>1580</v>
      </c>
    </row>
    <row r="422" spans="1:4" hidden="1" x14ac:dyDescent="0.35">
      <c r="A422" s="1">
        <v>1582</v>
      </c>
      <c r="B422" s="2">
        <v>46210</v>
      </c>
      <c r="C422" s="1" t="s">
        <v>52</v>
      </c>
      <c r="D422" s="1">
        <f>IFERROR(VLOOKUP(DEG_REDE[[#This Row],[ID]],DEG_ACUM!A:A,1,0),"NOVO")</f>
        <v>1582</v>
      </c>
    </row>
    <row r="423" spans="1:4" hidden="1" x14ac:dyDescent="0.35">
      <c r="A423" s="1">
        <v>1588</v>
      </c>
      <c r="B423" s="2">
        <v>46210</v>
      </c>
      <c r="C423" s="1" t="s">
        <v>60</v>
      </c>
      <c r="D423" s="1">
        <f>IFERROR(VLOOKUP(DEG_REDE[[#This Row],[ID]],DEG_ACUM!A:A,1,0),"NOVO")</f>
        <v>1588</v>
      </c>
    </row>
    <row r="424" spans="1:4" hidden="1" x14ac:dyDescent="0.35">
      <c r="A424" s="1">
        <v>1590</v>
      </c>
      <c r="B424" s="2">
        <v>46210</v>
      </c>
      <c r="C424" s="1" t="s">
        <v>51</v>
      </c>
      <c r="D424" s="1">
        <f>IFERROR(VLOOKUP(DEG_REDE[[#This Row],[ID]],DEG_ACUM!A:A,1,0),"NOVO")</f>
        <v>1590</v>
      </c>
    </row>
    <row r="425" spans="1:4" hidden="1" x14ac:dyDescent="0.35">
      <c r="A425" s="1">
        <v>1592</v>
      </c>
      <c r="B425" s="2">
        <v>46210</v>
      </c>
      <c r="C425" s="1" t="s">
        <v>61</v>
      </c>
      <c r="D425" s="1">
        <f>IFERROR(VLOOKUP(DEG_REDE[[#This Row],[ID]],DEG_ACUM!A:A,1,0),"NOVO")</f>
        <v>1592</v>
      </c>
    </row>
    <row r="426" spans="1:4" hidden="1" x14ac:dyDescent="0.35">
      <c r="A426" s="1">
        <v>1611</v>
      </c>
      <c r="B426" s="2">
        <v>46211</v>
      </c>
      <c r="C426" s="1" t="s">
        <v>61</v>
      </c>
      <c r="D426" s="1">
        <f>IFERROR(VLOOKUP(DEG_REDE[[#This Row],[ID]],DEG_ACUM!A:A,1,0),"NOVO")</f>
        <v>1611</v>
      </c>
    </row>
    <row r="427" spans="1:4" hidden="1" x14ac:dyDescent="0.35">
      <c r="A427" s="1">
        <v>1613</v>
      </c>
      <c r="B427" s="2">
        <v>46211</v>
      </c>
      <c r="C427" s="1" t="s">
        <v>61</v>
      </c>
      <c r="D427" s="1">
        <f>IFERROR(VLOOKUP(DEG_REDE[[#This Row],[ID]],DEG_ACUM!A:A,1,0),"NOVO")</f>
        <v>1613</v>
      </c>
    </row>
    <row r="428" spans="1:4" hidden="1" x14ac:dyDescent="0.35">
      <c r="A428" s="1">
        <v>1615</v>
      </c>
      <c r="B428" s="2">
        <v>46211</v>
      </c>
      <c r="C428" s="1" t="s">
        <v>60</v>
      </c>
      <c r="D428" s="1">
        <f>IFERROR(VLOOKUP(DEG_REDE[[#This Row],[ID]],DEG_ACUM!A:A,1,0),"NOVO")</f>
        <v>1615</v>
      </c>
    </row>
    <row r="429" spans="1:4" hidden="1" x14ac:dyDescent="0.35">
      <c r="A429" s="1">
        <v>1616</v>
      </c>
      <c r="B429" s="2">
        <v>46211</v>
      </c>
      <c r="C429" s="1" t="s">
        <v>51</v>
      </c>
      <c r="D429" s="1">
        <f>IFERROR(VLOOKUP(DEG_REDE[[#This Row],[ID]],DEG_ACUM!A:A,1,0),"NOVO")</f>
        <v>1616</v>
      </c>
    </row>
    <row r="430" spans="1:4" hidden="1" x14ac:dyDescent="0.35">
      <c r="A430" s="1">
        <v>1619</v>
      </c>
      <c r="B430" s="2">
        <v>46211</v>
      </c>
      <c r="C430" s="1" t="s">
        <v>61</v>
      </c>
      <c r="D430" s="1">
        <f>IFERROR(VLOOKUP(DEG_REDE[[#This Row],[ID]],DEG_ACUM!A:A,1,0),"NOVO")</f>
        <v>1619</v>
      </c>
    </row>
    <row r="431" spans="1:4" hidden="1" x14ac:dyDescent="0.35">
      <c r="A431" s="1">
        <v>1620</v>
      </c>
      <c r="B431" s="2">
        <v>46211</v>
      </c>
      <c r="C431" s="1" t="s">
        <v>52</v>
      </c>
      <c r="D431" s="1">
        <f>IFERROR(VLOOKUP(DEG_REDE[[#This Row],[ID]],DEG_ACUM!A:A,1,0),"NOVO")</f>
        <v>1620</v>
      </c>
    </row>
    <row r="432" spans="1:4" hidden="1" x14ac:dyDescent="0.35">
      <c r="A432" s="1">
        <v>1621</v>
      </c>
      <c r="B432" s="2">
        <v>46211</v>
      </c>
      <c r="C432" s="1" t="s">
        <v>52</v>
      </c>
      <c r="D432" s="1">
        <f>IFERROR(VLOOKUP(DEG_REDE[[#This Row],[ID]],DEG_ACUM!A:A,1,0),"NOVO")</f>
        <v>1621</v>
      </c>
    </row>
    <row r="433" spans="1:4" hidden="1" x14ac:dyDescent="0.35">
      <c r="A433" s="1">
        <v>1622</v>
      </c>
      <c r="B433" s="2">
        <v>46211</v>
      </c>
      <c r="C433" s="1" t="s">
        <v>52</v>
      </c>
      <c r="D433" s="1">
        <f>IFERROR(VLOOKUP(DEG_REDE[[#This Row],[ID]],DEG_ACUM!A:A,1,0),"NOVO")</f>
        <v>1622</v>
      </c>
    </row>
    <row r="434" spans="1:4" hidden="1" x14ac:dyDescent="0.35">
      <c r="A434" s="1">
        <v>1623</v>
      </c>
      <c r="B434" s="2">
        <v>46211</v>
      </c>
      <c r="C434" s="1" t="s">
        <v>52</v>
      </c>
      <c r="D434" s="1">
        <f>IFERROR(VLOOKUP(DEG_REDE[[#This Row],[ID]],DEG_ACUM!A:A,1,0),"NOVO")</f>
        <v>1623</v>
      </c>
    </row>
    <row r="435" spans="1:4" hidden="1" x14ac:dyDescent="0.35">
      <c r="A435" s="1">
        <v>1627</v>
      </c>
      <c r="B435" s="2">
        <v>46213</v>
      </c>
      <c r="C435" s="1" t="s">
        <v>60</v>
      </c>
      <c r="D435" s="1">
        <f>IFERROR(VLOOKUP(DEG_REDE[[#This Row],[ID]],DEG_ACUM!A:A,1,0),"NOVO")</f>
        <v>1627</v>
      </c>
    </row>
    <row r="436" spans="1:4" hidden="1" x14ac:dyDescent="0.35">
      <c r="A436" s="1">
        <v>1629</v>
      </c>
      <c r="B436" s="2">
        <v>46213</v>
      </c>
      <c r="C436" s="1" t="s">
        <v>61</v>
      </c>
      <c r="D436" s="1">
        <f>IFERROR(VLOOKUP(DEG_REDE[[#This Row],[ID]],DEG_ACUM!A:A,1,0),"NOVO")</f>
        <v>1629</v>
      </c>
    </row>
    <row r="437" spans="1:4" hidden="1" x14ac:dyDescent="0.35">
      <c r="A437" s="1">
        <v>1651</v>
      </c>
      <c r="B437" s="2">
        <v>46213</v>
      </c>
      <c r="C437" s="1" t="s">
        <v>61</v>
      </c>
      <c r="D437" s="1">
        <f>IFERROR(VLOOKUP(DEG_REDE[[#This Row],[ID]],DEG_ACUM!A:A,1,0),"NOVO")</f>
        <v>1651</v>
      </c>
    </row>
    <row r="438" spans="1:4" hidden="1" x14ac:dyDescent="0.35">
      <c r="A438" s="1">
        <v>1707</v>
      </c>
      <c r="B438" s="2">
        <v>46216</v>
      </c>
      <c r="C438" s="1" t="s">
        <v>61</v>
      </c>
      <c r="D438" s="1">
        <f>IFERROR(VLOOKUP(DEG_REDE[[#This Row],[ID]],DEG_ACUM!A:A,1,0),"NOVO")</f>
        <v>1707</v>
      </c>
    </row>
    <row r="439" spans="1:4" hidden="1" x14ac:dyDescent="0.35">
      <c r="A439" s="1">
        <v>1710</v>
      </c>
      <c r="B439" s="2">
        <v>46216</v>
      </c>
      <c r="C439" s="1" t="s">
        <v>51</v>
      </c>
      <c r="D439" s="1">
        <f>IFERROR(VLOOKUP(DEG_REDE[[#This Row],[ID]],DEG_ACUM!A:A,1,0),"NOVO")</f>
        <v>1710</v>
      </c>
    </row>
    <row r="440" spans="1:4" hidden="1" x14ac:dyDescent="0.35">
      <c r="A440" s="1">
        <v>1711</v>
      </c>
      <c r="B440" s="2">
        <v>46216</v>
      </c>
      <c r="C440" s="1" t="s">
        <v>51</v>
      </c>
      <c r="D440" s="1">
        <f>IFERROR(VLOOKUP(DEG_REDE[[#This Row],[ID]],DEG_ACUM!A:A,1,0),"NOVO")</f>
        <v>1711</v>
      </c>
    </row>
    <row r="441" spans="1:4" hidden="1" x14ac:dyDescent="0.35">
      <c r="A441" s="1">
        <v>1712</v>
      </c>
      <c r="B441" s="2">
        <v>46216</v>
      </c>
      <c r="C441" s="1" t="s">
        <v>57</v>
      </c>
      <c r="D441" s="1">
        <f>IFERROR(VLOOKUP(DEG_REDE[[#This Row],[ID]],DEG_ACUM!A:A,1,0),"NOVO")</f>
        <v>1712</v>
      </c>
    </row>
    <row r="442" spans="1:4" hidden="1" x14ac:dyDescent="0.35">
      <c r="A442" s="1">
        <v>1748</v>
      </c>
      <c r="B442" s="2">
        <v>46217</v>
      </c>
      <c r="C442" s="1" t="s">
        <v>61</v>
      </c>
      <c r="D442" s="1">
        <f>IFERROR(VLOOKUP(DEG_REDE[[#This Row],[ID]],DEG_ACUM!A:A,1,0),"NOVO")</f>
        <v>1748</v>
      </c>
    </row>
    <row r="443" spans="1:4" hidden="1" x14ac:dyDescent="0.35">
      <c r="A443" s="1">
        <v>1749</v>
      </c>
      <c r="B443" s="2">
        <v>46217</v>
      </c>
      <c r="C443" s="1" t="s">
        <v>52</v>
      </c>
      <c r="D443" s="1">
        <f>IFERROR(VLOOKUP(DEG_REDE[[#This Row],[ID]],DEG_ACUM!A:A,1,0),"NOVO")</f>
        <v>1749</v>
      </c>
    </row>
    <row r="444" spans="1:4" hidden="1" x14ac:dyDescent="0.35">
      <c r="A444" s="1">
        <v>1750</v>
      </c>
      <c r="B444" s="2">
        <v>46217</v>
      </c>
      <c r="C444" s="1" t="s">
        <v>52</v>
      </c>
      <c r="D444" s="1">
        <f>IFERROR(VLOOKUP(DEG_REDE[[#This Row],[ID]],DEG_ACUM!A:A,1,0),"NOVO")</f>
        <v>1750</v>
      </c>
    </row>
    <row r="445" spans="1:4" hidden="1" x14ac:dyDescent="0.35">
      <c r="A445" s="1">
        <v>1751</v>
      </c>
      <c r="B445" s="2">
        <v>46217</v>
      </c>
      <c r="C445" s="1" t="s">
        <v>52</v>
      </c>
      <c r="D445" s="1">
        <f>IFERROR(VLOOKUP(DEG_REDE[[#This Row],[ID]],DEG_ACUM!A:A,1,0),"NOVO")</f>
        <v>1751</v>
      </c>
    </row>
    <row r="446" spans="1:4" hidden="1" x14ac:dyDescent="0.35">
      <c r="A446" s="1">
        <v>1752</v>
      </c>
      <c r="B446" s="2">
        <v>46217</v>
      </c>
      <c r="C446" s="1" t="s">
        <v>52</v>
      </c>
      <c r="D446" s="1">
        <f>IFERROR(VLOOKUP(DEG_REDE[[#This Row],[ID]],DEG_ACUM!A:A,1,0),"NOVO")</f>
        <v>1752</v>
      </c>
    </row>
    <row r="447" spans="1:4" hidden="1" x14ac:dyDescent="0.35">
      <c r="A447" s="1">
        <v>1753</v>
      </c>
      <c r="B447" s="2">
        <v>46217</v>
      </c>
      <c r="C447" s="1" t="s">
        <v>52</v>
      </c>
      <c r="D447" s="1">
        <f>IFERROR(VLOOKUP(DEG_REDE[[#This Row],[ID]],DEG_ACUM!A:A,1,0),"NOVO")</f>
        <v>1753</v>
      </c>
    </row>
    <row r="448" spans="1:4" hidden="1" x14ac:dyDescent="0.35">
      <c r="A448" s="1">
        <v>1754</v>
      </c>
      <c r="B448" s="2">
        <v>46217</v>
      </c>
      <c r="C448" s="1" t="s">
        <v>52</v>
      </c>
      <c r="D448" s="1">
        <f>IFERROR(VLOOKUP(DEG_REDE[[#This Row],[ID]],DEG_ACUM!A:A,1,0),"NOVO")</f>
        <v>1754</v>
      </c>
    </row>
    <row r="449" spans="1:4" hidden="1" x14ac:dyDescent="0.35">
      <c r="A449" s="1">
        <v>1755</v>
      </c>
      <c r="B449" s="2">
        <v>46217</v>
      </c>
      <c r="C449" s="1" t="s">
        <v>52</v>
      </c>
      <c r="D449" s="1">
        <f>IFERROR(VLOOKUP(DEG_REDE[[#This Row],[ID]],DEG_ACUM!A:A,1,0),"NOVO")</f>
        <v>1755</v>
      </c>
    </row>
    <row r="450" spans="1:4" hidden="1" x14ac:dyDescent="0.35">
      <c r="A450" s="1">
        <v>1773</v>
      </c>
      <c r="B450" s="2">
        <v>46217</v>
      </c>
      <c r="C450" s="1" t="s">
        <v>57</v>
      </c>
      <c r="D450" s="1">
        <f>IFERROR(VLOOKUP(DEG_REDE[[#This Row],[ID]],DEG_ACUM!A:A,1,0),"NOVO")</f>
        <v>1773</v>
      </c>
    </row>
    <row r="451" spans="1:4" hidden="1" x14ac:dyDescent="0.35">
      <c r="A451" s="1">
        <v>1794</v>
      </c>
      <c r="B451" s="2">
        <v>46217</v>
      </c>
      <c r="C451" s="1" t="s">
        <v>52</v>
      </c>
      <c r="D451" s="1">
        <f>IFERROR(VLOOKUP(DEG_REDE[[#This Row],[ID]],DEG_ACUM!A:A,1,0),"NOVO")</f>
        <v>1794</v>
      </c>
    </row>
    <row r="452" spans="1:4" hidden="1" x14ac:dyDescent="0.35">
      <c r="A452" s="1">
        <v>1808</v>
      </c>
      <c r="B452" s="2">
        <v>46218</v>
      </c>
      <c r="C452" s="1" t="s">
        <v>57</v>
      </c>
      <c r="D452" s="1">
        <f>IFERROR(VLOOKUP(DEG_REDE[[#This Row],[ID]],DEG_ACUM!A:A,1,0),"NOVO")</f>
        <v>1808</v>
      </c>
    </row>
    <row r="453" spans="1:4" hidden="1" x14ac:dyDescent="0.35">
      <c r="A453" s="1">
        <v>1828</v>
      </c>
      <c r="B453" s="2">
        <v>46218</v>
      </c>
      <c r="C453" s="1" t="s">
        <v>52</v>
      </c>
      <c r="D453" s="1">
        <f>IFERROR(VLOOKUP(DEG_REDE[[#This Row],[ID]],DEG_ACUM!A:A,1,0),"NOVO")</f>
        <v>1828</v>
      </c>
    </row>
    <row r="454" spans="1:4" hidden="1" x14ac:dyDescent="0.35">
      <c r="A454" s="1">
        <v>1841</v>
      </c>
      <c r="B454" s="2">
        <v>46219</v>
      </c>
      <c r="C454" s="1" t="s">
        <v>57</v>
      </c>
      <c r="D454" s="1">
        <f>IFERROR(VLOOKUP(DEG_REDE[[#This Row],[ID]],DEG_ACUM!A:A,1,0),"NOVO")</f>
        <v>1841</v>
      </c>
    </row>
    <row r="455" spans="1:4" hidden="1" x14ac:dyDescent="0.35">
      <c r="A455" s="1">
        <v>1846</v>
      </c>
      <c r="B455" s="2">
        <v>46220</v>
      </c>
      <c r="C455" s="1" t="s">
        <v>51</v>
      </c>
      <c r="D455" s="1">
        <f>IFERROR(VLOOKUP(DEG_REDE[[#This Row],[ID]],DEG_ACUM!A:A,1,0),"NOVO")</f>
        <v>1846</v>
      </c>
    </row>
    <row r="456" spans="1:4" hidden="1" x14ac:dyDescent="0.35">
      <c r="A456" s="1">
        <v>1847</v>
      </c>
      <c r="B456" s="2">
        <v>46220</v>
      </c>
      <c r="C456" s="1" t="s">
        <v>51</v>
      </c>
      <c r="D456" s="1">
        <f>IFERROR(VLOOKUP(DEG_REDE[[#This Row],[ID]],DEG_ACUM!A:A,1,0),"NOVO")</f>
        <v>1847</v>
      </c>
    </row>
    <row r="457" spans="1:4" hidden="1" x14ac:dyDescent="0.35">
      <c r="A457" s="1">
        <v>1848</v>
      </c>
      <c r="B457" s="2">
        <v>46220</v>
      </c>
      <c r="C457" s="1" t="s">
        <v>61</v>
      </c>
      <c r="D457" s="1">
        <f>IFERROR(VLOOKUP(DEG_REDE[[#This Row],[ID]],DEG_ACUM!A:A,1,0),"NOVO")</f>
        <v>1848</v>
      </c>
    </row>
    <row r="458" spans="1:4" hidden="1" x14ac:dyDescent="0.35">
      <c r="A458" s="1">
        <v>1849</v>
      </c>
      <c r="B458" s="2">
        <v>46220</v>
      </c>
      <c r="C458" s="1" t="s">
        <v>57</v>
      </c>
      <c r="D458" s="1">
        <f>IFERROR(VLOOKUP(DEG_REDE[[#This Row],[ID]],DEG_ACUM!A:A,1,0),"NOVO")</f>
        <v>1849</v>
      </c>
    </row>
    <row r="459" spans="1:4" hidden="1" x14ac:dyDescent="0.35">
      <c r="A459" s="1">
        <v>1853</v>
      </c>
      <c r="B459" s="2">
        <v>46223</v>
      </c>
      <c r="C459" s="1" t="s">
        <v>64</v>
      </c>
      <c r="D459" s="1">
        <f>IFERROR(VLOOKUP(DEG_REDE[[#This Row],[ID]],DEG_ACUM!A:A,1,0),"NOVO")</f>
        <v>1853</v>
      </c>
    </row>
    <row r="460" spans="1:4" hidden="1" x14ac:dyDescent="0.35">
      <c r="A460" s="1">
        <v>1854</v>
      </c>
      <c r="B460" s="2">
        <v>46223</v>
      </c>
      <c r="C460" s="1" t="s">
        <v>51</v>
      </c>
      <c r="D460" s="1">
        <f>IFERROR(VLOOKUP(DEG_REDE[[#This Row],[ID]],DEG_ACUM!A:A,1,0),"NOVO")</f>
        <v>1854</v>
      </c>
    </row>
    <row r="461" spans="1:4" hidden="1" x14ac:dyDescent="0.35">
      <c r="A461" s="1">
        <v>1855</v>
      </c>
      <c r="B461" s="2">
        <v>46223</v>
      </c>
      <c r="C461" s="1" t="s">
        <v>51</v>
      </c>
      <c r="D461" s="1">
        <f>IFERROR(VLOOKUP(DEG_REDE[[#This Row],[ID]],DEG_ACUM!A:A,1,0),"NOVO")</f>
        <v>1855</v>
      </c>
    </row>
    <row r="462" spans="1:4" hidden="1" x14ac:dyDescent="0.35">
      <c r="A462" s="1">
        <v>1864</v>
      </c>
      <c r="B462" s="2">
        <v>46223</v>
      </c>
      <c r="C462" s="1" t="s">
        <v>64</v>
      </c>
      <c r="D462" s="1">
        <f>IFERROR(VLOOKUP(DEG_REDE[[#This Row],[ID]],DEG_ACUM!A:A,1,0),"NOVO")</f>
        <v>1864</v>
      </c>
    </row>
    <row r="463" spans="1:4" hidden="1" x14ac:dyDescent="0.35">
      <c r="A463" s="1">
        <v>1865</v>
      </c>
      <c r="B463" s="2">
        <v>46223</v>
      </c>
      <c r="C463" s="1" t="s">
        <v>64</v>
      </c>
      <c r="D463" s="1">
        <f>IFERROR(VLOOKUP(DEG_REDE[[#This Row],[ID]],DEG_ACUM!A:A,1,0),"NOVO")</f>
        <v>1865</v>
      </c>
    </row>
    <row r="464" spans="1:4" hidden="1" x14ac:dyDescent="0.35">
      <c r="A464" s="1">
        <v>1866</v>
      </c>
      <c r="B464" s="2">
        <v>46223</v>
      </c>
      <c r="C464" s="1" t="s">
        <v>64</v>
      </c>
      <c r="D464" s="1">
        <f>IFERROR(VLOOKUP(DEG_REDE[[#This Row],[ID]],DEG_ACUM!A:A,1,0),"NOVO")</f>
        <v>1866</v>
      </c>
    </row>
    <row r="465" spans="1:4" hidden="1" x14ac:dyDescent="0.35">
      <c r="A465" s="1">
        <v>1867</v>
      </c>
      <c r="B465" s="2">
        <v>46223</v>
      </c>
      <c r="C465" s="1" t="s">
        <v>52</v>
      </c>
      <c r="D465" s="1">
        <f>IFERROR(VLOOKUP(DEG_REDE[[#This Row],[ID]],DEG_ACUM!A:A,1,0),"NOVO")</f>
        <v>1867</v>
      </c>
    </row>
    <row r="466" spans="1:4" hidden="1" x14ac:dyDescent="0.35">
      <c r="A466" s="1">
        <v>1868</v>
      </c>
      <c r="B466" s="2">
        <v>46223</v>
      </c>
      <c r="C466" s="1" t="s">
        <v>52</v>
      </c>
      <c r="D466" s="1">
        <f>IFERROR(VLOOKUP(DEG_REDE[[#This Row],[ID]],DEG_ACUM!A:A,1,0),"NOVO")</f>
        <v>1868</v>
      </c>
    </row>
    <row r="467" spans="1:4" hidden="1" x14ac:dyDescent="0.35">
      <c r="A467" s="1">
        <v>1869</v>
      </c>
      <c r="B467" s="2">
        <v>46223</v>
      </c>
      <c r="C467" s="1" t="s">
        <v>52</v>
      </c>
      <c r="D467" s="1">
        <f>IFERROR(VLOOKUP(DEG_REDE[[#This Row],[ID]],DEG_ACUM!A:A,1,0),"NOVO")</f>
        <v>1869</v>
      </c>
    </row>
    <row r="468" spans="1:4" hidden="1" x14ac:dyDescent="0.35">
      <c r="A468" s="1">
        <v>1870</v>
      </c>
      <c r="B468" s="2">
        <v>46223</v>
      </c>
      <c r="C468" s="1" t="s">
        <v>52</v>
      </c>
      <c r="D468" s="1">
        <f>IFERROR(VLOOKUP(DEG_REDE[[#This Row],[ID]],DEG_ACUM!A:A,1,0),"NOVO")</f>
        <v>1870</v>
      </c>
    </row>
    <row r="469" spans="1:4" hidden="1" x14ac:dyDescent="0.35">
      <c r="A469" s="1">
        <v>1890</v>
      </c>
      <c r="B469" s="2">
        <v>46223</v>
      </c>
      <c r="C469" s="1" t="s">
        <v>64</v>
      </c>
      <c r="D469" s="1">
        <f>IFERROR(VLOOKUP(DEG_REDE[[#This Row],[ID]],DEG_ACUM!A:A,1,0),"NOVO")</f>
        <v>1890</v>
      </c>
    </row>
    <row r="470" spans="1:4" hidden="1" x14ac:dyDescent="0.35">
      <c r="A470" s="1">
        <v>1891</v>
      </c>
      <c r="B470" s="2">
        <v>46224</v>
      </c>
      <c r="C470" s="1" t="s">
        <v>61</v>
      </c>
      <c r="D470" s="1">
        <f>IFERROR(VLOOKUP(DEG_REDE[[#This Row],[ID]],DEG_ACUM!A:A,1,0),"NOVO")</f>
        <v>1891</v>
      </c>
    </row>
    <row r="471" spans="1:4" hidden="1" x14ac:dyDescent="0.35">
      <c r="A471" s="1">
        <v>1911</v>
      </c>
      <c r="B471" s="2">
        <v>46224</v>
      </c>
      <c r="C471" s="1" t="s">
        <v>52</v>
      </c>
      <c r="D471" s="1">
        <f>IFERROR(VLOOKUP(DEG_REDE[[#This Row],[ID]],DEG_ACUM!A:A,1,0),"NOVO")</f>
        <v>1911</v>
      </c>
    </row>
    <row r="472" spans="1:4" hidden="1" x14ac:dyDescent="0.35">
      <c r="A472" s="1">
        <v>1912</v>
      </c>
      <c r="B472" s="2">
        <v>46224</v>
      </c>
      <c r="C472" s="1" t="s">
        <v>52</v>
      </c>
      <c r="D472" s="1">
        <f>IFERROR(VLOOKUP(DEG_REDE[[#This Row],[ID]],DEG_ACUM!A:A,1,0),"NOVO")</f>
        <v>1912</v>
      </c>
    </row>
    <row r="473" spans="1:4" hidden="1" x14ac:dyDescent="0.35">
      <c r="A473" s="1">
        <v>1913</v>
      </c>
      <c r="B473" s="2">
        <v>46224</v>
      </c>
      <c r="C473" s="1" t="s">
        <v>52</v>
      </c>
      <c r="D473" s="1">
        <f>IFERROR(VLOOKUP(DEG_REDE[[#This Row],[ID]],DEG_ACUM!A:A,1,0),"NOVO")</f>
        <v>1913</v>
      </c>
    </row>
    <row r="474" spans="1:4" hidden="1" x14ac:dyDescent="0.35">
      <c r="A474" s="1">
        <v>1917</v>
      </c>
      <c r="B474" s="2">
        <v>46224</v>
      </c>
      <c r="C474" s="1" t="s">
        <v>64</v>
      </c>
      <c r="D474" s="1">
        <f>IFERROR(VLOOKUP(DEG_REDE[[#This Row],[ID]],DEG_ACUM!A:A,1,0),"NOVO")</f>
        <v>1917</v>
      </c>
    </row>
    <row r="475" spans="1:4" hidden="1" x14ac:dyDescent="0.35">
      <c r="A475" s="1">
        <v>1926</v>
      </c>
      <c r="B475" s="2">
        <v>46224</v>
      </c>
      <c r="C475" s="1" t="s">
        <v>64</v>
      </c>
      <c r="D475" s="1">
        <f>IFERROR(VLOOKUP(DEG_REDE[[#This Row],[ID]],DEG_ACUM!A:A,1,0),"NOVO")</f>
        <v>1926</v>
      </c>
    </row>
    <row r="476" spans="1:4" hidden="1" x14ac:dyDescent="0.35">
      <c r="A476" s="1">
        <v>1927</v>
      </c>
      <c r="B476" s="2">
        <v>46224</v>
      </c>
      <c r="C476" s="1" t="s">
        <v>64</v>
      </c>
      <c r="D476" s="1">
        <f>IFERROR(VLOOKUP(DEG_REDE[[#This Row],[ID]],DEG_ACUM!A:A,1,0),"NOVO")</f>
        <v>1927</v>
      </c>
    </row>
    <row r="477" spans="1:4" hidden="1" x14ac:dyDescent="0.35">
      <c r="A477" s="1">
        <v>1933</v>
      </c>
      <c r="B477" s="2">
        <v>46224</v>
      </c>
      <c r="C477" s="1" t="s">
        <v>51</v>
      </c>
      <c r="D477" s="1">
        <f>IFERROR(VLOOKUP(DEG_REDE[[#This Row],[ID]],DEG_ACUM!A:A,1,0),"NOVO")</f>
        <v>1933</v>
      </c>
    </row>
    <row r="478" spans="1:4" hidden="1" x14ac:dyDescent="0.35">
      <c r="A478" s="1">
        <v>1935</v>
      </c>
      <c r="B478" s="2">
        <v>46224</v>
      </c>
      <c r="C478" s="1" t="s">
        <v>51</v>
      </c>
      <c r="D478" s="1">
        <f>IFERROR(VLOOKUP(DEG_REDE[[#This Row],[ID]],DEG_ACUM!A:A,1,0),"NOVO")</f>
        <v>1935</v>
      </c>
    </row>
    <row r="479" spans="1:4" hidden="1" x14ac:dyDescent="0.35">
      <c r="A479" s="1">
        <v>1959</v>
      </c>
      <c r="B479" s="2">
        <v>46225</v>
      </c>
      <c r="C479" s="1" t="s">
        <v>64</v>
      </c>
      <c r="D479" s="1">
        <f>IFERROR(VLOOKUP(DEG_REDE[[#This Row],[ID]],DEG_ACUM!A:A,1,0),"NOVO")</f>
        <v>1959</v>
      </c>
    </row>
    <row r="480" spans="1:4" hidden="1" x14ac:dyDescent="0.35">
      <c r="A480" s="1">
        <v>1960</v>
      </c>
      <c r="B480" s="2">
        <v>46225</v>
      </c>
      <c r="C480" s="1" t="s">
        <v>64</v>
      </c>
      <c r="D480" s="1">
        <f>IFERROR(VLOOKUP(DEG_REDE[[#This Row],[ID]],DEG_ACUM!A:A,1,0),"NOVO")</f>
        <v>1960</v>
      </c>
    </row>
    <row r="481" spans="1:4" hidden="1" x14ac:dyDescent="0.35">
      <c r="A481" s="1">
        <v>1961</v>
      </c>
      <c r="B481" s="2">
        <v>46225</v>
      </c>
      <c r="C481" s="1" t="s">
        <v>64</v>
      </c>
      <c r="D481" s="1">
        <f>IFERROR(VLOOKUP(DEG_REDE[[#This Row],[ID]],DEG_ACUM!A:A,1,0),"NOVO")</f>
        <v>1961</v>
      </c>
    </row>
    <row r="482" spans="1:4" hidden="1" x14ac:dyDescent="0.35">
      <c r="A482" s="1">
        <v>1962</v>
      </c>
      <c r="B482" s="2">
        <v>46225</v>
      </c>
      <c r="C482" s="1" t="s">
        <v>64</v>
      </c>
      <c r="D482" s="1">
        <f>IFERROR(VLOOKUP(DEG_REDE[[#This Row],[ID]],DEG_ACUM!A:A,1,0),"NOVO")</f>
        <v>1962</v>
      </c>
    </row>
    <row r="483" spans="1:4" hidden="1" x14ac:dyDescent="0.35">
      <c r="A483" s="1">
        <v>1975</v>
      </c>
      <c r="B483" s="2">
        <v>46225</v>
      </c>
      <c r="C483" s="1" t="s">
        <v>52</v>
      </c>
      <c r="D483" s="1">
        <f>IFERROR(VLOOKUP(DEG_REDE[[#This Row],[ID]],DEG_ACUM!A:A,1,0),"NOVO")</f>
        <v>1975</v>
      </c>
    </row>
    <row r="484" spans="1:4" hidden="1" x14ac:dyDescent="0.35">
      <c r="A484" s="1">
        <v>1976</v>
      </c>
      <c r="B484" s="2">
        <v>46225</v>
      </c>
      <c r="C484" s="1" t="s">
        <v>52</v>
      </c>
      <c r="D484" s="1">
        <f>IFERROR(VLOOKUP(DEG_REDE[[#This Row],[ID]],DEG_ACUM!A:A,1,0),"NOVO")</f>
        <v>1976</v>
      </c>
    </row>
    <row r="485" spans="1:4" hidden="1" x14ac:dyDescent="0.35">
      <c r="A485" s="1">
        <v>1977</v>
      </c>
      <c r="B485" s="2">
        <v>46225</v>
      </c>
      <c r="C485" s="1" t="s">
        <v>52</v>
      </c>
      <c r="D485" s="1">
        <f>IFERROR(VLOOKUP(DEG_REDE[[#This Row],[ID]],DEG_ACUM!A:A,1,0),"NOVO")</f>
        <v>1977</v>
      </c>
    </row>
    <row r="486" spans="1:4" hidden="1" x14ac:dyDescent="0.35">
      <c r="A486" s="1">
        <v>1978</v>
      </c>
      <c r="B486" s="2">
        <v>46225</v>
      </c>
      <c r="C486" s="1" t="s">
        <v>52</v>
      </c>
      <c r="D486" s="1">
        <f>IFERROR(VLOOKUP(DEG_REDE[[#This Row],[ID]],DEG_ACUM!A:A,1,0),"NOVO")</f>
        <v>1978</v>
      </c>
    </row>
    <row r="487" spans="1:4" hidden="1" x14ac:dyDescent="0.35">
      <c r="A487" s="1">
        <v>1979</v>
      </c>
      <c r="B487" s="2">
        <v>46225</v>
      </c>
      <c r="C487" s="1" t="s">
        <v>52</v>
      </c>
      <c r="D487" s="1">
        <f>IFERROR(VLOOKUP(DEG_REDE[[#This Row],[ID]],DEG_ACUM!A:A,1,0),"NOVO")</f>
        <v>1979</v>
      </c>
    </row>
    <row r="488" spans="1:4" hidden="1" x14ac:dyDescent="0.35">
      <c r="A488" s="1">
        <v>1980</v>
      </c>
      <c r="B488" s="2">
        <v>46225</v>
      </c>
      <c r="C488" s="1" t="s">
        <v>64</v>
      </c>
      <c r="D488" s="1">
        <f>IFERROR(VLOOKUP(DEG_REDE[[#This Row],[ID]],DEG_ACUM!A:A,1,0),"NOVO")</f>
        <v>1980</v>
      </c>
    </row>
    <row r="489" spans="1:4" hidden="1" x14ac:dyDescent="0.35">
      <c r="A489" s="1">
        <v>1981</v>
      </c>
      <c r="B489" s="2">
        <v>46226</v>
      </c>
      <c r="C489" s="1" t="s">
        <v>64</v>
      </c>
      <c r="D489" s="1">
        <f>IFERROR(VLOOKUP(DEG_REDE[[#This Row],[ID]],DEG_ACUM!A:A,1,0),"NOVO")</f>
        <v>1981</v>
      </c>
    </row>
    <row r="490" spans="1:4" hidden="1" x14ac:dyDescent="0.35">
      <c r="A490" s="1">
        <v>1982</v>
      </c>
      <c r="B490" s="2">
        <v>46226</v>
      </c>
      <c r="C490" s="1" t="s">
        <v>64</v>
      </c>
      <c r="D490" s="1">
        <f>IFERROR(VLOOKUP(DEG_REDE[[#This Row],[ID]],DEG_ACUM!A:A,1,0),"NOVO")</f>
        <v>1982</v>
      </c>
    </row>
    <row r="491" spans="1:4" hidden="1" x14ac:dyDescent="0.35">
      <c r="A491" s="1">
        <v>1983</v>
      </c>
      <c r="B491" s="2">
        <v>46226</v>
      </c>
      <c r="C491" s="1" t="s">
        <v>64</v>
      </c>
      <c r="D491" s="1">
        <f>IFERROR(VLOOKUP(DEG_REDE[[#This Row],[ID]],DEG_ACUM!A:A,1,0),"NOVO")</f>
        <v>1983</v>
      </c>
    </row>
    <row r="492" spans="1:4" hidden="1" x14ac:dyDescent="0.35">
      <c r="A492" s="1">
        <v>1984</v>
      </c>
      <c r="B492" s="2">
        <v>46226</v>
      </c>
      <c r="C492" s="1" t="s">
        <v>57</v>
      </c>
      <c r="D492" s="1">
        <f>IFERROR(VLOOKUP(DEG_REDE[[#This Row],[ID]],DEG_ACUM!A:A,1,0),"NOVO")</f>
        <v>1984</v>
      </c>
    </row>
    <row r="493" spans="1:4" hidden="1" x14ac:dyDescent="0.35">
      <c r="A493" s="1">
        <v>1985</v>
      </c>
      <c r="B493" s="2">
        <v>46226</v>
      </c>
      <c r="C493" s="1" t="s">
        <v>64</v>
      </c>
      <c r="D493" s="1">
        <f>IFERROR(VLOOKUP(DEG_REDE[[#This Row],[ID]],DEG_ACUM!A:A,1,0),"NOVO")</f>
        <v>1985</v>
      </c>
    </row>
    <row r="494" spans="1:4" hidden="1" x14ac:dyDescent="0.35">
      <c r="A494" s="1">
        <v>1986</v>
      </c>
      <c r="B494" s="2">
        <v>46226</v>
      </c>
      <c r="C494" s="1" t="s">
        <v>51</v>
      </c>
      <c r="D494" s="1">
        <f>IFERROR(VLOOKUP(DEG_REDE[[#This Row],[ID]],DEG_ACUM!A:A,1,0),"NOVO")</f>
        <v>1986</v>
      </c>
    </row>
    <row r="495" spans="1:4" hidden="1" x14ac:dyDescent="0.35">
      <c r="A495" s="1">
        <v>1988</v>
      </c>
      <c r="B495" s="2">
        <v>46226</v>
      </c>
      <c r="C495" s="1" t="s">
        <v>51</v>
      </c>
      <c r="D495" s="1">
        <f>IFERROR(VLOOKUP(DEG_REDE[[#This Row],[ID]],DEG_ACUM!A:A,1,0),"NOVO")</f>
        <v>1988</v>
      </c>
    </row>
    <row r="496" spans="1:4" hidden="1" x14ac:dyDescent="0.35">
      <c r="A496" s="1">
        <v>1990</v>
      </c>
      <c r="B496" s="2">
        <v>46226</v>
      </c>
      <c r="C496" s="1" t="s">
        <v>64</v>
      </c>
      <c r="D496" s="1">
        <f>IFERROR(VLOOKUP(DEG_REDE[[#This Row],[ID]],DEG_ACUM!A:A,1,0),"NOVO")</f>
        <v>1990</v>
      </c>
    </row>
    <row r="497" spans="1:4" hidden="1" x14ac:dyDescent="0.35">
      <c r="A497" s="1">
        <v>2004</v>
      </c>
      <c r="B497" s="2">
        <v>46226</v>
      </c>
      <c r="C497" s="1" t="s">
        <v>61</v>
      </c>
      <c r="D497" s="1">
        <f>IFERROR(VLOOKUP(DEG_REDE[[#This Row],[ID]],DEG_ACUM!A:A,1,0),"NOVO")</f>
        <v>2004</v>
      </c>
    </row>
    <row r="498" spans="1:4" hidden="1" x14ac:dyDescent="0.35">
      <c r="A498" s="1">
        <v>2005</v>
      </c>
      <c r="B498" s="2">
        <v>46226</v>
      </c>
      <c r="C498" s="1" t="s">
        <v>52</v>
      </c>
      <c r="D498" s="1">
        <f>IFERROR(VLOOKUP(DEG_REDE[[#This Row],[ID]],DEG_ACUM!A:A,1,0),"NOVO")</f>
        <v>2005</v>
      </c>
    </row>
    <row r="499" spans="1:4" hidden="1" x14ac:dyDescent="0.35">
      <c r="A499" s="1">
        <v>2006</v>
      </c>
      <c r="B499" s="2">
        <v>46226</v>
      </c>
      <c r="C499" s="1" t="s">
        <v>52</v>
      </c>
      <c r="D499" s="1">
        <f>IFERROR(VLOOKUP(DEG_REDE[[#This Row],[ID]],DEG_ACUM!A:A,1,0),"NOVO")</f>
        <v>2006</v>
      </c>
    </row>
    <row r="500" spans="1:4" hidden="1" x14ac:dyDescent="0.35">
      <c r="A500" s="1">
        <v>2007</v>
      </c>
      <c r="B500" s="2">
        <v>46226</v>
      </c>
      <c r="C500" s="1" t="s">
        <v>52</v>
      </c>
      <c r="D500" s="1">
        <f>IFERROR(VLOOKUP(DEG_REDE[[#This Row],[ID]],DEG_ACUM!A:A,1,0),"NOVO")</f>
        <v>2007</v>
      </c>
    </row>
    <row r="501" spans="1:4" hidden="1" x14ac:dyDescent="0.35">
      <c r="A501" s="1">
        <v>2008</v>
      </c>
      <c r="B501" s="2">
        <v>46226</v>
      </c>
      <c r="C501" s="1" t="s">
        <v>52</v>
      </c>
      <c r="D501" s="1">
        <f>IFERROR(VLOOKUP(DEG_REDE[[#This Row],[ID]],DEG_ACUM!A:A,1,0),"NOVO")</f>
        <v>2008</v>
      </c>
    </row>
    <row r="502" spans="1:4" hidden="1" x14ac:dyDescent="0.35">
      <c r="A502" s="1">
        <v>2009</v>
      </c>
      <c r="B502" s="2">
        <v>46226</v>
      </c>
      <c r="C502" s="1" t="s">
        <v>52</v>
      </c>
      <c r="D502" s="1">
        <f>IFERROR(VLOOKUP(DEG_REDE[[#This Row],[ID]],DEG_ACUM!A:A,1,0),"NOVO")</f>
        <v>2009</v>
      </c>
    </row>
    <row r="503" spans="1:4" hidden="1" x14ac:dyDescent="0.35">
      <c r="A503" s="1">
        <v>2010</v>
      </c>
      <c r="B503" s="2">
        <v>46226</v>
      </c>
      <c r="C503" s="1" t="s">
        <v>52</v>
      </c>
      <c r="D503" s="1">
        <f>IFERROR(VLOOKUP(DEG_REDE[[#This Row],[ID]],DEG_ACUM!A:A,1,0),"NOVO")</f>
        <v>2010</v>
      </c>
    </row>
    <row r="504" spans="1:4" hidden="1" x14ac:dyDescent="0.35">
      <c r="A504" s="1">
        <v>2011</v>
      </c>
      <c r="B504" s="2">
        <v>46226</v>
      </c>
      <c r="C504" s="1" t="s">
        <v>52</v>
      </c>
      <c r="D504" s="1">
        <f>IFERROR(VLOOKUP(DEG_REDE[[#This Row],[ID]],DEG_ACUM!A:A,1,0),"NOVO")</f>
        <v>2011</v>
      </c>
    </row>
    <row r="505" spans="1:4" hidden="1" x14ac:dyDescent="0.35">
      <c r="A505" s="1">
        <v>2015</v>
      </c>
      <c r="B505" s="2">
        <v>46227</v>
      </c>
      <c r="C505" s="1" t="s">
        <v>61</v>
      </c>
      <c r="D505" s="1">
        <f>IFERROR(VLOOKUP(DEG_REDE[[#This Row],[ID]],DEG_ACUM!A:A,1,0),"NOVO")</f>
        <v>2015</v>
      </c>
    </row>
    <row r="506" spans="1:4" hidden="1" x14ac:dyDescent="0.35">
      <c r="A506" s="1">
        <v>2016</v>
      </c>
      <c r="B506" s="2">
        <v>46227</v>
      </c>
      <c r="C506" s="1" t="s">
        <v>57</v>
      </c>
      <c r="D506" s="1">
        <f>IFERROR(VLOOKUP(DEG_REDE[[#This Row],[ID]],DEG_ACUM!A:A,1,0),"NOVO")</f>
        <v>2016</v>
      </c>
    </row>
    <row r="507" spans="1:4" hidden="1" x14ac:dyDescent="0.35">
      <c r="A507" s="1">
        <v>2023</v>
      </c>
      <c r="B507" s="2">
        <v>46227</v>
      </c>
      <c r="C507" s="1" t="s">
        <v>64</v>
      </c>
      <c r="D507" s="1">
        <f>IFERROR(VLOOKUP(DEG_REDE[[#This Row],[ID]],DEG_ACUM!A:A,1,0),"NOVO")</f>
        <v>2023</v>
      </c>
    </row>
    <row r="508" spans="1:4" hidden="1" x14ac:dyDescent="0.35">
      <c r="A508" s="1">
        <v>2027</v>
      </c>
      <c r="B508" s="2">
        <v>46227</v>
      </c>
      <c r="C508" s="1" t="s">
        <v>51</v>
      </c>
      <c r="D508" s="1">
        <f>IFERROR(VLOOKUP(DEG_REDE[[#This Row],[ID]],DEG_ACUM!A:A,1,0),"NOVO")</f>
        <v>2027</v>
      </c>
    </row>
    <row r="509" spans="1:4" hidden="1" x14ac:dyDescent="0.35">
      <c r="A509" s="1">
        <v>2073</v>
      </c>
      <c r="B509" s="2">
        <v>46230</v>
      </c>
      <c r="C509" s="1" t="s">
        <v>64</v>
      </c>
      <c r="D509" s="1">
        <f>IFERROR(VLOOKUP(DEG_REDE[[#This Row],[ID]],DEG_ACUM!A:A,1,0),"NOVO")</f>
        <v>2073</v>
      </c>
    </row>
    <row r="510" spans="1:4" hidden="1" x14ac:dyDescent="0.35">
      <c r="A510" s="1">
        <v>2075</v>
      </c>
      <c r="B510" s="2">
        <v>46230</v>
      </c>
      <c r="C510" s="1" t="s">
        <v>57</v>
      </c>
      <c r="D510" s="1">
        <f>IFERROR(VLOOKUP(DEG_REDE[[#This Row],[ID]],DEG_ACUM!A:A,1,0),"NOVO")</f>
        <v>2075</v>
      </c>
    </row>
    <row r="511" spans="1:4" hidden="1" x14ac:dyDescent="0.35">
      <c r="A511" s="1">
        <v>2091</v>
      </c>
      <c r="B511" s="2">
        <v>46230</v>
      </c>
      <c r="C511" s="1" t="s">
        <v>64</v>
      </c>
      <c r="D511" s="1">
        <f>IFERROR(VLOOKUP(DEG_REDE[[#This Row],[ID]],DEG_ACUM!A:A,1,0),"NOVO")</f>
        <v>2091</v>
      </c>
    </row>
    <row r="512" spans="1:4" hidden="1" x14ac:dyDescent="0.35">
      <c r="A512" s="1">
        <v>2092</v>
      </c>
      <c r="B512" s="2">
        <v>46230</v>
      </c>
      <c r="C512" s="1" t="s">
        <v>64</v>
      </c>
      <c r="D512" s="1">
        <f>IFERROR(VLOOKUP(DEG_REDE[[#This Row],[ID]],DEG_ACUM!A:A,1,0),"NOVO")</f>
        <v>2092</v>
      </c>
    </row>
    <row r="513" spans="1:4" hidden="1" x14ac:dyDescent="0.35">
      <c r="A513" s="1">
        <v>2109</v>
      </c>
      <c r="B513" s="2">
        <v>46230</v>
      </c>
      <c r="C513" s="1" t="s">
        <v>64</v>
      </c>
      <c r="D513" s="1">
        <f>IFERROR(VLOOKUP(DEG_REDE[[#This Row],[ID]],DEG_ACUM!A:A,1,0),"NOVO")</f>
        <v>2109</v>
      </c>
    </row>
    <row r="514" spans="1:4" hidden="1" x14ac:dyDescent="0.35">
      <c r="A514" s="1">
        <v>2122</v>
      </c>
      <c r="B514" s="2">
        <v>46231</v>
      </c>
      <c r="C514" s="1" t="s">
        <v>57</v>
      </c>
      <c r="D514" s="1">
        <f>IFERROR(VLOOKUP(DEG_REDE[[#This Row],[ID]],DEG_ACUM!A:A,1,0),"NOVO")</f>
        <v>2122</v>
      </c>
    </row>
    <row r="515" spans="1:4" hidden="1" x14ac:dyDescent="0.35">
      <c r="A515" s="1">
        <v>2125</v>
      </c>
      <c r="B515" s="2">
        <v>46231</v>
      </c>
      <c r="C515" s="1" t="s">
        <v>51</v>
      </c>
      <c r="D515" s="1">
        <f>IFERROR(VLOOKUP(DEG_REDE[[#This Row],[ID]],DEG_ACUM!A:A,1,0),"NOVO")</f>
        <v>2125</v>
      </c>
    </row>
    <row r="516" spans="1:4" hidden="1" x14ac:dyDescent="0.35">
      <c r="A516" s="1">
        <v>2126</v>
      </c>
      <c r="B516" s="2">
        <v>46231</v>
      </c>
      <c r="C516" s="1" t="s">
        <v>51</v>
      </c>
      <c r="D516" s="1">
        <f>IFERROR(VLOOKUP(DEG_REDE[[#This Row],[ID]],DEG_ACUM!A:A,1,0),"NOVO")</f>
        <v>2126</v>
      </c>
    </row>
    <row r="517" spans="1:4" hidden="1" x14ac:dyDescent="0.35">
      <c r="A517" s="1">
        <v>2127</v>
      </c>
      <c r="B517" s="2">
        <v>46231</v>
      </c>
      <c r="C517" s="1" t="s">
        <v>64</v>
      </c>
      <c r="D517" s="1">
        <f>IFERROR(VLOOKUP(DEG_REDE[[#This Row],[ID]],DEG_ACUM!A:A,1,0),"NOVO")</f>
        <v>2127</v>
      </c>
    </row>
    <row r="518" spans="1:4" hidden="1" x14ac:dyDescent="0.35">
      <c r="A518" s="1">
        <v>2146</v>
      </c>
      <c r="B518" s="2">
        <v>46231</v>
      </c>
      <c r="C518" s="1" t="s">
        <v>52</v>
      </c>
      <c r="D518" s="1">
        <f>IFERROR(VLOOKUP(DEG_REDE[[#This Row],[ID]],DEG_ACUM!A:A,1,0),"NOVO")</f>
        <v>2146</v>
      </c>
    </row>
    <row r="519" spans="1:4" hidden="1" x14ac:dyDescent="0.35">
      <c r="A519" s="1">
        <v>2147</v>
      </c>
      <c r="B519" s="2">
        <v>46231</v>
      </c>
      <c r="C519" s="1" t="s">
        <v>52</v>
      </c>
      <c r="D519" s="1">
        <f>IFERROR(VLOOKUP(DEG_REDE[[#This Row],[ID]],DEG_ACUM!A:A,1,0),"NOVO")</f>
        <v>2147</v>
      </c>
    </row>
    <row r="520" spans="1:4" hidden="1" x14ac:dyDescent="0.35">
      <c r="A520" s="1">
        <v>2148</v>
      </c>
      <c r="B520" s="2">
        <v>46231</v>
      </c>
      <c r="C520" s="1" t="s">
        <v>52</v>
      </c>
      <c r="D520" s="1">
        <f>IFERROR(VLOOKUP(DEG_REDE[[#This Row],[ID]],DEG_ACUM!A:A,1,0),"NOVO")</f>
        <v>2148</v>
      </c>
    </row>
    <row r="521" spans="1:4" hidden="1" x14ac:dyDescent="0.35">
      <c r="A521" s="1">
        <v>2149</v>
      </c>
      <c r="B521" s="2">
        <v>46231</v>
      </c>
      <c r="C521" s="1" t="s">
        <v>52</v>
      </c>
      <c r="D521" s="1">
        <f>IFERROR(VLOOKUP(DEG_REDE[[#This Row],[ID]],DEG_ACUM!A:A,1,0),"NOVO")</f>
        <v>2149</v>
      </c>
    </row>
    <row r="522" spans="1:4" hidden="1" x14ac:dyDescent="0.35">
      <c r="A522" s="1">
        <v>2150</v>
      </c>
      <c r="B522" s="2">
        <v>46231</v>
      </c>
      <c r="C522" s="1" t="s">
        <v>52</v>
      </c>
      <c r="D522" s="1">
        <f>IFERROR(VLOOKUP(DEG_REDE[[#This Row],[ID]],DEG_ACUM!A:A,1,0),"NOVO")</f>
        <v>2150</v>
      </c>
    </row>
    <row r="523" spans="1:4" hidden="1" x14ac:dyDescent="0.35">
      <c r="A523" s="1">
        <v>2151</v>
      </c>
      <c r="B523" s="2">
        <v>46231</v>
      </c>
      <c r="C523" s="1" t="s">
        <v>52</v>
      </c>
      <c r="D523" s="1">
        <f>IFERROR(VLOOKUP(DEG_REDE[[#This Row],[ID]],DEG_ACUM!A:A,1,0),"NOVO")</f>
        <v>2151</v>
      </c>
    </row>
    <row r="524" spans="1:4" hidden="1" x14ac:dyDescent="0.35">
      <c r="A524" s="1">
        <v>2152</v>
      </c>
      <c r="B524" s="2">
        <v>46231</v>
      </c>
      <c r="C524" s="1" t="s">
        <v>52</v>
      </c>
      <c r="D524" s="1">
        <f>IFERROR(VLOOKUP(DEG_REDE[[#This Row],[ID]],DEG_ACUM!A:A,1,0),"NOVO")</f>
        <v>2152</v>
      </c>
    </row>
    <row r="525" spans="1:4" hidden="1" x14ac:dyDescent="0.35">
      <c r="A525" s="1">
        <v>2153</v>
      </c>
      <c r="B525" s="2">
        <v>46231</v>
      </c>
      <c r="C525" s="1" t="s">
        <v>52</v>
      </c>
      <c r="D525" s="1">
        <f>IFERROR(VLOOKUP(DEG_REDE[[#This Row],[ID]],DEG_ACUM!A:A,1,0),"NOVO")</f>
        <v>2153</v>
      </c>
    </row>
    <row r="526" spans="1:4" hidden="1" x14ac:dyDescent="0.35">
      <c r="A526" s="1">
        <v>2154</v>
      </c>
      <c r="B526" s="2">
        <v>46231</v>
      </c>
      <c r="C526" s="1" t="s">
        <v>52</v>
      </c>
      <c r="D526" s="1">
        <f>IFERROR(VLOOKUP(DEG_REDE[[#This Row],[ID]],DEG_ACUM!A:A,1,0),"NOVO")</f>
        <v>2154</v>
      </c>
    </row>
    <row r="527" spans="1:4" hidden="1" x14ac:dyDescent="0.35">
      <c r="A527" s="1">
        <v>2155</v>
      </c>
      <c r="B527" s="2">
        <v>46231</v>
      </c>
      <c r="C527" s="1" t="s">
        <v>52</v>
      </c>
      <c r="D527" s="1">
        <f>IFERROR(VLOOKUP(DEG_REDE[[#This Row],[ID]],DEG_ACUM!A:A,1,0),"NOVO")</f>
        <v>2155</v>
      </c>
    </row>
    <row r="528" spans="1:4" hidden="1" x14ac:dyDescent="0.35">
      <c r="A528" s="1">
        <v>2156</v>
      </c>
      <c r="B528" s="2">
        <v>46232</v>
      </c>
      <c r="C528" s="1" t="s">
        <v>64</v>
      </c>
      <c r="D528" s="1">
        <f>IFERROR(VLOOKUP(DEG_REDE[[#This Row],[ID]],DEG_ACUM!A:A,1,0),"NOVO")</f>
        <v>2156</v>
      </c>
    </row>
    <row r="529" spans="1:4" hidden="1" x14ac:dyDescent="0.35">
      <c r="A529" s="1">
        <v>2157</v>
      </c>
      <c r="B529" s="2">
        <v>46232</v>
      </c>
      <c r="C529" s="1" t="s">
        <v>64</v>
      </c>
      <c r="D529" s="1">
        <f>IFERROR(VLOOKUP(DEG_REDE[[#This Row],[ID]],DEG_ACUM!A:A,1,0),"NOVO")</f>
        <v>2157</v>
      </c>
    </row>
    <row r="530" spans="1:4" hidden="1" x14ac:dyDescent="0.35">
      <c r="A530" s="1">
        <v>2158</v>
      </c>
      <c r="B530" s="2">
        <v>46232</v>
      </c>
      <c r="C530" s="1" t="s">
        <v>64</v>
      </c>
      <c r="D530" s="1">
        <f>IFERROR(VLOOKUP(DEG_REDE[[#This Row],[ID]],DEG_ACUM!A:A,1,0),"NOVO")</f>
        <v>2158</v>
      </c>
    </row>
    <row r="531" spans="1:4" hidden="1" x14ac:dyDescent="0.35">
      <c r="A531" s="1">
        <v>2159</v>
      </c>
      <c r="B531" s="2">
        <v>46232</v>
      </c>
      <c r="C531" s="1" t="s">
        <v>64</v>
      </c>
      <c r="D531" s="1">
        <f>IFERROR(VLOOKUP(DEG_REDE[[#This Row],[ID]],DEG_ACUM!A:A,1,0),"NOVO")</f>
        <v>2159</v>
      </c>
    </row>
    <row r="532" spans="1:4" hidden="1" x14ac:dyDescent="0.35">
      <c r="A532" s="1">
        <v>2160</v>
      </c>
      <c r="B532" s="2">
        <v>46232</v>
      </c>
      <c r="C532" s="1" t="s">
        <v>64</v>
      </c>
      <c r="D532" s="1">
        <f>IFERROR(VLOOKUP(DEG_REDE[[#This Row],[ID]],DEG_ACUM!A:A,1,0),"NOVO")</f>
        <v>2160</v>
      </c>
    </row>
    <row r="533" spans="1:4" hidden="1" x14ac:dyDescent="0.35">
      <c r="A533" s="1">
        <v>2161</v>
      </c>
      <c r="B533" s="2">
        <v>46232</v>
      </c>
      <c r="C533" s="1" t="s">
        <v>57</v>
      </c>
      <c r="D533" s="1">
        <f>IFERROR(VLOOKUP(DEG_REDE[[#This Row],[ID]],DEG_ACUM!A:A,1,0),"NOVO")</f>
        <v>2161</v>
      </c>
    </row>
    <row r="534" spans="1:4" hidden="1" x14ac:dyDescent="0.35">
      <c r="A534" s="1">
        <v>2164</v>
      </c>
      <c r="B534" s="2">
        <v>46232</v>
      </c>
      <c r="C534" s="1" t="s">
        <v>64</v>
      </c>
      <c r="D534" s="1">
        <f>IFERROR(VLOOKUP(DEG_REDE[[#This Row],[ID]],DEG_ACUM!A:A,1,0),"NOVO")</f>
        <v>2164</v>
      </c>
    </row>
    <row r="535" spans="1:4" hidden="1" x14ac:dyDescent="0.35">
      <c r="A535" s="1">
        <v>2172</v>
      </c>
      <c r="B535" s="2">
        <v>46232</v>
      </c>
      <c r="C535" s="1" t="s">
        <v>52</v>
      </c>
      <c r="D535" s="1">
        <f>IFERROR(VLOOKUP(DEG_REDE[[#This Row],[ID]],DEG_ACUM!A:A,1,0),"NOVO")</f>
        <v>2172</v>
      </c>
    </row>
    <row r="536" spans="1:4" hidden="1" x14ac:dyDescent="0.35">
      <c r="A536" s="1">
        <v>2173</v>
      </c>
      <c r="B536" s="2">
        <v>46232</v>
      </c>
      <c r="C536" s="1" t="s">
        <v>52</v>
      </c>
      <c r="D536" s="1">
        <f>IFERROR(VLOOKUP(DEG_REDE[[#This Row],[ID]],DEG_ACUM!A:A,1,0),"NOVO")</f>
        <v>2173</v>
      </c>
    </row>
    <row r="537" spans="1:4" hidden="1" x14ac:dyDescent="0.35">
      <c r="A537" s="1">
        <v>2174</v>
      </c>
      <c r="B537" s="2">
        <v>46232</v>
      </c>
      <c r="C537" s="1" t="s">
        <v>52</v>
      </c>
      <c r="D537" s="1">
        <f>IFERROR(VLOOKUP(DEG_REDE[[#This Row],[ID]],DEG_ACUM!A:A,1,0),"NOVO")</f>
        <v>2174</v>
      </c>
    </row>
    <row r="538" spans="1:4" hidden="1" x14ac:dyDescent="0.35">
      <c r="A538" s="1">
        <v>2175</v>
      </c>
      <c r="B538" s="2">
        <v>46232</v>
      </c>
      <c r="C538" s="1" t="s">
        <v>52</v>
      </c>
      <c r="D538" s="1">
        <f>IFERROR(VLOOKUP(DEG_REDE[[#This Row],[ID]],DEG_ACUM!A:A,1,0),"NOVO")</f>
        <v>2175</v>
      </c>
    </row>
    <row r="539" spans="1:4" hidden="1" x14ac:dyDescent="0.35">
      <c r="A539" s="1">
        <v>2176</v>
      </c>
      <c r="B539" s="2">
        <v>46232</v>
      </c>
      <c r="C539" s="1" t="s">
        <v>52</v>
      </c>
      <c r="D539" s="1">
        <f>IFERROR(VLOOKUP(DEG_REDE[[#This Row],[ID]],DEG_ACUM!A:A,1,0),"NOVO")</f>
        <v>2176</v>
      </c>
    </row>
    <row r="540" spans="1:4" hidden="1" x14ac:dyDescent="0.35">
      <c r="A540" s="1">
        <v>2177</v>
      </c>
      <c r="B540" s="2">
        <v>46232</v>
      </c>
      <c r="C540" s="1" t="s">
        <v>52</v>
      </c>
      <c r="D540" s="1">
        <f>IFERROR(VLOOKUP(DEG_REDE[[#This Row],[ID]],DEG_ACUM!A:A,1,0),"NOVO")</f>
        <v>2177</v>
      </c>
    </row>
    <row r="541" spans="1:4" hidden="1" x14ac:dyDescent="0.35">
      <c r="A541" s="1">
        <v>2178</v>
      </c>
      <c r="B541" s="2">
        <v>46233</v>
      </c>
      <c r="C541" s="1" t="s">
        <v>57</v>
      </c>
      <c r="D541" s="1">
        <f>IFERROR(VLOOKUP(DEG_REDE[[#This Row],[ID]],DEG_ACUM!A:A,1,0),"NOVO")</f>
        <v>2178</v>
      </c>
    </row>
    <row r="542" spans="1:4" hidden="1" x14ac:dyDescent="0.35">
      <c r="A542" s="1">
        <v>2179</v>
      </c>
      <c r="B542" s="2">
        <v>46233</v>
      </c>
      <c r="C542" s="1" t="s">
        <v>51</v>
      </c>
      <c r="D542" s="1">
        <f>IFERROR(VLOOKUP(DEG_REDE[[#This Row],[ID]],DEG_ACUM!A:A,1,0),"NOVO")</f>
        <v>2179</v>
      </c>
    </row>
    <row r="543" spans="1:4" hidden="1" x14ac:dyDescent="0.35">
      <c r="A543" s="1">
        <v>2180</v>
      </c>
      <c r="B543" s="2">
        <v>46233</v>
      </c>
      <c r="C543" s="1" t="s">
        <v>51</v>
      </c>
      <c r="D543" s="1">
        <f>IFERROR(VLOOKUP(DEG_REDE[[#This Row],[ID]],DEG_ACUM!A:A,1,0),"NOVO")</f>
        <v>2180</v>
      </c>
    </row>
    <row r="544" spans="1:4" hidden="1" x14ac:dyDescent="0.35">
      <c r="A544" s="1">
        <v>2181</v>
      </c>
      <c r="B544" s="2">
        <v>46233</v>
      </c>
      <c r="C544" s="1" t="s">
        <v>64</v>
      </c>
      <c r="D544" s="1">
        <f>IFERROR(VLOOKUP(DEG_REDE[[#This Row],[ID]],DEG_ACUM!A:A,1,0),"NOVO")</f>
        <v>2181</v>
      </c>
    </row>
    <row r="545" spans="1:4" hidden="1" x14ac:dyDescent="0.35">
      <c r="A545" s="1">
        <v>2183</v>
      </c>
      <c r="B545" s="2">
        <v>46233</v>
      </c>
      <c r="C545" s="1" t="s">
        <v>61</v>
      </c>
      <c r="D545" s="1">
        <f>IFERROR(VLOOKUP(DEG_REDE[[#This Row],[ID]],DEG_ACUM!A:A,1,0),"NOVO")</f>
        <v>2183</v>
      </c>
    </row>
    <row r="546" spans="1:4" hidden="1" x14ac:dyDescent="0.35">
      <c r="A546" s="1">
        <v>2185</v>
      </c>
      <c r="B546" s="2">
        <v>46233</v>
      </c>
      <c r="C546" s="1" t="s">
        <v>64</v>
      </c>
      <c r="D546" s="1">
        <f>IFERROR(VLOOKUP(DEG_REDE[[#This Row],[ID]],DEG_ACUM!A:A,1,0),"NOVO")</f>
        <v>2185</v>
      </c>
    </row>
    <row r="547" spans="1:4" hidden="1" x14ac:dyDescent="0.35">
      <c r="A547" s="1">
        <v>2186</v>
      </c>
      <c r="B547" s="2">
        <v>46233</v>
      </c>
      <c r="C547" s="1" t="s">
        <v>64</v>
      </c>
      <c r="D547" s="1">
        <f>IFERROR(VLOOKUP(DEG_REDE[[#This Row],[ID]],DEG_ACUM!A:A,1,0),"NOVO")</f>
        <v>2186</v>
      </c>
    </row>
    <row r="548" spans="1:4" hidden="1" x14ac:dyDescent="0.35">
      <c r="A548" s="1">
        <v>2187</v>
      </c>
      <c r="B548" s="2">
        <v>46233</v>
      </c>
      <c r="C548" s="1" t="s">
        <v>64</v>
      </c>
      <c r="D548" s="1">
        <f>IFERROR(VLOOKUP(DEG_REDE[[#This Row],[ID]],DEG_ACUM!A:A,1,0),"NOVO")</f>
        <v>2187</v>
      </c>
    </row>
    <row r="549" spans="1:4" hidden="1" x14ac:dyDescent="0.35">
      <c r="A549" s="1">
        <v>2188</v>
      </c>
      <c r="B549" s="2">
        <v>46233</v>
      </c>
      <c r="C549" s="1" t="s">
        <v>64</v>
      </c>
      <c r="D549" s="1">
        <f>IFERROR(VLOOKUP(DEG_REDE[[#This Row],[ID]],DEG_ACUM!A:A,1,0),"NOVO")</f>
        <v>2188</v>
      </c>
    </row>
    <row r="550" spans="1:4" hidden="1" x14ac:dyDescent="0.35">
      <c r="A550" s="1">
        <v>2189</v>
      </c>
      <c r="B550" s="2">
        <v>46233</v>
      </c>
      <c r="C550" s="1" t="s">
        <v>64</v>
      </c>
      <c r="D550" s="1">
        <f>IFERROR(VLOOKUP(DEG_REDE[[#This Row],[ID]],DEG_ACUM!A:A,1,0),"NOVO")</f>
        <v>2189</v>
      </c>
    </row>
    <row r="551" spans="1:4" hidden="1" x14ac:dyDescent="0.35">
      <c r="A551" s="1">
        <v>2190</v>
      </c>
      <c r="B551" s="2">
        <v>46233</v>
      </c>
      <c r="C551" s="1" t="s">
        <v>64</v>
      </c>
      <c r="D551" s="1">
        <f>IFERROR(VLOOKUP(DEG_REDE[[#This Row],[ID]],DEG_ACUM!A:A,1,0),"NOVO")</f>
        <v>2190</v>
      </c>
    </row>
    <row r="552" spans="1:4" hidden="1" x14ac:dyDescent="0.35">
      <c r="A552" s="1">
        <v>2191</v>
      </c>
      <c r="B552" s="2">
        <v>46233</v>
      </c>
      <c r="C552" s="1" t="s">
        <v>64</v>
      </c>
      <c r="D552" s="1">
        <f>IFERROR(VLOOKUP(DEG_REDE[[#This Row],[ID]],DEG_ACUM!A:A,1,0),"NOVO")</f>
        <v>2191</v>
      </c>
    </row>
    <row r="553" spans="1:4" hidden="1" x14ac:dyDescent="0.35">
      <c r="A553" s="1">
        <v>2192</v>
      </c>
      <c r="B553" s="2">
        <v>46234</v>
      </c>
      <c r="C553" s="1" t="s">
        <v>57</v>
      </c>
      <c r="D553" s="1">
        <f>IFERROR(VLOOKUP(DEG_REDE[[#This Row],[ID]],DEG_ACUM!A:A,1,0),"NOVO")</f>
        <v>2192</v>
      </c>
    </row>
    <row r="554" spans="1:4" hidden="1" x14ac:dyDescent="0.35">
      <c r="A554" s="1">
        <v>2194</v>
      </c>
      <c r="B554" s="2">
        <v>46234</v>
      </c>
      <c r="C554" s="1" t="s">
        <v>64</v>
      </c>
      <c r="D554" s="1">
        <f>IFERROR(VLOOKUP(DEG_REDE[[#This Row],[ID]],DEG_ACUM!A:A,1,0),"NOVO")</f>
        <v>2194</v>
      </c>
    </row>
    <row r="555" spans="1:4" hidden="1" x14ac:dyDescent="0.35">
      <c r="A555" s="1">
        <v>2195</v>
      </c>
      <c r="B555" s="2">
        <v>46237</v>
      </c>
      <c r="C555" s="1" t="s">
        <v>61</v>
      </c>
      <c r="D555" s="1">
        <f>IFERROR(VLOOKUP(DEG_REDE[[#This Row],[ID]],DEG_ACUM!A:A,1,0),"NOVO")</f>
        <v>2195</v>
      </c>
    </row>
    <row r="556" spans="1:4" hidden="1" x14ac:dyDescent="0.35">
      <c r="A556" s="1">
        <v>2196</v>
      </c>
      <c r="B556" s="2">
        <v>46237</v>
      </c>
      <c r="C556" s="1" t="s">
        <v>57</v>
      </c>
      <c r="D556" s="1">
        <f>IFERROR(VLOOKUP(DEG_REDE[[#This Row],[ID]],DEG_ACUM!A:A,1,0),"NOVO")</f>
        <v>2196</v>
      </c>
    </row>
    <row r="557" spans="1:4" hidden="1" x14ac:dyDescent="0.35">
      <c r="A557" s="1">
        <v>2199</v>
      </c>
      <c r="B557" s="2">
        <v>46237</v>
      </c>
      <c r="C557" s="1" t="s">
        <v>57</v>
      </c>
      <c r="D557" s="1">
        <f>IFERROR(VLOOKUP(DEG_REDE[[#This Row],[ID]],DEG_ACUM!A:A,1,0),"NOVO")</f>
        <v>2199</v>
      </c>
    </row>
    <row r="558" spans="1:4" hidden="1" x14ac:dyDescent="0.35">
      <c r="A558" s="1">
        <v>2200</v>
      </c>
      <c r="B558" s="2">
        <v>46237</v>
      </c>
      <c r="C558" s="1" t="s">
        <v>61</v>
      </c>
      <c r="D558" s="1">
        <f>IFERROR(VLOOKUP(DEG_REDE[[#This Row],[ID]],DEG_ACUM!A:A,1,0),"NOVO")</f>
        <v>2200</v>
      </c>
    </row>
    <row r="559" spans="1:4" hidden="1" x14ac:dyDescent="0.35">
      <c r="A559" s="1">
        <v>2202</v>
      </c>
      <c r="B559" s="2">
        <v>46238</v>
      </c>
      <c r="C559" s="1" t="s">
        <v>61</v>
      </c>
      <c r="D559" s="1">
        <f>IFERROR(VLOOKUP(DEG_REDE[[#This Row],[ID]],DEG_ACUM!A:A,1,0),"NOVO")</f>
        <v>2202</v>
      </c>
    </row>
    <row r="560" spans="1:4" hidden="1" x14ac:dyDescent="0.35">
      <c r="A560" s="1">
        <v>2203</v>
      </c>
      <c r="B560" s="2">
        <v>46238</v>
      </c>
      <c r="C560" s="1" t="s">
        <v>61</v>
      </c>
      <c r="D560" s="1">
        <f>IFERROR(VLOOKUP(DEG_REDE[[#This Row],[ID]],DEG_ACUM!A:A,1,0),"NOVO")</f>
        <v>2203</v>
      </c>
    </row>
    <row r="561" spans="1:4" hidden="1" x14ac:dyDescent="0.35">
      <c r="A561" s="1">
        <v>2204</v>
      </c>
      <c r="B561" s="2">
        <v>46238</v>
      </c>
      <c r="C561" s="1" t="s">
        <v>61</v>
      </c>
      <c r="D561" s="1">
        <f>IFERROR(VLOOKUP(DEG_REDE[[#This Row],[ID]],DEG_ACUM!A:A,1,0),"NOVO")</f>
        <v>2204</v>
      </c>
    </row>
    <row r="562" spans="1:4" hidden="1" x14ac:dyDescent="0.35">
      <c r="A562" s="1">
        <v>2205</v>
      </c>
      <c r="B562" s="2">
        <v>46238</v>
      </c>
      <c r="C562" s="1" t="s">
        <v>61</v>
      </c>
      <c r="D562" s="1">
        <f>IFERROR(VLOOKUP(DEG_REDE[[#This Row],[ID]],DEG_ACUM!A:A,1,0),"NOVO")</f>
        <v>2205</v>
      </c>
    </row>
    <row r="563" spans="1:4" hidden="1" x14ac:dyDescent="0.35">
      <c r="A563" s="1">
        <v>2206</v>
      </c>
      <c r="B563" s="2">
        <v>46238</v>
      </c>
      <c r="C563" s="1" t="s">
        <v>51</v>
      </c>
      <c r="D563" s="1">
        <f>IFERROR(VLOOKUP(DEG_REDE[[#This Row],[ID]],DEG_ACUM!A:A,1,0),"NOVO")</f>
        <v>2206</v>
      </c>
    </row>
    <row r="564" spans="1:4" hidden="1" x14ac:dyDescent="0.35">
      <c r="A564" s="1">
        <v>2207</v>
      </c>
      <c r="B564" s="2">
        <v>46238</v>
      </c>
      <c r="C564" s="1" t="s">
        <v>57</v>
      </c>
      <c r="D564" s="1">
        <f>IFERROR(VLOOKUP(DEG_REDE[[#This Row],[ID]],DEG_ACUM!A:A,1,0),"NOVO")</f>
        <v>2207</v>
      </c>
    </row>
    <row r="565" spans="1:4" hidden="1" x14ac:dyDescent="0.35">
      <c r="A565" s="1">
        <v>2211</v>
      </c>
      <c r="B565" s="2">
        <v>46238</v>
      </c>
      <c r="C565" s="1" t="s">
        <v>64</v>
      </c>
      <c r="D565" s="1">
        <f>IFERROR(VLOOKUP(DEG_REDE[[#This Row],[ID]],DEG_ACUM!A:A,1,0),"NOVO")</f>
        <v>2211</v>
      </c>
    </row>
    <row r="566" spans="1:4" hidden="1" x14ac:dyDescent="0.35">
      <c r="A566" s="1">
        <v>2212</v>
      </c>
      <c r="B566" s="2">
        <v>46238</v>
      </c>
      <c r="C566" s="1" t="s">
        <v>64</v>
      </c>
      <c r="D566" s="1">
        <f>IFERROR(VLOOKUP(DEG_REDE[[#This Row],[ID]],DEG_ACUM!A:A,1,0),"NOVO")</f>
        <v>2212</v>
      </c>
    </row>
    <row r="567" spans="1:4" hidden="1" x14ac:dyDescent="0.35">
      <c r="A567" s="1">
        <v>2213</v>
      </c>
      <c r="B567" s="2">
        <v>46238</v>
      </c>
      <c r="C567" s="1" t="s">
        <v>64</v>
      </c>
      <c r="D567" s="1">
        <f>IFERROR(VLOOKUP(DEG_REDE[[#This Row],[ID]],DEG_ACUM!A:A,1,0),"NOVO")</f>
        <v>2213</v>
      </c>
    </row>
    <row r="568" spans="1:4" hidden="1" x14ac:dyDescent="0.35">
      <c r="A568" s="1">
        <v>2214</v>
      </c>
      <c r="B568" s="2">
        <v>46238</v>
      </c>
      <c r="C568" s="1" t="s">
        <v>64</v>
      </c>
      <c r="D568" s="1">
        <f>IFERROR(VLOOKUP(DEG_REDE[[#This Row],[ID]],DEG_ACUM!A:A,1,0),"NOVO")</f>
        <v>2214</v>
      </c>
    </row>
    <row r="569" spans="1:4" hidden="1" x14ac:dyDescent="0.35">
      <c r="A569" s="1">
        <v>2215</v>
      </c>
      <c r="B569" s="2">
        <v>46238</v>
      </c>
      <c r="C569" s="1" t="s">
        <v>64</v>
      </c>
      <c r="D569" s="1">
        <f>IFERROR(VLOOKUP(DEG_REDE[[#This Row],[ID]],DEG_ACUM!A:A,1,0),"NOVO")</f>
        <v>2215</v>
      </c>
    </row>
    <row r="570" spans="1:4" hidden="1" x14ac:dyDescent="0.35">
      <c r="A570" s="1">
        <v>2216</v>
      </c>
      <c r="B570" s="2">
        <v>46238</v>
      </c>
      <c r="C570" s="1" t="s">
        <v>64</v>
      </c>
      <c r="D570" s="1">
        <f>IFERROR(VLOOKUP(DEG_REDE[[#This Row],[ID]],DEG_ACUM!A:A,1,0),"NOVO")</f>
        <v>2216</v>
      </c>
    </row>
    <row r="571" spans="1:4" hidden="1" x14ac:dyDescent="0.35">
      <c r="A571" s="1">
        <v>2217</v>
      </c>
      <c r="B571" s="2">
        <v>46238</v>
      </c>
      <c r="C571" s="1" t="s">
        <v>64</v>
      </c>
      <c r="D571" s="1">
        <f>IFERROR(VLOOKUP(DEG_REDE[[#This Row],[ID]],DEG_ACUM!A:A,1,0),"NOVO")</f>
        <v>2217</v>
      </c>
    </row>
    <row r="572" spans="1:4" hidden="1" x14ac:dyDescent="0.35">
      <c r="A572" s="1">
        <v>2218</v>
      </c>
      <c r="B572" s="2">
        <v>46238</v>
      </c>
      <c r="C572" s="1" t="s">
        <v>64</v>
      </c>
      <c r="D572" s="1">
        <f>IFERROR(VLOOKUP(DEG_REDE[[#This Row],[ID]],DEG_ACUM!A:A,1,0),"NOVO")</f>
        <v>2218</v>
      </c>
    </row>
    <row r="573" spans="1:4" hidden="1" x14ac:dyDescent="0.35">
      <c r="A573" s="1">
        <v>2219</v>
      </c>
      <c r="B573" s="2">
        <v>46238</v>
      </c>
      <c r="C573" s="1" t="s">
        <v>64</v>
      </c>
      <c r="D573" s="1">
        <f>IFERROR(VLOOKUP(DEG_REDE[[#This Row],[ID]],DEG_ACUM!A:A,1,0),"NOVO")</f>
        <v>2219</v>
      </c>
    </row>
    <row r="574" spans="1:4" hidden="1" x14ac:dyDescent="0.35">
      <c r="A574" s="1">
        <v>2231</v>
      </c>
      <c r="B574" s="2">
        <v>46239</v>
      </c>
      <c r="C574" s="1" t="s">
        <v>54</v>
      </c>
      <c r="D574" s="1">
        <f>IFERROR(VLOOKUP(DEG_REDE[[#This Row],[ID]],DEG_ACUM!A:A,1,0),"NOVO")</f>
        <v>2231</v>
      </c>
    </row>
    <row r="575" spans="1:4" hidden="1" x14ac:dyDescent="0.35">
      <c r="A575" s="1">
        <v>2232</v>
      </c>
      <c r="B575" s="2">
        <v>46239</v>
      </c>
      <c r="C575" s="1" t="s">
        <v>61</v>
      </c>
      <c r="D575" s="1">
        <f>IFERROR(VLOOKUP(DEG_REDE[[#This Row],[ID]],DEG_ACUM!A:A,1,0),"NOVO")</f>
        <v>2232</v>
      </c>
    </row>
    <row r="576" spans="1:4" hidden="1" x14ac:dyDescent="0.35">
      <c r="A576" s="1">
        <v>2233</v>
      </c>
      <c r="B576" s="2">
        <v>46239</v>
      </c>
      <c r="C576" s="1" t="s">
        <v>64</v>
      </c>
      <c r="D576" s="1">
        <f>IFERROR(VLOOKUP(DEG_REDE[[#This Row],[ID]],DEG_ACUM!A:A,1,0),"NOVO")</f>
        <v>2233</v>
      </c>
    </row>
    <row r="577" spans="1:4" hidden="1" x14ac:dyDescent="0.35">
      <c r="A577" s="1">
        <v>2234</v>
      </c>
      <c r="B577" s="2">
        <v>46239</v>
      </c>
      <c r="C577" s="1" t="s">
        <v>64</v>
      </c>
      <c r="D577" s="1">
        <f>IFERROR(VLOOKUP(DEG_REDE[[#This Row],[ID]],DEG_ACUM!A:A,1,0),"NOVO")</f>
        <v>2234</v>
      </c>
    </row>
    <row r="578" spans="1:4" hidden="1" x14ac:dyDescent="0.35">
      <c r="A578" s="1">
        <v>2235</v>
      </c>
      <c r="B578" s="2">
        <v>46239</v>
      </c>
      <c r="C578" s="1" t="s">
        <v>57</v>
      </c>
      <c r="D578" s="1">
        <f>IFERROR(VLOOKUP(DEG_REDE[[#This Row],[ID]],DEG_ACUM!A:A,1,0),"NOVO")</f>
        <v>2235</v>
      </c>
    </row>
    <row r="579" spans="1:4" hidden="1" x14ac:dyDescent="0.35">
      <c r="A579" s="1">
        <v>2236</v>
      </c>
      <c r="B579" s="2">
        <v>46240</v>
      </c>
      <c r="C579" s="1" t="s">
        <v>54</v>
      </c>
      <c r="D579" s="1">
        <f>IFERROR(VLOOKUP(DEG_REDE[[#This Row],[ID]],DEG_ACUM!A:A,1,0),"NOVO")</f>
        <v>2236</v>
      </c>
    </row>
    <row r="580" spans="1:4" hidden="1" x14ac:dyDescent="0.35">
      <c r="A580" s="1">
        <v>2240</v>
      </c>
      <c r="B580" s="2">
        <v>46240</v>
      </c>
      <c r="C580" s="1" t="s">
        <v>61</v>
      </c>
      <c r="D580" s="1">
        <f>IFERROR(VLOOKUP(DEG_REDE[[#This Row],[ID]],DEG_ACUM!A:A,1,0),"NOVO")</f>
        <v>2240</v>
      </c>
    </row>
    <row r="581" spans="1:4" hidden="1" x14ac:dyDescent="0.35">
      <c r="A581" s="1">
        <v>2241</v>
      </c>
      <c r="B581" s="2">
        <v>46240</v>
      </c>
      <c r="C581" s="1" t="s">
        <v>61</v>
      </c>
      <c r="D581" s="1">
        <f>IFERROR(VLOOKUP(DEG_REDE[[#This Row],[ID]],DEG_ACUM!A:A,1,0),"NOVO")</f>
        <v>2241</v>
      </c>
    </row>
    <row r="582" spans="1:4" hidden="1" x14ac:dyDescent="0.35">
      <c r="A582" s="1">
        <v>2252</v>
      </c>
      <c r="B582" s="2">
        <v>46241</v>
      </c>
      <c r="C582" s="1" t="s">
        <v>52</v>
      </c>
      <c r="D582" s="1">
        <f>IFERROR(VLOOKUP(DEG_REDE[[#This Row],[ID]],DEG_ACUM!A:A,1,0),"NOVO")</f>
        <v>2252</v>
      </c>
    </row>
    <row r="583" spans="1:4" hidden="1" x14ac:dyDescent="0.35">
      <c r="A583" s="1">
        <v>2288</v>
      </c>
      <c r="B583" s="2">
        <v>46244</v>
      </c>
      <c r="C583" s="1" t="s">
        <v>61</v>
      </c>
      <c r="D583" s="1">
        <f>IFERROR(VLOOKUP(DEG_REDE[[#This Row],[ID]],DEG_ACUM!A:A,1,0),"NOVO")</f>
        <v>2288</v>
      </c>
    </row>
    <row r="584" spans="1:4" hidden="1" x14ac:dyDescent="0.35">
      <c r="A584" s="1">
        <v>2289</v>
      </c>
      <c r="B584" s="2">
        <v>46244</v>
      </c>
      <c r="C584" s="1" t="s">
        <v>64</v>
      </c>
      <c r="D584" s="1">
        <f>IFERROR(VLOOKUP(DEG_REDE[[#This Row],[ID]],DEG_ACUM!A:A,1,0),"NOVO")</f>
        <v>2289</v>
      </c>
    </row>
    <row r="585" spans="1:4" hidden="1" x14ac:dyDescent="0.35">
      <c r="A585" s="1">
        <v>2290</v>
      </c>
      <c r="B585" s="2">
        <v>46244</v>
      </c>
      <c r="C585" s="1" t="s">
        <v>54</v>
      </c>
      <c r="D585" s="1">
        <f>IFERROR(VLOOKUP(DEG_REDE[[#This Row],[ID]],DEG_ACUM!A:A,1,0),"NOVO")</f>
        <v>2290</v>
      </c>
    </row>
    <row r="586" spans="1:4" hidden="1" x14ac:dyDescent="0.35">
      <c r="A586" s="1">
        <v>2299</v>
      </c>
      <c r="B586" s="2">
        <v>46244</v>
      </c>
      <c r="C586" s="1" t="s">
        <v>52</v>
      </c>
      <c r="D586" s="1">
        <f>IFERROR(VLOOKUP(DEG_REDE[[#This Row],[ID]],DEG_ACUM!A:A,1,0),"NOVO")</f>
        <v>2299</v>
      </c>
    </row>
    <row r="587" spans="1:4" hidden="1" x14ac:dyDescent="0.35">
      <c r="A587" s="1">
        <v>2300</v>
      </c>
      <c r="B587" s="2">
        <v>46244</v>
      </c>
      <c r="C587" s="1" t="s">
        <v>52</v>
      </c>
      <c r="D587" s="1">
        <f>IFERROR(VLOOKUP(DEG_REDE[[#This Row],[ID]],DEG_ACUM!A:A,1,0),"NOVO")</f>
        <v>2300</v>
      </c>
    </row>
    <row r="588" spans="1:4" hidden="1" x14ac:dyDescent="0.35">
      <c r="A588" s="1">
        <v>2302</v>
      </c>
      <c r="B588" s="2">
        <v>46244</v>
      </c>
      <c r="C588" s="1" t="s">
        <v>52</v>
      </c>
      <c r="D588" s="1">
        <f>IFERROR(VLOOKUP(DEG_REDE[[#This Row],[ID]],DEG_ACUM!A:A,1,0),"NOVO")</f>
        <v>2302</v>
      </c>
    </row>
    <row r="589" spans="1:4" hidden="1" x14ac:dyDescent="0.35">
      <c r="A589" s="1">
        <v>2304</v>
      </c>
      <c r="B589" s="2">
        <v>46244</v>
      </c>
      <c r="C589" s="1" t="s">
        <v>52</v>
      </c>
      <c r="D589" s="1">
        <f>IFERROR(VLOOKUP(DEG_REDE[[#This Row],[ID]],DEG_ACUM!A:A,1,0),"NOVO")</f>
        <v>2304</v>
      </c>
    </row>
    <row r="590" spans="1:4" hidden="1" x14ac:dyDescent="0.35">
      <c r="A590" s="1">
        <v>2305</v>
      </c>
      <c r="B590" s="2">
        <v>46244</v>
      </c>
      <c r="C590" s="1" t="s">
        <v>52</v>
      </c>
      <c r="D590" s="1">
        <f>IFERROR(VLOOKUP(DEG_REDE[[#This Row],[ID]],DEG_ACUM!A:A,1,0),"NOVO")</f>
        <v>2305</v>
      </c>
    </row>
    <row r="591" spans="1:4" hidden="1" x14ac:dyDescent="0.35">
      <c r="A591" s="1">
        <v>2306</v>
      </c>
      <c r="B591" s="2">
        <v>46244</v>
      </c>
      <c r="C591" s="1" t="s">
        <v>52</v>
      </c>
      <c r="D591" s="1">
        <f>IFERROR(VLOOKUP(DEG_REDE[[#This Row],[ID]],DEG_ACUM!A:A,1,0),"NOVO")</f>
        <v>2306</v>
      </c>
    </row>
    <row r="592" spans="1:4" hidden="1" x14ac:dyDescent="0.35">
      <c r="A592" s="1">
        <v>2307</v>
      </c>
      <c r="B592" s="2">
        <v>46244</v>
      </c>
      <c r="C592" s="1" t="s">
        <v>52</v>
      </c>
      <c r="D592" s="1">
        <f>IFERROR(VLOOKUP(DEG_REDE[[#This Row],[ID]],DEG_ACUM!A:A,1,0),"NOVO")</f>
        <v>2307</v>
      </c>
    </row>
    <row r="593" spans="1:4" hidden="1" x14ac:dyDescent="0.35">
      <c r="A593" s="1">
        <v>2357</v>
      </c>
      <c r="B593" s="2">
        <v>46245</v>
      </c>
      <c r="C593" s="1" t="s">
        <v>65</v>
      </c>
      <c r="D593" s="1">
        <f>IFERROR(VLOOKUP(DEG_REDE[[#This Row],[ID]],DEG_ACUM!A:A,1,0),"NOVO")</f>
        <v>2357</v>
      </c>
    </row>
    <row r="594" spans="1:4" hidden="1" x14ac:dyDescent="0.35">
      <c r="A594" s="1">
        <v>2358</v>
      </c>
      <c r="B594" s="2">
        <v>46245</v>
      </c>
      <c r="C594" s="1" t="s">
        <v>65</v>
      </c>
      <c r="D594" s="1">
        <f>IFERROR(VLOOKUP(DEG_REDE[[#This Row],[ID]],DEG_ACUM!A:A,1,0),"NOVO")</f>
        <v>2358</v>
      </c>
    </row>
    <row r="595" spans="1:4" hidden="1" x14ac:dyDescent="0.35">
      <c r="A595" s="1">
        <v>2359</v>
      </c>
      <c r="B595" s="2">
        <v>46245</v>
      </c>
      <c r="C595" s="1" t="s">
        <v>65</v>
      </c>
      <c r="D595" s="1">
        <f>IFERROR(VLOOKUP(DEG_REDE[[#This Row],[ID]],DEG_ACUM!A:A,1,0),"NOVO")</f>
        <v>2359</v>
      </c>
    </row>
    <row r="596" spans="1:4" hidden="1" x14ac:dyDescent="0.35">
      <c r="A596" s="1">
        <v>2360</v>
      </c>
      <c r="B596" s="2">
        <v>46245</v>
      </c>
      <c r="C596" s="1" t="s">
        <v>52</v>
      </c>
      <c r="D596" s="1">
        <f>IFERROR(VLOOKUP(DEG_REDE[[#This Row],[ID]],DEG_ACUM!A:A,1,0),"NOVO")</f>
        <v>2360</v>
      </c>
    </row>
    <row r="597" spans="1:4" hidden="1" x14ac:dyDescent="0.35">
      <c r="A597" s="1">
        <v>2361</v>
      </c>
      <c r="B597" s="2">
        <v>46245</v>
      </c>
      <c r="C597" s="1" t="s">
        <v>52</v>
      </c>
      <c r="D597" s="1">
        <f>IFERROR(VLOOKUP(DEG_REDE[[#This Row],[ID]],DEG_ACUM!A:A,1,0),"NOVO")</f>
        <v>2361</v>
      </c>
    </row>
    <row r="598" spans="1:4" hidden="1" x14ac:dyDescent="0.35">
      <c r="A598" s="1">
        <v>2362</v>
      </c>
      <c r="B598" s="2">
        <v>46245</v>
      </c>
      <c r="C598" s="1" t="s">
        <v>52</v>
      </c>
      <c r="D598" s="1">
        <f>IFERROR(VLOOKUP(DEG_REDE[[#This Row],[ID]],DEG_ACUM!A:A,1,0),"NOVO")</f>
        <v>2362</v>
      </c>
    </row>
    <row r="599" spans="1:4" hidden="1" x14ac:dyDescent="0.35">
      <c r="A599" s="1">
        <v>2363</v>
      </c>
      <c r="B599" s="2">
        <v>46245</v>
      </c>
      <c r="C599" s="1" t="s">
        <v>52</v>
      </c>
      <c r="D599" s="1">
        <f>IFERROR(VLOOKUP(DEG_REDE[[#This Row],[ID]],DEG_ACUM!A:A,1,0),"NOVO")</f>
        <v>2363</v>
      </c>
    </row>
    <row r="600" spans="1:4" hidden="1" x14ac:dyDescent="0.35">
      <c r="A600" s="1">
        <v>2364</v>
      </c>
      <c r="B600" s="2">
        <v>46245</v>
      </c>
      <c r="C600" s="1" t="s">
        <v>52</v>
      </c>
      <c r="D600" s="1">
        <f>IFERROR(VLOOKUP(DEG_REDE[[#This Row],[ID]],DEG_ACUM!A:A,1,0),"NOVO")</f>
        <v>2364</v>
      </c>
    </row>
    <row r="601" spans="1:4" hidden="1" x14ac:dyDescent="0.35">
      <c r="A601" s="1">
        <v>2365</v>
      </c>
      <c r="B601" s="2">
        <v>46245</v>
      </c>
      <c r="C601" s="1" t="s">
        <v>52</v>
      </c>
      <c r="D601" s="1">
        <f>IFERROR(VLOOKUP(DEG_REDE[[#This Row],[ID]],DEG_ACUM!A:A,1,0),"NOVO")</f>
        <v>2365</v>
      </c>
    </row>
    <row r="602" spans="1:4" hidden="1" x14ac:dyDescent="0.35">
      <c r="A602" s="1">
        <v>2366</v>
      </c>
      <c r="B602" s="2">
        <v>46245</v>
      </c>
      <c r="C602" s="1" t="s">
        <v>64</v>
      </c>
      <c r="D602" s="1">
        <f>IFERROR(VLOOKUP(DEG_REDE[[#This Row],[ID]],DEG_ACUM!A:A,1,0),"NOVO")</f>
        <v>2366</v>
      </c>
    </row>
    <row r="603" spans="1:4" hidden="1" x14ac:dyDescent="0.35">
      <c r="A603" s="1">
        <v>2367</v>
      </c>
      <c r="B603" s="2">
        <v>46245</v>
      </c>
      <c r="C603" s="1" t="s">
        <v>64</v>
      </c>
      <c r="D603" s="1">
        <f>IFERROR(VLOOKUP(DEG_REDE[[#This Row],[ID]],DEG_ACUM!A:A,1,0),"NOVO")</f>
        <v>2367</v>
      </c>
    </row>
    <row r="604" spans="1:4" hidden="1" x14ac:dyDescent="0.35">
      <c r="A604" s="1">
        <v>2368</v>
      </c>
      <c r="B604" s="2">
        <v>46245</v>
      </c>
      <c r="C604" s="1" t="s">
        <v>64</v>
      </c>
      <c r="D604" s="1">
        <f>IFERROR(VLOOKUP(DEG_REDE[[#This Row],[ID]],DEG_ACUM!A:A,1,0),"NOVO")</f>
        <v>2368</v>
      </c>
    </row>
    <row r="605" spans="1:4" hidden="1" x14ac:dyDescent="0.35">
      <c r="A605" s="1">
        <v>2369</v>
      </c>
      <c r="B605" s="2">
        <v>46245</v>
      </c>
      <c r="C605" s="1" t="s">
        <v>64</v>
      </c>
      <c r="D605" s="1">
        <f>IFERROR(VLOOKUP(DEG_REDE[[#This Row],[ID]],DEG_ACUM!A:A,1,0),"NOVO")</f>
        <v>2369</v>
      </c>
    </row>
    <row r="606" spans="1:4" hidden="1" x14ac:dyDescent="0.35">
      <c r="A606" s="1">
        <v>2370</v>
      </c>
      <c r="B606" s="2">
        <v>46245</v>
      </c>
      <c r="C606" s="1" t="s">
        <v>64</v>
      </c>
      <c r="D606" s="1">
        <f>IFERROR(VLOOKUP(DEG_REDE[[#This Row],[ID]],DEG_ACUM!A:A,1,0),"NOVO")</f>
        <v>2370</v>
      </c>
    </row>
    <row r="607" spans="1:4" hidden="1" x14ac:dyDescent="0.35">
      <c r="A607" s="1">
        <v>2371</v>
      </c>
      <c r="B607" s="2">
        <v>46245</v>
      </c>
      <c r="C607" s="1" t="s">
        <v>64</v>
      </c>
      <c r="D607" s="1">
        <f>IFERROR(VLOOKUP(DEG_REDE[[#This Row],[ID]],DEG_ACUM!A:A,1,0),"NOVO")</f>
        <v>2371</v>
      </c>
    </row>
    <row r="608" spans="1:4" hidden="1" x14ac:dyDescent="0.35">
      <c r="A608" s="1">
        <v>2372</v>
      </c>
      <c r="B608" s="2">
        <v>46245</v>
      </c>
      <c r="C608" s="1" t="s">
        <v>64</v>
      </c>
      <c r="D608" s="1">
        <f>IFERROR(VLOOKUP(DEG_REDE[[#This Row],[ID]],DEG_ACUM!A:A,1,0),"NOVO")</f>
        <v>2372</v>
      </c>
    </row>
    <row r="609" spans="1:4" hidden="1" x14ac:dyDescent="0.35">
      <c r="A609" s="1">
        <v>2373</v>
      </c>
      <c r="B609" s="2">
        <v>46245</v>
      </c>
      <c r="C609" s="1" t="s">
        <v>64</v>
      </c>
      <c r="D609" s="1">
        <f>IFERROR(VLOOKUP(DEG_REDE[[#This Row],[ID]],DEG_ACUM!A:A,1,0),"NOVO")</f>
        <v>2373</v>
      </c>
    </row>
    <row r="610" spans="1:4" hidden="1" x14ac:dyDescent="0.35">
      <c r="A610" s="1">
        <v>2374</v>
      </c>
      <c r="B610" s="2">
        <v>46245</v>
      </c>
      <c r="C610" s="1" t="s">
        <v>64</v>
      </c>
      <c r="D610" s="1">
        <f>IFERROR(VLOOKUP(DEG_REDE[[#This Row],[ID]],DEG_ACUM!A:A,1,0),"NOVO")</f>
        <v>2374</v>
      </c>
    </row>
    <row r="611" spans="1:4" hidden="1" x14ac:dyDescent="0.35">
      <c r="A611" s="1">
        <v>2375</v>
      </c>
      <c r="B611" s="2">
        <v>46245</v>
      </c>
      <c r="C611" s="1" t="s">
        <v>64</v>
      </c>
      <c r="D611" s="1">
        <f>IFERROR(VLOOKUP(DEG_REDE[[#This Row],[ID]],DEG_ACUM!A:A,1,0),"NOVO")</f>
        <v>2375</v>
      </c>
    </row>
    <row r="612" spans="1:4" hidden="1" x14ac:dyDescent="0.35">
      <c r="A612" s="1">
        <v>2376</v>
      </c>
      <c r="B612" s="2">
        <v>46245</v>
      </c>
      <c r="C612" s="1" t="s">
        <v>64</v>
      </c>
      <c r="D612" s="1">
        <f>IFERROR(VLOOKUP(DEG_REDE[[#This Row],[ID]],DEG_ACUM!A:A,1,0),"NOVO")</f>
        <v>2376</v>
      </c>
    </row>
    <row r="613" spans="1:4" hidden="1" x14ac:dyDescent="0.35">
      <c r="A613" s="1">
        <v>2377</v>
      </c>
      <c r="B613" s="2">
        <v>46245</v>
      </c>
      <c r="C613" s="1" t="s">
        <v>64</v>
      </c>
      <c r="D613" s="1">
        <f>IFERROR(VLOOKUP(DEG_REDE[[#This Row],[ID]],DEG_ACUM!A:A,1,0),"NOVO")</f>
        <v>2377</v>
      </c>
    </row>
    <row r="614" spans="1:4" hidden="1" x14ac:dyDescent="0.35">
      <c r="A614" s="1">
        <v>2378</v>
      </c>
      <c r="B614" s="2">
        <v>46245</v>
      </c>
      <c r="C614" s="1" t="s">
        <v>64</v>
      </c>
      <c r="D614" s="1">
        <f>IFERROR(VLOOKUP(DEG_REDE[[#This Row],[ID]],DEG_ACUM!A:A,1,0),"NOVO")</f>
        <v>2378</v>
      </c>
    </row>
    <row r="615" spans="1:4" hidden="1" x14ac:dyDescent="0.35">
      <c r="A615" s="1">
        <v>2379</v>
      </c>
      <c r="B615" s="2">
        <v>46245</v>
      </c>
      <c r="C615" s="1" t="s">
        <v>64</v>
      </c>
      <c r="D615" s="1">
        <f>IFERROR(VLOOKUP(DEG_REDE[[#This Row],[ID]],DEG_ACUM!A:A,1,0),"NOVO")</f>
        <v>2379</v>
      </c>
    </row>
    <row r="616" spans="1:4" hidden="1" x14ac:dyDescent="0.35">
      <c r="A616" s="1">
        <v>2380</v>
      </c>
      <c r="B616" s="2">
        <v>46246</v>
      </c>
      <c r="C616" s="1" t="s">
        <v>54</v>
      </c>
      <c r="D616" s="1">
        <f>IFERROR(VLOOKUP(DEG_REDE[[#This Row],[ID]],DEG_ACUM!A:A,1,0),"NOVO")</f>
        <v>2380</v>
      </c>
    </row>
    <row r="617" spans="1:4" hidden="1" x14ac:dyDescent="0.35">
      <c r="A617" s="1">
        <v>2389</v>
      </c>
      <c r="B617" s="2">
        <v>46246</v>
      </c>
      <c r="C617" s="1" t="s">
        <v>64</v>
      </c>
      <c r="D617" s="1">
        <f>IFERROR(VLOOKUP(DEG_REDE[[#This Row],[ID]],DEG_ACUM!A:A,1,0),"NOVO")</f>
        <v>2389</v>
      </c>
    </row>
    <row r="618" spans="1:4" hidden="1" x14ac:dyDescent="0.35">
      <c r="A618" s="1">
        <v>2410</v>
      </c>
      <c r="B618" s="2">
        <v>46247</v>
      </c>
      <c r="C618" s="1" t="s">
        <v>54</v>
      </c>
      <c r="D618" s="1">
        <f>IFERROR(VLOOKUP(DEG_REDE[[#This Row],[ID]],DEG_ACUM!A:A,1,0),"NOVO")</f>
        <v>2410</v>
      </c>
    </row>
    <row r="619" spans="1:4" hidden="1" x14ac:dyDescent="0.35">
      <c r="A619" s="1">
        <v>2411</v>
      </c>
      <c r="B619" s="2">
        <v>46247</v>
      </c>
      <c r="C619" s="1" t="s">
        <v>54</v>
      </c>
      <c r="D619" s="1">
        <f>IFERROR(VLOOKUP(DEG_REDE[[#This Row],[ID]],DEG_ACUM!A:A,1,0),"NOVO")</f>
        <v>2411</v>
      </c>
    </row>
    <row r="620" spans="1:4" hidden="1" x14ac:dyDescent="0.35">
      <c r="A620" s="1">
        <v>2412</v>
      </c>
      <c r="B620" s="2">
        <v>46247</v>
      </c>
      <c r="C620" s="1" t="s">
        <v>54</v>
      </c>
      <c r="D620" s="1">
        <f>IFERROR(VLOOKUP(DEG_REDE[[#This Row],[ID]],DEG_ACUM!A:A,1,0),"NOVO")</f>
        <v>2412</v>
      </c>
    </row>
    <row r="621" spans="1:4" hidden="1" x14ac:dyDescent="0.35">
      <c r="A621" s="1">
        <v>2413</v>
      </c>
      <c r="B621" s="2">
        <v>46247</v>
      </c>
      <c r="C621" s="1" t="s">
        <v>54</v>
      </c>
      <c r="D621" s="1">
        <f>IFERROR(VLOOKUP(DEG_REDE[[#This Row],[ID]],DEG_ACUM!A:A,1,0),"NOVO")</f>
        <v>2413</v>
      </c>
    </row>
    <row r="622" spans="1:4" hidden="1" x14ac:dyDescent="0.35">
      <c r="A622" s="1">
        <v>2414</v>
      </c>
      <c r="B622" s="2">
        <v>46247</v>
      </c>
      <c r="C622" s="1" t="s">
        <v>54</v>
      </c>
      <c r="D622" s="1">
        <f>IFERROR(VLOOKUP(DEG_REDE[[#This Row],[ID]],DEG_ACUM!A:A,1,0),"NOVO")</f>
        <v>2414</v>
      </c>
    </row>
    <row r="623" spans="1:4" hidden="1" x14ac:dyDescent="0.35">
      <c r="A623" s="1">
        <v>2415</v>
      </c>
      <c r="B623" s="2">
        <v>46247</v>
      </c>
      <c r="C623" s="1" t="s">
        <v>54</v>
      </c>
      <c r="D623" s="1">
        <f>IFERROR(VLOOKUP(DEG_REDE[[#This Row],[ID]],DEG_ACUM!A:A,1,0),"NOVO")</f>
        <v>2415</v>
      </c>
    </row>
    <row r="624" spans="1:4" hidden="1" x14ac:dyDescent="0.35">
      <c r="A624" s="1">
        <v>2416</v>
      </c>
      <c r="B624" s="2">
        <v>46247</v>
      </c>
      <c r="C624" s="1" t="s">
        <v>54</v>
      </c>
      <c r="D624" s="1">
        <f>IFERROR(VLOOKUP(DEG_REDE[[#This Row],[ID]],DEG_ACUM!A:A,1,0),"NOVO")</f>
        <v>2416</v>
      </c>
    </row>
    <row r="625" spans="1:4" hidden="1" x14ac:dyDescent="0.35">
      <c r="A625" s="1">
        <v>2417</v>
      </c>
      <c r="B625" s="2">
        <v>46247</v>
      </c>
      <c r="C625" s="1" t="s">
        <v>54</v>
      </c>
      <c r="D625" s="1">
        <f>IFERROR(VLOOKUP(DEG_REDE[[#This Row],[ID]],DEG_ACUM!A:A,1,0),"NOVO")</f>
        <v>2417</v>
      </c>
    </row>
    <row r="626" spans="1:4" hidden="1" x14ac:dyDescent="0.35">
      <c r="A626" s="1">
        <v>2418</v>
      </c>
      <c r="B626" s="2">
        <v>46247</v>
      </c>
      <c r="C626" s="1" t="s">
        <v>54</v>
      </c>
      <c r="D626" s="1">
        <f>IFERROR(VLOOKUP(DEG_REDE[[#This Row],[ID]],DEG_ACUM!A:A,1,0),"NOVO")</f>
        <v>2418</v>
      </c>
    </row>
    <row r="627" spans="1:4" hidden="1" x14ac:dyDescent="0.35">
      <c r="A627" s="1">
        <v>2419</v>
      </c>
      <c r="B627" s="2">
        <v>46247</v>
      </c>
      <c r="C627" s="1" t="s">
        <v>54</v>
      </c>
      <c r="D627" s="1">
        <f>IFERROR(VLOOKUP(DEG_REDE[[#This Row],[ID]],DEG_ACUM!A:A,1,0),"NOVO")</f>
        <v>2419</v>
      </c>
    </row>
    <row r="628" spans="1:4" hidden="1" x14ac:dyDescent="0.35">
      <c r="A628" s="1">
        <v>2420</v>
      </c>
      <c r="B628" s="2">
        <v>46247</v>
      </c>
      <c r="C628" s="1" t="s">
        <v>54</v>
      </c>
      <c r="D628" s="1">
        <f>IFERROR(VLOOKUP(DEG_REDE[[#This Row],[ID]],DEG_ACUM!A:A,1,0),"NOVO")</f>
        <v>2420</v>
      </c>
    </row>
    <row r="629" spans="1:4" hidden="1" x14ac:dyDescent="0.35">
      <c r="A629" s="1">
        <v>2421</v>
      </c>
      <c r="B629" s="2">
        <v>46247</v>
      </c>
      <c r="C629" s="1" t="s">
        <v>54</v>
      </c>
      <c r="D629" s="1">
        <f>IFERROR(VLOOKUP(DEG_REDE[[#This Row],[ID]],DEG_ACUM!A:A,1,0),"NOVO")</f>
        <v>2421</v>
      </c>
    </row>
    <row r="630" spans="1:4" hidden="1" x14ac:dyDescent="0.35">
      <c r="A630" s="1">
        <v>2422</v>
      </c>
      <c r="B630" s="2">
        <v>46247</v>
      </c>
      <c r="C630" s="1" t="s">
        <v>54</v>
      </c>
      <c r="D630" s="1">
        <f>IFERROR(VLOOKUP(DEG_REDE[[#This Row],[ID]],DEG_ACUM!A:A,1,0),"NOVO")</f>
        <v>2422</v>
      </c>
    </row>
    <row r="631" spans="1:4" hidden="1" x14ac:dyDescent="0.35">
      <c r="A631" s="1">
        <v>2423</v>
      </c>
      <c r="B631" s="2">
        <v>46247</v>
      </c>
      <c r="C631" s="1" t="s">
        <v>54</v>
      </c>
      <c r="D631" s="1">
        <f>IFERROR(VLOOKUP(DEG_REDE[[#This Row],[ID]],DEG_ACUM!A:A,1,0),"NOVO")</f>
        <v>2423</v>
      </c>
    </row>
    <row r="632" spans="1:4" hidden="1" x14ac:dyDescent="0.35">
      <c r="A632" s="1">
        <v>2424</v>
      </c>
      <c r="B632" s="2">
        <v>46247</v>
      </c>
      <c r="C632" s="1" t="s">
        <v>54</v>
      </c>
      <c r="D632" s="1">
        <f>IFERROR(VLOOKUP(DEG_REDE[[#This Row],[ID]],DEG_ACUM!A:A,1,0),"NOVO")</f>
        <v>2424</v>
      </c>
    </row>
    <row r="633" spans="1:4" hidden="1" x14ac:dyDescent="0.35">
      <c r="A633" s="1">
        <v>2425</v>
      </c>
      <c r="B633" s="2">
        <v>46247</v>
      </c>
      <c r="C633" s="1" t="s">
        <v>54</v>
      </c>
      <c r="D633" s="1">
        <f>IFERROR(VLOOKUP(DEG_REDE[[#This Row],[ID]],DEG_ACUM!A:A,1,0),"NOVO")</f>
        <v>2425</v>
      </c>
    </row>
    <row r="634" spans="1:4" hidden="1" x14ac:dyDescent="0.35">
      <c r="A634" s="1">
        <v>2426</v>
      </c>
      <c r="B634" s="2">
        <v>46247</v>
      </c>
      <c r="C634" s="1" t="s">
        <v>54</v>
      </c>
      <c r="D634" s="1">
        <f>IFERROR(VLOOKUP(DEG_REDE[[#This Row],[ID]],DEG_ACUM!A:A,1,0),"NOVO")</f>
        <v>2426</v>
      </c>
    </row>
    <row r="635" spans="1:4" hidden="1" x14ac:dyDescent="0.35">
      <c r="A635" s="1">
        <v>2427</v>
      </c>
      <c r="B635" s="2">
        <v>46247</v>
      </c>
      <c r="C635" s="1" t="s">
        <v>54</v>
      </c>
      <c r="D635" s="1">
        <f>IFERROR(VLOOKUP(DEG_REDE[[#This Row],[ID]],DEG_ACUM!A:A,1,0),"NOVO")</f>
        <v>2427</v>
      </c>
    </row>
    <row r="636" spans="1:4" hidden="1" x14ac:dyDescent="0.35">
      <c r="A636" s="1">
        <v>2428</v>
      </c>
      <c r="B636" s="2">
        <v>46247</v>
      </c>
      <c r="C636" s="1" t="s">
        <v>54</v>
      </c>
      <c r="D636" s="1">
        <f>IFERROR(VLOOKUP(DEG_REDE[[#This Row],[ID]],DEG_ACUM!A:A,1,0),"NOVO")</f>
        <v>2428</v>
      </c>
    </row>
    <row r="637" spans="1:4" hidden="1" x14ac:dyDescent="0.35">
      <c r="A637" s="1">
        <v>2429</v>
      </c>
      <c r="B637" s="2">
        <v>46247</v>
      </c>
      <c r="C637" s="1" t="s">
        <v>54</v>
      </c>
      <c r="D637" s="1">
        <f>IFERROR(VLOOKUP(DEG_REDE[[#This Row],[ID]],DEG_ACUM!A:A,1,0),"NOVO")</f>
        <v>2429</v>
      </c>
    </row>
    <row r="638" spans="1:4" hidden="1" x14ac:dyDescent="0.35">
      <c r="A638" s="1">
        <v>2430</v>
      </c>
      <c r="B638" s="2">
        <v>46247</v>
      </c>
      <c r="C638" s="1" t="s">
        <v>54</v>
      </c>
      <c r="D638" s="1">
        <f>IFERROR(VLOOKUP(DEG_REDE[[#This Row],[ID]],DEG_ACUM!A:A,1,0),"NOVO")</f>
        <v>2430</v>
      </c>
    </row>
    <row r="639" spans="1:4" hidden="1" x14ac:dyDescent="0.35">
      <c r="A639" s="1">
        <v>2431</v>
      </c>
      <c r="B639" s="2">
        <v>46247</v>
      </c>
      <c r="C639" s="1" t="s">
        <v>54</v>
      </c>
      <c r="D639" s="1">
        <f>IFERROR(VLOOKUP(DEG_REDE[[#This Row],[ID]],DEG_ACUM!A:A,1,0),"NOVO")</f>
        <v>2431</v>
      </c>
    </row>
    <row r="640" spans="1:4" hidden="1" x14ac:dyDescent="0.35">
      <c r="A640" s="1">
        <v>2432</v>
      </c>
      <c r="B640" s="2">
        <v>46247</v>
      </c>
      <c r="C640" s="1" t="s">
        <v>54</v>
      </c>
      <c r="D640" s="1">
        <f>IFERROR(VLOOKUP(DEG_REDE[[#This Row],[ID]],DEG_ACUM!A:A,1,0),"NOVO")</f>
        <v>2432</v>
      </c>
    </row>
    <row r="641" spans="1:4" hidden="1" x14ac:dyDescent="0.35">
      <c r="A641" s="1">
        <v>2433</v>
      </c>
      <c r="B641" s="2">
        <v>46247</v>
      </c>
      <c r="C641" s="1" t="s">
        <v>54</v>
      </c>
      <c r="D641" s="1">
        <f>IFERROR(VLOOKUP(DEG_REDE[[#This Row],[ID]],DEG_ACUM!A:A,1,0),"NOVO")</f>
        <v>2433</v>
      </c>
    </row>
    <row r="642" spans="1:4" hidden="1" x14ac:dyDescent="0.35">
      <c r="A642" s="1">
        <v>2434</v>
      </c>
      <c r="B642" s="2">
        <v>46247</v>
      </c>
      <c r="C642" s="1" t="s">
        <v>54</v>
      </c>
      <c r="D642" s="1">
        <f>IFERROR(VLOOKUP(DEG_REDE[[#This Row],[ID]],DEG_ACUM!A:A,1,0),"NOVO")</f>
        <v>2434</v>
      </c>
    </row>
    <row r="643" spans="1:4" hidden="1" x14ac:dyDescent="0.35">
      <c r="A643" s="1">
        <v>2435</v>
      </c>
      <c r="B643" s="2">
        <v>46247</v>
      </c>
      <c r="C643" s="1" t="s">
        <v>54</v>
      </c>
      <c r="D643" s="1">
        <f>IFERROR(VLOOKUP(DEG_REDE[[#This Row],[ID]],DEG_ACUM!A:A,1,0),"NOVO")</f>
        <v>2435</v>
      </c>
    </row>
    <row r="644" spans="1:4" hidden="1" x14ac:dyDescent="0.35">
      <c r="A644" s="1">
        <v>2436</v>
      </c>
      <c r="B644" s="2">
        <v>46247</v>
      </c>
      <c r="C644" s="1" t="s">
        <v>60</v>
      </c>
      <c r="D644" s="1">
        <f>IFERROR(VLOOKUP(DEG_REDE[[#This Row],[ID]],DEG_ACUM!A:A,1,0),"NOVO")</f>
        <v>2436</v>
      </c>
    </row>
    <row r="645" spans="1:4" hidden="1" x14ac:dyDescent="0.35">
      <c r="A645" s="1">
        <v>2437</v>
      </c>
      <c r="B645" s="2">
        <v>46247</v>
      </c>
      <c r="C645" s="1" t="s">
        <v>60</v>
      </c>
      <c r="D645" s="1">
        <f>IFERROR(VLOOKUP(DEG_REDE[[#This Row],[ID]],DEG_ACUM!A:A,1,0),"NOVO")</f>
        <v>2437</v>
      </c>
    </row>
    <row r="646" spans="1:4" hidden="1" x14ac:dyDescent="0.35">
      <c r="A646" s="1">
        <v>2438</v>
      </c>
      <c r="B646" s="2">
        <v>46247</v>
      </c>
      <c r="C646" s="1" t="s">
        <v>51</v>
      </c>
      <c r="D646" s="1">
        <f>IFERROR(VLOOKUP(DEG_REDE[[#This Row],[ID]],DEG_ACUM!A:A,1,0),"NOVO")</f>
        <v>2438</v>
      </c>
    </row>
    <row r="647" spans="1:4" hidden="1" x14ac:dyDescent="0.35">
      <c r="A647" s="1">
        <v>2481</v>
      </c>
      <c r="B647" s="2">
        <v>46248</v>
      </c>
      <c r="C647" s="1" t="s">
        <v>57</v>
      </c>
      <c r="D647" s="1">
        <f>IFERROR(VLOOKUP(DEG_REDE[[#This Row],[ID]],DEG_ACUM!A:A,1,0),"NOVO")</f>
        <v>2481</v>
      </c>
    </row>
    <row r="648" spans="1:4" hidden="1" x14ac:dyDescent="0.35">
      <c r="A648" s="1">
        <v>2487</v>
      </c>
      <c r="B648" s="2">
        <v>46248</v>
      </c>
      <c r="C648" s="1" t="s">
        <v>61</v>
      </c>
      <c r="D648" s="1">
        <f>IFERROR(VLOOKUP(DEG_REDE[[#This Row],[ID]],DEG_ACUM!A:A,1,0),"NOVO")</f>
        <v>2487</v>
      </c>
    </row>
    <row r="649" spans="1:4" hidden="1" x14ac:dyDescent="0.35">
      <c r="A649" s="1">
        <v>2488</v>
      </c>
      <c r="B649" s="2">
        <v>46248</v>
      </c>
      <c r="C649" s="1" t="s">
        <v>61</v>
      </c>
      <c r="D649" s="1">
        <f>IFERROR(VLOOKUP(DEG_REDE[[#This Row],[ID]],DEG_ACUM!A:A,1,0),"NOVO")</f>
        <v>2488</v>
      </c>
    </row>
    <row r="650" spans="1:4" hidden="1" x14ac:dyDescent="0.35">
      <c r="A650" s="1">
        <v>2489</v>
      </c>
      <c r="B650" s="2">
        <v>46248</v>
      </c>
      <c r="C650" s="1" t="s">
        <v>61</v>
      </c>
      <c r="D650" s="1">
        <f>IFERROR(VLOOKUP(DEG_REDE[[#This Row],[ID]],DEG_ACUM!A:A,1,0),"NOVO")</f>
        <v>2489</v>
      </c>
    </row>
    <row r="651" spans="1:4" hidden="1" x14ac:dyDescent="0.35">
      <c r="A651" s="1">
        <v>2490</v>
      </c>
      <c r="B651" s="2">
        <v>46248</v>
      </c>
      <c r="C651" s="1" t="s">
        <v>61</v>
      </c>
      <c r="D651" s="1">
        <f>IFERROR(VLOOKUP(DEG_REDE[[#This Row],[ID]],DEG_ACUM!A:A,1,0),"NOVO")</f>
        <v>2490</v>
      </c>
    </row>
    <row r="652" spans="1:4" hidden="1" x14ac:dyDescent="0.35">
      <c r="A652" s="1">
        <v>2491</v>
      </c>
      <c r="B652" s="2">
        <v>46248</v>
      </c>
      <c r="C652" s="1" t="s">
        <v>61</v>
      </c>
      <c r="D652" s="1">
        <f>IFERROR(VLOOKUP(DEG_REDE[[#This Row],[ID]],DEG_ACUM!A:A,1,0),"NOVO")</f>
        <v>2491</v>
      </c>
    </row>
    <row r="653" spans="1:4" hidden="1" x14ac:dyDescent="0.35">
      <c r="A653" s="1">
        <v>2492</v>
      </c>
      <c r="B653" s="2">
        <v>46248</v>
      </c>
      <c r="C653" s="1" t="s">
        <v>61</v>
      </c>
      <c r="D653" s="1">
        <f>IFERROR(VLOOKUP(DEG_REDE[[#This Row],[ID]],DEG_ACUM!A:A,1,0),"NOVO")</f>
        <v>2492</v>
      </c>
    </row>
    <row r="654" spans="1:4" hidden="1" x14ac:dyDescent="0.35">
      <c r="A654" s="1">
        <v>2493</v>
      </c>
      <c r="B654" s="2">
        <v>46248</v>
      </c>
      <c r="C654" s="1" t="s">
        <v>61</v>
      </c>
      <c r="D654" s="1">
        <f>IFERROR(VLOOKUP(DEG_REDE[[#This Row],[ID]],DEG_ACUM!A:A,1,0),"NOVO")</f>
        <v>2493</v>
      </c>
    </row>
    <row r="655" spans="1:4" hidden="1" x14ac:dyDescent="0.35">
      <c r="A655" s="1">
        <v>2494</v>
      </c>
      <c r="B655" s="2">
        <v>46248</v>
      </c>
      <c r="C655" s="1" t="s">
        <v>61</v>
      </c>
      <c r="D655" s="1">
        <f>IFERROR(VLOOKUP(DEG_REDE[[#This Row],[ID]],DEG_ACUM!A:A,1,0),"NOVO")</f>
        <v>2494</v>
      </c>
    </row>
    <row r="656" spans="1:4" hidden="1" x14ac:dyDescent="0.35">
      <c r="A656" s="1">
        <v>2495</v>
      </c>
      <c r="B656" s="2">
        <v>46248</v>
      </c>
      <c r="C656" s="1" t="s">
        <v>61</v>
      </c>
      <c r="D656" s="1">
        <f>IFERROR(VLOOKUP(DEG_REDE[[#This Row],[ID]],DEG_ACUM!A:A,1,0),"NOVO")</f>
        <v>2495</v>
      </c>
    </row>
    <row r="657" spans="1:4" hidden="1" x14ac:dyDescent="0.35">
      <c r="A657" s="1">
        <v>2496</v>
      </c>
      <c r="B657" s="2">
        <v>46248</v>
      </c>
      <c r="C657" s="1" t="s">
        <v>61</v>
      </c>
      <c r="D657" s="1">
        <f>IFERROR(VLOOKUP(DEG_REDE[[#This Row],[ID]],DEG_ACUM!A:A,1,0),"NOVO")</f>
        <v>2496</v>
      </c>
    </row>
    <row r="658" spans="1:4" hidden="1" x14ac:dyDescent="0.35">
      <c r="A658" s="1">
        <v>2497</v>
      </c>
      <c r="B658" s="2">
        <v>46248</v>
      </c>
      <c r="C658" s="1" t="s">
        <v>61</v>
      </c>
      <c r="D658" s="1">
        <f>IFERROR(VLOOKUP(DEG_REDE[[#This Row],[ID]],DEG_ACUM!A:A,1,0),"NOVO")</f>
        <v>2497</v>
      </c>
    </row>
    <row r="659" spans="1:4" hidden="1" x14ac:dyDescent="0.35">
      <c r="A659" s="1">
        <v>2498</v>
      </c>
      <c r="B659" s="2">
        <v>46248</v>
      </c>
      <c r="C659" s="1" t="s">
        <v>61</v>
      </c>
      <c r="D659" s="1">
        <f>IFERROR(VLOOKUP(DEG_REDE[[#This Row],[ID]],DEG_ACUM!A:A,1,0),"NOVO")</f>
        <v>2498</v>
      </c>
    </row>
    <row r="660" spans="1:4" hidden="1" x14ac:dyDescent="0.35">
      <c r="A660" s="1">
        <v>2499</v>
      </c>
      <c r="B660" s="2">
        <v>46248</v>
      </c>
      <c r="C660" s="1" t="s">
        <v>61</v>
      </c>
      <c r="D660" s="1">
        <f>IFERROR(VLOOKUP(DEG_REDE[[#This Row],[ID]],DEG_ACUM!A:A,1,0),"NOVO")</f>
        <v>2499</v>
      </c>
    </row>
    <row r="661" spans="1:4" hidden="1" x14ac:dyDescent="0.35">
      <c r="A661" s="1">
        <v>2500</v>
      </c>
      <c r="B661" s="2">
        <v>46248</v>
      </c>
      <c r="C661" s="1" t="s">
        <v>61</v>
      </c>
      <c r="D661" s="1">
        <f>IFERROR(VLOOKUP(DEG_REDE[[#This Row],[ID]],DEG_ACUM!A:A,1,0),"NOVO")</f>
        <v>2500</v>
      </c>
    </row>
    <row r="662" spans="1:4" hidden="1" x14ac:dyDescent="0.35">
      <c r="A662" s="1">
        <v>2501</v>
      </c>
      <c r="B662" s="2">
        <v>46249</v>
      </c>
      <c r="C662" s="1" t="s">
        <v>60</v>
      </c>
      <c r="D662" s="1">
        <f>IFERROR(VLOOKUP(DEG_REDE[[#This Row],[ID]],DEG_ACUM!A:A,1,0),"NOVO")</f>
        <v>2501</v>
      </c>
    </row>
    <row r="663" spans="1:4" hidden="1" x14ac:dyDescent="0.35">
      <c r="A663" s="1">
        <v>2502</v>
      </c>
      <c r="B663" s="2">
        <v>46251</v>
      </c>
      <c r="C663" s="1" t="s">
        <v>61</v>
      </c>
      <c r="D663" s="1">
        <f>IFERROR(VLOOKUP(DEG_REDE[[#This Row],[ID]],DEG_ACUM!A:A,1,0),"NOVO")</f>
        <v>2502</v>
      </c>
    </row>
    <row r="664" spans="1:4" hidden="1" x14ac:dyDescent="0.35">
      <c r="A664" s="1">
        <v>2511</v>
      </c>
      <c r="B664" s="2">
        <v>46251</v>
      </c>
      <c r="C664" s="1" t="s">
        <v>65</v>
      </c>
      <c r="D664" s="1">
        <f>IFERROR(VLOOKUP(DEG_REDE[[#This Row],[ID]],DEG_ACUM!A:A,1,0),"NOVO")</f>
        <v>2511</v>
      </c>
    </row>
    <row r="665" spans="1:4" hidden="1" x14ac:dyDescent="0.35">
      <c r="A665" s="1">
        <v>2512</v>
      </c>
      <c r="B665" s="2">
        <v>46251</v>
      </c>
      <c r="C665" s="1" t="s">
        <v>65</v>
      </c>
      <c r="D665" s="1">
        <f>IFERROR(VLOOKUP(DEG_REDE[[#This Row],[ID]],DEG_ACUM!A:A,1,0),"NOVO")</f>
        <v>2512</v>
      </c>
    </row>
    <row r="666" spans="1:4" hidden="1" x14ac:dyDescent="0.35">
      <c r="A666" s="1">
        <v>2515</v>
      </c>
      <c r="B666" s="2">
        <v>46251</v>
      </c>
      <c r="C666" s="1" t="s">
        <v>52</v>
      </c>
      <c r="D666" s="1">
        <f>IFERROR(VLOOKUP(DEG_REDE[[#This Row],[ID]],DEG_ACUM!A:A,1,0),"NOVO")</f>
        <v>2515</v>
      </c>
    </row>
    <row r="667" spans="1:4" hidden="1" x14ac:dyDescent="0.35">
      <c r="A667" s="1">
        <v>2516</v>
      </c>
      <c r="B667" s="2">
        <v>46251</v>
      </c>
      <c r="C667" s="1" t="s">
        <v>52</v>
      </c>
      <c r="D667" s="1">
        <f>IFERROR(VLOOKUP(DEG_REDE[[#This Row],[ID]],DEG_ACUM!A:A,1,0),"NOVO")</f>
        <v>2516</v>
      </c>
    </row>
    <row r="668" spans="1:4" hidden="1" x14ac:dyDescent="0.35">
      <c r="A668" s="1">
        <v>2517</v>
      </c>
      <c r="B668" s="2">
        <v>46251</v>
      </c>
      <c r="C668" s="1" t="s">
        <v>52</v>
      </c>
      <c r="D668" s="1">
        <f>IFERROR(VLOOKUP(DEG_REDE[[#This Row],[ID]],DEG_ACUM!A:A,1,0),"NOVO")</f>
        <v>2517</v>
      </c>
    </row>
    <row r="669" spans="1:4" hidden="1" x14ac:dyDescent="0.35">
      <c r="A669" s="1">
        <v>2518</v>
      </c>
      <c r="B669" s="2">
        <v>46251</v>
      </c>
      <c r="C669" s="1" t="s">
        <v>52</v>
      </c>
      <c r="D669" s="1">
        <f>IFERROR(VLOOKUP(DEG_REDE[[#This Row],[ID]],DEG_ACUM!A:A,1,0),"NOVO")</f>
        <v>2518</v>
      </c>
    </row>
    <row r="670" spans="1:4" hidden="1" x14ac:dyDescent="0.35">
      <c r="A670" s="1">
        <v>2519</v>
      </c>
      <c r="B670" s="2">
        <v>46251</v>
      </c>
      <c r="C670" s="1" t="s">
        <v>52</v>
      </c>
      <c r="D670" s="1">
        <f>IFERROR(VLOOKUP(DEG_REDE[[#This Row],[ID]],DEG_ACUM!A:A,1,0),"NOVO")</f>
        <v>2519</v>
      </c>
    </row>
    <row r="671" spans="1:4" hidden="1" x14ac:dyDescent="0.35">
      <c r="A671" s="1">
        <v>2520</v>
      </c>
      <c r="B671" s="2">
        <v>46251</v>
      </c>
      <c r="C671" s="1" t="s">
        <v>52</v>
      </c>
      <c r="D671" s="1">
        <f>IFERROR(VLOOKUP(DEG_REDE[[#This Row],[ID]],DEG_ACUM!A:A,1,0),"NOVO")</f>
        <v>2520</v>
      </c>
    </row>
    <row r="672" spans="1:4" hidden="1" x14ac:dyDescent="0.35">
      <c r="A672" s="1">
        <v>2521</v>
      </c>
      <c r="B672" s="2">
        <v>46251</v>
      </c>
      <c r="C672" s="1" t="s">
        <v>52</v>
      </c>
      <c r="D672" s="1">
        <f>IFERROR(VLOOKUP(DEG_REDE[[#This Row],[ID]],DEG_ACUM!A:A,1,0),"NOVO")</f>
        <v>2521</v>
      </c>
    </row>
    <row r="673" spans="1:4" hidden="1" x14ac:dyDescent="0.35">
      <c r="A673" s="1">
        <v>2522</v>
      </c>
      <c r="B673" s="2">
        <v>46251</v>
      </c>
      <c r="C673" s="1" t="s">
        <v>52</v>
      </c>
      <c r="D673" s="1">
        <f>IFERROR(VLOOKUP(DEG_REDE[[#This Row],[ID]],DEG_ACUM!A:A,1,0),"NOVO")</f>
        <v>2522</v>
      </c>
    </row>
    <row r="674" spans="1:4" hidden="1" x14ac:dyDescent="0.35">
      <c r="A674" s="1">
        <v>2523</v>
      </c>
      <c r="B674" s="2">
        <v>46251</v>
      </c>
      <c r="C674" s="1" t="s">
        <v>52</v>
      </c>
      <c r="D674" s="1">
        <f>IFERROR(VLOOKUP(DEG_REDE[[#This Row],[ID]],DEG_ACUM!A:A,1,0),"NOVO")</f>
        <v>2523</v>
      </c>
    </row>
    <row r="675" spans="1:4" hidden="1" x14ac:dyDescent="0.35">
      <c r="A675" s="1">
        <v>2524</v>
      </c>
      <c r="B675" s="2">
        <v>46251</v>
      </c>
      <c r="C675" s="1" t="s">
        <v>52</v>
      </c>
      <c r="D675" s="1">
        <f>IFERROR(VLOOKUP(DEG_REDE[[#This Row],[ID]],DEG_ACUM!A:A,1,0),"NOVO")</f>
        <v>2524</v>
      </c>
    </row>
    <row r="676" spans="1:4" hidden="1" x14ac:dyDescent="0.35">
      <c r="A676" s="1">
        <v>2525</v>
      </c>
      <c r="B676" s="2">
        <v>46251</v>
      </c>
      <c r="C676" s="1" t="s">
        <v>52</v>
      </c>
      <c r="D676" s="1">
        <f>IFERROR(VLOOKUP(DEG_REDE[[#This Row],[ID]],DEG_ACUM!A:A,1,0),"NOVO")</f>
        <v>2525</v>
      </c>
    </row>
    <row r="677" spans="1:4" hidden="1" x14ac:dyDescent="0.35">
      <c r="A677" s="1">
        <v>2526</v>
      </c>
      <c r="B677" s="2">
        <v>46251</v>
      </c>
      <c r="C677" s="1" t="s">
        <v>52</v>
      </c>
      <c r="D677" s="1">
        <f>IFERROR(VLOOKUP(DEG_REDE[[#This Row],[ID]],DEG_ACUM!A:A,1,0),"NOVO")</f>
        <v>2526</v>
      </c>
    </row>
    <row r="678" spans="1:4" hidden="1" x14ac:dyDescent="0.35">
      <c r="A678" s="1">
        <v>2527</v>
      </c>
      <c r="B678" s="2">
        <v>46251</v>
      </c>
      <c r="C678" s="1" t="s">
        <v>52</v>
      </c>
      <c r="D678" s="1">
        <f>IFERROR(VLOOKUP(DEG_REDE[[#This Row],[ID]],DEG_ACUM!A:A,1,0),"NOVO")</f>
        <v>2527</v>
      </c>
    </row>
    <row r="679" spans="1:4" hidden="1" x14ac:dyDescent="0.35">
      <c r="A679" s="1">
        <v>2528</v>
      </c>
      <c r="B679" s="2">
        <v>46251</v>
      </c>
      <c r="C679" s="1" t="s">
        <v>52</v>
      </c>
      <c r="D679" s="1">
        <f>IFERROR(VLOOKUP(DEG_REDE[[#This Row],[ID]],DEG_ACUM!A:A,1,0),"NOVO")</f>
        <v>2528</v>
      </c>
    </row>
    <row r="680" spans="1:4" hidden="1" x14ac:dyDescent="0.35">
      <c r="A680" s="1">
        <v>2544</v>
      </c>
      <c r="B680" s="2">
        <v>46252</v>
      </c>
      <c r="C680" s="1" t="s">
        <v>51</v>
      </c>
      <c r="D680" s="1">
        <f>IFERROR(VLOOKUP(DEG_REDE[[#This Row],[ID]],DEG_ACUM!A:A,1,0),"NOVO")</f>
        <v>2544</v>
      </c>
    </row>
    <row r="681" spans="1:4" hidden="1" x14ac:dyDescent="0.35">
      <c r="A681" s="1">
        <v>2545</v>
      </c>
      <c r="B681" s="2">
        <v>46252</v>
      </c>
      <c r="C681" s="1" t="s">
        <v>60</v>
      </c>
      <c r="D681" s="1">
        <f>IFERROR(VLOOKUP(DEG_REDE[[#This Row],[ID]],DEG_ACUM!A:A,1,0),"NOVO")</f>
        <v>2545</v>
      </c>
    </row>
    <row r="682" spans="1:4" hidden="1" x14ac:dyDescent="0.35">
      <c r="A682" s="1">
        <v>2563</v>
      </c>
      <c r="B682" s="2">
        <v>46252</v>
      </c>
      <c r="C682" s="1" t="s">
        <v>54</v>
      </c>
      <c r="D682" s="1">
        <f>IFERROR(VLOOKUP(DEG_REDE[[#This Row],[ID]],DEG_ACUM!A:A,1,0),"NOVO")</f>
        <v>2563</v>
      </c>
    </row>
    <row r="683" spans="1:4" hidden="1" x14ac:dyDescent="0.35">
      <c r="A683" s="1">
        <v>2567</v>
      </c>
      <c r="B683" s="2">
        <v>46252</v>
      </c>
      <c r="C683" s="1" t="s">
        <v>65</v>
      </c>
      <c r="D683" s="1">
        <f>IFERROR(VLOOKUP(DEG_REDE[[#This Row],[ID]],DEG_ACUM!A:A,1,0),"NOVO")</f>
        <v>2567</v>
      </c>
    </row>
    <row r="684" spans="1:4" hidden="1" x14ac:dyDescent="0.35">
      <c r="A684" s="1">
        <v>2574</v>
      </c>
      <c r="B684" s="2">
        <v>46253</v>
      </c>
      <c r="C684" s="1" t="s">
        <v>65</v>
      </c>
      <c r="D684" s="1">
        <f>IFERROR(VLOOKUP(DEG_REDE[[#This Row],[ID]],DEG_ACUM!A:A,1,0),"NOVO")</f>
        <v>2574</v>
      </c>
    </row>
    <row r="685" spans="1:4" hidden="1" x14ac:dyDescent="0.35">
      <c r="A685" s="1">
        <v>2578</v>
      </c>
      <c r="B685" s="2">
        <v>46253</v>
      </c>
      <c r="C685" s="1" t="s">
        <v>51</v>
      </c>
      <c r="D685" s="1">
        <f>IFERROR(VLOOKUP(DEG_REDE[[#This Row],[ID]],DEG_ACUM!A:A,1,0),"NOVO")</f>
        <v>2578</v>
      </c>
    </row>
    <row r="686" spans="1:4" hidden="1" x14ac:dyDescent="0.35">
      <c r="A686" s="1">
        <v>2583</v>
      </c>
      <c r="B686" s="2">
        <v>46253</v>
      </c>
      <c r="C686" s="1" t="s">
        <v>65</v>
      </c>
      <c r="D686" s="1">
        <f>IFERROR(VLOOKUP(DEG_REDE[[#This Row],[ID]],DEG_ACUM!A:A,1,0),"NOVO")</f>
        <v>2583</v>
      </c>
    </row>
    <row r="687" spans="1:4" hidden="1" x14ac:dyDescent="0.35">
      <c r="A687" s="1">
        <v>2584</v>
      </c>
      <c r="B687" s="2">
        <v>46253</v>
      </c>
      <c r="C687" s="1" t="s">
        <v>52</v>
      </c>
      <c r="D687" s="1">
        <f>IFERROR(VLOOKUP(DEG_REDE[[#This Row],[ID]],DEG_ACUM!A:A,1,0),"NOVO")</f>
        <v>2584</v>
      </c>
    </row>
    <row r="688" spans="1:4" hidden="1" x14ac:dyDescent="0.35">
      <c r="A688" s="1">
        <v>2585</v>
      </c>
      <c r="B688" s="2">
        <v>46253</v>
      </c>
      <c r="C688" s="1" t="s">
        <v>52</v>
      </c>
      <c r="D688" s="1">
        <f>IFERROR(VLOOKUP(DEG_REDE[[#This Row],[ID]],DEG_ACUM!A:A,1,0),"NOVO")</f>
        <v>2585</v>
      </c>
    </row>
    <row r="689" spans="1:4" hidden="1" x14ac:dyDescent="0.35">
      <c r="A689" s="1">
        <v>2586</v>
      </c>
      <c r="B689" s="2">
        <v>46253</v>
      </c>
      <c r="C689" s="1" t="s">
        <v>52</v>
      </c>
      <c r="D689" s="1">
        <f>IFERROR(VLOOKUP(DEG_REDE[[#This Row],[ID]],DEG_ACUM!A:A,1,0),"NOVO")</f>
        <v>2586</v>
      </c>
    </row>
    <row r="690" spans="1:4" hidden="1" x14ac:dyDescent="0.35">
      <c r="A690" s="1">
        <v>2587</v>
      </c>
      <c r="B690" s="2">
        <v>46253</v>
      </c>
      <c r="C690" s="1" t="s">
        <v>52</v>
      </c>
      <c r="D690" s="1">
        <f>IFERROR(VLOOKUP(DEG_REDE[[#This Row],[ID]],DEG_ACUM!A:A,1,0),"NOVO")</f>
        <v>2587</v>
      </c>
    </row>
    <row r="691" spans="1:4" hidden="1" x14ac:dyDescent="0.35">
      <c r="A691" s="1">
        <v>2588</v>
      </c>
      <c r="B691" s="2">
        <v>46253</v>
      </c>
      <c r="C691" s="1" t="s">
        <v>52</v>
      </c>
      <c r="D691" s="1">
        <f>IFERROR(VLOOKUP(DEG_REDE[[#This Row],[ID]],DEG_ACUM!A:A,1,0),"NOVO")</f>
        <v>2588</v>
      </c>
    </row>
    <row r="692" spans="1:4" hidden="1" x14ac:dyDescent="0.35">
      <c r="A692" s="1">
        <v>2589</v>
      </c>
      <c r="B692" s="2">
        <v>46253</v>
      </c>
      <c r="C692" s="1" t="s">
        <v>52</v>
      </c>
      <c r="D692" s="1">
        <f>IFERROR(VLOOKUP(DEG_REDE[[#This Row],[ID]],DEG_ACUM!A:A,1,0),"NOVO")</f>
        <v>2589</v>
      </c>
    </row>
    <row r="693" spans="1:4" hidden="1" x14ac:dyDescent="0.35">
      <c r="A693" s="1">
        <v>2602</v>
      </c>
      <c r="B693" s="2">
        <v>46255</v>
      </c>
      <c r="C693" s="1" t="s">
        <v>61</v>
      </c>
      <c r="D693" s="1">
        <f>IFERROR(VLOOKUP(DEG_REDE[[#This Row],[ID]],DEG_ACUM!A:A,1,0),"NOVO")</f>
        <v>2602</v>
      </c>
    </row>
    <row r="694" spans="1:4" hidden="1" x14ac:dyDescent="0.35">
      <c r="A694" s="1">
        <v>2603</v>
      </c>
      <c r="B694" s="2">
        <v>46255</v>
      </c>
      <c r="C694" s="1" t="s">
        <v>60</v>
      </c>
      <c r="D694" s="1">
        <f>IFERROR(VLOOKUP(DEG_REDE[[#This Row],[ID]],DEG_ACUM!A:A,1,0),"NOVO")</f>
        <v>2603</v>
      </c>
    </row>
    <row r="695" spans="1:4" hidden="1" x14ac:dyDescent="0.35">
      <c r="A695" s="1">
        <v>2604</v>
      </c>
      <c r="B695" s="2">
        <v>46255</v>
      </c>
      <c r="C695" s="1" t="s">
        <v>60</v>
      </c>
      <c r="D695" s="1">
        <f>IFERROR(VLOOKUP(DEG_REDE[[#This Row],[ID]],DEG_ACUM!A:A,1,0),"NOVO")</f>
        <v>2604</v>
      </c>
    </row>
    <row r="696" spans="1:4" hidden="1" x14ac:dyDescent="0.35">
      <c r="A696" s="1">
        <v>2610</v>
      </c>
      <c r="B696" s="2">
        <v>46258</v>
      </c>
      <c r="C696" s="1" t="s">
        <v>60</v>
      </c>
      <c r="D696" s="1">
        <f>IFERROR(VLOOKUP(DEG_REDE[[#This Row],[ID]],DEG_ACUM!A:A,1,0),"NOVO")</f>
        <v>2610</v>
      </c>
    </row>
    <row r="697" spans="1:4" hidden="1" x14ac:dyDescent="0.35">
      <c r="A697" s="1">
        <v>2617</v>
      </c>
      <c r="B697" s="2">
        <v>46258</v>
      </c>
      <c r="C697" s="1" t="s">
        <v>51</v>
      </c>
      <c r="D697" s="1">
        <f>IFERROR(VLOOKUP(DEG_REDE[[#This Row],[ID]],DEG_ACUM!A:A,1,0),"NOVO")</f>
        <v>2617</v>
      </c>
    </row>
    <row r="698" spans="1:4" hidden="1" x14ac:dyDescent="0.35">
      <c r="A698" s="1">
        <v>2622</v>
      </c>
      <c r="B698" s="2">
        <v>46258</v>
      </c>
      <c r="C698" s="1" t="s">
        <v>65</v>
      </c>
      <c r="D698" s="1">
        <f>IFERROR(VLOOKUP(DEG_REDE[[#This Row],[ID]],DEG_ACUM!A:A,1,0),"NOVO")</f>
        <v>2622</v>
      </c>
    </row>
    <row r="699" spans="1:4" hidden="1" x14ac:dyDescent="0.35">
      <c r="A699" s="1">
        <v>2625</v>
      </c>
      <c r="B699" s="2">
        <v>46259</v>
      </c>
      <c r="C699" s="1" t="s">
        <v>61</v>
      </c>
      <c r="D699" s="1">
        <f>IFERROR(VLOOKUP(DEG_REDE[[#This Row],[ID]],DEG_ACUM!A:A,1,0),"NOVO")</f>
        <v>2625</v>
      </c>
    </row>
    <row r="700" spans="1:4" hidden="1" x14ac:dyDescent="0.35">
      <c r="A700" s="1">
        <v>2626</v>
      </c>
      <c r="B700" s="2">
        <v>46259</v>
      </c>
      <c r="C700" s="1" t="s">
        <v>61</v>
      </c>
      <c r="D700" s="1">
        <f>IFERROR(VLOOKUP(DEG_REDE[[#This Row],[ID]],DEG_ACUM!A:A,1,0),"NOVO")</f>
        <v>2626</v>
      </c>
    </row>
    <row r="701" spans="1:4" hidden="1" x14ac:dyDescent="0.35">
      <c r="A701" s="1">
        <v>2627</v>
      </c>
      <c r="B701" s="2">
        <v>46259</v>
      </c>
      <c r="C701" s="1" t="s">
        <v>61</v>
      </c>
      <c r="D701" s="1">
        <f>IFERROR(VLOOKUP(DEG_REDE[[#This Row],[ID]],DEG_ACUM!A:A,1,0),"NOVO")</f>
        <v>2627</v>
      </c>
    </row>
    <row r="702" spans="1:4" hidden="1" x14ac:dyDescent="0.35">
      <c r="A702" s="1">
        <v>2628</v>
      </c>
      <c r="B702" s="2">
        <v>46259</v>
      </c>
      <c r="C702" s="1" t="s">
        <v>61</v>
      </c>
      <c r="D702" s="1">
        <f>IFERROR(VLOOKUP(DEG_REDE[[#This Row],[ID]],DEG_ACUM!A:A,1,0),"NOVO")</f>
        <v>2628</v>
      </c>
    </row>
    <row r="703" spans="1:4" hidden="1" x14ac:dyDescent="0.35">
      <c r="A703" s="1">
        <v>2630</v>
      </c>
      <c r="B703" s="2">
        <v>46259</v>
      </c>
      <c r="C703" s="1" t="s">
        <v>61</v>
      </c>
      <c r="D703" s="1">
        <f>IFERROR(VLOOKUP(DEG_REDE[[#This Row],[ID]],DEG_ACUM!A:A,1,0),"NOVO")</f>
        <v>2630</v>
      </c>
    </row>
    <row r="704" spans="1:4" hidden="1" x14ac:dyDescent="0.35">
      <c r="A704" s="1">
        <v>2632</v>
      </c>
      <c r="B704" s="2">
        <v>46259</v>
      </c>
      <c r="C704" s="1" t="s">
        <v>51</v>
      </c>
      <c r="D704" s="1">
        <f>IFERROR(VLOOKUP(DEG_REDE[[#This Row],[ID]],DEG_ACUM!A:A,1,0),"NOVO")</f>
        <v>2632</v>
      </c>
    </row>
    <row r="705" spans="1:4" hidden="1" x14ac:dyDescent="0.35">
      <c r="A705" s="1">
        <v>2633</v>
      </c>
      <c r="B705" s="2">
        <v>46259</v>
      </c>
      <c r="C705" s="1" t="s">
        <v>64</v>
      </c>
      <c r="D705" s="1">
        <f>IFERROR(VLOOKUP(DEG_REDE[[#This Row],[ID]],DEG_ACUM!A:A,1,0),"NOVO")</f>
        <v>2633</v>
      </c>
    </row>
    <row r="706" spans="1:4" hidden="1" x14ac:dyDescent="0.35">
      <c r="A706" s="1">
        <v>2634</v>
      </c>
      <c r="B706" s="2">
        <v>46259</v>
      </c>
      <c r="C706" s="1" t="s">
        <v>64</v>
      </c>
      <c r="D706" s="1">
        <f>IFERROR(VLOOKUP(DEG_REDE[[#This Row],[ID]],DEG_ACUM!A:A,1,0),"NOVO")</f>
        <v>2634</v>
      </c>
    </row>
    <row r="707" spans="1:4" hidden="1" x14ac:dyDescent="0.35">
      <c r="A707" s="1">
        <v>2635</v>
      </c>
      <c r="B707" s="2">
        <v>46259</v>
      </c>
      <c r="C707" s="1" t="s">
        <v>64</v>
      </c>
      <c r="D707" s="1">
        <f>IFERROR(VLOOKUP(DEG_REDE[[#This Row],[ID]],DEG_ACUM!A:A,1,0),"NOVO")</f>
        <v>2635</v>
      </c>
    </row>
    <row r="708" spans="1:4" hidden="1" x14ac:dyDescent="0.35">
      <c r="A708" s="1">
        <v>2636</v>
      </c>
      <c r="B708" s="2">
        <v>46259</v>
      </c>
      <c r="C708" s="1" t="s">
        <v>64</v>
      </c>
      <c r="D708" s="1">
        <f>IFERROR(VLOOKUP(DEG_REDE[[#This Row],[ID]],DEG_ACUM!A:A,1,0),"NOVO")</f>
        <v>2636</v>
      </c>
    </row>
    <row r="709" spans="1:4" hidden="1" x14ac:dyDescent="0.35">
      <c r="A709" s="1">
        <v>2637</v>
      </c>
      <c r="B709" s="2">
        <v>46259</v>
      </c>
      <c r="C709" s="1" t="s">
        <v>64</v>
      </c>
      <c r="D709" s="1">
        <f>IFERROR(VLOOKUP(DEG_REDE[[#This Row],[ID]],DEG_ACUM!A:A,1,0),"NOVO")</f>
        <v>2637</v>
      </c>
    </row>
    <row r="710" spans="1:4" hidden="1" x14ac:dyDescent="0.35">
      <c r="A710" s="1">
        <v>2638</v>
      </c>
      <c r="B710" s="2">
        <v>46259</v>
      </c>
      <c r="C710" s="1" t="s">
        <v>64</v>
      </c>
      <c r="D710" s="1">
        <f>IFERROR(VLOOKUP(DEG_REDE[[#This Row],[ID]],DEG_ACUM!A:A,1,0),"NOVO")</f>
        <v>2638</v>
      </c>
    </row>
    <row r="711" spans="1:4" hidden="1" x14ac:dyDescent="0.35">
      <c r="A711" s="1">
        <v>2639</v>
      </c>
      <c r="B711" s="2">
        <v>46259</v>
      </c>
      <c r="C711" s="1" t="s">
        <v>64</v>
      </c>
      <c r="D711" s="1">
        <f>IFERROR(VLOOKUP(DEG_REDE[[#This Row],[ID]],DEG_ACUM!A:A,1,0),"NOVO")</f>
        <v>2639</v>
      </c>
    </row>
    <row r="712" spans="1:4" hidden="1" x14ac:dyDescent="0.35">
      <c r="A712" s="1">
        <v>2640</v>
      </c>
      <c r="B712" s="2">
        <v>46259</v>
      </c>
      <c r="C712" s="1" t="s">
        <v>61</v>
      </c>
      <c r="D712" s="1">
        <f>IFERROR(VLOOKUP(DEG_REDE[[#This Row],[ID]],DEG_ACUM!A:A,1,0),"NOVO")</f>
        <v>2640</v>
      </c>
    </row>
    <row r="713" spans="1:4" hidden="1" x14ac:dyDescent="0.35">
      <c r="A713" s="1">
        <v>2642</v>
      </c>
      <c r="B713" s="2">
        <v>46259</v>
      </c>
      <c r="C713" s="1" t="s">
        <v>64</v>
      </c>
      <c r="D713" s="1">
        <f>IFERROR(VLOOKUP(DEG_REDE[[#This Row],[ID]],DEG_ACUM!A:A,1,0),"NOVO")</f>
        <v>2642</v>
      </c>
    </row>
    <row r="714" spans="1:4" hidden="1" x14ac:dyDescent="0.35">
      <c r="A714" s="1">
        <v>2643</v>
      </c>
      <c r="B714" s="2">
        <v>46259</v>
      </c>
      <c r="C714" s="1" t="s">
        <v>64</v>
      </c>
      <c r="D714" s="1">
        <f>IFERROR(VLOOKUP(DEG_REDE[[#This Row],[ID]],DEG_ACUM!A:A,1,0),"NOVO")</f>
        <v>2643</v>
      </c>
    </row>
    <row r="715" spans="1:4" hidden="1" x14ac:dyDescent="0.35">
      <c r="A715" s="1">
        <v>2644</v>
      </c>
      <c r="B715" s="2">
        <v>46259</v>
      </c>
      <c r="C715" s="1" t="s">
        <v>64</v>
      </c>
      <c r="D715" s="1">
        <f>IFERROR(VLOOKUP(DEG_REDE[[#This Row],[ID]],DEG_ACUM!A:A,1,0),"NOVO")</f>
        <v>2644</v>
      </c>
    </row>
    <row r="716" spans="1:4" hidden="1" x14ac:dyDescent="0.35">
      <c r="A716" s="1">
        <v>2645</v>
      </c>
      <c r="B716" s="2">
        <v>46259</v>
      </c>
      <c r="C716" s="1" t="s">
        <v>64</v>
      </c>
      <c r="D716" s="1">
        <f>IFERROR(VLOOKUP(DEG_REDE[[#This Row],[ID]],DEG_ACUM!A:A,1,0),"NOVO")</f>
        <v>2645</v>
      </c>
    </row>
    <row r="717" spans="1:4" hidden="1" x14ac:dyDescent="0.35">
      <c r="A717" s="1">
        <v>2646</v>
      </c>
      <c r="B717" s="2">
        <v>46259</v>
      </c>
      <c r="C717" s="1" t="s">
        <v>60</v>
      </c>
      <c r="D717" s="1">
        <f>IFERROR(VLOOKUP(DEG_REDE[[#This Row],[ID]],DEG_ACUM!A:A,1,0),"NOVO")</f>
        <v>2646</v>
      </c>
    </row>
    <row r="718" spans="1:4" hidden="1" x14ac:dyDescent="0.35">
      <c r="A718" s="1">
        <v>2647</v>
      </c>
      <c r="B718" s="2">
        <v>46259</v>
      </c>
      <c r="C718" s="1" t="s">
        <v>60</v>
      </c>
      <c r="D718" s="1">
        <f>IFERROR(VLOOKUP(DEG_REDE[[#This Row],[ID]],DEG_ACUM!A:A,1,0),"NOVO")</f>
        <v>2647</v>
      </c>
    </row>
    <row r="719" spans="1:4" hidden="1" x14ac:dyDescent="0.35">
      <c r="A719" s="1">
        <v>2648</v>
      </c>
      <c r="B719" s="2">
        <v>46259</v>
      </c>
      <c r="C719" s="1" t="s">
        <v>61</v>
      </c>
      <c r="D719" s="1">
        <f>IFERROR(VLOOKUP(DEG_REDE[[#This Row],[ID]],DEG_ACUM!A:A,1,0),"NOVO")</f>
        <v>2648</v>
      </c>
    </row>
    <row r="720" spans="1:4" hidden="1" x14ac:dyDescent="0.35">
      <c r="A720" s="1">
        <v>2651</v>
      </c>
      <c r="B720" s="2">
        <v>46259</v>
      </c>
      <c r="C720" s="1" t="s">
        <v>61</v>
      </c>
      <c r="D720" s="1">
        <f>IFERROR(VLOOKUP(DEG_REDE[[#This Row],[ID]],DEG_ACUM!A:A,1,0),"NOVO")</f>
        <v>2651</v>
      </c>
    </row>
    <row r="721" spans="1:4" hidden="1" x14ac:dyDescent="0.35">
      <c r="A721" s="1">
        <v>2652</v>
      </c>
      <c r="B721" s="2">
        <v>46259</v>
      </c>
      <c r="C721" s="1" t="s">
        <v>61</v>
      </c>
      <c r="D721" s="1">
        <f>IFERROR(VLOOKUP(DEG_REDE[[#This Row],[ID]],DEG_ACUM!A:A,1,0),"NOVO")</f>
        <v>2652</v>
      </c>
    </row>
    <row r="722" spans="1:4" hidden="1" x14ac:dyDescent="0.35">
      <c r="A722" s="1">
        <v>2653</v>
      </c>
      <c r="B722" s="2">
        <v>46259</v>
      </c>
      <c r="C722" s="1" t="s">
        <v>61</v>
      </c>
      <c r="D722" s="1">
        <f>IFERROR(VLOOKUP(DEG_REDE[[#This Row],[ID]],DEG_ACUM!A:A,1,0),"NOVO")</f>
        <v>2653</v>
      </c>
    </row>
    <row r="723" spans="1:4" hidden="1" x14ac:dyDescent="0.35">
      <c r="A723" s="1">
        <v>2656</v>
      </c>
      <c r="B723" s="2">
        <v>46259</v>
      </c>
      <c r="C723" s="1" t="s">
        <v>52</v>
      </c>
      <c r="D723" s="1">
        <f>IFERROR(VLOOKUP(DEG_REDE[[#This Row],[ID]],DEG_ACUM!A:A,1,0),"NOVO")</f>
        <v>2656</v>
      </c>
    </row>
    <row r="724" spans="1:4" hidden="1" x14ac:dyDescent="0.35">
      <c r="A724" s="1">
        <v>2657</v>
      </c>
      <c r="B724" s="2">
        <v>46259</v>
      </c>
      <c r="C724" s="1" t="s">
        <v>52</v>
      </c>
      <c r="D724" s="1">
        <f>IFERROR(VLOOKUP(DEG_REDE[[#This Row],[ID]],DEG_ACUM!A:A,1,0),"NOVO")</f>
        <v>2657</v>
      </c>
    </row>
    <row r="725" spans="1:4" hidden="1" x14ac:dyDescent="0.35">
      <c r="A725" s="1">
        <v>2658</v>
      </c>
      <c r="B725" s="2">
        <v>46259</v>
      </c>
      <c r="C725" s="1" t="s">
        <v>52</v>
      </c>
      <c r="D725" s="1">
        <f>IFERROR(VLOOKUP(DEG_REDE[[#This Row],[ID]],DEG_ACUM!A:A,1,0),"NOVO")</f>
        <v>2658</v>
      </c>
    </row>
    <row r="726" spans="1:4" hidden="1" x14ac:dyDescent="0.35">
      <c r="A726" s="1">
        <v>2659</v>
      </c>
      <c r="B726" s="2">
        <v>46259</v>
      </c>
      <c r="C726" s="1" t="s">
        <v>52</v>
      </c>
      <c r="D726" s="1">
        <f>IFERROR(VLOOKUP(DEG_REDE[[#This Row],[ID]],DEG_ACUM!A:A,1,0),"NOVO")</f>
        <v>2659</v>
      </c>
    </row>
    <row r="727" spans="1:4" hidden="1" x14ac:dyDescent="0.35">
      <c r="A727" s="1">
        <v>2660</v>
      </c>
      <c r="B727" s="2">
        <v>46259</v>
      </c>
      <c r="C727" s="1" t="s">
        <v>52</v>
      </c>
      <c r="D727" s="1">
        <f>IFERROR(VLOOKUP(DEG_REDE[[#This Row],[ID]],DEG_ACUM!A:A,1,0),"NOVO")</f>
        <v>2660</v>
      </c>
    </row>
    <row r="728" spans="1:4" hidden="1" x14ac:dyDescent="0.35">
      <c r="A728" s="1">
        <v>2661</v>
      </c>
      <c r="B728" s="2">
        <v>46259</v>
      </c>
      <c r="C728" s="1" t="s">
        <v>52</v>
      </c>
      <c r="D728" s="1">
        <f>IFERROR(VLOOKUP(DEG_REDE[[#This Row],[ID]],DEG_ACUM!A:A,1,0),"NOVO")</f>
        <v>2661</v>
      </c>
    </row>
    <row r="729" spans="1:4" hidden="1" x14ac:dyDescent="0.35">
      <c r="A729" s="1">
        <v>2662</v>
      </c>
      <c r="B729" s="2">
        <v>46260</v>
      </c>
      <c r="C729" s="1" t="s">
        <v>60</v>
      </c>
      <c r="D729" s="1">
        <f>IFERROR(VLOOKUP(DEG_REDE[[#This Row],[ID]],DEG_ACUM!A:A,1,0),"NOVO")</f>
        <v>2662</v>
      </c>
    </row>
    <row r="730" spans="1:4" hidden="1" x14ac:dyDescent="0.35">
      <c r="A730" s="1">
        <v>2663</v>
      </c>
      <c r="B730" s="2">
        <v>46260</v>
      </c>
      <c r="C730" s="1" t="s">
        <v>62</v>
      </c>
      <c r="D730" s="1">
        <f>IFERROR(VLOOKUP(DEG_REDE[[#This Row],[ID]],DEG_ACUM!A:A,1,0),"NOVO")</f>
        <v>2663</v>
      </c>
    </row>
    <row r="731" spans="1:4" hidden="1" x14ac:dyDescent="0.35">
      <c r="A731" s="1">
        <v>2666</v>
      </c>
      <c r="B731" s="2">
        <v>46260</v>
      </c>
      <c r="C731" s="1" t="s">
        <v>60</v>
      </c>
      <c r="D731" s="1">
        <f>IFERROR(VLOOKUP(DEG_REDE[[#This Row],[ID]],DEG_ACUM!A:A,1,0),"NOVO")</f>
        <v>2666</v>
      </c>
    </row>
    <row r="732" spans="1:4" hidden="1" x14ac:dyDescent="0.35">
      <c r="A732" s="1">
        <v>2667</v>
      </c>
      <c r="B732" s="2">
        <v>46260</v>
      </c>
      <c r="C732" s="1" t="s">
        <v>51</v>
      </c>
      <c r="D732" s="1">
        <f>IFERROR(VLOOKUP(DEG_REDE[[#This Row],[ID]],DEG_ACUM!A:A,1,0),"NOVO")</f>
        <v>2667</v>
      </c>
    </row>
    <row r="733" spans="1:4" hidden="1" x14ac:dyDescent="0.35">
      <c r="A733" s="1">
        <v>2668</v>
      </c>
      <c r="B733" s="2">
        <v>46260</v>
      </c>
      <c r="C733" s="1" t="s">
        <v>61</v>
      </c>
      <c r="D733" s="1">
        <f>IFERROR(VLOOKUP(DEG_REDE[[#This Row],[ID]],DEG_ACUM!A:A,1,0),"NOVO")</f>
        <v>2668</v>
      </c>
    </row>
    <row r="734" spans="1:4" hidden="1" x14ac:dyDescent="0.35">
      <c r="A734" s="1">
        <v>2669</v>
      </c>
      <c r="B734" s="2">
        <v>46260</v>
      </c>
      <c r="C734" s="1" t="s">
        <v>61</v>
      </c>
      <c r="D734" s="1">
        <f>IFERROR(VLOOKUP(DEG_REDE[[#This Row],[ID]],DEG_ACUM!A:A,1,0),"NOVO")</f>
        <v>2669</v>
      </c>
    </row>
    <row r="735" spans="1:4" hidden="1" x14ac:dyDescent="0.35">
      <c r="A735" s="1">
        <v>2670</v>
      </c>
      <c r="B735" s="2">
        <v>46260</v>
      </c>
      <c r="C735" s="1" t="s">
        <v>61</v>
      </c>
      <c r="D735" s="1">
        <f>IFERROR(VLOOKUP(DEG_REDE[[#This Row],[ID]],DEG_ACUM!A:A,1,0),"NOVO")</f>
        <v>2670</v>
      </c>
    </row>
    <row r="736" spans="1:4" hidden="1" x14ac:dyDescent="0.35">
      <c r="A736" s="1">
        <v>2675</v>
      </c>
      <c r="B736" s="2">
        <v>46260</v>
      </c>
      <c r="C736" s="1" t="s">
        <v>61</v>
      </c>
      <c r="D736" s="1">
        <f>IFERROR(VLOOKUP(DEG_REDE[[#This Row],[ID]],DEG_ACUM!A:A,1,0),"NOVO")</f>
        <v>2675</v>
      </c>
    </row>
    <row r="737" spans="1:4" hidden="1" x14ac:dyDescent="0.35">
      <c r="A737" s="1">
        <v>2680</v>
      </c>
      <c r="B737" s="2">
        <v>46260</v>
      </c>
      <c r="C737" s="1" t="s">
        <v>52</v>
      </c>
      <c r="D737" s="1">
        <f>IFERROR(VLOOKUP(DEG_REDE[[#This Row],[ID]],DEG_ACUM!A:A,1,0),"NOVO")</f>
        <v>2680</v>
      </c>
    </row>
    <row r="738" spans="1:4" hidden="1" x14ac:dyDescent="0.35">
      <c r="A738" s="1">
        <v>2681</v>
      </c>
      <c r="B738" s="2">
        <v>46260</v>
      </c>
      <c r="C738" s="1" t="s">
        <v>52</v>
      </c>
      <c r="D738" s="1">
        <f>IFERROR(VLOOKUP(DEG_REDE[[#This Row],[ID]],DEG_ACUM!A:A,1,0),"NOVO")</f>
        <v>2681</v>
      </c>
    </row>
    <row r="739" spans="1:4" hidden="1" x14ac:dyDescent="0.35">
      <c r="A739" s="1">
        <v>2682</v>
      </c>
      <c r="B739" s="2">
        <v>46260</v>
      </c>
      <c r="C739" s="1" t="s">
        <v>52</v>
      </c>
      <c r="D739" s="1">
        <f>IFERROR(VLOOKUP(DEG_REDE[[#This Row],[ID]],DEG_ACUM!A:A,1,0),"NOVO")</f>
        <v>2682</v>
      </c>
    </row>
    <row r="740" spans="1:4" hidden="1" x14ac:dyDescent="0.35">
      <c r="A740" s="1">
        <v>2683</v>
      </c>
      <c r="B740" s="2">
        <v>46260</v>
      </c>
      <c r="C740" s="1" t="s">
        <v>52</v>
      </c>
      <c r="D740" s="1">
        <f>IFERROR(VLOOKUP(DEG_REDE[[#This Row],[ID]],DEG_ACUM!A:A,1,0),"NOVO")</f>
        <v>2683</v>
      </c>
    </row>
    <row r="741" spans="1:4" hidden="1" x14ac:dyDescent="0.35">
      <c r="A741" s="1">
        <v>2684</v>
      </c>
      <c r="B741" s="2">
        <v>46260</v>
      </c>
      <c r="C741" s="1" t="s">
        <v>52</v>
      </c>
      <c r="D741" s="1">
        <f>IFERROR(VLOOKUP(DEG_REDE[[#This Row],[ID]],DEG_ACUM!A:A,1,0),"NOVO")</f>
        <v>2684</v>
      </c>
    </row>
    <row r="742" spans="1:4" hidden="1" x14ac:dyDescent="0.35">
      <c r="A742" s="1">
        <v>2685</v>
      </c>
      <c r="B742" s="2">
        <v>46261</v>
      </c>
      <c r="C742" s="1" t="s">
        <v>54</v>
      </c>
      <c r="D742" s="1">
        <f>IFERROR(VLOOKUP(DEG_REDE[[#This Row],[ID]],DEG_ACUM!A:A,1,0),"NOVO")</f>
        <v>2685</v>
      </c>
    </row>
    <row r="743" spans="1:4" hidden="1" x14ac:dyDescent="0.35">
      <c r="A743" s="1">
        <v>2686</v>
      </c>
      <c r="B743" s="2">
        <v>46261</v>
      </c>
      <c r="C743" s="1" t="s">
        <v>61</v>
      </c>
      <c r="D743" s="1">
        <f>IFERROR(VLOOKUP(DEG_REDE[[#This Row],[ID]],DEG_ACUM!A:A,1,0),"NOVO")</f>
        <v>2686</v>
      </c>
    </row>
    <row r="744" spans="1:4" hidden="1" x14ac:dyDescent="0.35">
      <c r="A744" s="1">
        <v>2687</v>
      </c>
      <c r="B744" s="2">
        <v>46261</v>
      </c>
      <c r="C744" s="1" t="s">
        <v>61</v>
      </c>
      <c r="D744" s="1">
        <f>IFERROR(VLOOKUP(DEG_REDE[[#This Row],[ID]],DEG_ACUM!A:A,1,0),"NOVO")</f>
        <v>2687</v>
      </c>
    </row>
    <row r="745" spans="1:4" hidden="1" x14ac:dyDescent="0.35">
      <c r="A745" s="1">
        <v>2688</v>
      </c>
      <c r="B745" s="2">
        <v>46261</v>
      </c>
      <c r="C745" s="1" t="s">
        <v>61</v>
      </c>
      <c r="D745" s="1">
        <f>IFERROR(VLOOKUP(DEG_REDE[[#This Row],[ID]],DEG_ACUM!A:A,1,0),"NOVO")</f>
        <v>2688</v>
      </c>
    </row>
    <row r="746" spans="1:4" hidden="1" x14ac:dyDescent="0.35">
      <c r="A746" s="1">
        <v>2689</v>
      </c>
      <c r="B746" s="2">
        <v>46261</v>
      </c>
      <c r="C746" s="1" t="s">
        <v>61</v>
      </c>
      <c r="D746" s="1">
        <f>IFERROR(VLOOKUP(DEG_REDE[[#This Row],[ID]],DEG_ACUM!A:A,1,0),"NOVO")</f>
        <v>2689</v>
      </c>
    </row>
    <row r="747" spans="1:4" hidden="1" x14ac:dyDescent="0.35">
      <c r="A747" s="1">
        <v>2690</v>
      </c>
      <c r="B747" s="2">
        <v>46261</v>
      </c>
      <c r="C747" s="1" t="s">
        <v>61</v>
      </c>
      <c r="D747" s="1">
        <f>IFERROR(VLOOKUP(DEG_REDE[[#This Row],[ID]],DEG_ACUM!A:A,1,0),"NOVO")</f>
        <v>2690</v>
      </c>
    </row>
    <row r="748" spans="1:4" hidden="1" x14ac:dyDescent="0.35">
      <c r="A748" s="1">
        <v>2691</v>
      </c>
      <c r="B748" s="2">
        <v>46261</v>
      </c>
      <c r="C748" s="1" t="s">
        <v>61</v>
      </c>
      <c r="D748" s="1">
        <f>IFERROR(VLOOKUP(DEG_REDE[[#This Row],[ID]],DEG_ACUM!A:A,1,0),"NOVO")</f>
        <v>2691</v>
      </c>
    </row>
    <row r="749" spans="1:4" hidden="1" x14ac:dyDescent="0.35">
      <c r="A749" s="1">
        <v>2692</v>
      </c>
      <c r="B749" s="2">
        <v>46261</v>
      </c>
      <c r="C749" s="1" t="s">
        <v>61</v>
      </c>
      <c r="D749" s="1">
        <f>IFERROR(VLOOKUP(DEG_REDE[[#This Row],[ID]],DEG_ACUM!A:A,1,0),"NOVO")</f>
        <v>2692</v>
      </c>
    </row>
    <row r="750" spans="1:4" hidden="1" x14ac:dyDescent="0.35">
      <c r="A750" s="1">
        <v>2693</v>
      </c>
      <c r="B750" s="2">
        <v>46261</v>
      </c>
      <c r="C750" s="1" t="s">
        <v>54</v>
      </c>
      <c r="D750" s="1">
        <f>IFERROR(VLOOKUP(DEG_REDE[[#This Row],[ID]],DEG_ACUM!A:A,1,0),"NOVO")</f>
        <v>2693</v>
      </c>
    </row>
    <row r="751" spans="1:4" hidden="1" x14ac:dyDescent="0.35">
      <c r="A751" s="1">
        <v>2694</v>
      </c>
      <c r="B751" s="2">
        <v>46261</v>
      </c>
      <c r="C751" s="1" t="s">
        <v>54</v>
      </c>
      <c r="D751" s="1">
        <f>IFERROR(VLOOKUP(DEG_REDE[[#This Row],[ID]],DEG_ACUM!A:A,1,0),"NOVO")</f>
        <v>2694</v>
      </c>
    </row>
    <row r="752" spans="1:4" hidden="1" x14ac:dyDescent="0.35">
      <c r="A752" s="1">
        <v>2695</v>
      </c>
      <c r="B752" s="2">
        <v>46261</v>
      </c>
      <c r="C752" s="1" t="s">
        <v>54</v>
      </c>
      <c r="D752" s="1">
        <f>IFERROR(VLOOKUP(DEG_REDE[[#This Row],[ID]],DEG_ACUM!A:A,1,0),"NOVO")</f>
        <v>2695</v>
      </c>
    </row>
    <row r="753" spans="1:4" hidden="1" x14ac:dyDescent="0.35">
      <c r="A753" s="1">
        <v>2696</v>
      </c>
      <c r="B753" s="2">
        <v>46261</v>
      </c>
      <c r="C753" s="1" t="s">
        <v>54</v>
      </c>
      <c r="D753" s="1">
        <f>IFERROR(VLOOKUP(DEG_REDE[[#This Row],[ID]],DEG_ACUM!A:A,1,0),"NOVO")</f>
        <v>2696</v>
      </c>
    </row>
    <row r="754" spans="1:4" hidden="1" x14ac:dyDescent="0.35">
      <c r="A754" s="1">
        <v>2697</v>
      </c>
      <c r="B754" s="2">
        <v>46261</v>
      </c>
      <c r="C754" s="1" t="s">
        <v>54</v>
      </c>
      <c r="D754" s="1">
        <f>IFERROR(VLOOKUP(DEG_REDE[[#This Row],[ID]],DEG_ACUM!A:A,1,0),"NOVO")</f>
        <v>2697</v>
      </c>
    </row>
    <row r="755" spans="1:4" hidden="1" x14ac:dyDescent="0.35">
      <c r="A755" s="1">
        <v>2698</v>
      </c>
      <c r="B755" s="2">
        <v>46261</v>
      </c>
      <c r="C755" s="1" t="s">
        <v>54</v>
      </c>
      <c r="D755" s="1">
        <f>IFERROR(VLOOKUP(DEG_REDE[[#This Row],[ID]],DEG_ACUM!A:A,1,0),"NOVO")</f>
        <v>2698</v>
      </c>
    </row>
    <row r="756" spans="1:4" hidden="1" x14ac:dyDescent="0.35">
      <c r="A756" s="1">
        <v>2699</v>
      </c>
      <c r="B756" s="2">
        <v>46261</v>
      </c>
      <c r="C756" s="1" t="s">
        <v>54</v>
      </c>
      <c r="D756" s="1">
        <f>IFERROR(VLOOKUP(DEG_REDE[[#This Row],[ID]],DEG_ACUM!A:A,1,0),"NOVO")</f>
        <v>2699</v>
      </c>
    </row>
    <row r="757" spans="1:4" hidden="1" x14ac:dyDescent="0.35">
      <c r="A757" s="1">
        <v>2700</v>
      </c>
      <c r="B757" s="2">
        <v>46261</v>
      </c>
      <c r="C757" s="1" t="s">
        <v>54</v>
      </c>
      <c r="D757" s="1">
        <f>IFERROR(VLOOKUP(DEG_REDE[[#This Row],[ID]],DEG_ACUM!A:A,1,0),"NOVO")</f>
        <v>2700</v>
      </c>
    </row>
    <row r="758" spans="1:4" hidden="1" x14ac:dyDescent="0.35">
      <c r="A758" s="1">
        <v>2701</v>
      </c>
      <c r="B758" s="2">
        <v>46261</v>
      </c>
      <c r="C758" s="1" t="s">
        <v>60</v>
      </c>
      <c r="D758" s="1">
        <f>IFERROR(VLOOKUP(DEG_REDE[[#This Row],[ID]],DEG_ACUM!A:A,1,0),"NOVO")</f>
        <v>2701</v>
      </c>
    </row>
    <row r="759" spans="1:4" hidden="1" x14ac:dyDescent="0.35">
      <c r="A759" s="1">
        <v>2702</v>
      </c>
      <c r="B759" s="2">
        <v>46261</v>
      </c>
      <c r="C759" s="1" t="s">
        <v>54</v>
      </c>
      <c r="D759" s="1">
        <f>IFERROR(VLOOKUP(DEG_REDE[[#This Row],[ID]],DEG_ACUM!A:A,1,0),"NOVO")</f>
        <v>2702</v>
      </c>
    </row>
    <row r="760" spans="1:4" hidden="1" x14ac:dyDescent="0.35">
      <c r="A760" s="1">
        <v>2703</v>
      </c>
      <c r="B760" s="2">
        <v>46261</v>
      </c>
      <c r="C760" s="1" t="s">
        <v>54</v>
      </c>
      <c r="D760" s="1">
        <f>IFERROR(VLOOKUP(DEG_REDE[[#This Row],[ID]],DEG_ACUM!A:A,1,0),"NOVO")</f>
        <v>2703</v>
      </c>
    </row>
    <row r="761" spans="1:4" hidden="1" x14ac:dyDescent="0.35">
      <c r="A761" s="1">
        <v>2704</v>
      </c>
      <c r="B761" s="2">
        <v>46261</v>
      </c>
      <c r="C761" s="1" t="s">
        <v>54</v>
      </c>
      <c r="D761" s="1">
        <f>IFERROR(VLOOKUP(DEG_REDE[[#This Row],[ID]],DEG_ACUM!A:A,1,0),"NOVO")</f>
        <v>2704</v>
      </c>
    </row>
    <row r="762" spans="1:4" hidden="1" x14ac:dyDescent="0.35">
      <c r="A762" s="1">
        <v>2705</v>
      </c>
      <c r="B762" s="2">
        <v>46261</v>
      </c>
      <c r="C762" s="1" t="s">
        <v>54</v>
      </c>
      <c r="D762" s="1">
        <f>IFERROR(VLOOKUP(DEG_REDE[[#This Row],[ID]],DEG_ACUM!A:A,1,0),"NOVO")</f>
        <v>2705</v>
      </c>
    </row>
    <row r="763" spans="1:4" hidden="1" x14ac:dyDescent="0.35">
      <c r="A763" s="1">
        <v>2706</v>
      </c>
      <c r="B763" s="2">
        <v>46261</v>
      </c>
      <c r="C763" s="1" t="s">
        <v>54</v>
      </c>
      <c r="D763" s="1">
        <f>IFERROR(VLOOKUP(DEG_REDE[[#This Row],[ID]],DEG_ACUM!A:A,1,0),"NOVO")</f>
        <v>2706</v>
      </c>
    </row>
    <row r="764" spans="1:4" hidden="1" x14ac:dyDescent="0.35">
      <c r="A764" s="1">
        <v>2707</v>
      </c>
      <c r="B764" s="2">
        <v>46261</v>
      </c>
      <c r="C764" s="1" t="s">
        <v>54</v>
      </c>
      <c r="D764" s="1">
        <f>IFERROR(VLOOKUP(DEG_REDE[[#This Row],[ID]],DEG_ACUM!A:A,1,0),"NOVO")</f>
        <v>2707</v>
      </c>
    </row>
    <row r="765" spans="1:4" hidden="1" x14ac:dyDescent="0.35">
      <c r="A765" s="1">
        <v>2708</v>
      </c>
      <c r="B765" s="2">
        <v>46261</v>
      </c>
      <c r="C765" s="1" t="s">
        <v>54</v>
      </c>
      <c r="D765" s="1">
        <f>IFERROR(VLOOKUP(DEG_REDE[[#This Row],[ID]],DEG_ACUM!A:A,1,0),"NOVO")</f>
        <v>2708</v>
      </c>
    </row>
    <row r="766" spans="1:4" hidden="1" x14ac:dyDescent="0.35">
      <c r="A766" s="1">
        <v>2709</v>
      </c>
      <c r="B766" s="2">
        <v>46261</v>
      </c>
      <c r="C766" s="1" t="s">
        <v>54</v>
      </c>
      <c r="D766" s="1">
        <f>IFERROR(VLOOKUP(DEG_REDE[[#This Row],[ID]],DEG_ACUM!A:A,1,0),"NOVO")</f>
        <v>2709</v>
      </c>
    </row>
    <row r="767" spans="1:4" hidden="1" x14ac:dyDescent="0.35">
      <c r="A767" s="1">
        <v>2710</v>
      </c>
      <c r="B767" s="2">
        <v>46261</v>
      </c>
      <c r="C767" s="1" t="s">
        <v>54</v>
      </c>
      <c r="D767" s="1">
        <f>IFERROR(VLOOKUP(DEG_REDE[[#This Row],[ID]],DEG_ACUM!A:A,1,0),"NOVO")</f>
        <v>2710</v>
      </c>
    </row>
    <row r="768" spans="1:4" hidden="1" x14ac:dyDescent="0.35">
      <c r="A768" s="1">
        <v>2711</v>
      </c>
      <c r="B768" s="2">
        <v>46261</v>
      </c>
      <c r="C768" s="1" t="s">
        <v>54</v>
      </c>
      <c r="D768" s="1">
        <f>IFERROR(VLOOKUP(DEG_REDE[[#This Row],[ID]],DEG_ACUM!A:A,1,0),"NOVO")</f>
        <v>2711</v>
      </c>
    </row>
    <row r="769" spans="1:4" hidden="1" x14ac:dyDescent="0.35">
      <c r="A769" s="1">
        <v>2712</v>
      </c>
      <c r="B769" s="2">
        <v>46261</v>
      </c>
      <c r="C769" s="1" t="s">
        <v>54</v>
      </c>
      <c r="D769" s="1">
        <f>IFERROR(VLOOKUP(DEG_REDE[[#This Row],[ID]],DEG_ACUM!A:A,1,0),"NOVO")</f>
        <v>2712</v>
      </c>
    </row>
    <row r="770" spans="1:4" hidden="1" x14ac:dyDescent="0.35">
      <c r="A770" s="1">
        <v>2713</v>
      </c>
      <c r="B770" s="2">
        <v>46261</v>
      </c>
      <c r="C770" s="1" t="s">
        <v>54</v>
      </c>
      <c r="D770" s="1">
        <f>IFERROR(VLOOKUP(DEG_REDE[[#This Row],[ID]],DEG_ACUM!A:A,1,0),"NOVO")</f>
        <v>2713</v>
      </c>
    </row>
    <row r="771" spans="1:4" hidden="1" x14ac:dyDescent="0.35">
      <c r="A771" s="1">
        <v>2714</v>
      </c>
      <c r="B771" s="2">
        <v>46261</v>
      </c>
      <c r="C771" s="1" t="s">
        <v>54</v>
      </c>
      <c r="D771" s="1">
        <f>IFERROR(VLOOKUP(DEG_REDE[[#This Row],[ID]],DEG_ACUM!A:A,1,0),"NOVO")</f>
        <v>2714</v>
      </c>
    </row>
    <row r="772" spans="1:4" hidden="1" x14ac:dyDescent="0.35">
      <c r="A772" s="1">
        <v>2715</v>
      </c>
      <c r="B772" s="2">
        <v>46261</v>
      </c>
      <c r="C772" s="1" t="s">
        <v>54</v>
      </c>
      <c r="D772" s="1">
        <f>IFERROR(VLOOKUP(DEG_REDE[[#This Row],[ID]],DEG_ACUM!A:A,1,0),"NOVO")</f>
        <v>2715</v>
      </c>
    </row>
    <row r="773" spans="1:4" hidden="1" x14ac:dyDescent="0.35">
      <c r="A773" s="1">
        <v>2716</v>
      </c>
      <c r="B773" s="2">
        <v>46261</v>
      </c>
      <c r="C773" s="1" t="s">
        <v>61</v>
      </c>
      <c r="D773" s="1">
        <f>IFERROR(VLOOKUP(DEG_REDE[[#This Row],[ID]],DEG_ACUM!A:A,1,0),"NOVO")</f>
        <v>2716</v>
      </c>
    </row>
    <row r="774" spans="1:4" hidden="1" x14ac:dyDescent="0.35">
      <c r="A774" s="1">
        <v>2717</v>
      </c>
      <c r="B774" s="2">
        <v>46261</v>
      </c>
      <c r="C774" s="1" t="s">
        <v>51</v>
      </c>
      <c r="D774" s="1">
        <f>IFERROR(VLOOKUP(DEG_REDE[[#This Row],[ID]],DEG_ACUM!A:A,1,0),"NOVO")</f>
        <v>2717</v>
      </c>
    </row>
    <row r="775" spans="1:4" hidden="1" x14ac:dyDescent="0.35">
      <c r="A775" s="1">
        <v>2718</v>
      </c>
      <c r="B775" s="2">
        <v>46261</v>
      </c>
      <c r="C775" s="1" t="s">
        <v>54</v>
      </c>
      <c r="D775" s="1">
        <f>IFERROR(VLOOKUP(DEG_REDE[[#This Row],[ID]],DEG_ACUM!A:A,1,0),"NOVO")</f>
        <v>2718</v>
      </c>
    </row>
    <row r="776" spans="1:4" hidden="1" x14ac:dyDescent="0.35">
      <c r="A776" s="1">
        <v>2719</v>
      </c>
      <c r="B776" s="2">
        <v>46261</v>
      </c>
      <c r="C776" s="1" t="s">
        <v>54</v>
      </c>
      <c r="D776" s="1">
        <f>IFERROR(VLOOKUP(DEG_REDE[[#This Row],[ID]],DEG_ACUM!A:A,1,0),"NOVO")</f>
        <v>2719</v>
      </c>
    </row>
    <row r="777" spans="1:4" hidden="1" x14ac:dyDescent="0.35">
      <c r="A777" s="1">
        <v>2720</v>
      </c>
      <c r="B777" s="2">
        <v>46261</v>
      </c>
      <c r="C777" s="1" t="s">
        <v>54</v>
      </c>
      <c r="D777" s="1">
        <f>IFERROR(VLOOKUP(DEG_REDE[[#This Row],[ID]],DEG_ACUM!A:A,1,0),"NOVO")</f>
        <v>2720</v>
      </c>
    </row>
    <row r="778" spans="1:4" hidden="1" x14ac:dyDescent="0.35">
      <c r="A778" s="1">
        <v>2721</v>
      </c>
      <c r="B778" s="2">
        <v>46261</v>
      </c>
      <c r="C778" s="1" t="s">
        <v>54</v>
      </c>
      <c r="D778" s="1">
        <f>IFERROR(VLOOKUP(DEG_REDE[[#This Row],[ID]],DEG_ACUM!A:A,1,0),"NOVO")</f>
        <v>2721</v>
      </c>
    </row>
    <row r="779" spans="1:4" hidden="1" x14ac:dyDescent="0.35">
      <c r="A779" s="1">
        <v>2722</v>
      </c>
      <c r="B779" s="2">
        <v>46261</v>
      </c>
      <c r="C779" s="1" t="s">
        <v>54</v>
      </c>
      <c r="D779" s="1">
        <f>IFERROR(VLOOKUP(DEG_REDE[[#This Row],[ID]],DEG_ACUM!A:A,1,0),"NOVO")</f>
        <v>2722</v>
      </c>
    </row>
    <row r="780" spans="1:4" hidden="1" x14ac:dyDescent="0.35">
      <c r="A780" s="1">
        <v>2723</v>
      </c>
      <c r="B780" s="2">
        <v>46261</v>
      </c>
      <c r="C780" s="1" t="s">
        <v>54</v>
      </c>
      <c r="D780" s="1">
        <f>IFERROR(VLOOKUP(DEG_REDE[[#This Row],[ID]],DEG_ACUM!A:A,1,0),"NOVO")</f>
        <v>2723</v>
      </c>
    </row>
    <row r="781" spans="1:4" hidden="1" x14ac:dyDescent="0.35">
      <c r="A781" s="1">
        <v>2724</v>
      </c>
      <c r="B781" s="2">
        <v>46261</v>
      </c>
      <c r="C781" s="1" t="s">
        <v>54</v>
      </c>
      <c r="D781" s="1">
        <f>IFERROR(VLOOKUP(DEG_REDE[[#This Row],[ID]],DEG_ACUM!A:A,1,0),"NOVO")</f>
        <v>2724</v>
      </c>
    </row>
    <row r="782" spans="1:4" hidden="1" x14ac:dyDescent="0.35">
      <c r="A782" s="1">
        <v>2725</v>
      </c>
      <c r="B782" s="2">
        <v>46261</v>
      </c>
      <c r="C782" s="1" t="s">
        <v>54</v>
      </c>
      <c r="D782" s="1">
        <f>IFERROR(VLOOKUP(DEG_REDE[[#This Row],[ID]],DEG_ACUM!A:A,1,0),"NOVO")</f>
        <v>2725</v>
      </c>
    </row>
    <row r="783" spans="1:4" hidden="1" x14ac:dyDescent="0.35">
      <c r="A783" s="1">
        <v>2726</v>
      </c>
      <c r="B783" s="2">
        <v>46261</v>
      </c>
      <c r="C783" s="1" t="s">
        <v>54</v>
      </c>
      <c r="D783" s="1">
        <f>IFERROR(VLOOKUP(DEG_REDE[[#This Row],[ID]],DEG_ACUM!A:A,1,0),"NOVO")</f>
        <v>2726</v>
      </c>
    </row>
    <row r="784" spans="1:4" hidden="1" x14ac:dyDescent="0.35">
      <c r="A784" s="1">
        <v>2727</v>
      </c>
      <c r="B784" s="2">
        <v>46261</v>
      </c>
      <c r="C784" s="1" t="s">
        <v>54</v>
      </c>
      <c r="D784" s="1">
        <f>IFERROR(VLOOKUP(DEG_REDE[[#This Row],[ID]],DEG_ACUM!A:A,1,0),"NOVO")</f>
        <v>2727</v>
      </c>
    </row>
    <row r="785" spans="1:4" hidden="1" x14ac:dyDescent="0.35">
      <c r="A785" s="1">
        <v>2728</v>
      </c>
      <c r="B785" s="2">
        <v>46261</v>
      </c>
      <c r="C785" s="1" t="s">
        <v>54</v>
      </c>
      <c r="D785" s="1">
        <f>IFERROR(VLOOKUP(DEG_REDE[[#This Row],[ID]],DEG_ACUM!A:A,1,0),"NOVO")</f>
        <v>2728</v>
      </c>
    </row>
    <row r="786" spans="1:4" hidden="1" x14ac:dyDescent="0.35">
      <c r="A786" s="1">
        <v>2729</v>
      </c>
      <c r="B786" s="2">
        <v>46261</v>
      </c>
      <c r="C786" s="1" t="s">
        <v>54</v>
      </c>
      <c r="D786" s="1">
        <f>IFERROR(VLOOKUP(DEG_REDE[[#This Row],[ID]],DEG_ACUM!A:A,1,0),"NOVO")</f>
        <v>2729</v>
      </c>
    </row>
    <row r="787" spans="1:4" hidden="1" x14ac:dyDescent="0.35">
      <c r="A787" s="1">
        <v>2731</v>
      </c>
      <c r="B787" s="2">
        <v>46261</v>
      </c>
      <c r="C787" s="1" t="s">
        <v>61</v>
      </c>
      <c r="D787" s="1">
        <f>IFERROR(VLOOKUP(DEG_REDE[[#This Row],[ID]],DEG_ACUM!A:A,1,0),"NOVO")</f>
        <v>2731</v>
      </c>
    </row>
    <row r="788" spans="1:4" hidden="1" x14ac:dyDescent="0.35">
      <c r="A788" s="1">
        <v>2735</v>
      </c>
      <c r="B788" s="2">
        <v>46261</v>
      </c>
      <c r="C788" s="1" t="s">
        <v>52</v>
      </c>
      <c r="D788" s="1">
        <f>IFERROR(VLOOKUP(DEG_REDE[[#This Row],[ID]],DEG_ACUM!A:A,1,0),"NOVO")</f>
        <v>2735</v>
      </c>
    </row>
    <row r="789" spans="1:4" hidden="1" x14ac:dyDescent="0.35">
      <c r="A789" s="1">
        <v>2736</v>
      </c>
      <c r="B789" s="2">
        <v>46261</v>
      </c>
      <c r="C789" s="1" t="s">
        <v>52</v>
      </c>
      <c r="D789" s="1">
        <f>IFERROR(VLOOKUP(DEG_REDE[[#This Row],[ID]],DEG_ACUM!A:A,1,0),"NOVO")</f>
        <v>2736</v>
      </c>
    </row>
    <row r="790" spans="1:4" hidden="1" x14ac:dyDescent="0.35">
      <c r="A790" s="1">
        <v>2737</v>
      </c>
      <c r="B790" s="2">
        <v>46261</v>
      </c>
      <c r="C790" s="1" t="s">
        <v>52</v>
      </c>
      <c r="D790" s="1">
        <f>IFERROR(VLOOKUP(DEG_REDE[[#This Row],[ID]],DEG_ACUM!A:A,1,0),"NOVO")</f>
        <v>2737</v>
      </c>
    </row>
    <row r="791" spans="1:4" hidden="1" x14ac:dyDescent="0.35">
      <c r="A791" s="1">
        <v>2738</v>
      </c>
      <c r="B791" s="2">
        <v>46261</v>
      </c>
      <c r="C791" s="1" t="s">
        <v>52</v>
      </c>
      <c r="D791" s="1">
        <f>IFERROR(VLOOKUP(DEG_REDE[[#This Row],[ID]],DEG_ACUM!A:A,1,0),"NOVO")</f>
        <v>2738</v>
      </c>
    </row>
    <row r="792" spans="1:4" hidden="1" x14ac:dyDescent="0.35">
      <c r="A792" s="1">
        <v>2739</v>
      </c>
      <c r="B792" s="2">
        <v>46261</v>
      </c>
      <c r="C792" s="1" t="s">
        <v>52</v>
      </c>
      <c r="D792" s="1">
        <f>IFERROR(VLOOKUP(DEG_REDE[[#This Row],[ID]],DEG_ACUM!A:A,1,0),"NOVO")</f>
        <v>2739</v>
      </c>
    </row>
    <row r="793" spans="1:4" hidden="1" x14ac:dyDescent="0.35">
      <c r="A793" s="1">
        <v>2740</v>
      </c>
      <c r="B793" s="2">
        <v>46262</v>
      </c>
      <c r="C793" s="1" t="s">
        <v>62</v>
      </c>
      <c r="D793" s="1">
        <f>IFERROR(VLOOKUP(DEG_REDE[[#This Row],[ID]],DEG_ACUM!A:A,1,0),"NOVO")</f>
        <v>2740</v>
      </c>
    </row>
    <row r="794" spans="1:4" hidden="1" x14ac:dyDescent="0.35">
      <c r="A794" s="1">
        <v>2741</v>
      </c>
      <c r="B794" s="2">
        <v>46262</v>
      </c>
      <c r="C794" s="1" t="s">
        <v>61</v>
      </c>
      <c r="D794" s="1">
        <f>IFERROR(VLOOKUP(DEG_REDE[[#This Row],[ID]],DEG_ACUM!A:A,1,0),"NOVO")</f>
        <v>2741</v>
      </c>
    </row>
    <row r="795" spans="1:4" hidden="1" x14ac:dyDescent="0.35">
      <c r="A795" s="1">
        <v>2744</v>
      </c>
      <c r="B795" s="2">
        <v>46262</v>
      </c>
      <c r="C795" s="1" t="s">
        <v>61</v>
      </c>
      <c r="D795" s="1">
        <f>IFERROR(VLOOKUP(DEG_REDE[[#This Row],[ID]],DEG_ACUM!A:A,1,0),"NOVO")</f>
        <v>2744</v>
      </c>
    </row>
    <row r="796" spans="1:4" hidden="1" x14ac:dyDescent="0.35">
      <c r="A796" s="1">
        <v>2745</v>
      </c>
      <c r="B796" s="2">
        <v>46262</v>
      </c>
      <c r="C796" s="1" t="s">
        <v>60</v>
      </c>
      <c r="D796" s="1">
        <f>IFERROR(VLOOKUP(DEG_REDE[[#This Row],[ID]],DEG_ACUM!A:A,1,0),"NOVO")</f>
        <v>2745</v>
      </c>
    </row>
    <row r="797" spans="1:4" hidden="1" x14ac:dyDescent="0.35">
      <c r="A797" s="1">
        <v>2746</v>
      </c>
      <c r="B797" s="2">
        <v>46262</v>
      </c>
      <c r="C797" s="1" t="s">
        <v>51</v>
      </c>
      <c r="D797" s="1">
        <f>IFERROR(VLOOKUP(DEG_REDE[[#This Row],[ID]],DEG_ACUM!A:A,1,0),"NOVO")</f>
        <v>2746</v>
      </c>
    </row>
    <row r="798" spans="1:4" hidden="1" x14ac:dyDescent="0.35">
      <c r="A798" s="1">
        <v>2750</v>
      </c>
      <c r="B798" s="2">
        <v>46265</v>
      </c>
      <c r="C798" s="1" t="s">
        <v>54</v>
      </c>
      <c r="D798" s="1">
        <f>IFERROR(VLOOKUP(DEG_REDE[[#This Row],[ID]],DEG_ACUM!A:A,1,0),"NOVO")</f>
        <v>2750</v>
      </c>
    </row>
    <row r="799" spans="1:4" hidden="1" x14ac:dyDescent="0.35">
      <c r="A799" s="1">
        <v>2751</v>
      </c>
      <c r="B799" s="2">
        <v>46265</v>
      </c>
      <c r="C799" s="1" t="s">
        <v>62</v>
      </c>
      <c r="D799" s="1">
        <f>IFERROR(VLOOKUP(DEG_REDE[[#This Row],[ID]],DEG_ACUM!A:A,1,0),"NOVO")</f>
        <v>2751</v>
      </c>
    </row>
    <row r="800" spans="1:4" hidden="1" x14ac:dyDescent="0.35">
      <c r="A800" s="1">
        <v>2753</v>
      </c>
      <c r="B800" s="2">
        <v>46265</v>
      </c>
      <c r="C800" s="1" t="s">
        <v>60</v>
      </c>
      <c r="D800" s="1">
        <f>IFERROR(VLOOKUP(DEG_REDE[[#This Row],[ID]],DEG_ACUM!A:A,1,0),"NOVO")</f>
        <v>2753</v>
      </c>
    </row>
    <row r="801" spans="1:4" hidden="1" x14ac:dyDescent="0.35">
      <c r="A801" s="1">
        <v>2761</v>
      </c>
      <c r="B801" s="2">
        <v>46265</v>
      </c>
      <c r="C801" s="1" t="s">
        <v>51</v>
      </c>
      <c r="D801" s="1">
        <f>IFERROR(VLOOKUP(DEG_REDE[[#This Row],[ID]],DEG_ACUM!A:A,1,0),"NOVO")</f>
        <v>2761</v>
      </c>
    </row>
    <row r="802" spans="1:4" hidden="1" x14ac:dyDescent="0.35">
      <c r="A802" s="1">
        <v>2763</v>
      </c>
      <c r="B802" s="2">
        <v>46265</v>
      </c>
      <c r="C802" s="1" t="s">
        <v>64</v>
      </c>
      <c r="D802" s="1">
        <f>IFERROR(VLOOKUP(DEG_REDE[[#This Row],[ID]],DEG_ACUM!A:A,1,0),"NOVO")</f>
        <v>2763</v>
      </c>
    </row>
    <row r="803" spans="1:4" hidden="1" x14ac:dyDescent="0.35">
      <c r="A803" s="1">
        <v>2766</v>
      </c>
      <c r="B803" s="2">
        <v>46265</v>
      </c>
      <c r="C803" s="1" t="s">
        <v>64</v>
      </c>
      <c r="D803" s="1">
        <f>IFERROR(VLOOKUP(DEG_REDE[[#This Row],[ID]],DEG_ACUM!A:A,1,0),"NOVO")</f>
        <v>2766</v>
      </c>
    </row>
    <row r="804" spans="1:4" hidden="1" x14ac:dyDescent="0.35">
      <c r="A804" s="1">
        <v>2769</v>
      </c>
      <c r="B804" s="2">
        <v>46265</v>
      </c>
      <c r="C804" s="1" t="s">
        <v>52</v>
      </c>
      <c r="D804" s="1">
        <f>IFERROR(VLOOKUP(DEG_REDE[[#This Row],[ID]],DEG_ACUM!A:A,1,0),"NOVO")</f>
        <v>2769</v>
      </c>
    </row>
    <row r="805" spans="1:4" hidden="1" x14ac:dyDescent="0.35">
      <c r="A805" s="1">
        <v>2770</v>
      </c>
      <c r="B805" s="2">
        <v>46265</v>
      </c>
      <c r="C805" s="1" t="s">
        <v>52</v>
      </c>
      <c r="D805" s="1">
        <f>IFERROR(VLOOKUP(DEG_REDE[[#This Row],[ID]],DEG_ACUM!A:A,1,0),"NOVO")</f>
        <v>2770</v>
      </c>
    </row>
    <row r="806" spans="1:4" hidden="1" x14ac:dyDescent="0.35">
      <c r="A806" s="1">
        <v>2771</v>
      </c>
      <c r="B806" s="2">
        <v>46265</v>
      </c>
      <c r="C806" s="1" t="s">
        <v>52</v>
      </c>
      <c r="D806" s="1">
        <f>IFERROR(VLOOKUP(DEG_REDE[[#This Row],[ID]],DEG_ACUM!A:A,1,0),"NOVO")</f>
        <v>2771</v>
      </c>
    </row>
    <row r="807" spans="1:4" hidden="1" x14ac:dyDescent="0.35">
      <c r="A807" s="1">
        <v>2772</v>
      </c>
      <c r="B807" s="2">
        <v>46265</v>
      </c>
      <c r="C807" s="1" t="s">
        <v>52</v>
      </c>
      <c r="D807" s="1">
        <f>IFERROR(VLOOKUP(DEG_REDE[[#This Row],[ID]],DEG_ACUM!A:A,1,0),"NOVO")</f>
        <v>2772</v>
      </c>
    </row>
    <row r="808" spans="1:4" hidden="1" x14ac:dyDescent="0.35">
      <c r="A808" s="1">
        <v>2773</v>
      </c>
      <c r="B808" s="2">
        <v>46265</v>
      </c>
      <c r="C808" s="1" t="s">
        <v>52</v>
      </c>
      <c r="D808" s="1">
        <f>IFERROR(VLOOKUP(DEG_REDE[[#This Row],[ID]],DEG_ACUM!A:A,1,0),"NOVO")</f>
        <v>2773</v>
      </c>
    </row>
    <row r="809" spans="1:4" hidden="1" x14ac:dyDescent="0.35">
      <c r="A809" s="1">
        <v>2778</v>
      </c>
      <c r="B809" s="2">
        <v>46267</v>
      </c>
      <c r="C809" s="1" t="s">
        <v>54</v>
      </c>
      <c r="D809" s="1">
        <f>IFERROR(VLOOKUP(DEG_REDE[[#This Row],[ID]],DEG_ACUM!A:A,1,0),"NOVO")</f>
        <v>2778</v>
      </c>
    </row>
    <row r="810" spans="1:4" hidden="1" x14ac:dyDescent="0.35">
      <c r="A810" s="1">
        <v>2779</v>
      </c>
      <c r="B810" s="2">
        <v>46267</v>
      </c>
      <c r="C810" s="1" t="s">
        <v>61</v>
      </c>
      <c r="D810" s="1">
        <f>IFERROR(VLOOKUP(DEG_REDE[[#This Row],[ID]],DEG_ACUM!A:A,1,0),"NOVO")</f>
        <v>2779</v>
      </c>
    </row>
    <row r="811" spans="1:4" hidden="1" x14ac:dyDescent="0.35">
      <c r="A811" s="1">
        <v>2780</v>
      </c>
      <c r="B811" s="2">
        <v>46267</v>
      </c>
      <c r="C811" s="1" t="s">
        <v>61</v>
      </c>
      <c r="D811" s="1">
        <f>IFERROR(VLOOKUP(DEG_REDE[[#This Row],[ID]],DEG_ACUM!A:A,1,0),"NOVO")</f>
        <v>2780</v>
      </c>
    </row>
    <row r="812" spans="1:4" hidden="1" x14ac:dyDescent="0.35">
      <c r="A812" s="1">
        <v>2781</v>
      </c>
      <c r="B812" s="2">
        <v>46267</v>
      </c>
      <c r="C812" s="1" t="s">
        <v>61</v>
      </c>
      <c r="D812" s="1">
        <f>IFERROR(VLOOKUP(DEG_REDE[[#This Row],[ID]],DEG_ACUM!A:A,1,0),"NOVO")</f>
        <v>2781</v>
      </c>
    </row>
    <row r="813" spans="1:4" hidden="1" x14ac:dyDescent="0.35">
      <c r="A813" s="1">
        <v>2782</v>
      </c>
      <c r="B813" s="2">
        <v>46267</v>
      </c>
      <c r="C813" s="1" t="s">
        <v>61</v>
      </c>
      <c r="D813" s="1">
        <f>IFERROR(VLOOKUP(DEG_REDE[[#This Row],[ID]],DEG_ACUM!A:A,1,0),"NOVO")</f>
        <v>2782</v>
      </c>
    </row>
    <row r="814" spans="1:4" hidden="1" x14ac:dyDescent="0.35">
      <c r="A814" s="1">
        <v>2783</v>
      </c>
      <c r="B814" s="2">
        <v>46267</v>
      </c>
      <c r="C814" s="1" t="s">
        <v>61</v>
      </c>
      <c r="D814" s="1">
        <f>IFERROR(VLOOKUP(DEG_REDE[[#This Row],[ID]],DEG_ACUM!A:A,1,0),"NOVO")</f>
        <v>2783</v>
      </c>
    </row>
    <row r="815" spans="1:4" hidden="1" x14ac:dyDescent="0.35">
      <c r="A815" s="1">
        <v>2784</v>
      </c>
      <c r="B815" s="2">
        <v>46267</v>
      </c>
      <c r="C815" s="1" t="s">
        <v>61</v>
      </c>
      <c r="D815" s="1">
        <f>IFERROR(VLOOKUP(DEG_REDE[[#This Row],[ID]],DEG_ACUM!A:A,1,0),"NOVO")</f>
        <v>2784</v>
      </c>
    </row>
    <row r="816" spans="1:4" hidden="1" x14ac:dyDescent="0.35">
      <c r="A816" s="1">
        <v>2785</v>
      </c>
      <c r="B816" s="2">
        <v>46267</v>
      </c>
      <c r="C816" s="1" t="s">
        <v>61</v>
      </c>
      <c r="D816" s="1">
        <f>IFERROR(VLOOKUP(DEG_REDE[[#This Row],[ID]],DEG_ACUM!A:A,1,0),"NOVO")</f>
        <v>2785</v>
      </c>
    </row>
    <row r="817" spans="1:4" hidden="1" x14ac:dyDescent="0.35">
      <c r="A817" s="1">
        <v>2786</v>
      </c>
      <c r="B817" s="2">
        <v>46267</v>
      </c>
      <c r="C817" s="1" t="s">
        <v>61</v>
      </c>
      <c r="D817" s="1">
        <f>IFERROR(VLOOKUP(DEG_REDE[[#This Row],[ID]],DEG_ACUM!A:A,1,0),"NOVO")</f>
        <v>2786</v>
      </c>
    </row>
    <row r="818" spans="1:4" hidden="1" x14ac:dyDescent="0.35">
      <c r="A818" s="1">
        <v>2789</v>
      </c>
      <c r="B818" s="2">
        <v>46267</v>
      </c>
      <c r="C818" s="1" t="s">
        <v>61</v>
      </c>
      <c r="D818" s="1">
        <f>IFERROR(VLOOKUP(DEG_REDE[[#This Row],[ID]],DEG_ACUM!A:A,1,0),"NOVO")</f>
        <v>2789</v>
      </c>
    </row>
    <row r="819" spans="1:4" hidden="1" x14ac:dyDescent="0.35">
      <c r="A819" s="1">
        <v>2790</v>
      </c>
      <c r="B819" s="2">
        <v>46267</v>
      </c>
      <c r="C819" s="1" t="s">
        <v>61</v>
      </c>
      <c r="D819" s="1">
        <f>IFERROR(VLOOKUP(DEG_REDE[[#This Row],[ID]],DEG_ACUM!A:A,1,0),"NOVO")</f>
        <v>2790</v>
      </c>
    </row>
    <row r="820" spans="1:4" hidden="1" x14ac:dyDescent="0.35">
      <c r="A820" s="1">
        <v>2791</v>
      </c>
      <c r="B820" s="2">
        <v>46267</v>
      </c>
      <c r="C820" s="1" t="s">
        <v>61</v>
      </c>
      <c r="D820" s="1">
        <f>IFERROR(VLOOKUP(DEG_REDE[[#This Row],[ID]],DEG_ACUM!A:A,1,0),"NOVO")</f>
        <v>2791</v>
      </c>
    </row>
    <row r="821" spans="1:4" hidden="1" x14ac:dyDescent="0.35">
      <c r="A821" s="1">
        <v>2792</v>
      </c>
      <c r="B821" s="2">
        <v>46267</v>
      </c>
      <c r="C821" s="1" t="s">
        <v>61</v>
      </c>
      <c r="D821" s="1">
        <f>IFERROR(VLOOKUP(DEG_REDE[[#This Row],[ID]],DEG_ACUM!A:A,1,0),"NOVO")</f>
        <v>2792</v>
      </c>
    </row>
    <row r="822" spans="1:4" hidden="1" x14ac:dyDescent="0.35">
      <c r="A822" s="1">
        <v>2796</v>
      </c>
      <c r="B822" s="2">
        <v>46267</v>
      </c>
      <c r="C822" s="1" t="s">
        <v>52</v>
      </c>
      <c r="D822" s="1">
        <f>IFERROR(VLOOKUP(DEG_REDE[[#This Row],[ID]],DEG_ACUM!A:A,1,0),"NOVO")</f>
        <v>2796</v>
      </c>
    </row>
    <row r="823" spans="1:4" hidden="1" x14ac:dyDescent="0.35">
      <c r="A823" s="1">
        <v>2797</v>
      </c>
      <c r="B823" s="2">
        <v>46267</v>
      </c>
      <c r="C823" s="1" t="s">
        <v>52</v>
      </c>
      <c r="D823" s="1">
        <f>IFERROR(VLOOKUP(DEG_REDE[[#This Row],[ID]],DEG_ACUM!A:A,1,0),"NOVO")</f>
        <v>2797</v>
      </c>
    </row>
    <row r="824" spans="1:4" hidden="1" x14ac:dyDescent="0.35">
      <c r="A824" s="1">
        <v>2798</v>
      </c>
      <c r="B824" s="2">
        <v>46267</v>
      </c>
      <c r="C824" s="1" t="s">
        <v>52</v>
      </c>
      <c r="D824" s="1">
        <f>IFERROR(VLOOKUP(DEG_REDE[[#This Row],[ID]],DEG_ACUM!A:A,1,0),"NOVO")</f>
        <v>2798</v>
      </c>
    </row>
    <row r="825" spans="1:4" hidden="1" x14ac:dyDescent="0.35">
      <c r="A825" s="1">
        <v>2799</v>
      </c>
      <c r="B825" s="2">
        <v>46267</v>
      </c>
      <c r="C825" s="1" t="s">
        <v>52</v>
      </c>
      <c r="D825" s="1">
        <f>IFERROR(VLOOKUP(DEG_REDE[[#This Row],[ID]],DEG_ACUM!A:A,1,0),"NOVO")</f>
        <v>2799</v>
      </c>
    </row>
    <row r="826" spans="1:4" hidden="1" x14ac:dyDescent="0.35">
      <c r="A826" s="1">
        <v>2800</v>
      </c>
      <c r="B826" s="2">
        <v>46267</v>
      </c>
      <c r="C826" s="1" t="s">
        <v>52</v>
      </c>
      <c r="D826" s="1">
        <f>IFERROR(VLOOKUP(DEG_REDE[[#This Row],[ID]],DEG_ACUM!A:A,1,0),"NOVO")</f>
        <v>2800</v>
      </c>
    </row>
    <row r="827" spans="1:4" hidden="1" x14ac:dyDescent="0.35">
      <c r="A827" s="1">
        <v>2801</v>
      </c>
      <c r="B827" s="2">
        <v>46267</v>
      </c>
      <c r="C827" s="1" t="s">
        <v>52</v>
      </c>
      <c r="D827" s="1">
        <f>IFERROR(VLOOKUP(DEG_REDE[[#This Row],[ID]],DEG_ACUM!A:A,1,0),"NOVO")</f>
        <v>2801</v>
      </c>
    </row>
    <row r="828" spans="1:4" hidden="1" x14ac:dyDescent="0.35">
      <c r="A828" s="1">
        <v>2802</v>
      </c>
      <c r="B828" s="2">
        <v>46267</v>
      </c>
      <c r="C828" s="1" t="s">
        <v>52</v>
      </c>
      <c r="D828" s="1">
        <f>IFERROR(VLOOKUP(DEG_REDE[[#This Row],[ID]],DEG_ACUM!A:A,1,0),"NOVO")</f>
        <v>2802</v>
      </c>
    </row>
    <row r="829" spans="1:4" hidden="1" x14ac:dyDescent="0.35">
      <c r="A829" s="1">
        <v>2803</v>
      </c>
      <c r="B829" s="2">
        <v>46267</v>
      </c>
      <c r="C829" s="1" t="s">
        <v>52</v>
      </c>
      <c r="D829" s="1">
        <f>IFERROR(VLOOKUP(DEG_REDE[[#This Row],[ID]],DEG_ACUM!A:A,1,0),"NOVO")</f>
        <v>2803</v>
      </c>
    </row>
    <row r="830" spans="1:4" hidden="1" x14ac:dyDescent="0.35">
      <c r="A830" s="1">
        <v>2804</v>
      </c>
      <c r="B830" s="2">
        <v>46267</v>
      </c>
      <c r="C830" s="1" t="s">
        <v>52</v>
      </c>
      <c r="D830" s="1">
        <f>IFERROR(VLOOKUP(DEG_REDE[[#This Row],[ID]],DEG_ACUM!A:A,1,0),"NOVO")</f>
        <v>2804</v>
      </c>
    </row>
    <row r="831" spans="1:4" hidden="1" x14ac:dyDescent="0.35">
      <c r="A831" s="1">
        <v>2805</v>
      </c>
      <c r="B831" s="2">
        <v>46268</v>
      </c>
      <c r="C831" s="1" t="s">
        <v>62</v>
      </c>
      <c r="D831" s="1">
        <f>IFERROR(VLOOKUP(DEG_REDE[[#This Row],[ID]],DEG_ACUM!A:A,1,0),"NOVO")</f>
        <v>2805</v>
      </c>
    </row>
    <row r="832" spans="1:4" hidden="1" x14ac:dyDescent="0.35">
      <c r="A832" s="1">
        <v>2806</v>
      </c>
      <c r="B832" s="2">
        <v>46268</v>
      </c>
      <c r="C832" s="1" t="s">
        <v>51</v>
      </c>
      <c r="D832" s="1">
        <f>IFERROR(VLOOKUP(DEG_REDE[[#This Row],[ID]],DEG_ACUM!A:A,1,0),"NOVO")</f>
        <v>2806</v>
      </c>
    </row>
    <row r="833" spans="1:4" hidden="1" x14ac:dyDescent="0.35">
      <c r="A833" s="1">
        <v>2807</v>
      </c>
      <c r="B833" s="2">
        <v>46268</v>
      </c>
      <c r="C833" s="1" t="s">
        <v>62</v>
      </c>
      <c r="D833" s="1">
        <f>IFERROR(VLOOKUP(DEG_REDE[[#This Row],[ID]],DEG_ACUM!A:A,1,0),"NOVO")</f>
        <v>2807</v>
      </c>
    </row>
    <row r="834" spans="1:4" hidden="1" x14ac:dyDescent="0.35">
      <c r="A834" s="1">
        <v>2808</v>
      </c>
      <c r="B834" s="2">
        <v>46268</v>
      </c>
      <c r="C834" s="1" t="s">
        <v>61</v>
      </c>
      <c r="D834" s="1">
        <f>IFERROR(VLOOKUP(DEG_REDE[[#This Row],[ID]],DEG_ACUM!A:A,1,0),"NOVO")</f>
        <v>2808</v>
      </c>
    </row>
    <row r="835" spans="1:4" hidden="1" x14ac:dyDescent="0.35">
      <c r="A835" s="1">
        <v>2809</v>
      </c>
      <c r="B835" s="2">
        <v>46268</v>
      </c>
      <c r="C835" s="1" t="s">
        <v>61</v>
      </c>
      <c r="D835" s="1">
        <f>IFERROR(VLOOKUP(DEG_REDE[[#This Row],[ID]],DEG_ACUM!A:A,1,0),"NOVO")</f>
        <v>2809</v>
      </c>
    </row>
    <row r="836" spans="1:4" hidden="1" x14ac:dyDescent="0.35">
      <c r="A836" s="1">
        <v>2810</v>
      </c>
      <c r="B836" s="2">
        <v>46268</v>
      </c>
      <c r="C836" s="1" t="s">
        <v>61</v>
      </c>
      <c r="D836" s="1">
        <f>IFERROR(VLOOKUP(DEG_REDE[[#This Row],[ID]],DEG_ACUM!A:A,1,0),"NOVO")</f>
        <v>2810</v>
      </c>
    </row>
    <row r="837" spans="1:4" hidden="1" x14ac:dyDescent="0.35">
      <c r="A837" s="1">
        <v>2811</v>
      </c>
      <c r="B837" s="2">
        <v>46268</v>
      </c>
      <c r="C837" s="1" t="s">
        <v>61</v>
      </c>
      <c r="D837" s="1">
        <f>IFERROR(VLOOKUP(DEG_REDE[[#This Row],[ID]],DEG_ACUM!A:A,1,0),"NOVO")</f>
        <v>2811</v>
      </c>
    </row>
    <row r="838" spans="1:4" hidden="1" x14ac:dyDescent="0.35">
      <c r="A838" s="1">
        <v>2812</v>
      </c>
      <c r="B838" s="2">
        <v>46268</v>
      </c>
      <c r="C838" s="1" t="s">
        <v>60</v>
      </c>
      <c r="D838" s="1">
        <f>IFERROR(VLOOKUP(DEG_REDE[[#This Row],[ID]],DEG_ACUM!A:A,1,0),"NOVO")</f>
        <v>2812</v>
      </c>
    </row>
    <row r="839" spans="1:4" hidden="1" x14ac:dyDescent="0.35">
      <c r="A839" s="1">
        <v>2813</v>
      </c>
      <c r="B839" s="2">
        <v>46268</v>
      </c>
      <c r="C839" s="1" t="s">
        <v>61</v>
      </c>
      <c r="D839" s="1">
        <f>IFERROR(VLOOKUP(DEG_REDE[[#This Row],[ID]],DEG_ACUM!A:A,1,0),"NOVO")</f>
        <v>2813</v>
      </c>
    </row>
    <row r="840" spans="1:4" hidden="1" x14ac:dyDescent="0.35">
      <c r="A840" s="1">
        <v>2814</v>
      </c>
      <c r="B840" s="2">
        <v>46268</v>
      </c>
      <c r="C840" s="1" t="s">
        <v>52</v>
      </c>
      <c r="D840" s="1">
        <f>IFERROR(VLOOKUP(DEG_REDE[[#This Row],[ID]],DEG_ACUM!A:A,1,0),"NOVO")</f>
        <v>2814</v>
      </c>
    </row>
    <row r="841" spans="1:4" hidden="1" x14ac:dyDescent="0.35">
      <c r="A841" s="1">
        <v>2815</v>
      </c>
      <c r="B841" s="2">
        <v>46268</v>
      </c>
      <c r="C841" s="1" t="s">
        <v>51</v>
      </c>
      <c r="D841" s="1">
        <f>IFERROR(VLOOKUP(DEG_REDE[[#This Row],[ID]],DEG_ACUM!A:A,1,0),"NOVO")</f>
        <v>2815</v>
      </c>
    </row>
    <row r="842" spans="1:4" hidden="1" x14ac:dyDescent="0.35">
      <c r="A842" s="1">
        <v>2834</v>
      </c>
      <c r="B842" s="2">
        <v>46268</v>
      </c>
      <c r="C842" s="1" t="s">
        <v>52</v>
      </c>
      <c r="D842" s="1">
        <f>IFERROR(VLOOKUP(DEG_REDE[[#This Row],[ID]],DEG_ACUM!A:A,1,0),"NOVO")</f>
        <v>2834</v>
      </c>
    </row>
    <row r="843" spans="1:4" hidden="1" x14ac:dyDescent="0.35">
      <c r="A843" s="1">
        <v>2835</v>
      </c>
      <c r="B843" s="2">
        <v>46268</v>
      </c>
      <c r="C843" s="1" t="s">
        <v>52</v>
      </c>
      <c r="D843" s="1">
        <f>IFERROR(VLOOKUP(DEG_REDE[[#This Row],[ID]],DEG_ACUM!A:A,1,0),"NOVO")</f>
        <v>2835</v>
      </c>
    </row>
    <row r="844" spans="1:4" hidden="1" x14ac:dyDescent="0.35">
      <c r="A844" s="1">
        <v>2836</v>
      </c>
      <c r="B844" s="2">
        <v>46268</v>
      </c>
      <c r="C844" s="1" t="s">
        <v>52</v>
      </c>
      <c r="D844" s="1">
        <f>IFERROR(VLOOKUP(DEG_REDE[[#This Row],[ID]],DEG_ACUM!A:A,1,0),"NOVO")</f>
        <v>2836</v>
      </c>
    </row>
    <row r="845" spans="1:4" hidden="1" x14ac:dyDescent="0.35">
      <c r="A845" s="1">
        <v>2837</v>
      </c>
      <c r="B845" s="2">
        <v>46268</v>
      </c>
      <c r="C845" s="1" t="s">
        <v>52</v>
      </c>
      <c r="D845" s="1">
        <f>IFERROR(VLOOKUP(DEG_REDE[[#This Row],[ID]],DEG_ACUM!A:A,1,0),"NOVO")</f>
        <v>2837</v>
      </c>
    </row>
    <row r="846" spans="1:4" hidden="1" x14ac:dyDescent="0.35">
      <c r="A846" s="1">
        <v>2838</v>
      </c>
      <c r="B846" s="2">
        <v>46268</v>
      </c>
      <c r="C846" s="1" t="s">
        <v>52</v>
      </c>
      <c r="D846" s="1">
        <f>IFERROR(VLOOKUP(DEG_REDE[[#This Row],[ID]],DEG_ACUM!A:A,1,0),"NOVO")</f>
        <v>2838</v>
      </c>
    </row>
    <row r="847" spans="1:4" hidden="1" x14ac:dyDescent="0.35">
      <c r="A847" s="1">
        <v>2839</v>
      </c>
      <c r="B847" s="2">
        <v>46268</v>
      </c>
      <c r="C847" s="1" t="s">
        <v>52</v>
      </c>
      <c r="D847" s="1">
        <f>IFERROR(VLOOKUP(DEG_REDE[[#This Row],[ID]],DEG_ACUM!A:A,1,0),"NOVO")</f>
        <v>2839</v>
      </c>
    </row>
    <row r="848" spans="1:4" hidden="1" x14ac:dyDescent="0.35">
      <c r="A848" s="1">
        <v>2840</v>
      </c>
      <c r="B848" s="2">
        <v>46269</v>
      </c>
      <c r="C848" s="1" t="s">
        <v>62</v>
      </c>
      <c r="D848" s="1">
        <f>IFERROR(VLOOKUP(DEG_REDE[[#This Row],[ID]],DEG_ACUM!A:A,1,0),"NOVO")</f>
        <v>2840</v>
      </c>
    </row>
    <row r="849" spans="1:4" hidden="1" x14ac:dyDescent="0.35">
      <c r="A849" s="1">
        <v>2841</v>
      </c>
      <c r="B849" s="2">
        <v>46269</v>
      </c>
      <c r="C849" s="1" t="s">
        <v>61</v>
      </c>
      <c r="D849" s="1">
        <f>IFERROR(VLOOKUP(DEG_REDE[[#This Row],[ID]],DEG_ACUM!A:A,1,0),"NOVO")</f>
        <v>2841</v>
      </c>
    </row>
    <row r="850" spans="1:4" hidden="1" x14ac:dyDescent="0.35">
      <c r="A850" s="1">
        <v>2843</v>
      </c>
      <c r="B850" s="2">
        <v>46269</v>
      </c>
      <c r="C850" s="1" t="s">
        <v>60</v>
      </c>
      <c r="D850" s="1">
        <f>IFERROR(VLOOKUP(DEG_REDE[[#This Row],[ID]],DEG_ACUM!A:A,1,0),"NOVO")</f>
        <v>2843</v>
      </c>
    </row>
    <row r="851" spans="1:4" hidden="1" x14ac:dyDescent="0.35">
      <c r="A851" s="1">
        <v>2844</v>
      </c>
      <c r="B851" s="2">
        <v>46269</v>
      </c>
      <c r="C851" s="1" t="s">
        <v>51</v>
      </c>
      <c r="D851" s="1">
        <f>IFERROR(VLOOKUP(DEG_REDE[[#This Row],[ID]],DEG_ACUM!A:A,1,0),"NOVO")</f>
        <v>2844</v>
      </c>
    </row>
    <row r="852" spans="1:4" hidden="1" x14ac:dyDescent="0.35">
      <c r="A852" s="1">
        <v>2846</v>
      </c>
      <c r="B852" s="2">
        <v>46269</v>
      </c>
      <c r="C852" s="1" t="s">
        <v>52</v>
      </c>
      <c r="D852" s="1">
        <f>IFERROR(VLOOKUP(DEG_REDE[[#This Row],[ID]],DEG_ACUM!A:A,1,0),"NOVO")</f>
        <v>2846</v>
      </c>
    </row>
    <row r="853" spans="1:4" hidden="1" x14ac:dyDescent="0.35">
      <c r="A853" s="1">
        <v>2847</v>
      </c>
      <c r="B853" s="2">
        <v>46269</v>
      </c>
      <c r="C853" s="1" t="s">
        <v>52</v>
      </c>
      <c r="D853" s="1">
        <f>IFERROR(VLOOKUP(DEG_REDE[[#This Row],[ID]],DEG_ACUM!A:A,1,0),"NOVO")</f>
        <v>2847</v>
      </c>
    </row>
    <row r="854" spans="1:4" hidden="1" x14ac:dyDescent="0.35">
      <c r="A854" s="1">
        <v>2848</v>
      </c>
      <c r="B854" s="2">
        <v>46269</v>
      </c>
      <c r="C854" s="1" t="s">
        <v>52</v>
      </c>
      <c r="D854" s="1">
        <f>IFERROR(VLOOKUP(DEG_REDE[[#This Row],[ID]],DEG_ACUM!A:A,1,0),"NOVO")</f>
        <v>2848</v>
      </c>
    </row>
    <row r="855" spans="1:4" hidden="1" x14ac:dyDescent="0.35">
      <c r="A855" s="1">
        <v>2849</v>
      </c>
      <c r="B855" s="2">
        <v>46269</v>
      </c>
      <c r="C855" s="1" t="s">
        <v>52</v>
      </c>
      <c r="D855" s="1">
        <f>IFERROR(VLOOKUP(DEG_REDE[[#This Row],[ID]],DEG_ACUM!A:A,1,0),"NOVO")</f>
        <v>2849</v>
      </c>
    </row>
    <row r="856" spans="1:4" hidden="1" x14ac:dyDescent="0.35">
      <c r="A856" s="1">
        <v>2850</v>
      </c>
      <c r="B856" s="2">
        <v>46269</v>
      </c>
      <c r="C856" s="1" t="s">
        <v>52</v>
      </c>
      <c r="D856" s="1">
        <f>IFERROR(VLOOKUP(DEG_REDE[[#This Row],[ID]],DEG_ACUM!A:A,1,0),"NOVO")</f>
        <v>2850</v>
      </c>
    </row>
    <row r="857" spans="1:4" hidden="1" x14ac:dyDescent="0.35">
      <c r="A857" s="1">
        <v>2851</v>
      </c>
      <c r="B857" s="2">
        <v>46269</v>
      </c>
      <c r="C857" s="1" t="s">
        <v>52</v>
      </c>
      <c r="D857" s="1">
        <f>IFERROR(VLOOKUP(DEG_REDE[[#This Row],[ID]],DEG_ACUM!A:A,1,0),"NOVO")</f>
        <v>2851</v>
      </c>
    </row>
    <row r="858" spans="1:4" hidden="1" x14ac:dyDescent="0.35">
      <c r="A858" s="1">
        <v>2852</v>
      </c>
      <c r="B858" s="2">
        <v>46269</v>
      </c>
      <c r="C858" s="1" t="s">
        <v>52</v>
      </c>
      <c r="D858" s="1">
        <f>IFERROR(VLOOKUP(DEG_REDE[[#This Row],[ID]],DEG_ACUM!A:A,1,0),"NOVO")</f>
        <v>2852</v>
      </c>
    </row>
    <row r="859" spans="1:4" hidden="1" x14ac:dyDescent="0.35">
      <c r="A859" s="1">
        <v>2853</v>
      </c>
      <c r="B859" s="2">
        <v>46273</v>
      </c>
      <c r="C859" s="1" t="s">
        <v>62</v>
      </c>
      <c r="D859" s="1">
        <f>IFERROR(VLOOKUP(DEG_REDE[[#This Row],[ID]],DEG_ACUM!A:A,1,0),"NOVO")</f>
        <v>2853</v>
      </c>
    </row>
    <row r="860" spans="1:4" hidden="1" x14ac:dyDescent="0.35">
      <c r="A860" s="1">
        <v>2859</v>
      </c>
      <c r="B860" s="2">
        <v>46273</v>
      </c>
      <c r="C860" s="1" t="s">
        <v>61</v>
      </c>
      <c r="D860" s="1">
        <f>IFERROR(VLOOKUP(DEG_REDE[[#This Row],[ID]],DEG_ACUM!A:A,1,0),"NOVO")</f>
        <v>2859</v>
      </c>
    </row>
    <row r="861" spans="1:4" hidden="1" x14ac:dyDescent="0.35">
      <c r="A861" s="1">
        <v>2860</v>
      </c>
      <c r="B861" s="2">
        <v>46273</v>
      </c>
      <c r="C861" s="1" t="s">
        <v>60</v>
      </c>
      <c r="D861" s="1">
        <f>IFERROR(VLOOKUP(DEG_REDE[[#This Row],[ID]],DEG_ACUM!A:A,1,0),"NOVO")</f>
        <v>2860</v>
      </c>
    </row>
    <row r="862" spans="1:4" hidden="1" x14ac:dyDescent="0.35">
      <c r="A862" s="1">
        <v>2861</v>
      </c>
      <c r="B862" s="2">
        <v>46273</v>
      </c>
      <c r="C862" s="1" t="s">
        <v>52</v>
      </c>
      <c r="D862" s="1">
        <f>IFERROR(VLOOKUP(DEG_REDE[[#This Row],[ID]],DEG_ACUM!A:A,1,0),"NOVO")</f>
        <v>2861</v>
      </c>
    </row>
    <row r="863" spans="1:4" hidden="1" x14ac:dyDescent="0.35">
      <c r="A863" s="1">
        <v>2862</v>
      </c>
      <c r="B863" s="2">
        <v>46273</v>
      </c>
      <c r="C863" s="1" t="s">
        <v>52</v>
      </c>
      <c r="D863" s="1">
        <f>IFERROR(VLOOKUP(DEG_REDE[[#This Row],[ID]],DEG_ACUM!A:A,1,0),"NOVO")</f>
        <v>2862</v>
      </c>
    </row>
    <row r="864" spans="1:4" hidden="1" x14ac:dyDescent="0.35">
      <c r="A864" s="1">
        <v>2863</v>
      </c>
      <c r="B864" s="2">
        <v>46273</v>
      </c>
      <c r="C864" s="1" t="s">
        <v>52</v>
      </c>
      <c r="D864" s="1">
        <f>IFERROR(VLOOKUP(DEG_REDE[[#This Row],[ID]],DEG_ACUM!A:A,1,0),"NOVO")</f>
        <v>2863</v>
      </c>
    </row>
    <row r="865" spans="1:4" hidden="1" x14ac:dyDescent="0.35">
      <c r="A865" s="1">
        <v>2864</v>
      </c>
      <c r="B865" s="2">
        <v>46273</v>
      </c>
      <c r="C865" s="1" t="s">
        <v>64</v>
      </c>
      <c r="D865" s="1">
        <f>IFERROR(VLOOKUP(DEG_REDE[[#This Row],[ID]],DEG_ACUM!A:A,1,0),"NOVO")</f>
        <v>2864</v>
      </c>
    </row>
    <row r="866" spans="1:4" hidden="1" x14ac:dyDescent="0.35">
      <c r="A866" s="1">
        <v>2865</v>
      </c>
      <c r="B866" s="2">
        <v>46273</v>
      </c>
      <c r="C866" s="1" t="s">
        <v>51</v>
      </c>
      <c r="D866" s="1">
        <f>IFERROR(VLOOKUP(DEG_REDE[[#This Row],[ID]],DEG_ACUM!A:A,1,0),"NOVO")</f>
        <v>2865</v>
      </c>
    </row>
    <row r="867" spans="1:4" hidden="1" x14ac:dyDescent="0.35">
      <c r="A867" s="1">
        <v>2867</v>
      </c>
      <c r="B867" s="2">
        <v>46273</v>
      </c>
      <c r="C867" s="1" t="s">
        <v>65</v>
      </c>
      <c r="D867" s="1">
        <f>IFERROR(VLOOKUP(DEG_REDE[[#This Row],[ID]],DEG_ACUM!A:A,1,0),"NOVO")</f>
        <v>2867</v>
      </c>
    </row>
    <row r="868" spans="1:4" hidden="1" x14ac:dyDescent="0.35">
      <c r="A868" s="1">
        <v>2890</v>
      </c>
      <c r="B868" s="2">
        <v>46274</v>
      </c>
      <c r="C868" s="1" t="s">
        <v>62</v>
      </c>
      <c r="D868" s="1">
        <f>IFERROR(VLOOKUP(DEG_REDE[[#This Row],[ID]],DEG_ACUM!A:A,1,0),"NOVO")</f>
        <v>2890</v>
      </c>
    </row>
    <row r="869" spans="1:4" hidden="1" x14ac:dyDescent="0.35">
      <c r="A869" s="1">
        <v>2897</v>
      </c>
      <c r="B869" s="2">
        <v>46274</v>
      </c>
      <c r="C869" s="1" t="s">
        <v>65</v>
      </c>
      <c r="D869" s="1">
        <f>IFERROR(VLOOKUP(DEG_REDE[[#This Row],[ID]],DEG_ACUM!A:A,1,0),"NOVO")</f>
        <v>2897</v>
      </c>
    </row>
    <row r="870" spans="1:4" hidden="1" x14ac:dyDescent="0.35">
      <c r="A870" s="1">
        <v>2898</v>
      </c>
      <c r="B870" s="2">
        <v>46274</v>
      </c>
      <c r="C870" s="1" t="s">
        <v>57</v>
      </c>
      <c r="D870" s="1">
        <f>IFERROR(VLOOKUP(DEG_REDE[[#This Row],[ID]],DEG_ACUM!A:A,1,0),"NOVO")</f>
        <v>2898</v>
      </c>
    </row>
    <row r="871" spans="1:4" hidden="1" x14ac:dyDescent="0.35">
      <c r="A871" s="1">
        <v>2899</v>
      </c>
      <c r="B871" s="2">
        <v>46274</v>
      </c>
      <c r="C871" s="1" t="s">
        <v>61</v>
      </c>
      <c r="D871" s="1">
        <f>IFERROR(VLOOKUP(DEG_REDE[[#This Row],[ID]],DEG_ACUM!A:A,1,0),"NOVO")</f>
        <v>2899</v>
      </c>
    </row>
    <row r="872" spans="1:4" hidden="1" x14ac:dyDescent="0.35">
      <c r="A872" s="1">
        <v>2900</v>
      </c>
      <c r="B872" s="2">
        <v>46274</v>
      </c>
      <c r="C872" s="1" t="s">
        <v>61</v>
      </c>
      <c r="D872" s="1">
        <f>IFERROR(VLOOKUP(DEG_REDE[[#This Row],[ID]],DEG_ACUM!A:A,1,0),"NOVO")</f>
        <v>2900</v>
      </c>
    </row>
    <row r="873" spans="1:4" hidden="1" x14ac:dyDescent="0.35">
      <c r="A873" s="1">
        <v>2901</v>
      </c>
      <c r="B873" s="2">
        <v>46274</v>
      </c>
      <c r="C873" s="1" t="s">
        <v>54</v>
      </c>
      <c r="D873" s="1">
        <f>IFERROR(VLOOKUP(DEG_REDE[[#This Row],[ID]],DEG_ACUM!A:A,1,0),"NOVO")</f>
        <v>2901</v>
      </c>
    </row>
    <row r="874" spans="1:4" hidden="1" x14ac:dyDescent="0.35">
      <c r="A874" s="1">
        <v>2902</v>
      </c>
      <c r="B874" s="2">
        <v>46274</v>
      </c>
      <c r="C874" s="1" t="s">
        <v>52</v>
      </c>
      <c r="D874" s="1">
        <f>IFERROR(VLOOKUP(DEG_REDE[[#This Row],[ID]],DEG_ACUM!A:A,1,0),"NOVO")</f>
        <v>2902</v>
      </c>
    </row>
    <row r="875" spans="1:4" hidden="1" x14ac:dyDescent="0.35">
      <c r="A875" s="1">
        <v>2903</v>
      </c>
      <c r="B875" s="2">
        <v>46274</v>
      </c>
      <c r="C875" s="1" t="s">
        <v>52</v>
      </c>
      <c r="D875" s="1">
        <f>IFERROR(VLOOKUP(DEG_REDE[[#This Row],[ID]],DEG_ACUM!A:A,1,0),"NOVO")</f>
        <v>2903</v>
      </c>
    </row>
    <row r="876" spans="1:4" hidden="1" x14ac:dyDescent="0.35">
      <c r="A876" s="1">
        <v>2904</v>
      </c>
      <c r="B876" s="2">
        <v>46274</v>
      </c>
      <c r="C876" s="1" t="s">
        <v>52</v>
      </c>
      <c r="D876" s="1">
        <f>IFERROR(VLOOKUP(DEG_REDE[[#This Row],[ID]],DEG_ACUM!A:A,1,0),"NOVO")</f>
        <v>2904</v>
      </c>
    </row>
    <row r="877" spans="1:4" hidden="1" x14ac:dyDescent="0.35">
      <c r="A877" s="1">
        <v>2905</v>
      </c>
      <c r="B877" s="2">
        <v>46274</v>
      </c>
      <c r="C877" s="1" t="s">
        <v>54</v>
      </c>
      <c r="D877" s="1">
        <f>IFERROR(VLOOKUP(DEG_REDE[[#This Row],[ID]],DEG_ACUM!A:A,1,0),"NOVO")</f>
        <v>2905</v>
      </c>
    </row>
    <row r="878" spans="1:4" hidden="1" x14ac:dyDescent="0.35">
      <c r="A878" s="1">
        <v>2906</v>
      </c>
      <c r="B878" s="2">
        <v>46274</v>
      </c>
      <c r="C878" s="1" t="s">
        <v>52</v>
      </c>
      <c r="D878" s="1">
        <f>IFERROR(VLOOKUP(DEG_REDE[[#This Row],[ID]],DEG_ACUM!A:A,1,0),"NOVO")</f>
        <v>2906</v>
      </c>
    </row>
    <row r="879" spans="1:4" hidden="1" x14ac:dyDescent="0.35">
      <c r="A879" s="1">
        <v>2907</v>
      </c>
      <c r="B879" s="2">
        <v>46274</v>
      </c>
      <c r="C879" s="1" t="s">
        <v>54</v>
      </c>
      <c r="D879" s="1">
        <f>IFERROR(VLOOKUP(DEG_REDE[[#This Row],[ID]],DEG_ACUM!A:A,1,0),"NOVO")</f>
        <v>2907</v>
      </c>
    </row>
    <row r="880" spans="1:4" hidden="1" x14ac:dyDescent="0.35">
      <c r="A880" s="1">
        <v>2908</v>
      </c>
      <c r="B880" s="2">
        <v>46274</v>
      </c>
      <c r="C880" s="1" t="s">
        <v>54</v>
      </c>
      <c r="D880" s="1">
        <f>IFERROR(VLOOKUP(DEG_REDE[[#This Row],[ID]],DEG_ACUM!A:A,1,0),"NOVO")</f>
        <v>2908</v>
      </c>
    </row>
    <row r="881" spans="1:4" hidden="1" x14ac:dyDescent="0.35">
      <c r="A881" s="1">
        <v>2909</v>
      </c>
      <c r="B881" s="2">
        <v>46274</v>
      </c>
      <c r="C881" s="1" t="s">
        <v>54</v>
      </c>
      <c r="D881" s="1">
        <f>IFERROR(VLOOKUP(DEG_REDE[[#This Row],[ID]],DEG_ACUM!A:A,1,0),"NOVO")</f>
        <v>2909</v>
      </c>
    </row>
    <row r="882" spans="1:4" hidden="1" x14ac:dyDescent="0.35">
      <c r="A882" s="1">
        <v>2910</v>
      </c>
      <c r="B882" s="2">
        <v>46274</v>
      </c>
      <c r="C882" s="1" t="s">
        <v>52</v>
      </c>
      <c r="D882" s="1">
        <f>IFERROR(VLOOKUP(DEG_REDE[[#This Row],[ID]],DEG_ACUM!A:A,1,0),"NOVO")</f>
        <v>2910</v>
      </c>
    </row>
    <row r="883" spans="1:4" hidden="1" x14ac:dyDescent="0.35">
      <c r="A883" s="1">
        <v>2911</v>
      </c>
      <c r="B883" s="2">
        <v>46274</v>
      </c>
      <c r="C883" s="1" t="s">
        <v>54</v>
      </c>
      <c r="D883" s="1">
        <f>IFERROR(VLOOKUP(DEG_REDE[[#This Row],[ID]],DEG_ACUM!A:A,1,0),"NOVO")</f>
        <v>2911</v>
      </c>
    </row>
    <row r="884" spans="1:4" hidden="1" x14ac:dyDescent="0.35">
      <c r="A884" s="1">
        <v>2912</v>
      </c>
      <c r="B884" s="2">
        <v>46274</v>
      </c>
      <c r="C884" s="1" t="s">
        <v>52</v>
      </c>
      <c r="D884" s="1">
        <f>IFERROR(VLOOKUP(DEG_REDE[[#This Row],[ID]],DEG_ACUM!A:A,1,0),"NOVO")</f>
        <v>2912</v>
      </c>
    </row>
    <row r="885" spans="1:4" hidden="1" x14ac:dyDescent="0.35">
      <c r="A885" s="1">
        <v>2913</v>
      </c>
      <c r="B885" s="2">
        <v>46274</v>
      </c>
      <c r="C885" s="1" t="s">
        <v>54</v>
      </c>
      <c r="D885" s="1">
        <f>IFERROR(VLOOKUP(DEG_REDE[[#This Row],[ID]],DEG_ACUM!A:A,1,0),"NOVO")</f>
        <v>2913</v>
      </c>
    </row>
    <row r="886" spans="1:4" hidden="1" x14ac:dyDescent="0.35">
      <c r="A886" s="1">
        <v>2914</v>
      </c>
      <c r="B886" s="2">
        <v>46274</v>
      </c>
      <c r="C886" s="1" t="s">
        <v>54</v>
      </c>
      <c r="D886" s="1">
        <f>IFERROR(VLOOKUP(DEG_REDE[[#This Row],[ID]],DEG_ACUM!A:A,1,0),"NOVO")</f>
        <v>2914</v>
      </c>
    </row>
    <row r="887" spans="1:4" hidden="1" x14ac:dyDescent="0.35">
      <c r="A887" s="1">
        <v>2915</v>
      </c>
      <c r="B887" s="2">
        <v>46274</v>
      </c>
      <c r="C887" s="1" t="s">
        <v>54</v>
      </c>
      <c r="D887" s="1">
        <f>IFERROR(VLOOKUP(DEG_REDE[[#This Row],[ID]],DEG_ACUM!A:A,1,0),"NOVO")</f>
        <v>2915</v>
      </c>
    </row>
    <row r="888" spans="1:4" hidden="1" x14ac:dyDescent="0.35">
      <c r="A888" s="1">
        <v>2916</v>
      </c>
      <c r="B888" s="2">
        <v>46274</v>
      </c>
      <c r="C888" s="1" t="s">
        <v>54</v>
      </c>
      <c r="D888" s="1">
        <f>IFERROR(VLOOKUP(DEG_REDE[[#This Row],[ID]],DEG_ACUM!A:A,1,0),"NOVO")</f>
        <v>2916</v>
      </c>
    </row>
    <row r="889" spans="1:4" hidden="1" x14ac:dyDescent="0.35">
      <c r="A889" s="1">
        <v>2917</v>
      </c>
      <c r="B889" s="2">
        <v>46274</v>
      </c>
      <c r="C889" s="1" t="s">
        <v>54</v>
      </c>
      <c r="D889" s="1">
        <f>IFERROR(VLOOKUP(DEG_REDE[[#This Row],[ID]],DEG_ACUM!A:A,1,0),"NOVO")</f>
        <v>2917</v>
      </c>
    </row>
    <row r="890" spans="1:4" hidden="1" x14ac:dyDescent="0.35">
      <c r="A890" s="1">
        <v>2918</v>
      </c>
      <c r="B890" s="2">
        <v>46274</v>
      </c>
      <c r="C890" s="1" t="s">
        <v>54</v>
      </c>
      <c r="D890" s="1">
        <f>IFERROR(VLOOKUP(DEG_REDE[[#This Row],[ID]],DEG_ACUM!A:A,1,0),"NOVO")</f>
        <v>2918</v>
      </c>
    </row>
    <row r="891" spans="1:4" hidden="1" x14ac:dyDescent="0.35">
      <c r="A891" s="1">
        <v>2919</v>
      </c>
      <c r="B891" s="2">
        <v>46274</v>
      </c>
      <c r="C891" s="1" t="s">
        <v>54</v>
      </c>
      <c r="D891" s="1">
        <f>IFERROR(VLOOKUP(DEG_REDE[[#This Row],[ID]],DEG_ACUM!A:A,1,0),"NOVO")</f>
        <v>2919</v>
      </c>
    </row>
    <row r="892" spans="1:4" hidden="1" x14ac:dyDescent="0.35">
      <c r="A892" s="1">
        <v>2920</v>
      </c>
      <c r="B892" s="2">
        <v>46274</v>
      </c>
      <c r="C892" s="1" t="s">
        <v>54</v>
      </c>
      <c r="D892" s="1">
        <f>IFERROR(VLOOKUP(DEG_REDE[[#This Row],[ID]],DEG_ACUM!A:A,1,0),"NOVO")</f>
        <v>2920</v>
      </c>
    </row>
    <row r="893" spans="1:4" hidden="1" x14ac:dyDescent="0.35">
      <c r="A893" s="1">
        <v>2921</v>
      </c>
      <c r="B893" s="2">
        <v>46274</v>
      </c>
      <c r="C893" s="1" t="s">
        <v>54</v>
      </c>
      <c r="D893" s="1">
        <f>IFERROR(VLOOKUP(DEG_REDE[[#This Row],[ID]],DEG_ACUM!A:A,1,0),"NOVO")</f>
        <v>2921</v>
      </c>
    </row>
    <row r="894" spans="1:4" hidden="1" x14ac:dyDescent="0.35">
      <c r="A894" s="1">
        <v>2927</v>
      </c>
      <c r="B894" s="2">
        <v>46274</v>
      </c>
      <c r="C894" s="1" t="s">
        <v>61</v>
      </c>
      <c r="D894" s="1">
        <f>IFERROR(VLOOKUP(DEG_REDE[[#This Row],[ID]],DEG_ACUM!A:A,1,0),"NOVO")</f>
        <v>2927</v>
      </c>
    </row>
    <row r="895" spans="1:4" hidden="1" x14ac:dyDescent="0.35">
      <c r="A895" s="1">
        <v>2928</v>
      </c>
      <c r="B895" s="2">
        <v>46274</v>
      </c>
      <c r="C895" s="1" t="s">
        <v>61</v>
      </c>
      <c r="D895" s="1">
        <f>IFERROR(VLOOKUP(DEG_REDE[[#This Row],[ID]],DEG_ACUM!A:A,1,0),"NOVO")</f>
        <v>2928</v>
      </c>
    </row>
    <row r="896" spans="1:4" hidden="1" x14ac:dyDescent="0.35">
      <c r="A896" s="1">
        <v>2938</v>
      </c>
      <c r="B896" s="2">
        <v>46275</v>
      </c>
      <c r="C896" s="1" t="s">
        <v>62</v>
      </c>
      <c r="D896" s="1">
        <f>IFERROR(VLOOKUP(DEG_REDE[[#This Row],[ID]],DEG_ACUM!A:A,1,0),"NOVO")</f>
        <v>2938</v>
      </c>
    </row>
    <row r="897" spans="1:4" hidden="1" x14ac:dyDescent="0.35">
      <c r="A897" s="1">
        <v>2939</v>
      </c>
      <c r="B897" s="2">
        <v>46275</v>
      </c>
      <c r="C897" s="1" t="s">
        <v>61</v>
      </c>
      <c r="D897" s="1">
        <f>IFERROR(VLOOKUP(DEG_REDE[[#This Row],[ID]],DEG_ACUM!A:A,1,0),"NOVO")</f>
        <v>2939</v>
      </c>
    </row>
    <row r="898" spans="1:4" hidden="1" x14ac:dyDescent="0.35">
      <c r="A898" s="1">
        <v>2944</v>
      </c>
      <c r="B898" s="2">
        <v>46275</v>
      </c>
      <c r="C898" s="1" t="s">
        <v>57</v>
      </c>
      <c r="D898" s="1">
        <f>IFERROR(VLOOKUP(DEG_REDE[[#This Row],[ID]],DEG_ACUM!A:A,1,0),"NOVO")</f>
        <v>2944</v>
      </c>
    </row>
    <row r="899" spans="1:4" hidden="1" x14ac:dyDescent="0.35">
      <c r="A899" s="1">
        <v>2950</v>
      </c>
      <c r="B899" s="2">
        <v>46275</v>
      </c>
      <c r="C899" s="1" t="s">
        <v>62</v>
      </c>
      <c r="D899" s="1">
        <f>IFERROR(VLOOKUP(DEG_REDE[[#This Row],[ID]],DEG_ACUM!A:A,1,0),"NOVO")</f>
        <v>2950</v>
      </c>
    </row>
    <row r="900" spans="1:4" hidden="1" x14ac:dyDescent="0.35">
      <c r="A900" s="1">
        <v>2951</v>
      </c>
      <c r="B900" s="2">
        <v>46275</v>
      </c>
      <c r="C900" s="1" t="s">
        <v>61</v>
      </c>
      <c r="D900" s="1">
        <f>IFERROR(VLOOKUP(DEG_REDE[[#This Row],[ID]],DEG_ACUM!A:A,1,0),"NOVO")</f>
        <v>2951</v>
      </c>
    </row>
    <row r="901" spans="1:4" hidden="1" x14ac:dyDescent="0.35">
      <c r="A901" s="1">
        <v>2952</v>
      </c>
      <c r="B901" s="2">
        <v>46275</v>
      </c>
      <c r="C901" s="1" t="s">
        <v>54</v>
      </c>
      <c r="D901" s="1">
        <f>IFERROR(VLOOKUP(DEG_REDE[[#This Row],[ID]],DEG_ACUM!A:A,1,0),"NOVO")</f>
        <v>2952</v>
      </c>
    </row>
    <row r="902" spans="1:4" hidden="1" x14ac:dyDescent="0.35">
      <c r="A902" s="1">
        <v>2953</v>
      </c>
      <c r="B902" s="2">
        <v>46275</v>
      </c>
      <c r="C902" s="1" t="s">
        <v>61</v>
      </c>
      <c r="D902" s="1">
        <f>IFERROR(VLOOKUP(DEG_REDE[[#This Row],[ID]],DEG_ACUM!A:A,1,0),"NOVO")</f>
        <v>2953</v>
      </c>
    </row>
    <row r="903" spans="1:4" hidden="1" x14ac:dyDescent="0.35">
      <c r="A903" s="1">
        <v>2954</v>
      </c>
      <c r="B903" s="2">
        <v>46275</v>
      </c>
      <c r="C903" s="1" t="s">
        <v>54</v>
      </c>
      <c r="D903" s="1">
        <f>IFERROR(VLOOKUP(DEG_REDE[[#This Row],[ID]],DEG_ACUM!A:A,1,0),"NOVO")</f>
        <v>2954</v>
      </c>
    </row>
    <row r="904" spans="1:4" hidden="1" x14ac:dyDescent="0.35">
      <c r="A904" s="1">
        <v>2955</v>
      </c>
      <c r="B904" s="2">
        <v>46275</v>
      </c>
      <c r="C904" s="1" t="s">
        <v>62</v>
      </c>
      <c r="D904" s="1">
        <f>IFERROR(VLOOKUP(DEG_REDE[[#This Row],[ID]],DEG_ACUM!A:A,1,0),"NOVO")</f>
        <v>2955</v>
      </c>
    </row>
    <row r="905" spans="1:4" hidden="1" x14ac:dyDescent="0.35">
      <c r="A905" s="1">
        <v>2956</v>
      </c>
      <c r="B905" s="2">
        <v>46275</v>
      </c>
      <c r="C905" s="1" t="s">
        <v>54</v>
      </c>
      <c r="D905" s="1">
        <f>IFERROR(VLOOKUP(DEG_REDE[[#This Row],[ID]],DEG_ACUM!A:A,1,0),"NOVO")</f>
        <v>2956</v>
      </c>
    </row>
    <row r="906" spans="1:4" hidden="1" x14ac:dyDescent="0.35">
      <c r="A906" s="1">
        <v>2957</v>
      </c>
      <c r="B906" s="2">
        <v>46275</v>
      </c>
      <c r="C906" s="1" t="s">
        <v>54</v>
      </c>
      <c r="D906" s="1">
        <f>IFERROR(VLOOKUP(DEG_REDE[[#This Row],[ID]],DEG_ACUM!A:A,1,0),"NOVO")</f>
        <v>2957</v>
      </c>
    </row>
    <row r="907" spans="1:4" hidden="1" x14ac:dyDescent="0.35">
      <c r="A907" s="1">
        <v>2958</v>
      </c>
      <c r="B907" s="2">
        <v>46275</v>
      </c>
      <c r="C907" s="1" t="s">
        <v>54</v>
      </c>
      <c r="D907" s="1">
        <f>IFERROR(VLOOKUP(DEG_REDE[[#This Row],[ID]],DEG_ACUM!A:A,1,0),"NOVO")</f>
        <v>2958</v>
      </c>
    </row>
    <row r="908" spans="1:4" hidden="1" x14ac:dyDescent="0.35">
      <c r="A908" s="1">
        <v>2959</v>
      </c>
      <c r="B908" s="2">
        <v>46275</v>
      </c>
      <c r="C908" s="1" t="s">
        <v>54</v>
      </c>
      <c r="D908" s="1">
        <f>IFERROR(VLOOKUP(DEG_REDE[[#This Row],[ID]],DEG_ACUM!A:A,1,0),"NOVO")</f>
        <v>2959</v>
      </c>
    </row>
    <row r="909" spans="1:4" hidden="1" x14ac:dyDescent="0.35">
      <c r="A909" s="1">
        <v>2960</v>
      </c>
      <c r="B909" s="2">
        <v>46275</v>
      </c>
      <c r="C909" s="1" t="s">
        <v>54</v>
      </c>
      <c r="D909" s="1">
        <f>IFERROR(VLOOKUP(DEG_REDE[[#This Row],[ID]],DEG_ACUM!A:A,1,0),"NOVO")</f>
        <v>2960</v>
      </c>
    </row>
    <row r="910" spans="1:4" hidden="1" x14ac:dyDescent="0.35">
      <c r="A910" s="1">
        <v>2961</v>
      </c>
      <c r="B910" s="2">
        <v>46275</v>
      </c>
      <c r="C910" s="1" t="s">
        <v>54</v>
      </c>
      <c r="D910" s="1">
        <f>IFERROR(VLOOKUP(DEG_REDE[[#This Row],[ID]],DEG_ACUM!A:A,1,0),"NOVO")</f>
        <v>2961</v>
      </c>
    </row>
    <row r="911" spans="1:4" hidden="1" x14ac:dyDescent="0.35">
      <c r="A911" s="1">
        <v>2962</v>
      </c>
      <c r="B911" s="2">
        <v>46275</v>
      </c>
      <c r="C911" s="1" t="s">
        <v>54</v>
      </c>
      <c r="D911" s="1">
        <f>IFERROR(VLOOKUP(DEG_REDE[[#This Row],[ID]],DEG_ACUM!A:A,1,0),"NOVO")</f>
        <v>2962</v>
      </c>
    </row>
    <row r="912" spans="1:4" hidden="1" x14ac:dyDescent="0.35">
      <c r="A912" s="1">
        <v>2963</v>
      </c>
      <c r="B912" s="2">
        <v>46275</v>
      </c>
      <c r="C912" s="1" t="s">
        <v>52</v>
      </c>
      <c r="D912" s="1">
        <f>IFERROR(VLOOKUP(DEG_REDE[[#This Row],[ID]],DEG_ACUM!A:A,1,0),"NOVO")</f>
        <v>2963</v>
      </c>
    </row>
    <row r="913" spans="1:4" hidden="1" x14ac:dyDescent="0.35">
      <c r="A913" s="1">
        <v>2964</v>
      </c>
      <c r="B913" s="2">
        <v>46275</v>
      </c>
      <c r="C913" s="1" t="s">
        <v>54</v>
      </c>
      <c r="D913" s="1">
        <f>IFERROR(VLOOKUP(DEG_REDE[[#This Row],[ID]],DEG_ACUM!A:A,1,0),"NOVO")</f>
        <v>2964</v>
      </c>
    </row>
    <row r="914" spans="1:4" hidden="1" x14ac:dyDescent="0.35">
      <c r="A914" s="1">
        <v>2965</v>
      </c>
      <c r="B914" s="2">
        <v>46275</v>
      </c>
      <c r="C914" s="1" t="s">
        <v>52</v>
      </c>
      <c r="D914" s="1">
        <f>IFERROR(VLOOKUP(DEG_REDE[[#This Row],[ID]],DEG_ACUM!A:A,1,0),"NOVO")</f>
        <v>2965</v>
      </c>
    </row>
    <row r="915" spans="1:4" hidden="1" x14ac:dyDescent="0.35">
      <c r="A915" s="1">
        <v>2966</v>
      </c>
      <c r="B915" s="2">
        <v>46275</v>
      </c>
      <c r="C915" s="1" t="s">
        <v>51</v>
      </c>
      <c r="D915" s="1">
        <f>IFERROR(VLOOKUP(DEG_REDE[[#This Row],[ID]],DEG_ACUM!A:A,1,0),"NOVO")</f>
        <v>2966</v>
      </c>
    </row>
    <row r="916" spans="1:4" hidden="1" x14ac:dyDescent="0.35">
      <c r="A916" s="1">
        <v>2969</v>
      </c>
      <c r="B916" s="2">
        <v>46276</v>
      </c>
      <c r="C916" s="1" t="s">
        <v>62</v>
      </c>
      <c r="D916" s="1">
        <f>IFERROR(VLOOKUP(DEG_REDE[[#This Row],[ID]],DEG_ACUM!A:A,1,0),"NOVO")</f>
        <v>2969</v>
      </c>
    </row>
    <row r="917" spans="1:4" hidden="1" x14ac:dyDescent="0.35">
      <c r="A917" s="1">
        <v>2972</v>
      </c>
      <c r="B917" s="2">
        <v>46276</v>
      </c>
      <c r="C917" s="1" t="s">
        <v>61</v>
      </c>
      <c r="D917" s="1">
        <f>IFERROR(VLOOKUP(DEG_REDE[[#This Row],[ID]],DEG_ACUM!A:A,1,0),"NOVO")</f>
        <v>2972</v>
      </c>
    </row>
    <row r="918" spans="1:4" hidden="1" x14ac:dyDescent="0.35">
      <c r="A918" s="1">
        <v>2973</v>
      </c>
      <c r="B918" s="2">
        <v>46276</v>
      </c>
      <c r="C918" s="1" t="s">
        <v>54</v>
      </c>
      <c r="D918" s="1">
        <f>IFERROR(VLOOKUP(DEG_REDE[[#This Row],[ID]],DEG_ACUM!A:A,1,0),"NOVO")</f>
        <v>2973</v>
      </c>
    </row>
    <row r="919" spans="1:4" hidden="1" x14ac:dyDescent="0.35">
      <c r="A919" s="1">
        <v>2974</v>
      </c>
      <c r="B919" s="2">
        <v>46276</v>
      </c>
      <c r="C919" s="1" t="s">
        <v>54</v>
      </c>
      <c r="D919" s="1">
        <f>IFERROR(VLOOKUP(DEG_REDE[[#This Row],[ID]],DEG_ACUM!A:A,1,0),"NOVO")</f>
        <v>2974</v>
      </c>
    </row>
    <row r="920" spans="1:4" hidden="1" x14ac:dyDescent="0.35">
      <c r="A920" s="1">
        <v>2975</v>
      </c>
      <c r="B920" s="2">
        <v>46276</v>
      </c>
      <c r="C920" s="1" t="s">
        <v>54</v>
      </c>
      <c r="D920" s="1">
        <f>IFERROR(VLOOKUP(DEG_REDE[[#This Row],[ID]],DEG_ACUM!A:A,1,0),"NOVO")</f>
        <v>2975</v>
      </c>
    </row>
    <row r="921" spans="1:4" hidden="1" x14ac:dyDescent="0.35">
      <c r="A921" s="1">
        <v>2976</v>
      </c>
      <c r="B921" s="2">
        <v>46276</v>
      </c>
      <c r="C921" s="1" t="s">
        <v>54</v>
      </c>
      <c r="D921" s="1">
        <f>IFERROR(VLOOKUP(DEG_REDE[[#This Row],[ID]],DEG_ACUM!A:A,1,0),"NOVO")</f>
        <v>2976</v>
      </c>
    </row>
    <row r="922" spans="1:4" hidden="1" x14ac:dyDescent="0.35">
      <c r="A922" s="1">
        <v>2977</v>
      </c>
      <c r="B922" s="2">
        <v>46276</v>
      </c>
      <c r="C922" s="1" t="s">
        <v>54</v>
      </c>
      <c r="D922" s="1">
        <f>IFERROR(VLOOKUP(DEG_REDE[[#This Row],[ID]],DEG_ACUM!A:A,1,0),"NOVO")</f>
        <v>2977</v>
      </c>
    </row>
    <row r="923" spans="1:4" hidden="1" x14ac:dyDescent="0.35">
      <c r="A923" s="1">
        <v>2978</v>
      </c>
      <c r="B923" s="2">
        <v>46276</v>
      </c>
      <c r="C923" s="1" t="s">
        <v>54</v>
      </c>
      <c r="D923" s="1">
        <f>IFERROR(VLOOKUP(DEG_REDE[[#This Row],[ID]],DEG_ACUM!A:A,1,0),"NOVO")</f>
        <v>2978</v>
      </c>
    </row>
    <row r="924" spans="1:4" hidden="1" x14ac:dyDescent="0.35">
      <c r="A924" s="1">
        <v>2979</v>
      </c>
      <c r="B924" s="2">
        <v>46276</v>
      </c>
      <c r="C924" s="1" t="s">
        <v>54</v>
      </c>
      <c r="D924" s="1">
        <f>IFERROR(VLOOKUP(DEG_REDE[[#This Row],[ID]],DEG_ACUM!A:A,1,0),"NOVO")</f>
        <v>2979</v>
      </c>
    </row>
    <row r="925" spans="1:4" hidden="1" x14ac:dyDescent="0.35">
      <c r="A925" s="1">
        <v>2980</v>
      </c>
      <c r="B925" s="2">
        <v>46276</v>
      </c>
      <c r="C925" s="1" t="s">
        <v>54</v>
      </c>
      <c r="D925" s="1">
        <f>IFERROR(VLOOKUP(DEG_REDE[[#This Row],[ID]],DEG_ACUM!A:A,1,0),"NOVO")</f>
        <v>2980</v>
      </c>
    </row>
    <row r="926" spans="1:4" hidden="1" x14ac:dyDescent="0.35">
      <c r="A926" s="1">
        <v>2981</v>
      </c>
      <c r="B926" s="2">
        <v>46276</v>
      </c>
      <c r="C926" s="1" t="s">
        <v>54</v>
      </c>
      <c r="D926" s="1">
        <f>IFERROR(VLOOKUP(DEG_REDE[[#This Row],[ID]],DEG_ACUM!A:A,1,0),"NOVO")</f>
        <v>2981</v>
      </c>
    </row>
    <row r="927" spans="1:4" hidden="1" x14ac:dyDescent="0.35">
      <c r="A927" s="1">
        <v>2982</v>
      </c>
      <c r="B927" s="2">
        <v>46276</v>
      </c>
      <c r="C927" s="1" t="s">
        <v>54</v>
      </c>
      <c r="D927" s="1">
        <f>IFERROR(VLOOKUP(DEG_REDE[[#This Row],[ID]],DEG_ACUM!A:A,1,0),"NOVO")</f>
        <v>2982</v>
      </c>
    </row>
    <row r="928" spans="1:4" hidden="1" x14ac:dyDescent="0.35">
      <c r="A928" s="1">
        <v>2984</v>
      </c>
      <c r="B928" s="2">
        <v>46276</v>
      </c>
      <c r="C928" s="1" t="s">
        <v>61</v>
      </c>
      <c r="D928" s="1">
        <f>IFERROR(VLOOKUP(DEG_REDE[[#This Row],[ID]],DEG_ACUM!A:A,1,0),"NOVO")</f>
        <v>2984</v>
      </c>
    </row>
    <row r="929" spans="1:4" hidden="1" x14ac:dyDescent="0.35">
      <c r="A929" s="1">
        <v>2985</v>
      </c>
      <c r="B929" s="2">
        <v>46276</v>
      </c>
      <c r="C929" s="1" t="s">
        <v>61</v>
      </c>
      <c r="D929" s="1">
        <f>IFERROR(VLOOKUP(DEG_REDE[[#This Row],[ID]],DEG_ACUM!A:A,1,0),"NOVO")</f>
        <v>2985</v>
      </c>
    </row>
    <row r="930" spans="1:4" hidden="1" x14ac:dyDescent="0.35">
      <c r="A930" s="1">
        <v>2986</v>
      </c>
      <c r="B930" s="2">
        <v>46276</v>
      </c>
      <c r="C930" s="1" t="s">
        <v>61</v>
      </c>
      <c r="D930" s="1">
        <f>IFERROR(VLOOKUP(DEG_REDE[[#This Row],[ID]],DEG_ACUM!A:A,1,0),"NOVO")</f>
        <v>2986</v>
      </c>
    </row>
    <row r="931" spans="1:4" hidden="1" x14ac:dyDescent="0.35">
      <c r="A931" s="1">
        <v>2987</v>
      </c>
      <c r="B931" s="2">
        <v>46276</v>
      </c>
      <c r="C931" s="1" t="s">
        <v>61</v>
      </c>
      <c r="D931" s="1">
        <f>IFERROR(VLOOKUP(DEG_REDE[[#This Row],[ID]],DEG_ACUM!A:A,1,0),"NOVO")</f>
        <v>2987</v>
      </c>
    </row>
    <row r="932" spans="1:4" hidden="1" x14ac:dyDescent="0.35">
      <c r="A932" s="1">
        <v>2988</v>
      </c>
      <c r="B932" s="2">
        <v>46276</v>
      </c>
      <c r="C932" s="1" t="s">
        <v>61</v>
      </c>
      <c r="D932" s="1">
        <f>IFERROR(VLOOKUP(DEG_REDE[[#This Row],[ID]],DEG_ACUM!A:A,1,0),"NOVO")</f>
        <v>2988</v>
      </c>
    </row>
    <row r="933" spans="1:4" hidden="1" x14ac:dyDescent="0.35">
      <c r="A933" s="1">
        <v>2989</v>
      </c>
      <c r="B933" s="2">
        <v>46276</v>
      </c>
      <c r="C933" s="1" t="s">
        <v>61</v>
      </c>
      <c r="D933" s="1">
        <f>IFERROR(VLOOKUP(DEG_REDE[[#This Row],[ID]],DEG_ACUM!A:A,1,0),"NOVO")</f>
        <v>2989</v>
      </c>
    </row>
    <row r="934" spans="1:4" hidden="1" x14ac:dyDescent="0.35">
      <c r="A934" s="1">
        <v>2990</v>
      </c>
      <c r="B934" s="2">
        <v>46276</v>
      </c>
      <c r="C934" s="1" t="s">
        <v>61</v>
      </c>
      <c r="D934" s="1">
        <f>IFERROR(VLOOKUP(DEG_REDE[[#This Row],[ID]],DEG_ACUM!A:A,1,0),"NOVO")</f>
        <v>2990</v>
      </c>
    </row>
    <row r="935" spans="1:4" hidden="1" x14ac:dyDescent="0.35">
      <c r="A935" s="1">
        <v>2991</v>
      </c>
      <c r="B935" s="2">
        <v>46276</v>
      </c>
      <c r="C935" s="1" t="s">
        <v>61</v>
      </c>
      <c r="D935" s="1">
        <f>IFERROR(VLOOKUP(DEG_REDE[[#This Row],[ID]],DEG_ACUM!A:A,1,0),"NOVO")</f>
        <v>2991</v>
      </c>
    </row>
    <row r="936" spans="1:4" hidden="1" x14ac:dyDescent="0.35">
      <c r="A936" s="1">
        <v>2992</v>
      </c>
      <c r="B936" s="2">
        <v>46276</v>
      </c>
      <c r="C936" s="1" t="s">
        <v>52</v>
      </c>
      <c r="D936" s="1">
        <f>IFERROR(VLOOKUP(DEG_REDE[[#This Row],[ID]],DEG_ACUM!A:A,1,0),"NOVO")</f>
        <v>2992</v>
      </c>
    </row>
    <row r="937" spans="1:4" hidden="1" x14ac:dyDescent="0.35">
      <c r="A937" s="1">
        <v>2993</v>
      </c>
      <c r="B937" s="2">
        <v>46276</v>
      </c>
      <c r="C937" s="1" t="s">
        <v>52</v>
      </c>
      <c r="D937" s="1">
        <f>IFERROR(VLOOKUP(DEG_REDE[[#This Row],[ID]],DEG_ACUM!A:A,1,0),"NOVO")</f>
        <v>2993</v>
      </c>
    </row>
    <row r="938" spans="1:4" hidden="1" x14ac:dyDescent="0.35">
      <c r="A938" s="1">
        <v>2994</v>
      </c>
      <c r="B938" s="2">
        <v>46276</v>
      </c>
      <c r="C938" s="1" t="s">
        <v>52</v>
      </c>
      <c r="D938" s="1">
        <f>IFERROR(VLOOKUP(DEG_REDE[[#This Row],[ID]],DEG_ACUM!A:A,1,0),"NOVO")</f>
        <v>2994</v>
      </c>
    </row>
    <row r="939" spans="1:4" hidden="1" x14ac:dyDescent="0.35">
      <c r="A939" s="1">
        <v>2995</v>
      </c>
      <c r="B939" s="2">
        <v>46276</v>
      </c>
      <c r="C939" s="1" t="s">
        <v>61</v>
      </c>
      <c r="D939" s="1">
        <f>IFERROR(VLOOKUP(DEG_REDE[[#This Row],[ID]],DEG_ACUM!A:A,1,0),"NOVO")</f>
        <v>2995</v>
      </c>
    </row>
    <row r="940" spans="1:4" hidden="1" x14ac:dyDescent="0.35">
      <c r="A940" s="1">
        <v>2996</v>
      </c>
      <c r="B940" s="2">
        <v>46276</v>
      </c>
      <c r="C940" s="1" t="s">
        <v>61</v>
      </c>
      <c r="D940" s="1">
        <f>IFERROR(VLOOKUP(DEG_REDE[[#This Row],[ID]],DEG_ACUM!A:A,1,0),"NOVO")</f>
        <v>2996</v>
      </c>
    </row>
    <row r="941" spans="1:4" hidden="1" x14ac:dyDescent="0.35">
      <c r="A941" s="1">
        <v>2997</v>
      </c>
      <c r="B941" s="2">
        <v>46276</v>
      </c>
      <c r="C941" s="1" t="s">
        <v>61</v>
      </c>
      <c r="D941" s="1">
        <f>IFERROR(VLOOKUP(DEG_REDE[[#This Row],[ID]],DEG_ACUM!A:A,1,0),"NOVO")</f>
        <v>2997</v>
      </c>
    </row>
    <row r="942" spans="1:4" hidden="1" x14ac:dyDescent="0.35">
      <c r="A942" s="1">
        <v>2998</v>
      </c>
      <c r="B942" s="2">
        <v>46276</v>
      </c>
      <c r="C942" s="1" t="s">
        <v>61</v>
      </c>
      <c r="D942" s="1">
        <f>IFERROR(VLOOKUP(DEG_REDE[[#This Row],[ID]],DEG_ACUM!A:A,1,0),"NOVO")</f>
        <v>2998</v>
      </c>
    </row>
    <row r="943" spans="1:4" hidden="1" x14ac:dyDescent="0.35">
      <c r="A943" s="1">
        <v>2999</v>
      </c>
      <c r="B943" s="2">
        <v>46276</v>
      </c>
      <c r="C943" s="1" t="s">
        <v>61</v>
      </c>
      <c r="D943" s="1">
        <f>IFERROR(VLOOKUP(DEG_REDE[[#This Row],[ID]],DEG_ACUM!A:A,1,0),"NOVO")</f>
        <v>2999</v>
      </c>
    </row>
    <row r="944" spans="1:4" hidden="1" x14ac:dyDescent="0.35">
      <c r="A944" s="1">
        <v>3000</v>
      </c>
      <c r="B944" s="2">
        <v>46276</v>
      </c>
      <c r="C944" s="1" t="s">
        <v>61</v>
      </c>
      <c r="D944" s="1">
        <f>IFERROR(VLOOKUP(DEG_REDE[[#This Row],[ID]],DEG_ACUM!A:A,1,0),"NOVO")</f>
        <v>3000</v>
      </c>
    </row>
    <row r="945" spans="1:4" hidden="1" x14ac:dyDescent="0.35">
      <c r="A945" s="1">
        <v>3004</v>
      </c>
      <c r="B945" s="2">
        <v>46276</v>
      </c>
      <c r="C945" s="1" t="s">
        <v>52</v>
      </c>
      <c r="D945" s="1">
        <f>IFERROR(VLOOKUP(DEG_REDE[[#This Row],[ID]],DEG_ACUM!A:A,1,0),"NOVO")</f>
        <v>3004</v>
      </c>
    </row>
    <row r="946" spans="1:4" hidden="1" x14ac:dyDescent="0.35">
      <c r="A946" s="1">
        <v>3005</v>
      </c>
      <c r="B946" s="2">
        <v>46276</v>
      </c>
      <c r="C946" s="1" t="s">
        <v>52</v>
      </c>
      <c r="D946" s="1">
        <f>IFERROR(VLOOKUP(DEG_REDE[[#This Row],[ID]],DEG_ACUM!A:A,1,0),"NOVO")</f>
        <v>3005</v>
      </c>
    </row>
    <row r="947" spans="1:4" hidden="1" x14ac:dyDescent="0.35">
      <c r="A947" s="1">
        <v>3006</v>
      </c>
      <c r="B947" s="2">
        <v>46276</v>
      </c>
      <c r="C947" s="1" t="s">
        <v>52</v>
      </c>
      <c r="D947" s="1">
        <f>IFERROR(VLOOKUP(DEG_REDE[[#This Row],[ID]],DEG_ACUM!A:A,1,0),"NOVO")</f>
        <v>3006</v>
      </c>
    </row>
    <row r="948" spans="1:4" hidden="1" x14ac:dyDescent="0.35">
      <c r="A948" s="1">
        <v>3007</v>
      </c>
      <c r="B948" s="2">
        <v>46276</v>
      </c>
      <c r="C948" s="1" t="s">
        <v>52</v>
      </c>
      <c r="D948" s="1">
        <f>IFERROR(VLOOKUP(DEG_REDE[[#This Row],[ID]],DEG_ACUM!A:A,1,0),"NOVO")</f>
        <v>3007</v>
      </c>
    </row>
    <row r="949" spans="1:4" hidden="1" x14ac:dyDescent="0.35">
      <c r="A949" s="1">
        <v>3008</v>
      </c>
      <c r="B949" s="2">
        <v>46279</v>
      </c>
      <c r="C949" s="1" t="s">
        <v>62</v>
      </c>
      <c r="D949" s="1">
        <f>IFERROR(VLOOKUP(DEG_REDE[[#This Row],[ID]],DEG_ACUM!A:A,1,0),"NOVO")</f>
        <v>3008</v>
      </c>
    </row>
    <row r="950" spans="1:4" hidden="1" x14ac:dyDescent="0.35">
      <c r="A950" s="1">
        <v>3009</v>
      </c>
      <c r="B950" s="2">
        <v>46279</v>
      </c>
      <c r="C950" s="1" t="s">
        <v>57</v>
      </c>
      <c r="D950" s="1">
        <f>IFERROR(VLOOKUP(DEG_REDE[[#This Row],[ID]],DEG_ACUM!A:A,1,0),"NOVO")</f>
        <v>3009</v>
      </c>
    </row>
    <row r="951" spans="1:4" hidden="1" x14ac:dyDescent="0.35">
      <c r="A951" s="1">
        <v>3010</v>
      </c>
      <c r="B951" s="2">
        <v>46279</v>
      </c>
      <c r="C951" s="1" t="s">
        <v>61</v>
      </c>
      <c r="D951" s="1">
        <f>IFERROR(VLOOKUP(DEG_REDE[[#This Row],[ID]],DEG_ACUM!A:A,1,0),"NOVO")</f>
        <v>3010</v>
      </c>
    </row>
    <row r="952" spans="1:4" hidden="1" x14ac:dyDescent="0.35">
      <c r="A952" s="1">
        <v>3011</v>
      </c>
      <c r="B952" s="2">
        <v>46279</v>
      </c>
      <c r="C952" s="1" t="s">
        <v>54</v>
      </c>
      <c r="D952" s="1">
        <f>IFERROR(VLOOKUP(DEG_REDE[[#This Row],[ID]],DEG_ACUM!A:A,1,0),"NOVO")</f>
        <v>3011</v>
      </c>
    </row>
    <row r="953" spans="1:4" hidden="1" x14ac:dyDescent="0.35">
      <c r="A953" s="1">
        <v>3012</v>
      </c>
      <c r="B953" s="2">
        <v>46279</v>
      </c>
      <c r="C953" s="1" t="s">
        <v>54</v>
      </c>
      <c r="D953" s="1">
        <f>IFERROR(VLOOKUP(DEG_REDE[[#This Row],[ID]],DEG_ACUM!A:A,1,0),"NOVO")</f>
        <v>3012</v>
      </c>
    </row>
    <row r="954" spans="1:4" hidden="1" x14ac:dyDescent="0.35">
      <c r="A954" s="1">
        <v>3013</v>
      </c>
      <c r="B954" s="2">
        <v>46279</v>
      </c>
      <c r="C954" s="1" t="s">
        <v>54</v>
      </c>
      <c r="D954" s="1">
        <f>IFERROR(VLOOKUP(DEG_REDE[[#This Row],[ID]],DEG_ACUM!A:A,1,0),"NOVO")</f>
        <v>3013</v>
      </c>
    </row>
    <row r="955" spans="1:4" hidden="1" x14ac:dyDescent="0.35">
      <c r="A955" s="1">
        <v>3014</v>
      </c>
      <c r="B955" s="2">
        <v>46279</v>
      </c>
      <c r="C955" s="1" t="s">
        <v>54</v>
      </c>
      <c r="D955" s="1">
        <f>IFERROR(VLOOKUP(DEG_REDE[[#This Row],[ID]],DEG_ACUM!A:A,1,0),"NOVO")</f>
        <v>3014</v>
      </c>
    </row>
    <row r="956" spans="1:4" hidden="1" x14ac:dyDescent="0.35">
      <c r="A956" s="1">
        <v>3015</v>
      </c>
      <c r="B956" s="2">
        <v>46279</v>
      </c>
      <c r="C956" s="1" t="s">
        <v>54</v>
      </c>
      <c r="D956" s="1">
        <f>IFERROR(VLOOKUP(DEG_REDE[[#This Row],[ID]],DEG_ACUM!A:A,1,0),"NOVO")</f>
        <v>3015</v>
      </c>
    </row>
    <row r="957" spans="1:4" hidden="1" x14ac:dyDescent="0.35">
      <c r="A957" s="1">
        <v>3016</v>
      </c>
      <c r="B957" s="2">
        <v>46279</v>
      </c>
      <c r="C957" s="1" t="s">
        <v>54</v>
      </c>
      <c r="D957" s="1">
        <f>IFERROR(VLOOKUP(DEG_REDE[[#This Row],[ID]],DEG_ACUM!A:A,1,0),"NOVO")</f>
        <v>3016</v>
      </c>
    </row>
    <row r="958" spans="1:4" hidden="1" x14ac:dyDescent="0.35">
      <c r="A958" s="1">
        <v>3017</v>
      </c>
      <c r="B958" s="2">
        <v>46279</v>
      </c>
      <c r="C958" s="1" t="s">
        <v>54</v>
      </c>
      <c r="D958" s="1">
        <f>IFERROR(VLOOKUP(DEG_REDE[[#This Row],[ID]],DEG_ACUM!A:A,1,0),"NOVO")</f>
        <v>3017</v>
      </c>
    </row>
    <row r="959" spans="1:4" hidden="1" x14ac:dyDescent="0.35">
      <c r="A959" s="1">
        <v>3018</v>
      </c>
      <c r="B959" s="2">
        <v>46279</v>
      </c>
      <c r="C959" s="1" t="s">
        <v>51</v>
      </c>
      <c r="D959" s="1">
        <f>IFERROR(VLOOKUP(DEG_REDE[[#This Row],[ID]],DEG_ACUM!A:A,1,0),"NOVO")</f>
        <v>3018</v>
      </c>
    </row>
    <row r="960" spans="1:4" hidden="1" x14ac:dyDescent="0.35">
      <c r="A960" s="1">
        <v>3019</v>
      </c>
      <c r="B960" s="2">
        <v>46279</v>
      </c>
      <c r="C960" s="1" t="s">
        <v>61</v>
      </c>
      <c r="D960" s="1">
        <f>IFERROR(VLOOKUP(DEG_REDE[[#This Row],[ID]],DEG_ACUM!A:A,1,0),"NOVO")</f>
        <v>3019</v>
      </c>
    </row>
    <row r="961" spans="1:4" hidden="1" x14ac:dyDescent="0.35">
      <c r="A961" s="1">
        <v>3020</v>
      </c>
      <c r="B961" s="2">
        <v>46279</v>
      </c>
      <c r="C961" s="1" t="s">
        <v>51</v>
      </c>
      <c r="D961" s="1">
        <f>IFERROR(VLOOKUP(DEG_REDE[[#This Row],[ID]],DEG_ACUM!A:A,1,0),"NOVO")</f>
        <v>3020</v>
      </c>
    </row>
    <row r="962" spans="1:4" hidden="1" x14ac:dyDescent="0.35">
      <c r="A962" s="1">
        <v>3021</v>
      </c>
      <c r="B962" s="2">
        <v>46279</v>
      </c>
      <c r="C962" s="1" t="s">
        <v>61</v>
      </c>
      <c r="D962" s="1">
        <f>IFERROR(VLOOKUP(DEG_REDE[[#This Row],[ID]],DEG_ACUM!A:A,1,0),"NOVO")</f>
        <v>3021</v>
      </c>
    </row>
    <row r="963" spans="1:4" hidden="1" x14ac:dyDescent="0.35">
      <c r="A963" s="1">
        <v>3022</v>
      </c>
      <c r="B963" s="2">
        <v>46279</v>
      </c>
      <c r="C963" s="1" t="s">
        <v>61</v>
      </c>
      <c r="D963" s="1">
        <f>IFERROR(VLOOKUP(DEG_REDE[[#This Row],[ID]],DEG_ACUM!A:A,1,0),"NOVO")</f>
        <v>3022</v>
      </c>
    </row>
    <row r="964" spans="1:4" hidden="1" x14ac:dyDescent="0.35">
      <c r="A964" s="1">
        <v>3023</v>
      </c>
      <c r="B964" s="2">
        <v>46279</v>
      </c>
      <c r="C964" s="1" t="s">
        <v>61</v>
      </c>
      <c r="D964" s="1">
        <f>IFERROR(VLOOKUP(DEG_REDE[[#This Row],[ID]],DEG_ACUM!A:A,1,0),"NOVO")</f>
        <v>3023</v>
      </c>
    </row>
    <row r="965" spans="1:4" hidden="1" x14ac:dyDescent="0.35">
      <c r="A965" s="1">
        <v>3024</v>
      </c>
      <c r="B965" s="2">
        <v>46279</v>
      </c>
      <c r="C965" s="1" t="s">
        <v>61</v>
      </c>
      <c r="D965" s="1">
        <f>IFERROR(VLOOKUP(DEG_REDE[[#This Row],[ID]],DEG_ACUM!A:A,1,0),"NOVO")</f>
        <v>3024</v>
      </c>
    </row>
    <row r="966" spans="1:4" hidden="1" x14ac:dyDescent="0.35">
      <c r="A966" s="1">
        <v>3025</v>
      </c>
      <c r="B966" s="2">
        <v>46279</v>
      </c>
      <c r="C966" s="1" t="s">
        <v>61</v>
      </c>
      <c r="D966" s="1">
        <f>IFERROR(VLOOKUP(DEG_REDE[[#This Row],[ID]],DEG_ACUM!A:A,1,0),"NOVO")</f>
        <v>3025</v>
      </c>
    </row>
    <row r="967" spans="1:4" hidden="1" x14ac:dyDescent="0.35">
      <c r="A967" s="1">
        <v>3029</v>
      </c>
      <c r="B967" s="2">
        <v>46280</v>
      </c>
      <c r="C967" s="1" t="s">
        <v>61</v>
      </c>
      <c r="D967" s="1">
        <f>IFERROR(VLOOKUP(DEG_REDE[[#This Row],[ID]],DEG_ACUM!A:A,1,0),"NOVO")</f>
        <v>3029</v>
      </c>
    </row>
    <row r="968" spans="1:4" hidden="1" x14ac:dyDescent="0.35">
      <c r="A968" s="1">
        <v>3030</v>
      </c>
      <c r="B968" s="2">
        <v>46280</v>
      </c>
      <c r="C968" s="1" t="s">
        <v>61</v>
      </c>
      <c r="D968" s="1">
        <f>IFERROR(VLOOKUP(DEG_REDE[[#This Row],[ID]],DEG_ACUM!A:A,1,0),"NOVO")</f>
        <v>3030</v>
      </c>
    </row>
    <row r="969" spans="1:4" hidden="1" x14ac:dyDescent="0.35">
      <c r="A969" s="1">
        <v>3031</v>
      </c>
      <c r="B969" s="2">
        <v>46280</v>
      </c>
      <c r="C969" s="1" t="s">
        <v>61</v>
      </c>
      <c r="D969" s="1">
        <f>IFERROR(VLOOKUP(DEG_REDE[[#This Row],[ID]],DEG_ACUM!A:A,1,0),"NOVO")</f>
        <v>3031</v>
      </c>
    </row>
    <row r="970" spans="1:4" hidden="1" x14ac:dyDescent="0.35">
      <c r="A970" s="1">
        <v>3033</v>
      </c>
      <c r="B970" s="2">
        <v>46280</v>
      </c>
      <c r="C970" s="1" t="s">
        <v>65</v>
      </c>
      <c r="D970" s="1">
        <f>IFERROR(VLOOKUP(DEG_REDE[[#This Row],[ID]],DEG_ACUM!A:A,1,0),"NOVO")</f>
        <v>3033</v>
      </c>
    </row>
    <row r="971" spans="1:4" hidden="1" x14ac:dyDescent="0.35">
      <c r="A971" s="1">
        <v>3034</v>
      </c>
      <c r="B971" s="2">
        <v>46280</v>
      </c>
      <c r="C971" s="1" t="s">
        <v>57</v>
      </c>
      <c r="D971" s="1">
        <f>IFERROR(VLOOKUP(DEG_REDE[[#This Row],[ID]],DEG_ACUM!A:A,1,0),"NOVO")</f>
        <v>3034</v>
      </c>
    </row>
    <row r="972" spans="1:4" hidden="1" x14ac:dyDescent="0.35">
      <c r="A972" s="1">
        <v>3035</v>
      </c>
      <c r="B972" s="2">
        <v>46280</v>
      </c>
      <c r="C972" s="1" t="s">
        <v>65</v>
      </c>
      <c r="D972" s="1">
        <f>IFERROR(VLOOKUP(DEG_REDE[[#This Row],[ID]],DEG_ACUM!A:A,1,0),"NOVO")</f>
        <v>3035</v>
      </c>
    </row>
    <row r="973" spans="1:4" hidden="1" x14ac:dyDescent="0.35">
      <c r="A973" s="1">
        <v>3039</v>
      </c>
      <c r="B973" s="2">
        <v>46280</v>
      </c>
      <c r="C973" s="1" t="s">
        <v>62</v>
      </c>
      <c r="D973" s="1">
        <f>IFERROR(VLOOKUP(DEG_REDE[[#This Row],[ID]],DEG_ACUM!A:A,1,0),"NOVO")</f>
        <v>3039</v>
      </c>
    </row>
    <row r="974" spans="1:4" hidden="1" x14ac:dyDescent="0.35">
      <c r="A974" s="1">
        <v>3041</v>
      </c>
      <c r="B974" s="2">
        <v>46280</v>
      </c>
      <c r="C974" s="1" t="s">
        <v>52</v>
      </c>
      <c r="D974" s="1">
        <f>IFERROR(VLOOKUP(DEG_REDE[[#This Row],[ID]],DEG_ACUM!A:A,1,0),"NOVO")</f>
        <v>3041</v>
      </c>
    </row>
    <row r="975" spans="1:4" hidden="1" x14ac:dyDescent="0.35">
      <c r="A975" s="1">
        <v>3043</v>
      </c>
      <c r="B975" s="2">
        <v>46280</v>
      </c>
      <c r="C975" s="1" t="s">
        <v>52</v>
      </c>
      <c r="D975" s="1">
        <f>IFERROR(VLOOKUP(DEG_REDE[[#This Row],[ID]],DEG_ACUM!A:A,1,0),"NOVO")</f>
        <v>3043</v>
      </c>
    </row>
    <row r="976" spans="1:4" hidden="1" x14ac:dyDescent="0.35">
      <c r="A976" s="1">
        <v>3045</v>
      </c>
      <c r="B976" s="2">
        <v>46280</v>
      </c>
      <c r="C976" s="1" t="s">
        <v>52</v>
      </c>
      <c r="D976" s="1">
        <f>IFERROR(VLOOKUP(DEG_REDE[[#This Row],[ID]],DEG_ACUM!A:A,1,0),"NOVO")</f>
        <v>3045</v>
      </c>
    </row>
    <row r="977" spans="1:4" hidden="1" x14ac:dyDescent="0.35">
      <c r="A977" s="1">
        <v>3048</v>
      </c>
      <c r="B977" s="2">
        <v>46280</v>
      </c>
      <c r="C977" s="1" t="s">
        <v>52</v>
      </c>
      <c r="D977" s="1">
        <f>IFERROR(VLOOKUP(DEG_REDE[[#This Row],[ID]],DEG_ACUM!A:A,1,0),"NOVO")</f>
        <v>3048</v>
      </c>
    </row>
    <row r="978" spans="1:4" hidden="1" x14ac:dyDescent="0.35">
      <c r="A978" s="1">
        <v>3051</v>
      </c>
      <c r="B978" s="2">
        <v>46280</v>
      </c>
      <c r="C978" s="1" t="s">
        <v>52</v>
      </c>
      <c r="D978" s="1">
        <f>IFERROR(VLOOKUP(DEG_REDE[[#This Row],[ID]],DEG_ACUM!A:A,1,0),"NOVO")</f>
        <v>3051</v>
      </c>
    </row>
    <row r="979" spans="1:4" hidden="1" x14ac:dyDescent="0.35">
      <c r="A979" s="1">
        <v>3052</v>
      </c>
      <c r="B979" s="2">
        <v>46280</v>
      </c>
      <c r="C979" s="1" t="s">
        <v>52</v>
      </c>
      <c r="D979" s="1">
        <f>IFERROR(VLOOKUP(DEG_REDE[[#This Row],[ID]],DEG_ACUM!A:A,1,0),"NOVO")</f>
        <v>3052</v>
      </c>
    </row>
    <row r="980" spans="1:4" hidden="1" x14ac:dyDescent="0.35">
      <c r="A980" s="1">
        <v>3053</v>
      </c>
      <c r="B980" s="2">
        <v>46280</v>
      </c>
      <c r="C980" s="1" t="s">
        <v>52</v>
      </c>
      <c r="D980" s="1">
        <f>IFERROR(VLOOKUP(DEG_REDE[[#This Row],[ID]],DEG_ACUM!A:A,1,0),"NOVO")</f>
        <v>3053</v>
      </c>
    </row>
    <row r="981" spans="1:4" hidden="1" x14ac:dyDescent="0.35">
      <c r="A981" s="1">
        <v>3054</v>
      </c>
      <c r="B981" s="2">
        <v>46280</v>
      </c>
      <c r="C981" s="1" t="s">
        <v>61</v>
      </c>
      <c r="D981" s="1">
        <f>IFERROR(VLOOKUP(DEG_REDE[[#This Row],[ID]],DEG_ACUM!A:A,1,0),"NOVO")</f>
        <v>3054</v>
      </c>
    </row>
    <row r="982" spans="1:4" hidden="1" x14ac:dyDescent="0.35">
      <c r="A982" s="1">
        <v>3055</v>
      </c>
      <c r="B982" s="2">
        <v>46280</v>
      </c>
      <c r="C982" s="1" t="s">
        <v>61</v>
      </c>
      <c r="D982" s="1">
        <f>IFERROR(VLOOKUP(DEG_REDE[[#This Row],[ID]],DEG_ACUM!A:A,1,0),"NOVO")</f>
        <v>3055</v>
      </c>
    </row>
    <row r="983" spans="1:4" hidden="1" x14ac:dyDescent="0.35">
      <c r="A983" s="1">
        <v>3073</v>
      </c>
      <c r="B983" s="2">
        <v>46281</v>
      </c>
      <c r="C983" s="1" t="s">
        <v>65</v>
      </c>
      <c r="D983" s="1">
        <f>IFERROR(VLOOKUP(DEG_REDE[[#This Row],[ID]],DEG_ACUM!A:A,1,0),"NOVO")</f>
        <v>3073</v>
      </c>
    </row>
    <row r="984" spans="1:4" hidden="1" x14ac:dyDescent="0.35">
      <c r="A984" s="1">
        <v>3074</v>
      </c>
      <c r="B984" s="2">
        <v>46281</v>
      </c>
      <c r="C984" s="1" t="s">
        <v>65</v>
      </c>
      <c r="D984" s="1">
        <f>IFERROR(VLOOKUP(DEG_REDE[[#This Row],[ID]],DEG_ACUM!A:A,1,0),"NOVO")</f>
        <v>3074</v>
      </c>
    </row>
    <row r="985" spans="1:4" hidden="1" x14ac:dyDescent="0.35">
      <c r="A985" s="1">
        <v>3075</v>
      </c>
      <c r="B985" s="2">
        <v>46281</v>
      </c>
      <c r="C985" s="1" t="s">
        <v>52</v>
      </c>
      <c r="D985" s="1">
        <f>IFERROR(VLOOKUP(DEG_REDE[[#This Row],[ID]],DEG_ACUM!A:A,1,0),"NOVO")</f>
        <v>3075</v>
      </c>
    </row>
    <row r="986" spans="1:4" hidden="1" x14ac:dyDescent="0.35">
      <c r="A986" s="1">
        <v>3076</v>
      </c>
      <c r="B986" s="2">
        <v>46281</v>
      </c>
      <c r="C986" s="1" t="s">
        <v>52</v>
      </c>
      <c r="D986" s="1">
        <f>IFERROR(VLOOKUP(DEG_REDE[[#This Row],[ID]],DEG_ACUM!A:A,1,0),"NOVO")</f>
        <v>3076</v>
      </c>
    </row>
    <row r="987" spans="1:4" hidden="1" x14ac:dyDescent="0.35">
      <c r="A987" s="1">
        <v>3077</v>
      </c>
      <c r="B987" s="2">
        <v>46281</v>
      </c>
      <c r="C987" s="1" t="s">
        <v>57</v>
      </c>
      <c r="D987" s="1">
        <f>IFERROR(VLOOKUP(DEG_REDE[[#This Row],[ID]],DEG_ACUM!A:A,1,0),"NOVO")</f>
        <v>3077</v>
      </c>
    </row>
    <row r="988" spans="1:4" hidden="1" x14ac:dyDescent="0.35">
      <c r="A988" s="1">
        <v>3085</v>
      </c>
      <c r="B988" s="2">
        <v>46281</v>
      </c>
      <c r="C988" s="1" t="s">
        <v>61</v>
      </c>
      <c r="D988" s="1">
        <f>IFERROR(VLOOKUP(DEG_REDE[[#This Row],[ID]],DEG_ACUM!A:A,1,0),"NOVO")</f>
        <v>3085</v>
      </c>
    </row>
    <row r="989" spans="1:4" hidden="1" x14ac:dyDescent="0.35">
      <c r="A989" s="1">
        <v>3086</v>
      </c>
      <c r="B989" s="2">
        <v>46281</v>
      </c>
      <c r="C989" s="1" t="s">
        <v>61</v>
      </c>
      <c r="D989" s="1">
        <f>IFERROR(VLOOKUP(DEG_REDE[[#This Row],[ID]],DEG_ACUM!A:A,1,0),"NOVO")</f>
        <v>3086</v>
      </c>
    </row>
    <row r="990" spans="1:4" hidden="1" x14ac:dyDescent="0.35">
      <c r="A990" s="1">
        <v>3093</v>
      </c>
      <c r="B990" s="2">
        <v>46281</v>
      </c>
      <c r="C990" s="1" t="s">
        <v>64</v>
      </c>
      <c r="D990" s="1">
        <f>IFERROR(VLOOKUP(DEG_REDE[[#This Row],[ID]],DEG_ACUM!A:A,1,0),"NOVO")</f>
        <v>3093</v>
      </c>
    </row>
    <row r="991" spans="1:4" hidden="1" x14ac:dyDescent="0.35">
      <c r="A991" s="1">
        <v>3120</v>
      </c>
      <c r="B991" s="2">
        <v>46282</v>
      </c>
      <c r="C991" s="1" t="s">
        <v>62</v>
      </c>
      <c r="D991" s="1">
        <f>IFERROR(VLOOKUP(DEG_REDE[[#This Row],[ID]],DEG_ACUM!A:A,1,0),"NOVO")</f>
        <v>3120</v>
      </c>
    </row>
    <row r="992" spans="1:4" hidden="1" x14ac:dyDescent="0.35">
      <c r="A992" s="1">
        <v>3121</v>
      </c>
      <c r="B992" s="2">
        <v>46282</v>
      </c>
      <c r="C992" s="1" t="s">
        <v>57</v>
      </c>
      <c r="D992" s="1">
        <f>IFERROR(VLOOKUP(DEG_REDE[[#This Row],[ID]],DEG_ACUM!A:A,1,0),"NOVO")</f>
        <v>3121</v>
      </c>
    </row>
    <row r="993" spans="1:4" hidden="1" x14ac:dyDescent="0.35">
      <c r="A993" s="1">
        <v>3123</v>
      </c>
      <c r="B993" s="2">
        <v>46282</v>
      </c>
      <c r="C993" s="1" t="s">
        <v>52</v>
      </c>
      <c r="D993" s="1">
        <f>IFERROR(VLOOKUP(DEG_REDE[[#This Row],[ID]],DEG_ACUM!A:A,1,0),"NOVO")</f>
        <v>3123</v>
      </c>
    </row>
    <row r="994" spans="1:4" hidden="1" x14ac:dyDescent="0.35">
      <c r="A994" s="1">
        <v>3124</v>
      </c>
      <c r="B994" s="2">
        <v>46282</v>
      </c>
      <c r="C994" s="1" t="s">
        <v>52</v>
      </c>
      <c r="D994" s="1">
        <f>IFERROR(VLOOKUP(DEG_REDE[[#This Row],[ID]],DEG_ACUM!A:A,1,0),"NOVO")</f>
        <v>3124</v>
      </c>
    </row>
    <row r="995" spans="1:4" hidden="1" x14ac:dyDescent="0.35">
      <c r="A995" s="1">
        <v>3125</v>
      </c>
      <c r="B995" s="2">
        <v>46282</v>
      </c>
      <c r="C995" s="1" t="s">
        <v>52</v>
      </c>
      <c r="D995" s="1">
        <f>IFERROR(VLOOKUP(DEG_REDE[[#This Row],[ID]],DEG_ACUM!A:A,1,0),"NOVO")</f>
        <v>3125</v>
      </c>
    </row>
    <row r="996" spans="1:4" hidden="1" x14ac:dyDescent="0.35">
      <c r="A996" s="1">
        <v>3126</v>
      </c>
      <c r="B996" s="2">
        <v>46282</v>
      </c>
      <c r="C996" s="1" t="s">
        <v>52</v>
      </c>
      <c r="D996" s="1">
        <f>IFERROR(VLOOKUP(DEG_REDE[[#This Row],[ID]],DEG_ACUM!A:A,1,0),"NOVO")</f>
        <v>3126</v>
      </c>
    </row>
    <row r="997" spans="1:4" hidden="1" x14ac:dyDescent="0.35">
      <c r="A997" s="1">
        <v>3127</v>
      </c>
      <c r="B997" s="2">
        <v>46282</v>
      </c>
      <c r="C997" s="1" t="s">
        <v>52</v>
      </c>
      <c r="D997" s="1">
        <f>IFERROR(VLOOKUP(DEG_REDE[[#This Row],[ID]],DEG_ACUM!A:A,1,0),"NOVO")</f>
        <v>3127</v>
      </c>
    </row>
    <row r="998" spans="1:4" hidden="1" x14ac:dyDescent="0.35">
      <c r="A998" s="1">
        <v>3144</v>
      </c>
      <c r="B998" s="2">
        <v>46283</v>
      </c>
      <c r="C998" s="1" t="s">
        <v>61</v>
      </c>
      <c r="D998" s="1">
        <f>IFERROR(VLOOKUP(DEG_REDE[[#This Row],[ID]],DEG_ACUM!A:A,1,0),"NOVO")</f>
        <v>3144</v>
      </c>
    </row>
    <row r="999" spans="1:4" hidden="1" x14ac:dyDescent="0.35">
      <c r="A999" s="1">
        <v>3145</v>
      </c>
      <c r="B999" s="2">
        <v>46283</v>
      </c>
      <c r="C999" s="1" t="s">
        <v>61</v>
      </c>
      <c r="D999" s="1">
        <f>IFERROR(VLOOKUP(DEG_REDE[[#This Row],[ID]],DEG_ACUM!A:A,1,0),"NOVO")</f>
        <v>3145</v>
      </c>
    </row>
    <row r="1000" spans="1:4" hidden="1" x14ac:dyDescent="0.35">
      <c r="A1000" s="1">
        <v>3146</v>
      </c>
      <c r="B1000" s="2">
        <v>46283</v>
      </c>
      <c r="C1000" s="1" t="s">
        <v>61</v>
      </c>
      <c r="D1000" s="1">
        <f>IFERROR(VLOOKUP(DEG_REDE[[#This Row],[ID]],DEG_ACUM!A:A,1,0),"NOVO")</f>
        <v>3146</v>
      </c>
    </row>
    <row r="1001" spans="1:4" hidden="1" x14ac:dyDescent="0.35">
      <c r="A1001" s="1">
        <v>3147</v>
      </c>
      <c r="B1001" s="2">
        <v>46283</v>
      </c>
      <c r="C1001" s="1" t="s">
        <v>61</v>
      </c>
      <c r="D1001" s="1">
        <f>IFERROR(VLOOKUP(DEG_REDE[[#This Row],[ID]],DEG_ACUM!A:A,1,0),"NOVO")</f>
        <v>3147</v>
      </c>
    </row>
    <row r="1002" spans="1:4" hidden="1" x14ac:dyDescent="0.35">
      <c r="A1002" s="1">
        <v>3148</v>
      </c>
      <c r="B1002" s="2">
        <v>46283</v>
      </c>
      <c r="C1002" s="1" t="s">
        <v>54</v>
      </c>
      <c r="D1002" s="1">
        <f>IFERROR(VLOOKUP(DEG_REDE[[#This Row],[ID]],DEG_ACUM!A:A,1,0),"NOVO")</f>
        <v>3148</v>
      </c>
    </row>
    <row r="1003" spans="1:4" hidden="1" x14ac:dyDescent="0.35">
      <c r="A1003" s="1">
        <v>3149</v>
      </c>
      <c r="B1003" s="2">
        <v>46283</v>
      </c>
      <c r="C1003" s="1" t="s">
        <v>62</v>
      </c>
      <c r="D1003" s="1">
        <f>IFERROR(VLOOKUP(DEG_REDE[[#This Row],[ID]],DEG_ACUM!A:A,1,0),"NOVO")</f>
        <v>3149</v>
      </c>
    </row>
    <row r="1004" spans="1:4" hidden="1" x14ac:dyDescent="0.35">
      <c r="A1004" s="1">
        <v>3150</v>
      </c>
      <c r="B1004" s="2">
        <v>46283</v>
      </c>
      <c r="C1004" s="1" t="s">
        <v>61</v>
      </c>
      <c r="D1004" s="1">
        <f>IFERROR(VLOOKUP(DEG_REDE[[#This Row],[ID]],DEG_ACUM!A:A,1,0),"NOVO")</f>
        <v>3150</v>
      </c>
    </row>
    <row r="1005" spans="1:4" hidden="1" x14ac:dyDescent="0.35">
      <c r="A1005" s="1">
        <v>3151</v>
      </c>
      <c r="B1005" s="2">
        <v>46283</v>
      </c>
      <c r="C1005" s="1" t="s">
        <v>61</v>
      </c>
      <c r="D1005" s="1">
        <f>IFERROR(VLOOKUP(DEG_REDE[[#This Row],[ID]],DEG_ACUM!A:A,1,0),"NOVO")</f>
        <v>3151</v>
      </c>
    </row>
    <row r="1006" spans="1:4" hidden="1" x14ac:dyDescent="0.35">
      <c r="A1006" s="1">
        <v>3152</v>
      </c>
      <c r="B1006" s="2">
        <v>46283</v>
      </c>
      <c r="C1006" s="1" t="s">
        <v>61</v>
      </c>
      <c r="D1006" s="1">
        <f>IFERROR(VLOOKUP(DEG_REDE[[#This Row],[ID]],DEG_ACUM!A:A,1,0),"NOVO")</f>
        <v>3152</v>
      </c>
    </row>
    <row r="1007" spans="1:4" hidden="1" x14ac:dyDescent="0.35">
      <c r="A1007" s="1">
        <v>3153</v>
      </c>
      <c r="B1007" s="2">
        <v>46283</v>
      </c>
      <c r="C1007" s="1" t="s">
        <v>61</v>
      </c>
      <c r="D1007" s="1">
        <f>IFERROR(VLOOKUP(DEG_REDE[[#This Row],[ID]],DEG_ACUM!A:A,1,0),"NOVO")</f>
        <v>3153</v>
      </c>
    </row>
    <row r="1008" spans="1:4" hidden="1" x14ac:dyDescent="0.35">
      <c r="A1008" s="1">
        <v>3154</v>
      </c>
      <c r="B1008" s="2">
        <v>46283</v>
      </c>
      <c r="C1008" s="1" t="s">
        <v>62</v>
      </c>
      <c r="D1008" s="1">
        <f>IFERROR(VLOOKUP(DEG_REDE[[#This Row],[ID]],DEG_ACUM!A:A,1,0),"NOVO")</f>
        <v>3154</v>
      </c>
    </row>
    <row r="1009" spans="1:4" hidden="1" x14ac:dyDescent="0.35">
      <c r="A1009" s="1">
        <v>3155</v>
      </c>
      <c r="B1009" s="2">
        <v>46283</v>
      </c>
      <c r="C1009" s="1" t="s">
        <v>62</v>
      </c>
      <c r="D1009" s="1">
        <f>IFERROR(VLOOKUP(DEG_REDE[[#This Row],[ID]],DEG_ACUM!A:A,1,0),"NOVO")</f>
        <v>3155</v>
      </c>
    </row>
    <row r="1010" spans="1:4" hidden="1" x14ac:dyDescent="0.35">
      <c r="A1010" s="1">
        <v>3167</v>
      </c>
      <c r="B1010" s="2">
        <v>46286</v>
      </c>
      <c r="C1010" s="1" t="s">
        <v>57</v>
      </c>
      <c r="D1010" s="1">
        <f>IFERROR(VLOOKUP(DEG_REDE[[#This Row],[ID]],DEG_ACUM!A:A,1,0),"NOVO")</f>
        <v>3167</v>
      </c>
    </row>
    <row r="1011" spans="1:4" hidden="1" x14ac:dyDescent="0.35">
      <c r="A1011" s="1">
        <v>3172</v>
      </c>
      <c r="B1011" s="2">
        <v>46286</v>
      </c>
      <c r="C1011" s="1" t="s">
        <v>65</v>
      </c>
      <c r="D1011" s="1">
        <f>IFERROR(VLOOKUP(DEG_REDE[[#This Row],[ID]],DEG_ACUM!A:A,1,0),"NOVO")</f>
        <v>3172</v>
      </c>
    </row>
    <row r="1012" spans="1:4" hidden="1" x14ac:dyDescent="0.35">
      <c r="A1012" s="1">
        <v>3182</v>
      </c>
      <c r="B1012" s="2">
        <v>46286</v>
      </c>
      <c r="C1012" s="1" t="s">
        <v>64</v>
      </c>
      <c r="D1012" s="1">
        <f>IFERROR(VLOOKUP(DEG_REDE[[#This Row],[ID]],DEG_ACUM!A:A,1,0),"NOVO")</f>
        <v>3182</v>
      </c>
    </row>
    <row r="1013" spans="1:4" hidden="1" x14ac:dyDescent="0.35">
      <c r="A1013" s="1">
        <v>3183</v>
      </c>
      <c r="B1013" s="2">
        <v>46286</v>
      </c>
      <c r="C1013" s="1" t="s">
        <v>62</v>
      </c>
      <c r="D1013" s="1">
        <f>IFERROR(VLOOKUP(DEG_REDE[[#This Row],[ID]],DEG_ACUM!A:A,1,0),"NOVO")</f>
        <v>3183</v>
      </c>
    </row>
    <row r="1014" spans="1:4" hidden="1" x14ac:dyDescent="0.35">
      <c r="A1014" s="1">
        <v>3184</v>
      </c>
      <c r="B1014" s="2">
        <v>46286</v>
      </c>
      <c r="C1014" s="1" t="s">
        <v>62</v>
      </c>
      <c r="D1014" s="1">
        <f>IFERROR(VLOOKUP(DEG_REDE[[#This Row],[ID]],DEG_ACUM!A:A,1,0),"NOVO")</f>
        <v>3184</v>
      </c>
    </row>
    <row r="1015" spans="1:4" hidden="1" x14ac:dyDescent="0.35">
      <c r="A1015" s="1">
        <v>3185</v>
      </c>
      <c r="B1015" s="2">
        <v>46286</v>
      </c>
      <c r="C1015" s="1" t="s">
        <v>62</v>
      </c>
      <c r="D1015" s="1">
        <f>IFERROR(VLOOKUP(DEG_REDE[[#This Row],[ID]],DEG_ACUM!A:A,1,0),"NOVO")</f>
        <v>3185</v>
      </c>
    </row>
    <row r="1016" spans="1:4" hidden="1" x14ac:dyDescent="0.35">
      <c r="A1016" s="1">
        <v>3186</v>
      </c>
      <c r="B1016" s="2">
        <v>46286</v>
      </c>
      <c r="C1016" s="1" t="s">
        <v>62</v>
      </c>
      <c r="D1016" s="1">
        <f>IFERROR(VLOOKUP(DEG_REDE[[#This Row],[ID]],DEG_ACUM!A:A,1,0),"NOVO")</f>
        <v>3186</v>
      </c>
    </row>
    <row r="1017" spans="1:4" hidden="1" x14ac:dyDescent="0.35">
      <c r="A1017" s="1">
        <v>3187</v>
      </c>
      <c r="B1017" s="2">
        <v>46286</v>
      </c>
      <c r="C1017" s="1" t="s">
        <v>51</v>
      </c>
      <c r="D1017" s="1">
        <f>IFERROR(VLOOKUP(DEG_REDE[[#This Row],[ID]],DEG_ACUM!A:A,1,0),"NOVO")</f>
        <v>3187</v>
      </c>
    </row>
    <row r="1018" spans="1:4" hidden="1" x14ac:dyDescent="0.35">
      <c r="A1018" s="1">
        <v>3188</v>
      </c>
      <c r="B1018" s="2">
        <v>46286</v>
      </c>
      <c r="C1018" s="1" t="s">
        <v>64</v>
      </c>
      <c r="D1018" s="1">
        <f>IFERROR(VLOOKUP(DEG_REDE[[#This Row],[ID]],DEG_ACUM!A:A,1,0),"NOVO")</f>
        <v>3188</v>
      </c>
    </row>
    <row r="1019" spans="1:4" hidden="1" x14ac:dyDescent="0.35">
      <c r="A1019" s="1">
        <v>3189</v>
      </c>
      <c r="B1019" s="2">
        <v>46286</v>
      </c>
      <c r="C1019" s="1" t="s">
        <v>52</v>
      </c>
      <c r="D1019" s="1">
        <f>IFERROR(VLOOKUP(DEG_REDE[[#This Row],[ID]],DEG_ACUM!A:A,1,0),"NOVO")</f>
        <v>3189</v>
      </c>
    </row>
    <row r="1020" spans="1:4" hidden="1" x14ac:dyDescent="0.35">
      <c r="A1020" s="1">
        <v>3190</v>
      </c>
      <c r="B1020" s="2">
        <v>46286</v>
      </c>
      <c r="C1020" s="1" t="s">
        <v>52</v>
      </c>
      <c r="D1020" s="1">
        <f>IFERROR(VLOOKUP(DEG_REDE[[#This Row],[ID]],DEG_ACUM!A:A,1,0),"NOVO")</f>
        <v>3190</v>
      </c>
    </row>
    <row r="1021" spans="1:4" hidden="1" x14ac:dyDescent="0.35">
      <c r="A1021" s="1">
        <v>3191</v>
      </c>
      <c r="B1021" s="2">
        <v>46286</v>
      </c>
      <c r="C1021" s="1" t="s">
        <v>52</v>
      </c>
      <c r="D1021" s="1">
        <f>IFERROR(VLOOKUP(DEG_REDE[[#This Row],[ID]],DEG_ACUM!A:A,1,0),"NOVO")</f>
        <v>3191</v>
      </c>
    </row>
    <row r="1022" spans="1:4" hidden="1" x14ac:dyDescent="0.35">
      <c r="A1022" s="1">
        <v>3192</v>
      </c>
      <c r="B1022" s="2">
        <v>46287</v>
      </c>
      <c r="C1022" s="1" t="s">
        <v>52</v>
      </c>
      <c r="D1022" s="1">
        <f>IFERROR(VLOOKUP(DEG_REDE[[#This Row],[ID]],DEG_ACUM!A:A,1,0),"NOVO")</f>
        <v>3192</v>
      </c>
    </row>
    <row r="1023" spans="1:4" hidden="1" x14ac:dyDescent="0.35">
      <c r="A1023" s="1">
        <v>3193</v>
      </c>
      <c r="B1023" s="2">
        <v>46287</v>
      </c>
      <c r="C1023" s="1" t="s">
        <v>52</v>
      </c>
      <c r="D1023" s="1">
        <f>IFERROR(VLOOKUP(DEG_REDE[[#This Row],[ID]],DEG_ACUM!A:A,1,0),"NOVO")</f>
        <v>3193</v>
      </c>
    </row>
    <row r="1024" spans="1:4" hidden="1" x14ac:dyDescent="0.35">
      <c r="A1024" s="1">
        <v>3194</v>
      </c>
      <c r="B1024" s="2">
        <v>46287</v>
      </c>
      <c r="C1024" s="1" t="s">
        <v>52</v>
      </c>
      <c r="D1024" s="1">
        <f>IFERROR(VLOOKUP(DEG_REDE[[#This Row],[ID]],DEG_ACUM!A:A,1,0),"NOVO")</f>
        <v>3194</v>
      </c>
    </row>
    <row r="1025" spans="1:4" hidden="1" x14ac:dyDescent="0.35">
      <c r="A1025" s="1">
        <v>3195</v>
      </c>
      <c r="B1025" s="2">
        <v>46287</v>
      </c>
      <c r="C1025" s="1" t="s">
        <v>52</v>
      </c>
      <c r="D1025" s="1">
        <f>IFERROR(VLOOKUP(DEG_REDE[[#This Row],[ID]],DEG_ACUM!A:A,1,0),"NOVO")</f>
        <v>3195</v>
      </c>
    </row>
    <row r="1026" spans="1:4" hidden="1" x14ac:dyDescent="0.35">
      <c r="A1026" s="1">
        <v>3196</v>
      </c>
      <c r="B1026" s="2">
        <v>46287</v>
      </c>
      <c r="C1026" s="1" t="s">
        <v>64</v>
      </c>
      <c r="D1026" s="1">
        <f>IFERROR(VLOOKUP(DEG_REDE[[#This Row],[ID]],DEG_ACUM!A:A,1,0),"NOVO")</f>
        <v>3196</v>
      </c>
    </row>
    <row r="1027" spans="1:4" hidden="1" x14ac:dyDescent="0.35">
      <c r="A1027" s="1">
        <v>3197</v>
      </c>
      <c r="B1027" s="2">
        <v>46287</v>
      </c>
      <c r="C1027" s="1" t="s">
        <v>52</v>
      </c>
      <c r="D1027" s="1">
        <f>IFERROR(VLOOKUP(DEG_REDE[[#This Row],[ID]],DEG_ACUM!A:A,1,0),"NOVO")</f>
        <v>3197</v>
      </c>
    </row>
    <row r="1028" spans="1:4" hidden="1" x14ac:dyDescent="0.35">
      <c r="A1028" s="1">
        <v>3198</v>
      </c>
      <c r="B1028" s="2">
        <v>46287</v>
      </c>
      <c r="C1028" s="1" t="s">
        <v>52</v>
      </c>
      <c r="D1028" s="1">
        <f>IFERROR(VLOOKUP(DEG_REDE[[#This Row],[ID]],DEG_ACUM!A:A,1,0),"NOVO")</f>
        <v>3198</v>
      </c>
    </row>
    <row r="1029" spans="1:4" hidden="1" x14ac:dyDescent="0.35">
      <c r="A1029" s="1">
        <v>3207</v>
      </c>
      <c r="B1029" s="2">
        <v>46288</v>
      </c>
      <c r="C1029" s="1" t="s">
        <v>64</v>
      </c>
      <c r="D1029" s="1">
        <f>IFERROR(VLOOKUP(DEG_REDE[[#This Row],[ID]],DEG_ACUM!A:A,1,0),"NOVO")</f>
        <v>3207</v>
      </c>
    </row>
    <row r="1030" spans="1:4" hidden="1" x14ac:dyDescent="0.35">
      <c r="A1030" s="1">
        <v>3208</v>
      </c>
      <c r="B1030" s="2">
        <v>46288</v>
      </c>
      <c r="C1030" s="1" t="s">
        <v>61</v>
      </c>
      <c r="D1030" s="1">
        <f>IFERROR(VLOOKUP(DEG_REDE[[#This Row],[ID]],DEG_ACUM!A:A,1,0),"NOVO")</f>
        <v>3208</v>
      </c>
    </row>
    <row r="1031" spans="1:4" hidden="1" x14ac:dyDescent="0.35">
      <c r="A1031" s="1">
        <v>3211</v>
      </c>
      <c r="B1031" s="2">
        <v>46288</v>
      </c>
      <c r="C1031" s="1" t="s">
        <v>52</v>
      </c>
      <c r="D1031" s="1">
        <f>IFERROR(VLOOKUP(DEG_REDE[[#This Row],[ID]],DEG_ACUM!A:A,1,0),"NOVO")</f>
        <v>3211</v>
      </c>
    </row>
    <row r="1032" spans="1:4" hidden="1" x14ac:dyDescent="0.35">
      <c r="A1032" s="1">
        <v>3212</v>
      </c>
      <c r="B1032" s="2">
        <v>46288</v>
      </c>
      <c r="C1032" s="1" t="s">
        <v>52</v>
      </c>
      <c r="D1032" s="1">
        <f>IFERROR(VLOOKUP(DEG_REDE[[#This Row],[ID]],DEG_ACUM!A:A,1,0),"NOVO")</f>
        <v>3212</v>
      </c>
    </row>
    <row r="1033" spans="1:4" hidden="1" x14ac:dyDescent="0.35">
      <c r="A1033" s="1">
        <v>3213</v>
      </c>
      <c r="B1033" s="2">
        <v>46288</v>
      </c>
      <c r="C1033" s="1" t="s">
        <v>52</v>
      </c>
      <c r="D1033" s="1">
        <f>IFERROR(VLOOKUP(DEG_REDE[[#This Row],[ID]],DEG_ACUM!A:A,1,0),"NOVO")</f>
        <v>3213</v>
      </c>
    </row>
    <row r="1034" spans="1:4" hidden="1" x14ac:dyDescent="0.35">
      <c r="A1034" s="1">
        <v>3214</v>
      </c>
      <c r="B1034" s="2">
        <v>46288</v>
      </c>
      <c r="C1034" s="1" t="s">
        <v>52</v>
      </c>
      <c r="D1034" s="1">
        <f>IFERROR(VLOOKUP(DEG_REDE[[#This Row],[ID]],DEG_ACUM!A:A,1,0),"NOVO")</f>
        <v>3214</v>
      </c>
    </row>
    <row r="1035" spans="1:4" hidden="1" x14ac:dyDescent="0.35">
      <c r="A1035" s="1">
        <v>3215</v>
      </c>
      <c r="B1035" s="2">
        <v>46288</v>
      </c>
      <c r="C1035" s="1" t="s">
        <v>52</v>
      </c>
      <c r="D1035" s="1">
        <f>IFERROR(VLOOKUP(DEG_REDE[[#This Row],[ID]],DEG_ACUM!A:A,1,0),"NOVO")</f>
        <v>3215</v>
      </c>
    </row>
    <row r="1036" spans="1:4" hidden="1" x14ac:dyDescent="0.35">
      <c r="A1036" s="1">
        <v>3216</v>
      </c>
      <c r="B1036" s="2">
        <v>46288</v>
      </c>
      <c r="C1036" s="1" t="s">
        <v>52</v>
      </c>
      <c r="D1036" s="1">
        <f>IFERROR(VLOOKUP(DEG_REDE[[#This Row],[ID]],DEG_ACUM!A:A,1,0),"NOVO")</f>
        <v>3216</v>
      </c>
    </row>
    <row r="1037" spans="1:4" hidden="1" x14ac:dyDescent="0.35">
      <c r="A1037" s="1">
        <v>3217</v>
      </c>
      <c r="B1037" s="2">
        <v>46289</v>
      </c>
      <c r="C1037" s="1" t="s">
        <v>54</v>
      </c>
      <c r="D1037" s="1">
        <f>IFERROR(VLOOKUP(DEG_REDE[[#This Row],[ID]],DEG_ACUM!A:A,1,0),"NOVO")</f>
        <v>3217</v>
      </c>
    </row>
    <row r="1038" spans="1:4" hidden="1" x14ac:dyDescent="0.35">
      <c r="A1038" s="1">
        <v>3218</v>
      </c>
      <c r="B1038" s="2">
        <v>46289</v>
      </c>
      <c r="C1038" s="1" t="s">
        <v>54</v>
      </c>
      <c r="D1038" s="1">
        <f>IFERROR(VLOOKUP(DEG_REDE[[#This Row],[ID]],DEG_ACUM!A:A,1,0),"NOVO")</f>
        <v>3218</v>
      </c>
    </row>
    <row r="1039" spans="1:4" hidden="1" x14ac:dyDescent="0.35">
      <c r="A1039" s="1">
        <v>3219</v>
      </c>
      <c r="B1039" s="2">
        <v>46289</v>
      </c>
      <c r="C1039" s="1" t="s">
        <v>54</v>
      </c>
      <c r="D1039" s="1">
        <f>IFERROR(VLOOKUP(DEG_REDE[[#This Row],[ID]],DEG_ACUM!A:A,1,0),"NOVO")</f>
        <v>3219</v>
      </c>
    </row>
    <row r="1040" spans="1:4" hidden="1" x14ac:dyDescent="0.35">
      <c r="A1040" s="1">
        <v>3220</v>
      </c>
      <c r="B1040" s="2">
        <v>46289</v>
      </c>
      <c r="C1040" s="1" t="s">
        <v>54</v>
      </c>
      <c r="D1040" s="1">
        <f>IFERROR(VLOOKUP(DEG_REDE[[#This Row],[ID]],DEG_ACUM!A:A,1,0),"NOVO")</f>
        <v>3220</v>
      </c>
    </row>
    <row r="1041" spans="1:4" hidden="1" x14ac:dyDescent="0.35">
      <c r="A1041" s="1">
        <v>3221</v>
      </c>
      <c r="B1041" s="2">
        <v>46289</v>
      </c>
      <c r="C1041" s="1" t="s">
        <v>54</v>
      </c>
      <c r="D1041" s="1">
        <f>IFERROR(VLOOKUP(DEG_REDE[[#This Row],[ID]],DEG_ACUM!A:A,1,0),"NOVO")</f>
        <v>3221</v>
      </c>
    </row>
    <row r="1042" spans="1:4" hidden="1" x14ac:dyDescent="0.35">
      <c r="A1042" s="1">
        <v>3222</v>
      </c>
      <c r="B1042" s="2">
        <v>46289</v>
      </c>
      <c r="C1042" s="1" t="s">
        <v>51</v>
      </c>
      <c r="D1042" s="1">
        <f>IFERROR(VLOOKUP(DEG_REDE[[#This Row],[ID]],DEG_ACUM!A:A,1,0),"NOVO")</f>
        <v>3222</v>
      </c>
    </row>
    <row r="1043" spans="1:4" hidden="1" x14ac:dyDescent="0.35">
      <c r="A1043" s="1">
        <v>3224</v>
      </c>
      <c r="B1043" s="2">
        <v>46289</v>
      </c>
      <c r="C1043" s="1" t="s">
        <v>52</v>
      </c>
      <c r="D1043" s="1">
        <f>IFERROR(VLOOKUP(DEG_REDE[[#This Row],[ID]],DEG_ACUM!A:A,1,0),"NOVO")</f>
        <v>3224</v>
      </c>
    </row>
    <row r="1044" spans="1:4" hidden="1" x14ac:dyDescent="0.35">
      <c r="A1044" s="1">
        <v>3225</v>
      </c>
      <c r="B1044" s="2">
        <v>46289</v>
      </c>
      <c r="C1044" s="1" t="s">
        <v>52</v>
      </c>
      <c r="D1044" s="1">
        <f>IFERROR(VLOOKUP(DEG_REDE[[#This Row],[ID]],DEG_ACUM!A:A,1,0),"NOVO")</f>
        <v>3225</v>
      </c>
    </row>
    <row r="1045" spans="1:4" hidden="1" x14ac:dyDescent="0.35">
      <c r="A1045" s="1">
        <v>3226</v>
      </c>
      <c r="B1045" s="2">
        <v>46289</v>
      </c>
      <c r="C1045" s="1" t="s">
        <v>52</v>
      </c>
      <c r="D1045" s="1">
        <f>IFERROR(VLOOKUP(DEG_REDE[[#This Row],[ID]],DEG_ACUM!A:A,1,0),"NOVO")</f>
        <v>3226</v>
      </c>
    </row>
    <row r="1046" spans="1:4" hidden="1" x14ac:dyDescent="0.35">
      <c r="A1046" s="1">
        <v>3227</v>
      </c>
      <c r="B1046" s="2">
        <v>46289</v>
      </c>
      <c r="C1046" s="1" t="s">
        <v>52</v>
      </c>
      <c r="D1046" s="1">
        <f>IFERROR(VLOOKUP(DEG_REDE[[#This Row],[ID]],DEG_ACUM!A:A,1,0),"NOVO")</f>
        <v>3227</v>
      </c>
    </row>
    <row r="1047" spans="1:4" hidden="1" x14ac:dyDescent="0.35">
      <c r="A1047" s="1">
        <v>3228</v>
      </c>
      <c r="B1047" s="2">
        <v>46289</v>
      </c>
      <c r="C1047" s="1" t="s">
        <v>52</v>
      </c>
      <c r="D1047" s="1">
        <f>IFERROR(VLOOKUP(DEG_REDE[[#This Row],[ID]],DEG_ACUM!A:A,1,0),"NOVO")</f>
        <v>3228</v>
      </c>
    </row>
    <row r="1048" spans="1:4" hidden="1" x14ac:dyDescent="0.35">
      <c r="A1048" s="1">
        <v>3229</v>
      </c>
      <c r="B1048" s="2">
        <v>46289</v>
      </c>
      <c r="C1048" s="1" t="s">
        <v>52</v>
      </c>
      <c r="D1048" s="1">
        <f>IFERROR(VLOOKUP(DEG_REDE[[#This Row],[ID]],DEG_ACUM!A:A,1,0),"NOVO")</f>
        <v>3229</v>
      </c>
    </row>
    <row r="1049" spans="1:4" hidden="1" x14ac:dyDescent="0.35">
      <c r="A1049" s="1">
        <v>3230</v>
      </c>
      <c r="B1049" s="2">
        <v>46289</v>
      </c>
      <c r="C1049" s="1" t="s">
        <v>52</v>
      </c>
      <c r="D1049" s="1">
        <f>IFERROR(VLOOKUP(DEG_REDE[[#This Row],[ID]],DEG_ACUM!A:A,1,0),"NOVO")</f>
        <v>3230</v>
      </c>
    </row>
    <row r="1050" spans="1:4" hidden="1" x14ac:dyDescent="0.35">
      <c r="A1050" s="1">
        <v>3231</v>
      </c>
      <c r="B1050" s="2">
        <v>46289</v>
      </c>
      <c r="C1050" s="1" t="s">
        <v>52</v>
      </c>
      <c r="D1050" s="1">
        <f>IFERROR(VLOOKUP(DEG_REDE[[#This Row],[ID]],DEG_ACUM!A:A,1,0),"NOVO")</f>
        <v>3231</v>
      </c>
    </row>
    <row r="1051" spans="1:4" hidden="1" x14ac:dyDescent="0.35">
      <c r="A1051" s="1">
        <v>3232</v>
      </c>
      <c r="B1051" s="2">
        <v>46289</v>
      </c>
      <c r="C1051" s="1" t="s">
        <v>57</v>
      </c>
      <c r="D1051" s="1">
        <f>IFERROR(VLOOKUP(DEG_REDE[[#This Row],[ID]],DEG_ACUM!A:A,1,0),"NOVO")</f>
        <v>3232</v>
      </c>
    </row>
    <row r="1052" spans="1:4" hidden="1" x14ac:dyDescent="0.35">
      <c r="A1052" s="1">
        <v>3234</v>
      </c>
      <c r="B1052" s="2">
        <v>46290</v>
      </c>
      <c r="C1052" s="1" t="s">
        <v>64</v>
      </c>
      <c r="D1052" s="1">
        <f>IFERROR(VLOOKUP(DEG_REDE[[#This Row],[ID]],DEG_ACUM!A:A,1,0),"NOVO")</f>
        <v>3234</v>
      </c>
    </row>
    <row r="1053" spans="1:4" hidden="1" x14ac:dyDescent="0.35">
      <c r="A1053" s="1">
        <v>3235</v>
      </c>
      <c r="B1053" s="2">
        <v>46290</v>
      </c>
      <c r="C1053" s="1" t="s">
        <v>64</v>
      </c>
      <c r="D1053" s="1">
        <f>IFERROR(VLOOKUP(DEG_REDE[[#This Row],[ID]],DEG_ACUM!A:A,1,0),"NOVO")</f>
        <v>3235</v>
      </c>
    </row>
    <row r="1054" spans="1:4" hidden="1" x14ac:dyDescent="0.35">
      <c r="A1054" s="1">
        <v>3236</v>
      </c>
      <c r="B1054" s="2">
        <v>46290</v>
      </c>
      <c r="C1054" s="1" t="s">
        <v>64</v>
      </c>
      <c r="D1054" s="1">
        <f>IFERROR(VLOOKUP(DEG_REDE[[#This Row],[ID]],DEG_ACUM!A:A,1,0),"NOVO")</f>
        <v>3236</v>
      </c>
    </row>
    <row r="1055" spans="1:4" hidden="1" x14ac:dyDescent="0.35">
      <c r="A1055" s="1">
        <v>3238</v>
      </c>
      <c r="B1055" s="2">
        <v>46290</v>
      </c>
      <c r="C1055" s="1" t="s">
        <v>64</v>
      </c>
      <c r="D1055" s="1">
        <f>IFERROR(VLOOKUP(DEG_REDE[[#This Row],[ID]],DEG_ACUM!A:A,1,0),"NOVO")</f>
        <v>3238</v>
      </c>
    </row>
    <row r="1056" spans="1:4" hidden="1" x14ac:dyDescent="0.35">
      <c r="A1056" s="1">
        <v>3239</v>
      </c>
      <c r="B1056" s="2">
        <v>46290</v>
      </c>
      <c r="C1056" s="1" t="s">
        <v>61</v>
      </c>
      <c r="D1056" s="1">
        <f>IFERROR(VLOOKUP(DEG_REDE[[#This Row],[ID]],DEG_ACUM!A:A,1,0),"NOVO")</f>
        <v>3239</v>
      </c>
    </row>
    <row r="1057" spans="1:4" hidden="1" x14ac:dyDescent="0.35">
      <c r="A1057" s="1">
        <v>3246</v>
      </c>
      <c r="B1057" s="2">
        <v>46290</v>
      </c>
      <c r="C1057" s="1" t="s">
        <v>54</v>
      </c>
      <c r="D1057" s="1">
        <f>IFERROR(VLOOKUP(DEG_REDE[[#This Row],[ID]],DEG_ACUM!A:A,1,0),"NOVO")</f>
        <v>3246</v>
      </c>
    </row>
    <row r="1058" spans="1:4" hidden="1" x14ac:dyDescent="0.35">
      <c r="A1058" s="1">
        <v>3247</v>
      </c>
      <c r="B1058" s="2">
        <v>46290</v>
      </c>
      <c r="C1058" s="1" t="s">
        <v>54</v>
      </c>
      <c r="D1058" s="1">
        <f>IFERROR(VLOOKUP(DEG_REDE[[#This Row],[ID]],DEG_ACUM!A:A,1,0),"NOVO")</f>
        <v>3247</v>
      </c>
    </row>
    <row r="1059" spans="1:4" hidden="1" x14ac:dyDescent="0.35">
      <c r="A1059" s="1">
        <v>3248</v>
      </c>
      <c r="B1059" s="2">
        <v>46290</v>
      </c>
      <c r="C1059" s="1" t="s">
        <v>54</v>
      </c>
      <c r="D1059" s="1">
        <f>IFERROR(VLOOKUP(DEG_REDE[[#This Row],[ID]],DEG_ACUM!A:A,1,0),"NOVO")</f>
        <v>3248</v>
      </c>
    </row>
    <row r="1060" spans="1:4" hidden="1" x14ac:dyDescent="0.35">
      <c r="A1060" s="1">
        <v>3250</v>
      </c>
      <c r="B1060" s="2">
        <v>46290</v>
      </c>
      <c r="C1060" s="1" t="s">
        <v>54</v>
      </c>
      <c r="D1060" s="1">
        <f>IFERROR(VLOOKUP(DEG_REDE[[#This Row],[ID]],DEG_ACUM!A:A,1,0),"NOVO")</f>
        <v>3250</v>
      </c>
    </row>
    <row r="1061" spans="1:4" hidden="1" x14ac:dyDescent="0.35">
      <c r="A1061" s="1">
        <v>3251</v>
      </c>
      <c r="B1061" s="2">
        <v>46290</v>
      </c>
      <c r="C1061" s="1" t="s">
        <v>54</v>
      </c>
      <c r="D1061" s="1">
        <f>IFERROR(VLOOKUP(DEG_REDE[[#This Row],[ID]],DEG_ACUM!A:A,1,0),"NOVO")</f>
        <v>3251</v>
      </c>
    </row>
    <row r="1062" spans="1:4" hidden="1" x14ac:dyDescent="0.35">
      <c r="A1062" s="1">
        <v>3252</v>
      </c>
      <c r="B1062" s="2">
        <v>46290</v>
      </c>
      <c r="C1062" s="1" t="s">
        <v>54</v>
      </c>
      <c r="D1062" s="1">
        <f>IFERROR(VLOOKUP(DEG_REDE[[#This Row],[ID]],DEG_ACUM!A:A,1,0),"NOVO")</f>
        <v>3252</v>
      </c>
    </row>
    <row r="1063" spans="1:4" hidden="1" x14ac:dyDescent="0.35">
      <c r="A1063" s="1">
        <v>3253</v>
      </c>
      <c r="B1063" s="2">
        <v>46290</v>
      </c>
      <c r="C1063" s="1" t="s">
        <v>54</v>
      </c>
      <c r="D1063" s="1">
        <f>IFERROR(VLOOKUP(DEG_REDE[[#This Row],[ID]],DEG_ACUM!A:A,1,0),"NOVO")</f>
        <v>3253</v>
      </c>
    </row>
    <row r="1064" spans="1:4" hidden="1" x14ac:dyDescent="0.35">
      <c r="A1064" s="1">
        <v>3254</v>
      </c>
      <c r="B1064" s="2">
        <v>46290</v>
      </c>
      <c r="C1064" s="1" t="s">
        <v>54</v>
      </c>
      <c r="D1064" s="1">
        <f>IFERROR(VLOOKUP(DEG_REDE[[#This Row],[ID]],DEG_ACUM!A:A,1,0),"NOVO")</f>
        <v>3254</v>
      </c>
    </row>
    <row r="1065" spans="1:4" hidden="1" x14ac:dyDescent="0.35">
      <c r="A1065" s="1">
        <v>3255</v>
      </c>
      <c r="B1065" s="2">
        <v>46290</v>
      </c>
      <c r="C1065" s="1" t="s">
        <v>54</v>
      </c>
      <c r="D1065" s="1">
        <f>IFERROR(VLOOKUP(DEG_REDE[[#This Row],[ID]],DEG_ACUM!A:A,1,0),"NOVO")</f>
        <v>3255</v>
      </c>
    </row>
    <row r="1066" spans="1:4" hidden="1" x14ac:dyDescent="0.35">
      <c r="A1066" s="1">
        <v>3256</v>
      </c>
      <c r="B1066" s="2">
        <v>46290</v>
      </c>
      <c r="C1066" s="1" t="s">
        <v>54</v>
      </c>
      <c r="D1066" s="1">
        <f>IFERROR(VLOOKUP(DEG_REDE[[#This Row],[ID]],DEG_ACUM!A:A,1,0),"NOVO")</f>
        <v>3256</v>
      </c>
    </row>
    <row r="1067" spans="1:4" hidden="1" x14ac:dyDescent="0.35">
      <c r="A1067" s="1">
        <v>3259</v>
      </c>
      <c r="B1067" s="2">
        <v>46290</v>
      </c>
      <c r="C1067" s="1" t="s">
        <v>57</v>
      </c>
      <c r="D1067" s="1">
        <f>IFERROR(VLOOKUP(DEG_REDE[[#This Row],[ID]],DEG_ACUM!A:A,1,0),"NOVO")</f>
        <v>3259</v>
      </c>
    </row>
    <row r="1068" spans="1:4" hidden="1" x14ac:dyDescent="0.35">
      <c r="A1068" s="1">
        <v>3260</v>
      </c>
      <c r="B1068" s="2">
        <v>46290</v>
      </c>
      <c r="C1068" s="1" t="s">
        <v>57</v>
      </c>
      <c r="D1068" s="1">
        <f>IFERROR(VLOOKUP(DEG_REDE[[#This Row],[ID]],DEG_ACUM!A:A,1,0),"NOVO")</f>
        <v>3260</v>
      </c>
    </row>
    <row r="1069" spans="1:4" hidden="1" x14ac:dyDescent="0.35">
      <c r="A1069" s="1">
        <v>3261</v>
      </c>
      <c r="B1069" s="2">
        <v>46290</v>
      </c>
      <c r="C1069" s="1" t="s">
        <v>51</v>
      </c>
      <c r="D1069" s="1">
        <f>IFERROR(VLOOKUP(DEG_REDE[[#This Row],[ID]],DEG_ACUM!A:A,1,0),"NOVO")</f>
        <v>3261</v>
      </c>
    </row>
    <row r="1070" spans="1:4" hidden="1" x14ac:dyDescent="0.35">
      <c r="A1070" s="1">
        <v>3278</v>
      </c>
      <c r="B1070" s="2">
        <v>46293</v>
      </c>
      <c r="C1070" s="1" t="s">
        <v>64</v>
      </c>
      <c r="D1070" s="1">
        <f>IFERROR(VLOOKUP(DEG_REDE[[#This Row],[ID]],DEG_ACUM!A:A,1,0),"NOVO")</f>
        <v>3278</v>
      </c>
    </row>
    <row r="1071" spans="1:4" hidden="1" x14ac:dyDescent="0.35">
      <c r="A1071" s="1">
        <v>3283</v>
      </c>
      <c r="B1071" s="2">
        <v>46293</v>
      </c>
      <c r="C1071" s="1" t="s">
        <v>51</v>
      </c>
      <c r="D1071" s="1">
        <f>IFERROR(VLOOKUP(DEG_REDE[[#This Row],[ID]],DEG_ACUM!A:A,1,0),"NOVO")</f>
        <v>3283</v>
      </c>
    </row>
    <row r="1072" spans="1:4" hidden="1" x14ac:dyDescent="0.35">
      <c r="A1072" s="1">
        <v>3284</v>
      </c>
      <c r="B1072" s="2">
        <v>46293</v>
      </c>
      <c r="C1072" s="1" t="s">
        <v>65</v>
      </c>
      <c r="D1072" s="1">
        <f>IFERROR(VLOOKUP(DEG_REDE[[#This Row],[ID]],DEG_ACUM!A:A,1,0),"NOVO")</f>
        <v>3284</v>
      </c>
    </row>
    <row r="1073" spans="1:4" hidden="1" x14ac:dyDescent="0.35">
      <c r="A1073" s="1">
        <v>3285</v>
      </c>
      <c r="B1073" s="2">
        <v>46293</v>
      </c>
      <c r="C1073" s="1" t="s">
        <v>57</v>
      </c>
      <c r="D1073" s="1">
        <f>IFERROR(VLOOKUP(DEG_REDE[[#This Row],[ID]],DEG_ACUM!A:A,1,0),"NOVO")</f>
        <v>3285</v>
      </c>
    </row>
    <row r="1074" spans="1:4" hidden="1" x14ac:dyDescent="0.35">
      <c r="A1074" s="1">
        <v>3286</v>
      </c>
      <c r="B1074" s="2">
        <v>46294</v>
      </c>
      <c r="C1074" s="1" t="s">
        <v>57</v>
      </c>
      <c r="D1074" s="1">
        <f>IFERROR(VLOOKUP(DEG_REDE[[#This Row],[ID]],DEG_ACUM!A:A,1,0),"NOVO")</f>
        <v>3286</v>
      </c>
    </row>
    <row r="1075" spans="1:4" hidden="1" x14ac:dyDescent="0.35">
      <c r="A1075" s="1">
        <v>3287</v>
      </c>
      <c r="B1075" s="2">
        <v>46294</v>
      </c>
      <c r="C1075" s="1" t="s">
        <v>61</v>
      </c>
      <c r="D1075" s="1">
        <f>IFERROR(VLOOKUP(DEG_REDE[[#This Row],[ID]],DEG_ACUM!A:A,1,0),"NOVO")</f>
        <v>3287</v>
      </c>
    </row>
    <row r="1076" spans="1:4" hidden="1" x14ac:dyDescent="0.35">
      <c r="A1076" s="1">
        <v>3288</v>
      </c>
      <c r="B1076" s="2">
        <v>46294</v>
      </c>
      <c r="C1076" s="1" t="s">
        <v>52</v>
      </c>
      <c r="D1076" s="1">
        <f>IFERROR(VLOOKUP(DEG_REDE[[#This Row],[ID]],DEG_ACUM!A:A,1,0),"NOVO")</f>
        <v>3288</v>
      </c>
    </row>
    <row r="1077" spans="1:4" hidden="1" x14ac:dyDescent="0.35">
      <c r="A1077" s="1">
        <v>3289</v>
      </c>
      <c r="B1077" s="2">
        <v>46294</v>
      </c>
      <c r="C1077" s="1" t="s">
        <v>52</v>
      </c>
      <c r="D1077" s="1">
        <f>IFERROR(VLOOKUP(DEG_REDE[[#This Row],[ID]],DEG_ACUM!A:A,1,0),"NOVO")</f>
        <v>3289</v>
      </c>
    </row>
    <row r="1078" spans="1:4" hidden="1" x14ac:dyDescent="0.35">
      <c r="A1078" s="1">
        <v>3290</v>
      </c>
      <c r="B1078" s="2">
        <v>46294</v>
      </c>
      <c r="C1078" s="1" t="s">
        <v>52</v>
      </c>
      <c r="D1078" s="1">
        <f>IFERROR(VLOOKUP(DEG_REDE[[#This Row],[ID]],DEG_ACUM!A:A,1,0),"NOVO")</f>
        <v>3290</v>
      </c>
    </row>
    <row r="1079" spans="1:4" hidden="1" x14ac:dyDescent="0.35">
      <c r="A1079" s="1">
        <v>3291</v>
      </c>
      <c r="B1079" s="2">
        <v>46294</v>
      </c>
      <c r="C1079" s="1" t="s">
        <v>51</v>
      </c>
      <c r="D1079" s="1">
        <f>IFERROR(VLOOKUP(DEG_REDE[[#This Row],[ID]],DEG_ACUM!A:A,1,0),"NOVO")</f>
        <v>3291</v>
      </c>
    </row>
    <row r="1080" spans="1:4" hidden="1" x14ac:dyDescent="0.35">
      <c r="A1080" s="1">
        <v>3295</v>
      </c>
      <c r="B1080" s="2">
        <v>46295</v>
      </c>
      <c r="C1080" s="1" t="s">
        <v>57</v>
      </c>
      <c r="D1080" s="1">
        <f>IFERROR(VLOOKUP(DEG_REDE[[#This Row],[ID]],DEG_ACUM!A:A,1,0),"NOVO")</f>
        <v>3295</v>
      </c>
    </row>
    <row r="1081" spans="1:4" hidden="1" x14ac:dyDescent="0.35">
      <c r="A1081" s="1">
        <v>3296</v>
      </c>
      <c r="B1081" s="2">
        <v>46295</v>
      </c>
      <c r="C1081" s="1" t="s">
        <v>51</v>
      </c>
      <c r="D1081" s="1">
        <f>IFERROR(VLOOKUP(DEG_REDE[[#This Row],[ID]],DEG_ACUM!A:A,1,0),"NOVO")</f>
        <v>3296</v>
      </c>
    </row>
    <row r="1082" spans="1:4" hidden="1" x14ac:dyDescent="0.35">
      <c r="A1082" s="1">
        <v>3297</v>
      </c>
      <c r="B1082" s="2">
        <v>46295</v>
      </c>
      <c r="C1082" s="1" t="s">
        <v>61</v>
      </c>
      <c r="D1082" s="1">
        <f>IFERROR(VLOOKUP(DEG_REDE[[#This Row],[ID]],DEG_ACUM!A:A,1,0),"NOVO")</f>
        <v>3297</v>
      </c>
    </row>
    <row r="1083" spans="1:4" hidden="1" x14ac:dyDescent="0.35">
      <c r="A1083" s="1">
        <v>3298</v>
      </c>
      <c r="B1083" s="2">
        <v>46295</v>
      </c>
      <c r="C1083" s="1" t="s">
        <v>61</v>
      </c>
      <c r="D1083" s="1">
        <f>IFERROR(VLOOKUP(DEG_REDE[[#This Row],[ID]],DEG_ACUM!A:A,1,0),"NOVO")</f>
        <v>3298</v>
      </c>
    </row>
    <row r="1084" spans="1:4" hidden="1" x14ac:dyDescent="0.35">
      <c r="A1084" s="1">
        <v>3299</v>
      </c>
      <c r="B1084" s="2">
        <v>46295</v>
      </c>
      <c r="C1084" s="1" t="s">
        <v>61</v>
      </c>
      <c r="D1084" s="1">
        <f>IFERROR(VLOOKUP(DEG_REDE[[#This Row],[ID]],DEG_ACUM!A:A,1,0),"NOVO")</f>
        <v>3299</v>
      </c>
    </row>
    <row r="1085" spans="1:4" hidden="1" x14ac:dyDescent="0.35">
      <c r="A1085" s="1">
        <v>3301</v>
      </c>
      <c r="B1085" s="2">
        <v>46295</v>
      </c>
      <c r="C1085" s="1" t="s">
        <v>61</v>
      </c>
      <c r="D1085" s="1">
        <f>IFERROR(VLOOKUP(DEG_REDE[[#This Row],[ID]],DEG_ACUM!A:A,1,0),"NOVO")</f>
        <v>3301</v>
      </c>
    </row>
    <row r="1086" spans="1:4" hidden="1" x14ac:dyDescent="0.35">
      <c r="A1086" s="1">
        <v>3302</v>
      </c>
      <c r="B1086" s="2">
        <v>46295</v>
      </c>
      <c r="C1086" s="1" t="s">
        <v>61</v>
      </c>
      <c r="D1086" s="1">
        <f>IFERROR(VLOOKUP(DEG_REDE[[#This Row],[ID]],DEG_ACUM!A:A,1,0),"NOVO")</f>
        <v>3302</v>
      </c>
    </row>
    <row r="1087" spans="1:4" hidden="1" x14ac:dyDescent="0.35">
      <c r="A1087" s="1">
        <v>3303</v>
      </c>
      <c r="B1087" s="2">
        <v>46296</v>
      </c>
      <c r="C1087" s="1" t="s">
        <v>54</v>
      </c>
      <c r="D1087" s="1">
        <f>IFERROR(VLOOKUP(DEG_REDE[[#This Row],[ID]],DEG_ACUM!A:A,1,0),"NOVO")</f>
        <v>3303</v>
      </c>
    </row>
    <row r="1088" spans="1:4" hidden="1" x14ac:dyDescent="0.35">
      <c r="A1088" s="1">
        <v>3304</v>
      </c>
      <c r="B1088" s="2">
        <v>46296</v>
      </c>
      <c r="C1088" s="1" t="s">
        <v>51</v>
      </c>
      <c r="D1088" s="1">
        <f>IFERROR(VLOOKUP(DEG_REDE[[#This Row],[ID]],DEG_ACUM!A:A,1,0),"NOVO")</f>
        <v>3304</v>
      </c>
    </row>
    <row r="1089" spans="1:4" hidden="1" x14ac:dyDescent="0.35">
      <c r="A1089" s="1">
        <v>3308</v>
      </c>
      <c r="B1089" s="2">
        <v>46296</v>
      </c>
      <c r="C1089" s="1" t="s">
        <v>51</v>
      </c>
      <c r="D1089" s="1">
        <f>IFERROR(VLOOKUP(DEG_REDE[[#This Row],[ID]],DEG_ACUM!A:A,1,0),"NOVO")</f>
        <v>3308</v>
      </c>
    </row>
    <row r="1090" spans="1:4" hidden="1" x14ac:dyDescent="0.35">
      <c r="A1090" s="1">
        <v>3310</v>
      </c>
      <c r="B1090" s="2">
        <v>46296</v>
      </c>
      <c r="C1090" s="1" t="s">
        <v>52</v>
      </c>
      <c r="D1090" s="1">
        <f>IFERROR(VLOOKUP(DEG_REDE[[#This Row],[ID]],DEG_ACUM!A:A,1,0),"NOVO")</f>
        <v>3310</v>
      </c>
    </row>
    <row r="1091" spans="1:4" hidden="1" x14ac:dyDescent="0.35">
      <c r="A1091" s="1">
        <v>3311</v>
      </c>
      <c r="B1091" s="2">
        <v>46296</v>
      </c>
      <c r="C1091" s="1" t="s">
        <v>52</v>
      </c>
      <c r="D1091" s="1">
        <f>IFERROR(VLOOKUP(DEG_REDE[[#This Row],[ID]],DEG_ACUM!A:A,1,0),"NOVO")</f>
        <v>3311</v>
      </c>
    </row>
    <row r="1092" spans="1:4" hidden="1" x14ac:dyDescent="0.35">
      <c r="A1092" s="1">
        <v>3312</v>
      </c>
      <c r="B1092" s="2">
        <v>46296</v>
      </c>
      <c r="C1092" s="1" t="s">
        <v>52</v>
      </c>
      <c r="D1092" s="1">
        <f>IFERROR(VLOOKUP(DEG_REDE[[#This Row],[ID]],DEG_ACUM!A:A,1,0),"NOVO")</f>
        <v>3312</v>
      </c>
    </row>
    <row r="1093" spans="1:4" hidden="1" x14ac:dyDescent="0.35">
      <c r="A1093" s="1">
        <v>3313</v>
      </c>
      <c r="B1093" s="2">
        <v>46296</v>
      </c>
      <c r="C1093" s="1" t="s">
        <v>52</v>
      </c>
      <c r="D1093" s="1">
        <f>IFERROR(VLOOKUP(DEG_REDE[[#This Row],[ID]],DEG_ACUM!A:A,1,0),"NOVO")</f>
        <v>3313</v>
      </c>
    </row>
    <row r="1094" spans="1:4" hidden="1" x14ac:dyDescent="0.35">
      <c r="A1094" s="1">
        <v>3314</v>
      </c>
      <c r="B1094" s="2">
        <v>46296</v>
      </c>
      <c r="C1094" s="1" t="s">
        <v>54</v>
      </c>
      <c r="D1094" s="1">
        <f>IFERROR(VLOOKUP(DEG_REDE[[#This Row],[ID]],DEG_ACUM!A:A,1,0),"NOVO")</f>
        <v>3314</v>
      </c>
    </row>
    <row r="1095" spans="1:4" hidden="1" x14ac:dyDescent="0.35">
      <c r="A1095" s="1">
        <v>3315</v>
      </c>
      <c r="B1095" s="2">
        <v>46296</v>
      </c>
      <c r="C1095" s="1" t="s">
        <v>54</v>
      </c>
      <c r="D1095" s="1">
        <f>IFERROR(VLOOKUP(DEG_REDE[[#This Row],[ID]],DEG_ACUM!A:A,1,0),"NOVO")</f>
        <v>3315</v>
      </c>
    </row>
    <row r="1096" spans="1:4" hidden="1" x14ac:dyDescent="0.35">
      <c r="A1096" s="1">
        <v>3316</v>
      </c>
      <c r="B1096" s="2">
        <v>46296</v>
      </c>
      <c r="C1096" s="1" t="s">
        <v>54</v>
      </c>
      <c r="D1096" s="1">
        <f>IFERROR(VLOOKUP(DEG_REDE[[#This Row],[ID]],DEG_ACUM!A:A,1,0),"NOVO")</f>
        <v>3316</v>
      </c>
    </row>
    <row r="1097" spans="1:4" hidden="1" x14ac:dyDescent="0.35">
      <c r="A1097" s="1">
        <v>3317</v>
      </c>
      <c r="B1097" s="2">
        <v>46296</v>
      </c>
      <c r="C1097" s="1" t="s">
        <v>54</v>
      </c>
      <c r="D1097" s="1">
        <f>IFERROR(VLOOKUP(DEG_REDE[[#This Row],[ID]],DEG_ACUM!A:A,1,0),"NOVO")</f>
        <v>3317</v>
      </c>
    </row>
    <row r="1098" spans="1:4" hidden="1" x14ac:dyDescent="0.35">
      <c r="A1098" s="1">
        <v>3318</v>
      </c>
      <c r="B1098" s="2">
        <v>46296</v>
      </c>
      <c r="C1098" s="1" t="s">
        <v>54</v>
      </c>
      <c r="D1098" s="1">
        <f>IFERROR(VLOOKUP(DEG_REDE[[#This Row],[ID]],DEG_ACUM!A:A,1,0),"NOVO")</f>
        <v>3318</v>
      </c>
    </row>
    <row r="1099" spans="1:4" hidden="1" x14ac:dyDescent="0.35">
      <c r="A1099" s="1">
        <v>3319</v>
      </c>
      <c r="B1099" s="2">
        <v>46296</v>
      </c>
      <c r="C1099" s="1" t="s">
        <v>54</v>
      </c>
      <c r="D1099" s="1">
        <f>IFERROR(VLOOKUP(DEG_REDE[[#This Row],[ID]],DEG_ACUM!A:A,1,0),"NOVO")</f>
        <v>3319</v>
      </c>
    </row>
    <row r="1100" spans="1:4" hidden="1" x14ac:dyDescent="0.35">
      <c r="A1100" s="1">
        <v>3320</v>
      </c>
      <c r="B1100" s="2">
        <v>46297</v>
      </c>
      <c r="C1100" s="1" t="s">
        <v>57</v>
      </c>
      <c r="D1100" s="1">
        <f>IFERROR(VLOOKUP(DEG_REDE[[#This Row],[ID]],DEG_ACUM!A:A,1,0),"NOVO")</f>
        <v>3320</v>
      </c>
    </row>
    <row r="1101" spans="1:4" hidden="1" x14ac:dyDescent="0.35">
      <c r="A1101" s="1">
        <v>3321</v>
      </c>
      <c r="B1101" s="2">
        <v>46297</v>
      </c>
      <c r="C1101" s="1" t="s">
        <v>51</v>
      </c>
      <c r="D1101" s="1">
        <f>IFERROR(VLOOKUP(DEG_REDE[[#This Row],[ID]],DEG_ACUM!A:A,1,0),"NOVO")</f>
        <v>3321</v>
      </c>
    </row>
    <row r="1102" spans="1:4" hidden="1" x14ac:dyDescent="0.35">
      <c r="A1102" s="1">
        <v>3322</v>
      </c>
      <c r="B1102" s="2">
        <v>46297</v>
      </c>
      <c r="C1102" s="1" t="s">
        <v>57</v>
      </c>
      <c r="D1102" s="1">
        <f>IFERROR(VLOOKUP(DEG_REDE[[#This Row],[ID]],DEG_ACUM!A:A,1,0),"NOVO")</f>
        <v>3322</v>
      </c>
    </row>
    <row r="1103" spans="1:4" hidden="1" x14ac:dyDescent="0.35">
      <c r="A1103" s="1">
        <v>3323</v>
      </c>
      <c r="B1103" s="2">
        <v>46297</v>
      </c>
      <c r="C1103" s="1" t="s">
        <v>52</v>
      </c>
      <c r="D1103" s="1">
        <f>IFERROR(VLOOKUP(DEG_REDE[[#This Row],[ID]],DEG_ACUM!A:A,1,0),"NOVO")</f>
        <v>3323</v>
      </c>
    </row>
    <row r="1104" spans="1:4" hidden="1" x14ac:dyDescent="0.35">
      <c r="A1104" s="1">
        <v>3324</v>
      </c>
      <c r="B1104" s="2">
        <v>46297</v>
      </c>
      <c r="C1104" s="1" t="s">
        <v>52</v>
      </c>
      <c r="D1104" s="1">
        <f>IFERROR(VLOOKUP(DEG_REDE[[#This Row],[ID]],DEG_ACUM!A:A,1,0),"NOVO")</f>
        <v>3324</v>
      </c>
    </row>
    <row r="1105" spans="1:4" hidden="1" x14ac:dyDescent="0.35">
      <c r="A1105" s="1">
        <v>3325</v>
      </c>
      <c r="B1105" s="2">
        <v>46297</v>
      </c>
      <c r="C1105" s="1" t="s">
        <v>61</v>
      </c>
      <c r="D1105" s="1">
        <f>IFERROR(VLOOKUP(DEG_REDE[[#This Row],[ID]],DEG_ACUM!A:A,1,0),"NOVO")</f>
        <v>3325</v>
      </c>
    </row>
    <row r="1106" spans="1:4" hidden="1" x14ac:dyDescent="0.35">
      <c r="A1106" s="1">
        <v>3326</v>
      </c>
      <c r="B1106" s="2">
        <v>46297</v>
      </c>
      <c r="C1106" s="1" t="s">
        <v>61</v>
      </c>
      <c r="D1106" s="1">
        <f>IFERROR(VLOOKUP(DEG_REDE[[#This Row],[ID]],DEG_ACUM!A:A,1,0),"NOVO")</f>
        <v>3326</v>
      </c>
    </row>
    <row r="1107" spans="1:4" hidden="1" x14ac:dyDescent="0.35">
      <c r="A1107" s="1">
        <v>3327</v>
      </c>
      <c r="B1107" s="2">
        <v>46297</v>
      </c>
      <c r="C1107" s="1" t="s">
        <v>61</v>
      </c>
      <c r="D1107" s="1">
        <f>IFERROR(VLOOKUP(DEG_REDE[[#This Row],[ID]],DEG_ACUM!A:A,1,0),"NOVO")</f>
        <v>3327</v>
      </c>
    </row>
    <row r="1108" spans="1:4" hidden="1" x14ac:dyDescent="0.35">
      <c r="A1108" s="1">
        <v>3328</v>
      </c>
      <c r="B1108" s="2">
        <v>46297</v>
      </c>
      <c r="C1108" s="1" t="s">
        <v>52</v>
      </c>
      <c r="D1108" s="1">
        <f>IFERROR(VLOOKUP(DEG_REDE[[#This Row],[ID]],DEG_ACUM!A:A,1,0),"NOVO")</f>
        <v>3328</v>
      </c>
    </row>
    <row r="1109" spans="1:4" hidden="1" x14ac:dyDescent="0.35">
      <c r="A1109" s="1">
        <v>3329</v>
      </c>
      <c r="B1109" s="2">
        <v>46297</v>
      </c>
      <c r="C1109" s="1" t="s">
        <v>52</v>
      </c>
      <c r="D1109" s="1">
        <f>IFERROR(VLOOKUP(DEG_REDE[[#This Row],[ID]],DEG_ACUM!A:A,1,0),"NOVO")</f>
        <v>3329</v>
      </c>
    </row>
    <row r="1110" spans="1:4" hidden="1" x14ac:dyDescent="0.35">
      <c r="A1110" s="1">
        <v>3330</v>
      </c>
      <c r="B1110" s="2">
        <v>46297</v>
      </c>
      <c r="C1110" s="1" t="s">
        <v>52</v>
      </c>
      <c r="D1110" s="1">
        <f>IFERROR(VLOOKUP(DEG_REDE[[#This Row],[ID]],DEG_ACUM!A:A,1,0),"NOVO")</f>
        <v>3330</v>
      </c>
    </row>
    <row r="1111" spans="1:4" hidden="1" x14ac:dyDescent="0.35">
      <c r="A1111" s="1">
        <v>3331</v>
      </c>
      <c r="B1111" s="2">
        <v>46297</v>
      </c>
      <c r="C1111" s="1" t="s">
        <v>52</v>
      </c>
      <c r="D1111" s="1">
        <f>IFERROR(VLOOKUP(DEG_REDE[[#This Row],[ID]],DEG_ACUM!A:A,1,0),"NOVO")</f>
        <v>3331</v>
      </c>
    </row>
    <row r="1112" spans="1:4" hidden="1" x14ac:dyDescent="0.35">
      <c r="A1112" s="1">
        <v>3333</v>
      </c>
      <c r="B1112" s="2">
        <v>46300</v>
      </c>
      <c r="C1112" s="1" t="s">
        <v>61</v>
      </c>
      <c r="D1112" s="1">
        <f>IFERROR(VLOOKUP(DEG_REDE[[#This Row],[ID]],DEG_ACUM!A:A,1,0),"NOVO")</f>
        <v>3333</v>
      </c>
    </row>
    <row r="1113" spans="1:4" hidden="1" x14ac:dyDescent="0.35">
      <c r="A1113" s="1">
        <v>3334</v>
      </c>
      <c r="B1113" s="2">
        <v>46300</v>
      </c>
      <c r="C1113" s="1" t="s">
        <v>57</v>
      </c>
      <c r="D1113" s="1">
        <f>IFERROR(VLOOKUP(DEG_REDE[[#This Row],[ID]],DEG_ACUM!A:A,1,0),"NOVO")</f>
        <v>3334</v>
      </c>
    </row>
    <row r="1114" spans="1:4" hidden="1" x14ac:dyDescent="0.35">
      <c r="A1114" s="1">
        <v>3335</v>
      </c>
      <c r="B1114" s="2">
        <v>46300</v>
      </c>
      <c r="C1114" s="1" t="s">
        <v>51</v>
      </c>
      <c r="D1114" s="1">
        <f>IFERROR(VLOOKUP(DEG_REDE[[#This Row],[ID]],DEG_ACUM!A:A,1,0),"NOVO")</f>
        <v>3335</v>
      </c>
    </row>
    <row r="1115" spans="1:4" hidden="1" x14ac:dyDescent="0.35">
      <c r="A1115" s="1">
        <v>3336</v>
      </c>
      <c r="B1115" s="2">
        <v>46300</v>
      </c>
      <c r="C1115" s="1" t="s">
        <v>61</v>
      </c>
      <c r="D1115" s="1">
        <f>IFERROR(VLOOKUP(DEG_REDE[[#This Row],[ID]],DEG_ACUM!A:A,1,0),"NOVO")</f>
        <v>3336</v>
      </c>
    </row>
    <row r="1116" spans="1:4" hidden="1" x14ac:dyDescent="0.35">
      <c r="A1116" s="1">
        <v>3337</v>
      </c>
      <c r="B1116" s="2">
        <v>46300</v>
      </c>
      <c r="C1116" s="1" t="s">
        <v>61</v>
      </c>
      <c r="D1116" s="1">
        <f>IFERROR(VLOOKUP(DEG_REDE[[#This Row],[ID]],DEG_ACUM!A:A,1,0),"NOVO")</f>
        <v>3337</v>
      </c>
    </row>
    <row r="1117" spans="1:4" hidden="1" x14ac:dyDescent="0.35">
      <c r="A1117" s="1">
        <v>3338</v>
      </c>
      <c r="B1117" s="2">
        <v>46300</v>
      </c>
      <c r="C1117" s="1" t="s">
        <v>61</v>
      </c>
      <c r="D1117" s="1">
        <f>IFERROR(VLOOKUP(DEG_REDE[[#This Row],[ID]],DEG_ACUM!A:A,1,0),"NOVO")</f>
        <v>3338</v>
      </c>
    </row>
    <row r="1118" spans="1:4" hidden="1" x14ac:dyDescent="0.35">
      <c r="A1118" s="1">
        <v>3339</v>
      </c>
      <c r="B1118" s="2">
        <v>46300</v>
      </c>
      <c r="C1118" s="1" t="s">
        <v>61</v>
      </c>
      <c r="D1118" s="1">
        <f>IFERROR(VLOOKUP(DEG_REDE[[#This Row],[ID]],DEG_ACUM!A:A,1,0),"NOVO")</f>
        <v>3339</v>
      </c>
    </row>
    <row r="1119" spans="1:4" hidden="1" x14ac:dyDescent="0.35">
      <c r="A1119" s="1">
        <v>3340</v>
      </c>
      <c r="B1119" s="2">
        <v>46300</v>
      </c>
      <c r="C1119" s="1" t="s">
        <v>54</v>
      </c>
      <c r="D1119" s="1">
        <f>IFERROR(VLOOKUP(DEG_REDE[[#This Row],[ID]],DEG_ACUM!A:A,1,0),"NOVO")</f>
        <v>3340</v>
      </c>
    </row>
    <row r="1120" spans="1:4" hidden="1" x14ac:dyDescent="0.35">
      <c r="A1120" s="1">
        <v>3341</v>
      </c>
      <c r="B1120" s="2">
        <v>46300</v>
      </c>
      <c r="C1120" s="1" t="s">
        <v>54</v>
      </c>
      <c r="D1120" s="1">
        <f>IFERROR(VLOOKUP(DEG_REDE[[#This Row],[ID]],DEG_ACUM!A:A,1,0),"NOVO")</f>
        <v>3341</v>
      </c>
    </row>
    <row r="1121" spans="1:4" hidden="1" x14ac:dyDescent="0.35">
      <c r="A1121" s="1">
        <v>3342</v>
      </c>
      <c r="B1121" s="2">
        <v>46300</v>
      </c>
      <c r="C1121" s="1" t="s">
        <v>52</v>
      </c>
      <c r="D1121" s="1">
        <f>IFERROR(VLOOKUP(DEG_REDE[[#This Row],[ID]],DEG_ACUM!A:A,1,0),"NOVO")</f>
        <v>3342</v>
      </c>
    </row>
    <row r="1122" spans="1:4" hidden="1" x14ac:dyDescent="0.35">
      <c r="A1122" s="1">
        <v>3343</v>
      </c>
      <c r="B1122" s="2">
        <v>46300</v>
      </c>
      <c r="C1122" s="1" t="s">
        <v>54</v>
      </c>
      <c r="D1122" s="1">
        <f>IFERROR(VLOOKUP(DEG_REDE[[#This Row],[ID]],DEG_ACUM!A:A,1,0),"NOVO")</f>
        <v>3343</v>
      </c>
    </row>
    <row r="1123" spans="1:4" hidden="1" x14ac:dyDescent="0.35">
      <c r="A1123" s="1">
        <v>3344</v>
      </c>
      <c r="B1123" s="2">
        <v>46300</v>
      </c>
      <c r="C1123" s="1" t="s">
        <v>52</v>
      </c>
      <c r="D1123" s="1">
        <f>IFERROR(VLOOKUP(DEG_REDE[[#This Row],[ID]],DEG_ACUM!A:A,1,0),"NOVO")</f>
        <v>3344</v>
      </c>
    </row>
    <row r="1124" spans="1:4" hidden="1" x14ac:dyDescent="0.35">
      <c r="A1124" s="1">
        <v>3345</v>
      </c>
      <c r="B1124" s="2">
        <v>46300</v>
      </c>
      <c r="C1124" s="1" t="s">
        <v>54</v>
      </c>
      <c r="D1124" s="1">
        <f>IFERROR(VLOOKUP(DEG_REDE[[#This Row],[ID]],DEG_ACUM!A:A,1,0),"NOVO")</f>
        <v>3345</v>
      </c>
    </row>
    <row r="1125" spans="1:4" hidden="1" x14ac:dyDescent="0.35">
      <c r="A1125" s="1">
        <v>3346</v>
      </c>
      <c r="B1125" s="2">
        <v>46300</v>
      </c>
      <c r="C1125" s="1" t="s">
        <v>52</v>
      </c>
      <c r="D1125" s="1">
        <f>IFERROR(VLOOKUP(DEG_REDE[[#This Row],[ID]],DEG_ACUM!A:A,1,0),"NOVO")</f>
        <v>3346</v>
      </c>
    </row>
    <row r="1126" spans="1:4" hidden="1" x14ac:dyDescent="0.35">
      <c r="A1126" s="1">
        <v>3347</v>
      </c>
      <c r="B1126" s="2">
        <v>46300</v>
      </c>
      <c r="C1126" s="1" t="s">
        <v>54</v>
      </c>
      <c r="D1126" s="1">
        <f>IFERROR(VLOOKUP(DEG_REDE[[#This Row],[ID]],DEG_ACUM!A:A,1,0),"NOVO")</f>
        <v>3347</v>
      </c>
    </row>
    <row r="1127" spans="1:4" hidden="1" x14ac:dyDescent="0.35">
      <c r="A1127" s="1">
        <v>3348</v>
      </c>
      <c r="B1127" s="2">
        <v>46300</v>
      </c>
      <c r="C1127" s="1" t="s">
        <v>52</v>
      </c>
      <c r="D1127" s="1">
        <f>IFERROR(VLOOKUP(DEG_REDE[[#This Row],[ID]],DEG_ACUM!A:A,1,0),"NOVO")</f>
        <v>3348</v>
      </c>
    </row>
    <row r="1128" spans="1:4" hidden="1" x14ac:dyDescent="0.35">
      <c r="A1128" s="1">
        <v>3349</v>
      </c>
      <c r="B1128" s="2">
        <v>46300</v>
      </c>
      <c r="C1128" s="1" t="s">
        <v>54</v>
      </c>
      <c r="D1128" s="1">
        <f>IFERROR(VLOOKUP(DEG_REDE[[#This Row],[ID]],DEG_ACUM!A:A,1,0),"NOVO")</f>
        <v>3349</v>
      </c>
    </row>
    <row r="1129" spans="1:4" hidden="1" x14ac:dyDescent="0.35">
      <c r="A1129" s="1">
        <v>3350</v>
      </c>
      <c r="B1129" s="2">
        <v>46300</v>
      </c>
      <c r="C1129" s="1" t="s">
        <v>54</v>
      </c>
      <c r="D1129" s="1">
        <f>IFERROR(VLOOKUP(DEG_REDE[[#This Row],[ID]],DEG_ACUM!A:A,1,0),"NOVO")</f>
        <v>3350</v>
      </c>
    </row>
    <row r="1130" spans="1:4" hidden="1" x14ac:dyDescent="0.35">
      <c r="A1130" s="1">
        <v>3351</v>
      </c>
      <c r="B1130" s="2">
        <v>46300</v>
      </c>
      <c r="C1130" s="1" t="s">
        <v>54</v>
      </c>
      <c r="D1130" s="1">
        <f>IFERROR(VLOOKUP(DEG_REDE[[#This Row],[ID]],DEG_ACUM!A:A,1,0),"NOVO")</f>
        <v>3351</v>
      </c>
    </row>
    <row r="1131" spans="1:4" hidden="1" x14ac:dyDescent="0.35">
      <c r="A1131" s="1">
        <v>3352</v>
      </c>
      <c r="B1131" s="2">
        <v>46300</v>
      </c>
      <c r="C1131" s="1" t="s">
        <v>52</v>
      </c>
      <c r="D1131" s="1">
        <f>IFERROR(VLOOKUP(DEG_REDE[[#This Row],[ID]],DEG_ACUM!A:A,1,0),"NOVO")</f>
        <v>3352</v>
      </c>
    </row>
    <row r="1132" spans="1:4" hidden="1" x14ac:dyDescent="0.35">
      <c r="A1132" s="1">
        <v>3353</v>
      </c>
      <c r="B1132" s="2">
        <v>46300</v>
      </c>
      <c r="C1132" s="1" t="s">
        <v>54</v>
      </c>
      <c r="D1132" s="1">
        <f>IFERROR(VLOOKUP(DEG_REDE[[#This Row],[ID]],DEG_ACUM!A:A,1,0),"NOVO")</f>
        <v>3353</v>
      </c>
    </row>
    <row r="1133" spans="1:4" hidden="1" x14ac:dyDescent="0.35">
      <c r="A1133" s="1">
        <v>3354</v>
      </c>
      <c r="B1133" s="2">
        <v>46300</v>
      </c>
      <c r="C1133" s="1" t="s">
        <v>54</v>
      </c>
      <c r="D1133" s="1">
        <f>IFERROR(VLOOKUP(DEG_REDE[[#This Row],[ID]],DEG_ACUM!A:A,1,0),"NOVO")</f>
        <v>3354</v>
      </c>
    </row>
    <row r="1134" spans="1:4" hidden="1" x14ac:dyDescent="0.35">
      <c r="A1134" s="1">
        <v>3355</v>
      </c>
      <c r="B1134" s="2">
        <v>46300</v>
      </c>
      <c r="C1134" s="1" t="s">
        <v>54</v>
      </c>
      <c r="D1134" s="1">
        <f>IFERROR(VLOOKUP(DEG_REDE[[#This Row],[ID]],DEG_ACUM!A:A,1,0),"NOVO")</f>
        <v>3355</v>
      </c>
    </row>
    <row r="1135" spans="1:4" hidden="1" x14ac:dyDescent="0.35">
      <c r="A1135" s="1">
        <v>3356</v>
      </c>
      <c r="B1135" s="2">
        <v>46300</v>
      </c>
      <c r="C1135" s="1" t="s">
        <v>54</v>
      </c>
      <c r="D1135" s="1">
        <f>IFERROR(VLOOKUP(DEG_REDE[[#This Row],[ID]],DEG_ACUM!A:A,1,0),"NOVO")</f>
        <v>3356</v>
      </c>
    </row>
    <row r="1136" spans="1:4" hidden="1" x14ac:dyDescent="0.35">
      <c r="A1136" s="1">
        <v>3357</v>
      </c>
      <c r="B1136" s="2">
        <v>46300</v>
      </c>
      <c r="C1136" s="1" t="s">
        <v>54</v>
      </c>
      <c r="D1136" s="1">
        <f>IFERROR(VLOOKUP(DEG_REDE[[#This Row],[ID]],DEG_ACUM!A:A,1,0),"NOVO")</f>
        <v>3357</v>
      </c>
    </row>
    <row r="1137" spans="1:4" hidden="1" x14ac:dyDescent="0.35">
      <c r="A1137" s="1">
        <v>3358</v>
      </c>
      <c r="B1137" s="2">
        <v>46301</v>
      </c>
      <c r="C1137" s="1" t="s">
        <v>61</v>
      </c>
      <c r="D1137" s="1">
        <f>IFERROR(VLOOKUP(DEG_REDE[[#This Row],[ID]],DEG_ACUM!A:A,1,0),"NOVO")</f>
        <v>3358</v>
      </c>
    </row>
    <row r="1138" spans="1:4" hidden="1" x14ac:dyDescent="0.35">
      <c r="A1138" s="1">
        <v>3359</v>
      </c>
      <c r="B1138" s="2">
        <v>46301</v>
      </c>
      <c r="C1138" s="1" t="s">
        <v>64</v>
      </c>
      <c r="D1138" s="1">
        <f>IFERROR(VLOOKUP(DEG_REDE[[#This Row],[ID]],DEG_ACUM!A:A,1,0),"NOVO")</f>
        <v>3359</v>
      </c>
    </row>
    <row r="1139" spans="1:4" hidden="1" x14ac:dyDescent="0.35">
      <c r="A1139" s="1">
        <v>3360</v>
      </c>
      <c r="B1139" s="2">
        <v>46301</v>
      </c>
      <c r="C1139" s="1" t="s">
        <v>64</v>
      </c>
      <c r="D1139" s="1">
        <f>IFERROR(VLOOKUP(DEG_REDE[[#This Row],[ID]],DEG_ACUM!A:A,1,0),"NOVO")</f>
        <v>3360</v>
      </c>
    </row>
    <row r="1140" spans="1:4" hidden="1" x14ac:dyDescent="0.35">
      <c r="A1140" s="1">
        <v>3361</v>
      </c>
      <c r="B1140" s="2">
        <v>46301</v>
      </c>
      <c r="C1140" s="1" t="s">
        <v>64</v>
      </c>
      <c r="D1140" s="1">
        <f>IFERROR(VLOOKUP(DEG_REDE[[#This Row],[ID]],DEG_ACUM!A:A,1,0),"NOVO")</f>
        <v>3361</v>
      </c>
    </row>
    <row r="1141" spans="1:4" hidden="1" x14ac:dyDescent="0.35">
      <c r="A1141" s="1">
        <v>3362</v>
      </c>
      <c r="B1141" s="2">
        <v>46301</v>
      </c>
      <c r="C1141" s="1" t="s">
        <v>64</v>
      </c>
      <c r="D1141" s="1">
        <f>IFERROR(VLOOKUP(DEG_REDE[[#This Row],[ID]],DEG_ACUM!A:A,1,0),"NOVO")</f>
        <v>3362</v>
      </c>
    </row>
    <row r="1142" spans="1:4" hidden="1" x14ac:dyDescent="0.35">
      <c r="A1142" s="1">
        <v>3363</v>
      </c>
      <c r="B1142" s="2">
        <v>46301</v>
      </c>
      <c r="C1142" s="1" t="s">
        <v>64</v>
      </c>
      <c r="D1142" s="1">
        <f>IFERROR(VLOOKUP(DEG_REDE[[#This Row],[ID]],DEG_ACUM!A:A,1,0),"NOVO")</f>
        <v>3363</v>
      </c>
    </row>
    <row r="1143" spans="1:4" hidden="1" x14ac:dyDescent="0.35">
      <c r="A1143" s="1">
        <v>3364</v>
      </c>
      <c r="B1143" s="2">
        <v>46301</v>
      </c>
      <c r="C1143" s="1" t="s">
        <v>64</v>
      </c>
      <c r="D1143" s="1">
        <f>IFERROR(VLOOKUP(DEG_REDE[[#This Row],[ID]],DEG_ACUM!A:A,1,0),"NOVO")</f>
        <v>3364</v>
      </c>
    </row>
    <row r="1144" spans="1:4" hidden="1" x14ac:dyDescent="0.35">
      <c r="A1144" s="1">
        <v>3365</v>
      </c>
      <c r="B1144" s="2">
        <v>46301</v>
      </c>
      <c r="C1144" s="1" t="s">
        <v>64</v>
      </c>
      <c r="D1144" s="1">
        <f>IFERROR(VLOOKUP(DEG_REDE[[#This Row],[ID]],DEG_ACUM!A:A,1,0),"NOVO")</f>
        <v>3365</v>
      </c>
    </row>
    <row r="1145" spans="1:4" hidden="1" x14ac:dyDescent="0.35">
      <c r="A1145" s="1">
        <v>3366</v>
      </c>
      <c r="B1145" s="2">
        <v>46301</v>
      </c>
      <c r="C1145" s="1" t="s">
        <v>64</v>
      </c>
      <c r="D1145" s="1">
        <f>IFERROR(VLOOKUP(DEG_REDE[[#This Row],[ID]],DEG_ACUM!A:A,1,0),"NOVO")</f>
        <v>3366</v>
      </c>
    </row>
    <row r="1146" spans="1:4" hidden="1" x14ac:dyDescent="0.35">
      <c r="A1146" s="1">
        <v>3368</v>
      </c>
      <c r="B1146" s="2">
        <v>46301</v>
      </c>
      <c r="C1146" s="1" t="s">
        <v>51</v>
      </c>
      <c r="D1146" s="1">
        <f>IFERROR(VLOOKUP(DEG_REDE[[#This Row],[ID]],DEG_ACUM!A:A,1,0),"NOVO")</f>
        <v>3368</v>
      </c>
    </row>
    <row r="1147" spans="1:4" hidden="1" x14ac:dyDescent="0.35">
      <c r="A1147" s="1">
        <v>3370</v>
      </c>
      <c r="B1147" s="2">
        <v>46301</v>
      </c>
      <c r="C1147" s="1" t="s">
        <v>64</v>
      </c>
      <c r="D1147" s="1">
        <f>IFERROR(VLOOKUP(DEG_REDE[[#This Row],[ID]],DEG_ACUM!A:A,1,0),"NOVO")</f>
        <v>3370</v>
      </c>
    </row>
    <row r="1148" spans="1:4" hidden="1" x14ac:dyDescent="0.35">
      <c r="A1148" s="1">
        <v>3372</v>
      </c>
      <c r="B1148" s="2">
        <v>46301</v>
      </c>
      <c r="C1148" s="1" t="s">
        <v>64</v>
      </c>
      <c r="D1148" s="1">
        <f>IFERROR(VLOOKUP(DEG_REDE[[#This Row],[ID]],DEG_ACUM!A:A,1,0),"NOVO")</f>
        <v>3372</v>
      </c>
    </row>
    <row r="1149" spans="1:4" hidden="1" x14ac:dyDescent="0.35">
      <c r="A1149" s="1">
        <v>3373</v>
      </c>
      <c r="B1149" s="2">
        <v>46301</v>
      </c>
      <c r="C1149" s="1" t="s">
        <v>54</v>
      </c>
      <c r="D1149" s="1">
        <f>IFERROR(VLOOKUP(DEG_REDE[[#This Row],[ID]],DEG_ACUM!A:A,1,0),"NOVO")</f>
        <v>3373</v>
      </c>
    </row>
    <row r="1150" spans="1:4" hidden="1" x14ac:dyDescent="0.35">
      <c r="A1150" s="1">
        <v>3374</v>
      </c>
      <c r="B1150" s="2">
        <v>46301</v>
      </c>
      <c r="C1150" s="1" t="s">
        <v>54</v>
      </c>
      <c r="D1150" s="1">
        <f>IFERROR(VLOOKUP(DEG_REDE[[#This Row],[ID]],DEG_ACUM!A:A,1,0),"NOVO")</f>
        <v>3374</v>
      </c>
    </row>
    <row r="1151" spans="1:4" hidden="1" x14ac:dyDescent="0.35">
      <c r="A1151" s="1">
        <v>3375</v>
      </c>
      <c r="B1151" s="2">
        <v>46301</v>
      </c>
      <c r="C1151" s="1" t="s">
        <v>54</v>
      </c>
      <c r="D1151" s="1">
        <f>IFERROR(VLOOKUP(DEG_REDE[[#This Row],[ID]],DEG_ACUM!A:A,1,0),"NOVO")</f>
        <v>3375</v>
      </c>
    </row>
    <row r="1152" spans="1:4" hidden="1" x14ac:dyDescent="0.35">
      <c r="A1152" s="1">
        <v>3376</v>
      </c>
      <c r="B1152" s="2">
        <v>46301</v>
      </c>
      <c r="C1152" s="1" t="s">
        <v>54</v>
      </c>
      <c r="D1152" s="1">
        <f>IFERROR(VLOOKUP(DEG_REDE[[#This Row],[ID]],DEG_ACUM!A:A,1,0),"NOVO")</f>
        <v>3376</v>
      </c>
    </row>
    <row r="1153" spans="1:4" hidden="1" x14ac:dyDescent="0.35">
      <c r="A1153" s="1">
        <v>3377</v>
      </c>
      <c r="B1153" s="2">
        <v>46301</v>
      </c>
      <c r="C1153" s="1" t="s">
        <v>54</v>
      </c>
      <c r="D1153" s="1">
        <f>IFERROR(VLOOKUP(DEG_REDE[[#This Row],[ID]],DEG_ACUM!A:A,1,0),"NOVO")</f>
        <v>3377</v>
      </c>
    </row>
    <row r="1154" spans="1:4" hidden="1" x14ac:dyDescent="0.35">
      <c r="A1154" s="1">
        <v>3378</v>
      </c>
      <c r="B1154" s="2">
        <v>46301</v>
      </c>
      <c r="C1154" s="1" t="s">
        <v>54</v>
      </c>
      <c r="D1154" s="1">
        <f>IFERROR(VLOOKUP(DEG_REDE[[#This Row],[ID]],DEG_ACUM!A:A,1,0),"NOVO")</f>
        <v>3378</v>
      </c>
    </row>
    <row r="1155" spans="1:4" hidden="1" x14ac:dyDescent="0.35">
      <c r="A1155" s="1">
        <v>3379</v>
      </c>
      <c r="B1155" s="2">
        <v>46301</v>
      </c>
      <c r="C1155" s="1" t="s">
        <v>54</v>
      </c>
      <c r="D1155" s="1">
        <f>IFERROR(VLOOKUP(DEG_REDE[[#This Row],[ID]],DEG_ACUM!A:A,1,0),"NOVO")</f>
        <v>3379</v>
      </c>
    </row>
    <row r="1156" spans="1:4" hidden="1" x14ac:dyDescent="0.35">
      <c r="A1156" s="1">
        <v>3380</v>
      </c>
      <c r="B1156" s="2">
        <v>46301</v>
      </c>
      <c r="C1156" s="1" t="s">
        <v>54</v>
      </c>
      <c r="D1156" s="1">
        <f>IFERROR(VLOOKUP(DEG_REDE[[#This Row],[ID]],DEG_ACUM!A:A,1,0),"NOVO")</f>
        <v>3380</v>
      </c>
    </row>
    <row r="1157" spans="1:4" hidden="1" x14ac:dyDescent="0.35">
      <c r="A1157" s="1">
        <v>3381</v>
      </c>
      <c r="B1157" s="2">
        <v>46301</v>
      </c>
      <c r="C1157" s="1" t="s">
        <v>54</v>
      </c>
      <c r="D1157" s="1">
        <f>IFERROR(VLOOKUP(DEG_REDE[[#This Row],[ID]],DEG_ACUM!A:A,1,0),"NOVO")</f>
        <v>3381</v>
      </c>
    </row>
    <row r="1158" spans="1:4" hidden="1" x14ac:dyDescent="0.35">
      <c r="A1158" s="1">
        <v>3382</v>
      </c>
      <c r="B1158" s="2">
        <v>46301</v>
      </c>
      <c r="C1158" s="1" t="s">
        <v>54</v>
      </c>
      <c r="D1158" s="1">
        <f>IFERROR(VLOOKUP(DEG_REDE[[#This Row],[ID]],DEG_ACUM!A:A,1,0),"NOVO")</f>
        <v>3382</v>
      </c>
    </row>
    <row r="1159" spans="1:4" hidden="1" x14ac:dyDescent="0.35">
      <c r="A1159" s="1">
        <v>3383</v>
      </c>
      <c r="B1159" s="2">
        <v>46301</v>
      </c>
      <c r="C1159" s="1" t="s">
        <v>54</v>
      </c>
      <c r="D1159" s="1">
        <f>IFERROR(VLOOKUP(DEG_REDE[[#This Row],[ID]],DEG_ACUM!A:A,1,0),"NOVO")</f>
        <v>3383</v>
      </c>
    </row>
    <row r="1160" spans="1:4" hidden="1" x14ac:dyDescent="0.35">
      <c r="A1160" s="1">
        <v>3385</v>
      </c>
      <c r="B1160" s="2">
        <v>46301</v>
      </c>
      <c r="C1160" s="1" t="s">
        <v>61</v>
      </c>
      <c r="D1160" s="1">
        <f>IFERROR(VLOOKUP(DEG_REDE[[#This Row],[ID]],DEG_ACUM!A:A,1,0),"NOVO")</f>
        <v>3385</v>
      </c>
    </row>
    <row r="1161" spans="1:4" hidden="1" x14ac:dyDescent="0.35">
      <c r="A1161" s="1">
        <v>3387</v>
      </c>
      <c r="B1161" s="2">
        <v>46301</v>
      </c>
      <c r="C1161" s="1" t="s">
        <v>61</v>
      </c>
      <c r="D1161" s="1">
        <f>IFERROR(VLOOKUP(DEG_REDE[[#This Row],[ID]],DEG_ACUM!A:A,1,0),"NOVO")</f>
        <v>3387</v>
      </c>
    </row>
    <row r="1162" spans="1:4" hidden="1" x14ac:dyDescent="0.35">
      <c r="A1162" s="1">
        <v>3390</v>
      </c>
      <c r="B1162" s="2">
        <v>46301</v>
      </c>
      <c r="C1162" s="1" t="s">
        <v>61</v>
      </c>
      <c r="D1162" s="1">
        <f>IFERROR(VLOOKUP(DEG_REDE[[#This Row],[ID]],DEG_ACUM!A:A,1,0),"NOVO")</f>
        <v>3390</v>
      </c>
    </row>
    <row r="1163" spans="1:4" hidden="1" x14ac:dyDescent="0.35">
      <c r="A1163" s="1">
        <v>3392</v>
      </c>
      <c r="B1163" s="2">
        <v>46301</v>
      </c>
      <c r="C1163" s="1" t="s">
        <v>61</v>
      </c>
      <c r="D1163" s="1">
        <f>IFERROR(VLOOKUP(DEG_REDE[[#This Row],[ID]],DEG_ACUM!A:A,1,0),"NOVO")</f>
        <v>3392</v>
      </c>
    </row>
    <row r="1164" spans="1:4" hidden="1" x14ac:dyDescent="0.35">
      <c r="A1164" s="1">
        <v>3394</v>
      </c>
      <c r="B1164" s="2">
        <v>46301</v>
      </c>
      <c r="C1164" s="1" t="s">
        <v>61</v>
      </c>
      <c r="D1164" s="1">
        <f>IFERROR(VLOOKUP(DEG_REDE[[#This Row],[ID]],DEG_ACUM!A:A,1,0),"NOVO")</f>
        <v>3394</v>
      </c>
    </row>
    <row r="1165" spans="1:4" hidden="1" x14ac:dyDescent="0.35">
      <c r="A1165" s="1">
        <v>3397</v>
      </c>
      <c r="B1165" s="2">
        <v>46301</v>
      </c>
      <c r="C1165" s="1" t="s">
        <v>61</v>
      </c>
      <c r="D1165" s="1">
        <f>IFERROR(VLOOKUP(DEG_REDE[[#This Row],[ID]],DEG_ACUM!A:A,1,0),"NOVO")</f>
        <v>3397</v>
      </c>
    </row>
    <row r="1166" spans="1:4" hidden="1" x14ac:dyDescent="0.35">
      <c r="A1166" s="1">
        <v>3399</v>
      </c>
      <c r="B1166" s="2">
        <v>46301</v>
      </c>
      <c r="C1166" s="1" t="s">
        <v>61</v>
      </c>
      <c r="D1166" s="1">
        <f>IFERROR(VLOOKUP(DEG_REDE[[#This Row],[ID]],DEG_ACUM!A:A,1,0),"NOVO")</f>
        <v>3399</v>
      </c>
    </row>
    <row r="1167" spans="1:4" hidden="1" x14ac:dyDescent="0.35">
      <c r="A1167" s="1">
        <v>3401</v>
      </c>
      <c r="B1167" s="2">
        <v>46302</v>
      </c>
      <c r="C1167" s="1" t="s">
        <v>61</v>
      </c>
      <c r="D1167" s="1">
        <f>IFERROR(VLOOKUP(DEG_REDE[[#This Row],[ID]],DEG_ACUM!A:A,1,0),"NOVO")</f>
        <v>3401</v>
      </c>
    </row>
    <row r="1168" spans="1:4" hidden="1" x14ac:dyDescent="0.35">
      <c r="A1168" s="1">
        <v>3402</v>
      </c>
      <c r="B1168" s="2">
        <v>46302</v>
      </c>
      <c r="C1168" s="1" t="s">
        <v>61</v>
      </c>
      <c r="D1168" s="1">
        <f>IFERROR(VLOOKUP(DEG_REDE[[#This Row],[ID]],DEG_ACUM!A:A,1,0),"NOVO")</f>
        <v>3402</v>
      </c>
    </row>
    <row r="1169" spans="1:4" hidden="1" x14ac:dyDescent="0.35">
      <c r="A1169" s="1">
        <v>3403</v>
      </c>
      <c r="B1169" s="2">
        <v>46302</v>
      </c>
      <c r="C1169" s="1" t="s">
        <v>64</v>
      </c>
      <c r="D1169" s="1">
        <f>IFERROR(VLOOKUP(DEG_REDE[[#This Row],[ID]],DEG_ACUM!A:A,1,0),"NOVO")</f>
        <v>3403</v>
      </c>
    </row>
    <row r="1170" spans="1:4" hidden="1" x14ac:dyDescent="0.35">
      <c r="A1170" s="1">
        <v>3404</v>
      </c>
      <c r="B1170" s="2">
        <v>46302</v>
      </c>
      <c r="C1170" s="1" t="s">
        <v>61</v>
      </c>
      <c r="D1170" s="1">
        <f>IFERROR(VLOOKUP(DEG_REDE[[#This Row],[ID]],DEG_ACUM!A:A,1,0),"NOVO")</f>
        <v>3404</v>
      </c>
    </row>
    <row r="1171" spans="1:4" hidden="1" x14ac:dyDescent="0.35">
      <c r="A1171" s="1">
        <v>3405</v>
      </c>
      <c r="B1171" s="2">
        <v>46302</v>
      </c>
      <c r="C1171" s="1" t="s">
        <v>51</v>
      </c>
      <c r="D1171" s="1">
        <f>IFERROR(VLOOKUP(DEG_REDE[[#This Row],[ID]],DEG_ACUM!A:A,1,0),"NOVO")</f>
        <v>3405</v>
      </c>
    </row>
    <row r="1172" spans="1:4" hidden="1" x14ac:dyDescent="0.35">
      <c r="A1172" s="1">
        <v>3406</v>
      </c>
      <c r="B1172" s="2">
        <v>46302</v>
      </c>
      <c r="C1172" s="1" t="s">
        <v>51</v>
      </c>
      <c r="D1172" s="1">
        <f>IFERROR(VLOOKUP(DEG_REDE[[#This Row],[ID]],DEG_ACUM!A:A,1,0),"NOVO")</f>
        <v>3406</v>
      </c>
    </row>
    <row r="1173" spans="1:4" hidden="1" x14ac:dyDescent="0.35">
      <c r="A1173" s="1">
        <v>3407</v>
      </c>
      <c r="B1173" s="2">
        <v>46302</v>
      </c>
      <c r="C1173" s="1" t="s">
        <v>52</v>
      </c>
      <c r="D1173" s="1">
        <f>IFERROR(VLOOKUP(DEG_REDE[[#This Row],[ID]],DEG_ACUM!A:A,1,0),"NOVO")</f>
        <v>3407</v>
      </c>
    </row>
    <row r="1174" spans="1:4" hidden="1" x14ac:dyDescent="0.35">
      <c r="A1174" s="1">
        <v>3408</v>
      </c>
      <c r="B1174" s="2">
        <v>46302</v>
      </c>
      <c r="C1174" s="1" t="s">
        <v>52</v>
      </c>
      <c r="D1174" s="1">
        <f>IFERROR(VLOOKUP(DEG_REDE[[#This Row],[ID]],DEG_ACUM!A:A,1,0),"NOVO")</f>
        <v>3408</v>
      </c>
    </row>
    <row r="1175" spans="1:4" hidden="1" x14ac:dyDescent="0.35">
      <c r="A1175" s="1">
        <v>3409</v>
      </c>
      <c r="B1175" s="2">
        <v>46302</v>
      </c>
      <c r="C1175" s="1" t="s">
        <v>52</v>
      </c>
      <c r="D1175" s="1">
        <f>IFERROR(VLOOKUP(DEG_REDE[[#This Row],[ID]],DEG_ACUM!A:A,1,0),"NOVO")</f>
        <v>3409</v>
      </c>
    </row>
    <row r="1176" spans="1:4" hidden="1" x14ac:dyDescent="0.35">
      <c r="A1176" s="1">
        <v>3410</v>
      </c>
      <c r="B1176" s="2">
        <v>46302</v>
      </c>
      <c r="C1176" s="1" t="s">
        <v>52</v>
      </c>
      <c r="D1176" s="1">
        <f>IFERROR(VLOOKUP(DEG_REDE[[#This Row],[ID]],DEG_ACUM!A:A,1,0),"NOVO")</f>
        <v>3410</v>
      </c>
    </row>
    <row r="1177" spans="1:4" hidden="1" x14ac:dyDescent="0.35">
      <c r="A1177" s="1">
        <v>3411</v>
      </c>
      <c r="B1177" s="2">
        <v>46302</v>
      </c>
      <c r="C1177" s="1" t="s">
        <v>57</v>
      </c>
      <c r="D1177" s="1">
        <f>IFERROR(VLOOKUP(DEG_REDE[[#This Row],[ID]],DEG_ACUM!A:A,1,0),"NOVO")</f>
        <v>3411</v>
      </c>
    </row>
    <row r="1178" spans="1:4" hidden="1" x14ac:dyDescent="0.35">
      <c r="A1178" s="1">
        <v>3416</v>
      </c>
      <c r="B1178" s="2">
        <v>46302</v>
      </c>
      <c r="C1178" s="1" t="s">
        <v>64</v>
      </c>
      <c r="D1178" s="1">
        <f>IFERROR(VLOOKUP(DEG_REDE[[#This Row],[ID]],DEG_ACUM!A:A,1,0),"NOVO")</f>
        <v>3416</v>
      </c>
    </row>
    <row r="1179" spans="1:4" hidden="1" x14ac:dyDescent="0.35">
      <c r="A1179" s="1">
        <v>3417</v>
      </c>
      <c r="B1179" s="2">
        <v>46303</v>
      </c>
      <c r="C1179" s="1" t="s">
        <v>57</v>
      </c>
      <c r="D1179" s="1">
        <f>IFERROR(VLOOKUP(DEG_REDE[[#This Row],[ID]],DEG_ACUM!A:A,1,0),"NOVO")</f>
        <v>3417</v>
      </c>
    </row>
    <row r="1180" spans="1:4" hidden="1" x14ac:dyDescent="0.35">
      <c r="A1180" s="1">
        <v>3418</v>
      </c>
      <c r="B1180" s="2">
        <v>46303</v>
      </c>
      <c r="C1180" s="1" t="s">
        <v>54</v>
      </c>
      <c r="D1180" s="1">
        <f>IFERROR(VLOOKUP(DEG_REDE[[#This Row],[ID]],DEG_ACUM!A:A,1,0),"NOVO")</f>
        <v>3418</v>
      </c>
    </row>
    <row r="1181" spans="1:4" hidden="1" x14ac:dyDescent="0.35">
      <c r="A1181" s="1">
        <v>3419</v>
      </c>
      <c r="B1181" s="2">
        <v>46303</v>
      </c>
      <c r="C1181" s="1" t="s">
        <v>54</v>
      </c>
      <c r="D1181" s="1">
        <f>IFERROR(VLOOKUP(DEG_REDE[[#This Row],[ID]],DEG_ACUM!A:A,1,0),"NOVO")</f>
        <v>3419</v>
      </c>
    </row>
    <row r="1182" spans="1:4" hidden="1" x14ac:dyDescent="0.35">
      <c r="A1182" s="1">
        <v>3420</v>
      </c>
      <c r="B1182" s="2">
        <v>46303</v>
      </c>
      <c r="C1182" s="1" t="s">
        <v>54</v>
      </c>
      <c r="D1182" s="1">
        <f>IFERROR(VLOOKUP(DEG_REDE[[#This Row],[ID]],DEG_ACUM!A:A,1,0),"NOVO")</f>
        <v>3420</v>
      </c>
    </row>
    <row r="1183" spans="1:4" hidden="1" x14ac:dyDescent="0.35">
      <c r="A1183" s="1">
        <v>3421</v>
      </c>
      <c r="B1183" s="2">
        <v>46303</v>
      </c>
      <c r="C1183" s="1" t="s">
        <v>54</v>
      </c>
      <c r="D1183" s="1">
        <f>IFERROR(VLOOKUP(DEG_REDE[[#This Row],[ID]],DEG_ACUM!A:A,1,0),"NOVO")</f>
        <v>3421</v>
      </c>
    </row>
    <row r="1184" spans="1:4" hidden="1" x14ac:dyDescent="0.35">
      <c r="A1184" s="1">
        <v>3422</v>
      </c>
      <c r="B1184" s="2">
        <v>46303</v>
      </c>
      <c r="C1184" s="1" t="s">
        <v>64</v>
      </c>
      <c r="D1184" s="1">
        <f>IFERROR(VLOOKUP(DEG_REDE[[#This Row],[ID]],DEG_ACUM!A:A,1,0),"NOVO")</f>
        <v>3422</v>
      </c>
    </row>
    <row r="1185" spans="1:4" hidden="1" x14ac:dyDescent="0.35">
      <c r="A1185" s="1">
        <v>3429</v>
      </c>
      <c r="B1185" s="2">
        <v>46303</v>
      </c>
      <c r="C1185" s="1" t="s">
        <v>51</v>
      </c>
      <c r="D1185" s="1">
        <f>IFERROR(VLOOKUP(DEG_REDE[[#This Row],[ID]],DEG_ACUM!A:A,1,0),"NOVO")</f>
        <v>3429</v>
      </c>
    </row>
    <row r="1186" spans="1:4" hidden="1" x14ac:dyDescent="0.35">
      <c r="A1186" s="1">
        <v>3430</v>
      </c>
      <c r="B1186" s="2">
        <v>46303</v>
      </c>
      <c r="C1186" s="1" t="s">
        <v>64</v>
      </c>
      <c r="D1186" s="1">
        <f>IFERROR(VLOOKUP(DEG_REDE[[#This Row],[ID]],DEG_ACUM!A:A,1,0),"NOVO")</f>
        <v>3430</v>
      </c>
    </row>
    <row r="1187" spans="1:4" hidden="1" x14ac:dyDescent="0.35">
      <c r="A1187" s="1">
        <v>3431</v>
      </c>
      <c r="B1187" s="2">
        <v>46303</v>
      </c>
      <c r="C1187" s="1" t="s">
        <v>64</v>
      </c>
      <c r="D1187" s="1">
        <f>IFERROR(VLOOKUP(DEG_REDE[[#This Row],[ID]],DEG_ACUM!A:A,1,0),"NOVO")</f>
        <v>3431</v>
      </c>
    </row>
    <row r="1188" spans="1:4" hidden="1" x14ac:dyDescent="0.35">
      <c r="A1188" s="1">
        <v>3433</v>
      </c>
      <c r="B1188" s="2">
        <v>46303</v>
      </c>
      <c r="C1188" s="1" t="s">
        <v>57</v>
      </c>
      <c r="D1188" s="1">
        <f>IFERROR(VLOOKUP(DEG_REDE[[#This Row],[ID]],DEG_ACUM!A:A,1,0),"NOVO")</f>
        <v>3433</v>
      </c>
    </row>
    <row r="1189" spans="1:4" hidden="1" x14ac:dyDescent="0.35">
      <c r="A1189" s="1">
        <v>3434</v>
      </c>
      <c r="B1189" s="2">
        <v>46303</v>
      </c>
      <c r="C1189" s="1" t="s">
        <v>57</v>
      </c>
      <c r="D1189" s="1">
        <f>IFERROR(VLOOKUP(DEG_REDE[[#This Row],[ID]],DEG_ACUM!A:A,1,0),"NOVO")</f>
        <v>3434</v>
      </c>
    </row>
    <row r="1190" spans="1:4" hidden="1" x14ac:dyDescent="0.35">
      <c r="A1190" s="1">
        <v>3435</v>
      </c>
      <c r="B1190" s="2">
        <v>46304</v>
      </c>
      <c r="C1190" s="1" t="s">
        <v>61</v>
      </c>
      <c r="D1190" s="1">
        <f>IFERROR(VLOOKUP(DEG_REDE[[#This Row],[ID]],DEG_ACUM!A:A,1,0),"NOVO")</f>
        <v>3435</v>
      </c>
    </row>
    <row r="1191" spans="1:4" hidden="1" x14ac:dyDescent="0.35">
      <c r="A1191" s="1">
        <v>3436</v>
      </c>
      <c r="B1191" s="2">
        <v>46304</v>
      </c>
      <c r="C1191" s="1" t="s">
        <v>57</v>
      </c>
      <c r="D1191" s="1">
        <f>IFERROR(VLOOKUP(DEG_REDE[[#This Row],[ID]],DEG_ACUM!A:A,1,0),"NOVO")</f>
        <v>3436</v>
      </c>
    </row>
    <row r="1192" spans="1:4" hidden="1" x14ac:dyDescent="0.35">
      <c r="A1192" s="1">
        <v>3437</v>
      </c>
      <c r="B1192" s="2">
        <v>46304</v>
      </c>
      <c r="C1192" s="1" t="s">
        <v>52</v>
      </c>
      <c r="D1192" s="1">
        <f>IFERROR(VLOOKUP(DEG_REDE[[#This Row],[ID]],DEG_ACUM!A:A,1,0),"NOVO")</f>
        <v>3437</v>
      </c>
    </row>
    <row r="1193" spans="1:4" hidden="1" x14ac:dyDescent="0.35">
      <c r="A1193" s="1">
        <v>3438</v>
      </c>
      <c r="B1193" s="2">
        <v>46304</v>
      </c>
      <c r="C1193" s="1" t="s">
        <v>52</v>
      </c>
      <c r="D1193" s="1">
        <f>IFERROR(VLOOKUP(DEG_REDE[[#This Row],[ID]],DEG_ACUM!A:A,1,0),"NOVO")</f>
        <v>3438</v>
      </c>
    </row>
    <row r="1194" spans="1:4" hidden="1" x14ac:dyDescent="0.35">
      <c r="A1194" s="1">
        <v>3439</v>
      </c>
      <c r="B1194" s="2">
        <v>46304</v>
      </c>
      <c r="C1194" s="1" t="s">
        <v>52</v>
      </c>
      <c r="D1194" s="1">
        <f>IFERROR(VLOOKUP(DEG_REDE[[#This Row],[ID]],DEG_ACUM!A:A,1,0),"NOVO")</f>
        <v>3439</v>
      </c>
    </row>
    <row r="1195" spans="1:4" hidden="1" x14ac:dyDescent="0.35">
      <c r="A1195" s="1">
        <v>3440</v>
      </c>
      <c r="B1195" s="2">
        <v>46304</v>
      </c>
      <c r="C1195" s="1" t="s">
        <v>52</v>
      </c>
      <c r="D1195" s="1">
        <f>IFERROR(VLOOKUP(DEG_REDE[[#This Row],[ID]],DEG_ACUM!A:A,1,0),"NOVO")</f>
        <v>3440</v>
      </c>
    </row>
    <row r="1196" spans="1:4" hidden="1" x14ac:dyDescent="0.35">
      <c r="A1196" s="1">
        <v>3441</v>
      </c>
      <c r="B1196" s="2">
        <v>46304</v>
      </c>
      <c r="C1196" s="1" t="s">
        <v>52</v>
      </c>
      <c r="D1196" s="1">
        <f>IFERROR(VLOOKUP(DEG_REDE[[#This Row],[ID]],DEG_ACUM!A:A,1,0),"NOVO")</f>
        <v>3441</v>
      </c>
    </row>
    <row r="1197" spans="1:4" hidden="1" x14ac:dyDescent="0.35">
      <c r="A1197" s="1">
        <v>3446</v>
      </c>
      <c r="B1197" s="2">
        <v>46304</v>
      </c>
      <c r="C1197" s="1" t="s">
        <v>64</v>
      </c>
      <c r="D1197" s="1">
        <f>IFERROR(VLOOKUP(DEG_REDE[[#This Row],[ID]],DEG_ACUM!A:A,1,0),"NOVO")</f>
        <v>3446</v>
      </c>
    </row>
    <row r="1198" spans="1:4" hidden="1" x14ac:dyDescent="0.35">
      <c r="A1198" s="1">
        <v>3447</v>
      </c>
      <c r="B1198" s="2">
        <v>46304</v>
      </c>
      <c r="C1198" s="1" t="s">
        <v>64</v>
      </c>
      <c r="D1198" s="1">
        <f>IFERROR(VLOOKUP(DEG_REDE[[#This Row],[ID]],DEG_ACUM!A:A,1,0),"NOVO")</f>
        <v>3447</v>
      </c>
    </row>
    <row r="1199" spans="1:4" hidden="1" x14ac:dyDescent="0.35">
      <c r="A1199" s="1">
        <v>3448</v>
      </c>
      <c r="B1199" s="2">
        <v>46304</v>
      </c>
      <c r="C1199" s="1" t="s">
        <v>54</v>
      </c>
      <c r="D1199" s="1">
        <f>IFERROR(VLOOKUP(DEG_REDE[[#This Row],[ID]],DEG_ACUM!A:A,1,0),"NOVO")</f>
        <v>3448</v>
      </c>
    </row>
    <row r="1200" spans="1:4" hidden="1" x14ac:dyDescent="0.35">
      <c r="A1200" s="1">
        <v>3449</v>
      </c>
      <c r="B1200" s="2">
        <v>46304</v>
      </c>
      <c r="C1200" s="1" t="s">
        <v>54</v>
      </c>
      <c r="D1200" s="1">
        <f>IFERROR(VLOOKUP(DEG_REDE[[#This Row],[ID]],DEG_ACUM!A:A,1,0),"NOVO")</f>
        <v>3449</v>
      </c>
    </row>
    <row r="1201" spans="1:4" hidden="1" x14ac:dyDescent="0.35">
      <c r="A1201" s="1">
        <v>3450</v>
      </c>
      <c r="B1201" s="2">
        <v>46304</v>
      </c>
      <c r="C1201" s="1" t="s">
        <v>54</v>
      </c>
      <c r="D1201" s="1">
        <f>IFERROR(VLOOKUP(DEG_REDE[[#This Row],[ID]],DEG_ACUM!A:A,1,0),"NOVO")</f>
        <v>3450</v>
      </c>
    </row>
    <row r="1202" spans="1:4" hidden="1" x14ac:dyDescent="0.35">
      <c r="A1202" s="1">
        <v>3451</v>
      </c>
      <c r="B1202" s="2">
        <v>46304</v>
      </c>
      <c r="C1202" s="1" t="s">
        <v>54</v>
      </c>
      <c r="D1202" s="1">
        <f>IFERROR(VLOOKUP(DEG_REDE[[#This Row],[ID]],DEG_ACUM!A:A,1,0),"NOVO")</f>
        <v>3451</v>
      </c>
    </row>
    <row r="1203" spans="1:4" hidden="1" x14ac:dyDescent="0.35">
      <c r="A1203" s="1">
        <v>3452</v>
      </c>
      <c r="B1203" s="2">
        <v>46304</v>
      </c>
      <c r="C1203" s="1" t="s">
        <v>54</v>
      </c>
      <c r="D1203" s="1">
        <f>IFERROR(VLOOKUP(DEG_REDE[[#This Row],[ID]],DEG_ACUM!A:A,1,0),"NOVO")</f>
        <v>3452</v>
      </c>
    </row>
    <row r="1204" spans="1:4" hidden="1" x14ac:dyDescent="0.35">
      <c r="A1204" s="1">
        <v>3453</v>
      </c>
      <c r="B1204" s="2">
        <v>46304</v>
      </c>
      <c r="C1204" s="1" t="s">
        <v>54</v>
      </c>
      <c r="D1204" s="1">
        <f>IFERROR(VLOOKUP(DEG_REDE[[#This Row],[ID]],DEG_ACUM!A:A,1,0),"NOVO")</f>
        <v>3453</v>
      </c>
    </row>
    <row r="1205" spans="1:4" hidden="1" x14ac:dyDescent="0.35">
      <c r="A1205" s="1">
        <v>3455</v>
      </c>
      <c r="B1205" s="2">
        <v>46304</v>
      </c>
      <c r="C1205" s="1" t="s">
        <v>61</v>
      </c>
      <c r="D1205" s="1">
        <f>IFERROR(VLOOKUP(DEG_REDE[[#This Row],[ID]],DEG_ACUM!A:A,1,0),"NOVO")</f>
        <v>3455</v>
      </c>
    </row>
    <row r="1206" spans="1:4" hidden="1" x14ac:dyDescent="0.35">
      <c r="A1206" s="1">
        <v>3456</v>
      </c>
      <c r="B1206" s="2">
        <v>46308</v>
      </c>
      <c r="C1206" s="1" t="s">
        <v>61</v>
      </c>
      <c r="D1206" s="1">
        <f>IFERROR(VLOOKUP(DEG_REDE[[#This Row],[ID]],DEG_ACUM!A:A,1,0),"NOVO")</f>
        <v>3456</v>
      </c>
    </row>
    <row r="1207" spans="1:4" hidden="1" x14ac:dyDescent="0.35">
      <c r="A1207" s="1">
        <v>3457</v>
      </c>
      <c r="B1207" s="2">
        <v>46308</v>
      </c>
      <c r="C1207" s="1" t="s">
        <v>61</v>
      </c>
      <c r="D1207" s="1">
        <f>IFERROR(VLOOKUP(DEG_REDE[[#This Row],[ID]],DEG_ACUM!A:A,1,0),"NOVO")</f>
        <v>3457</v>
      </c>
    </row>
    <row r="1208" spans="1:4" hidden="1" x14ac:dyDescent="0.35">
      <c r="A1208" s="1">
        <v>3458</v>
      </c>
      <c r="B1208" s="2">
        <v>46308</v>
      </c>
      <c r="C1208" s="1" t="s">
        <v>61</v>
      </c>
      <c r="D1208" s="1">
        <f>IFERROR(VLOOKUP(DEG_REDE[[#This Row],[ID]],DEG_ACUM!A:A,1,0),"NOVO")</f>
        <v>3458</v>
      </c>
    </row>
    <row r="1209" spans="1:4" hidden="1" x14ac:dyDescent="0.35">
      <c r="A1209" s="1">
        <v>3459</v>
      </c>
      <c r="B1209" s="2">
        <v>46308</v>
      </c>
      <c r="C1209" s="1" t="s">
        <v>64</v>
      </c>
      <c r="D1209" s="1">
        <f>IFERROR(VLOOKUP(DEG_REDE[[#This Row],[ID]],DEG_ACUM!A:A,1,0),"NOVO")</f>
        <v>3459</v>
      </c>
    </row>
    <row r="1210" spans="1:4" hidden="1" x14ac:dyDescent="0.35">
      <c r="A1210" s="1">
        <v>3460</v>
      </c>
      <c r="B1210" s="2">
        <v>46308</v>
      </c>
      <c r="C1210" s="1" t="s">
        <v>61</v>
      </c>
      <c r="D1210" s="1">
        <f>IFERROR(VLOOKUP(DEG_REDE[[#This Row],[ID]],DEG_ACUM!A:A,1,0),"NOVO")</f>
        <v>3460</v>
      </c>
    </row>
    <row r="1211" spans="1:4" hidden="1" x14ac:dyDescent="0.35">
      <c r="A1211" s="1">
        <v>3464</v>
      </c>
      <c r="B1211" s="2">
        <v>46308</v>
      </c>
      <c r="C1211" s="1" t="s">
        <v>62</v>
      </c>
      <c r="D1211" s="1">
        <f>IFERROR(VLOOKUP(DEG_REDE[[#This Row],[ID]],DEG_ACUM!A:A,1,0),"NOVO")</f>
        <v>3464</v>
      </c>
    </row>
    <row r="1212" spans="1:4" hidden="1" x14ac:dyDescent="0.35">
      <c r="A1212" s="1">
        <v>3465</v>
      </c>
      <c r="B1212" s="2">
        <v>46308</v>
      </c>
      <c r="C1212" s="1" t="s">
        <v>62</v>
      </c>
      <c r="D1212" s="1">
        <f>IFERROR(VLOOKUP(DEG_REDE[[#This Row],[ID]],DEG_ACUM!A:A,1,0),"NOVO")</f>
        <v>3465</v>
      </c>
    </row>
    <row r="1213" spans="1:4" hidden="1" x14ac:dyDescent="0.35">
      <c r="A1213" s="1">
        <v>3466</v>
      </c>
      <c r="B1213" s="2">
        <v>46308</v>
      </c>
      <c r="C1213" s="1" t="s">
        <v>62</v>
      </c>
      <c r="D1213" s="1">
        <f>IFERROR(VLOOKUP(DEG_REDE[[#This Row],[ID]],DEG_ACUM!A:A,1,0),"NOVO")</f>
        <v>3466</v>
      </c>
    </row>
    <row r="1214" spans="1:4" hidden="1" x14ac:dyDescent="0.35">
      <c r="A1214" s="1">
        <v>3467</v>
      </c>
      <c r="B1214" s="2">
        <v>46308</v>
      </c>
      <c r="C1214" s="1" t="s">
        <v>62</v>
      </c>
      <c r="D1214" s="1">
        <f>IFERROR(VLOOKUP(DEG_REDE[[#This Row],[ID]],DEG_ACUM!A:A,1,0),"NOVO")</f>
        <v>3467</v>
      </c>
    </row>
    <row r="1215" spans="1:4" hidden="1" x14ac:dyDescent="0.35">
      <c r="A1215" s="1">
        <v>3468</v>
      </c>
      <c r="B1215" s="2">
        <v>46308</v>
      </c>
      <c r="C1215" s="1" t="s">
        <v>62</v>
      </c>
      <c r="D1215" s="1">
        <f>IFERROR(VLOOKUP(DEG_REDE[[#This Row],[ID]],DEG_ACUM!A:A,1,0),"NOVO")</f>
        <v>3468</v>
      </c>
    </row>
    <row r="1216" spans="1:4" hidden="1" x14ac:dyDescent="0.35">
      <c r="A1216" s="1">
        <v>3469</v>
      </c>
      <c r="B1216" s="2">
        <v>46308</v>
      </c>
      <c r="C1216" s="1" t="s">
        <v>54</v>
      </c>
      <c r="D1216" s="1">
        <f>IFERROR(VLOOKUP(DEG_REDE[[#This Row],[ID]],DEG_ACUM!A:A,1,0),"NOVO")</f>
        <v>3469</v>
      </c>
    </row>
    <row r="1217" spans="1:4" hidden="1" x14ac:dyDescent="0.35">
      <c r="A1217" s="1">
        <v>3470</v>
      </c>
      <c r="B1217" s="2">
        <v>46308</v>
      </c>
      <c r="C1217" s="1" t="s">
        <v>54</v>
      </c>
      <c r="D1217" s="1">
        <f>IFERROR(VLOOKUP(DEG_REDE[[#This Row],[ID]],DEG_ACUM!A:A,1,0),"NOVO")</f>
        <v>3470</v>
      </c>
    </row>
    <row r="1218" spans="1:4" hidden="1" x14ac:dyDescent="0.35">
      <c r="A1218" s="1">
        <v>3471</v>
      </c>
      <c r="B1218" s="2">
        <v>46308</v>
      </c>
      <c r="C1218" s="1" t="s">
        <v>54</v>
      </c>
      <c r="D1218" s="1">
        <f>IFERROR(VLOOKUP(DEG_REDE[[#This Row],[ID]],DEG_ACUM!A:A,1,0),"NOVO")</f>
        <v>3471</v>
      </c>
    </row>
    <row r="1219" spans="1:4" hidden="1" x14ac:dyDescent="0.35">
      <c r="A1219" s="1">
        <v>3472</v>
      </c>
      <c r="B1219" s="2">
        <v>46308</v>
      </c>
      <c r="C1219" s="1" t="s">
        <v>54</v>
      </c>
      <c r="D1219" s="1">
        <f>IFERROR(VLOOKUP(DEG_REDE[[#This Row],[ID]],DEG_ACUM!A:A,1,0),"NOVO")</f>
        <v>3472</v>
      </c>
    </row>
    <row r="1220" spans="1:4" hidden="1" x14ac:dyDescent="0.35">
      <c r="A1220" s="1">
        <v>3473</v>
      </c>
      <c r="B1220" s="2">
        <v>46308</v>
      </c>
      <c r="C1220" s="1" t="s">
        <v>54</v>
      </c>
      <c r="D1220" s="1">
        <f>IFERROR(VLOOKUP(DEG_REDE[[#This Row],[ID]],DEG_ACUM!A:A,1,0),"NOVO")</f>
        <v>3473</v>
      </c>
    </row>
    <row r="1221" spans="1:4" hidden="1" x14ac:dyDescent="0.35">
      <c r="A1221" s="1">
        <v>3474</v>
      </c>
      <c r="B1221" s="2">
        <v>46308</v>
      </c>
      <c r="C1221" s="1" t="s">
        <v>54</v>
      </c>
      <c r="D1221" s="1">
        <f>IFERROR(VLOOKUP(DEG_REDE[[#This Row],[ID]],DEG_ACUM!A:A,1,0),"NOVO")</f>
        <v>3474</v>
      </c>
    </row>
    <row r="1222" spans="1:4" hidden="1" x14ac:dyDescent="0.35">
      <c r="A1222" s="1">
        <v>3475</v>
      </c>
      <c r="B1222" s="2">
        <v>46308</v>
      </c>
      <c r="C1222" s="1" t="s">
        <v>54</v>
      </c>
      <c r="D1222" s="1">
        <f>IFERROR(VLOOKUP(DEG_REDE[[#This Row],[ID]],DEG_ACUM!A:A,1,0),"NOVO")</f>
        <v>3475</v>
      </c>
    </row>
    <row r="1223" spans="1:4" hidden="1" x14ac:dyDescent="0.35">
      <c r="A1223" s="1">
        <v>3476</v>
      </c>
      <c r="B1223" s="2">
        <v>46308</v>
      </c>
      <c r="C1223" s="1" t="s">
        <v>54</v>
      </c>
      <c r="D1223" s="1">
        <f>IFERROR(VLOOKUP(DEG_REDE[[#This Row],[ID]],DEG_ACUM!A:A,1,0),"NOVO")</f>
        <v>3476</v>
      </c>
    </row>
    <row r="1224" spans="1:4" hidden="1" x14ac:dyDescent="0.35">
      <c r="A1224" s="1">
        <v>3477</v>
      </c>
      <c r="B1224" s="2">
        <v>46308</v>
      </c>
      <c r="C1224" s="1" t="s">
        <v>54</v>
      </c>
      <c r="D1224" s="1">
        <f>IFERROR(VLOOKUP(DEG_REDE[[#This Row],[ID]],DEG_ACUM!A:A,1,0),"NOVO")</f>
        <v>3477</v>
      </c>
    </row>
    <row r="1225" spans="1:4" hidden="1" x14ac:dyDescent="0.35">
      <c r="A1225" s="1">
        <v>3478</v>
      </c>
      <c r="B1225" s="2">
        <v>46308</v>
      </c>
      <c r="C1225" s="1" t="s">
        <v>54</v>
      </c>
      <c r="D1225" s="1">
        <f>IFERROR(VLOOKUP(DEG_REDE[[#This Row],[ID]],DEG_ACUM!A:A,1,0),"NOVO")</f>
        <v>3478</v>
      </c>
    </row>
    <row r="1226" spans="1:4" hidden="1" x14ac:dyDescent="0.35">
      <c r="A1226" s="1">
        <v>3479</v>
      </c>
      <c r="B1226" s="2">
        <v>46308</v>
      </c>
      <c r="C1226" s="1" t="s">
        <v>54</v>
      </c>
      <c r="D1226" s="1">
        <f>IFERROR(VLOOKUP(DEG_REDE[[#This Row],[ID]],DEG_ACUM!A:A,1,0),"NOVO")</f>
        <v>3479</v>
      </c>
    </row>
    <row r="1227" spans="1:4" hidden="1" x14ac:dyDescent="0.35">
      <c r="A1227" s="1">
        <v>3480</v>
      </c>
      <c r="B1227" s="2">
        <v>46308</v>
      </c>
      <c r="C1227" s="1" t="s">
        <v>62</v>
      </c>
      <c r="D1227" s="1">
        <f>IFERROR(VLOOKUP(DEG_REDE[[#This Row],[ID]],DEG_ACUM!A:A,1,0),"NOVO")</f>
        <v>3480</v>
      </c>
    </row>
    <row r="1228" spans="1:4" hidden="1" x14ac:dyDescent="0.35">
      <c r="A1228" s="1">
        <v>3481</v>
      </c>
      <c r="B1228" s="2">
        <v>46308</v>
      </c>
      <c r="C1228" s="1" t="s">
        <v>54</v>
      </c>
      <c r="D1228" s="1">
        <f>IFERROR(VLOOKUP(DEG_REDE[[#This Row],[ID]],DEG_ACUM!A:A,1,0),"NOVO")</f>
        <v>3481</v>
      </c>
    </row>
    <row r="1229" spans="1:4" hidden="1" x14ac:dyDescent="0.35">
      <c r="A1229" s="1">
        <v>3482</v>
      </c>
      <c r="B1229" s="2">
        <v>46308</v>
      </c>
      <c r="C1229" s="1" t="s">
        <v>54</v>
      </c>
      <c r="D1229" s="1">
        <f>IFERROR(VLOOKUP(DEG_REDE[[#This Row],[ID]],DEG_ACUM!A:A,1,0),"NOVO")</f>
        <v>3482</v>
      </c>
    </row>
    <row r="1230" spans="1:4" hidden="1" x14ac:dyDescent="0.35">
      <c r="A1230" s="1">
        <v>3483</v>
      </c>
      <c r="B1230" s="2">
        <v>46308</v>
      </c>
      <c r="C1230" s="1" t="s">
        <v>54</v>
      </c>
      <c r="D1230" s="1">
        <f>IFERROR(VLOOKUP(DEG_REDE[[#This Row],[ID]],DEG_ACUM!A:A,1,0),"NOVO")</f>
        <v>3483</v>
      </c>
    </row>
    <row r="1231" spans="1:4" hidden="1" x14ac:dyDescent="0.35">
      <c r="A1231" s="1">
        <v>3484</v>
      </c>
      <c r="B1231" s="2">
        <v>46308</v>
      </c>
      <c r="C1231" s="1" t="s">
        <v>54</v>
      </c>
      <c r="D1231" s="1">
        <f>IFERROR(VLOOKUP(DEG_REDE[[#This Row],[ID]],DEG_ACUM!A:A,1,0),"NOVO")</f>
        <v>3484</v>
      </c>
    </row>
    <row r="1232" spans="1:4" hidden="1" x14ac:dyDescent="0.35">
      <c r="A1232" s="1">
        <v>3485</v>
      </c>
      <c r="B1232" s="2">
        <v>46308</v>
      </c>
      <c r="C1232" s="1" t="s">
        <v>54</v>
      </c>
      <c r="D1232" s="1">
        <f>IFERROR(VLOOKUP(DEG_REDE[[#This Row],[ID]],DEG_ACUM!A:A,1,0),"NOVO")</f>
        <v>3485</v>
      </c>
    </row>
    <row r="1233" spans="1:4" hidden="1" x14ac:dyDescent="0.35">
      <c r="A1233" s="1">
        <v>3486</v>
      </c>
      <c r="B1233" s="2">
        <v>46308</v>
      </c>
      <c r="C1233" s="1" t="s">
        <v>54</v>
      </c>
      <c r="D1233" s="1">
        <f>IFERROR(VLOOKUP(DEG_REDE[[#This Row],[ID]],DEG_ACUM!A:A,1,0),"NOVO")</f>
        <v>3486</v>
      </c>
    </row>
    <row r="1234" spans="1:4" hidden="1" x14ac:dyDescent="0.35">
      <c r="A1234" s="1">
        <v>3487</v>
      </c>
      <c r="B1234" s="2">
        <v>46309</v>
      </c>
      <c r="C1234" s="1" t="s">
        <v>62</v>
      </c>
      <c r="D1234" s="1">
        <f>IFERROR(VLOOKUP(DEG_REDE[[#This Row],[ID]],DEG_ACUM!A:A,1,0),"NOVO")</f>
        <v>3487</v>
      </c>
    </row>
    <row r="1235" spans="1:4" hidden="1" x14ac:dyDescent="0.35">
      <c r="A1235" s="1">
        <v>3488</v>
      </c>
      <c r="B1235" s="2">
        <v>46309</v>
      </c>
      <c r="C1235" s="1" t="s">
        <v>57</v>
      </c>
      <c r="D1235" s="1">
        <f>IFERROR(VLOOKUP(DEG_REDE[[#This Row],[ID]],DEG_ACUM!A:A,1,0),"NOVO")</f>
        <v>3488</v>
      </c>
    </row>
    <row r="1236" spans="1:4" hidden="1" x14ac:dyDescent="0.35">
      <c r="A1236" s="1">
        <v>3489</v>
      </c>
      <c r="B1236" s="2">
        <v>46309</v>
      </c>
      <c r="C1236" s="1" t="s">
        <v>61</v>
      </c>
      <c r="D1236" s="1">
        <f>IFERROR(VLOOKUP(DEG_REDE[[#This Row],[ID]],DEG_ACUM!A:A,1,0),"NOVO")</f>
        <v>3489</v>
      </c>
    </row>
    <row r="1237" spans="1:4" hidden="1" x14ac:dyDescent="0.35">
      <c r="A1237" s="1">
        <v>3490</v>
      </c>
      <c r="B1237" s="2">
        <v>46309</v>
      </c>
      <c r="C1237" s="1" t="s">
        <v>64</v>
      </c>
      <c r="D1237" s="1">
        <f>IFERROR(VLOOKUP(DEG_REDE[[#This Row],[ID]],DEG_ACUM!A:A,1,0),"NOVO")</f>
        <v>3490</v>
      </c>
    </row>
    <row r="1238" spans="1:4" hidden="1" x14ac:dyDescent="0.35">
      <c r="A1238" s="1">
        <v>3491</v>
      </c>
      <c r="B1238" s="2">
        <v>46309</v>
      </c>
      <c r="C1238" s="1" t="s">
        <v>62</v>
      </c>
      <c r="D1238" s="1">
        <f>IFERROR(VLOOKUP(DEG_REDE[[#This Row],[ID]],DEG_ACUM!A:A,1,0),"NOVO")</f>
        <v>3491</v>
      </c>
    </row>
    <row r="1239" spans="1:4" hidden="1" x14ac:dyDescent="0.35">
      <c r="A1239" s="1">
        <v>3492</v>
      </c>
      <c r="B1239" s="2">
        <v>46309</v>
      </c>
      <c r="C1239" s="1" t="s">
        <v>51</v>
      </c>
      <c r="D1239" s="1">
        <f>IFERROR(VLOOKUP(DEG_REDE[[#This Row],[ID]],DEG_ACUM!A:A,1,0),"NOVO")</f>
        <v>3492</v>
      </c>
    </row>
    <row r="1240" spans="1:4" hidden="1" x14ac:dyDescent="0.35">
      <c r="A1240" s="1">
        <v>3493</v>
      </c>
      <c r="B1240" s="2">
        <v>46309</v>
      </c>
      <c r="C1240" s="1" t="s">
        <v>62</v>
      </c>
      <c r="D1240" s="1">
        <f>IFERROR(VLOOKUP(DEG_REDE[[#This Row],[ID]],DEG_ACUM!A:A,1,0),"NOVO")</f>
        <v>3493</v>
      </c>
    </row>
    <row r="1241" spans="1:4" hidden="1" x14ac:dyDescent="0.35">
      <c r="A1241" s="1">
        <v>3494</v>
      </c>
      <c r="B1241" s="2">
        <v>46309</v>
      </c>
      <c r="C1241" s="1" t="s">
        <v>51</v>
      </c>
      <c r="D1241" s="1">
        <f>IFERROR(VLOOKUP(DEG_REDE[[#This Row],[ID]],DEG_ACUM!A:A,1,0),"NOVO")</f>
        <v>3494</v>
      </c>
    </row>
    <row r="1242" spans="1:4" hidden="1" x14ac:dyDescent="0.35">
      <c r="A1242" s="1">
        <v>3495</v>
      </c>
      <c r="B1242" s="2">
        <v>46309</v>
      </c>
      <c r="C1242" s="1" t="s">
        <v>62</v>
      </c>
      <c r="D1242" s="1">
        <f>IFERROR(VLOOKUP(DEG_REDE[[#This Row],[ID]],DEG_ACUM!A:A,1,0),"NOVO")</f>
        <v>3495</v>
      </c>
    </row>
    <row r="1243" spans="1:4" hidden="1" x14ac:dyDescent="0.35">
      <c r="A1243" s="1">
        <v>3496</v>
      </c>
      <c r="B1243" s="2">
        <v>46309</v>
      </c>
      <c r="C1243" s="1" t="s">
        <v>62</v>
      </c>
      <c r="D1243" s="1">
        <f>IFERROR(VLOOKUP(DEG_REDE[[#This Row],[ID]],DEG_ACUM!A:A,1,0),"NOVO")</f>
        <v>3496</v>
      </c>
    </row>
    <row r="1244" spans="1:4" hidden="1" x14ac:dyDescent="0.35">
      <c r="A1244" s="1">
        <v>3497</v>
      </c>
      <c r="B1244" s="2">
        <v>46309</v>
      </c>
      <c r="C1244" s="1" t="s">
        <v>62</v>
      </c>
      <c r="D1244" s="1">
        <f>IFERROR(VLOOKUP(DEG_REDE[[#This Row],[ID]],DEG_ACUM!A:A,1,0),"NOVO")</f>
        <v>3497</v>
      </c>
    </row>
    <row r="1245" spans="1:4" hidden="1" x14ac:dyDescent="0.35">
      <c r="A1245" s="1">
        <v>3498</v>
      </c>
      <c r="B1245" s="2">
        <v>46309</v>
      </c>
      <c r="C1245" s="1" t="s">
        <v>54</v>
      </c>
      <c r="D1245" s="1">
        <f>IFERROR(VLOOKUP(DEG_REDE[[#This Row],[ID]],DEG_ACUM!A:A,1,0),"NOVO")</f>
        <v>3498</v>
      </c>
    </row>
    <row r="1246" spans="1:4" hidden="1" x14ac:dyDescent="0.35">
      <c r="A1246" s="1">
        <v>3499</v>
      </c>
      <c r="B1246" s="2">
        <v>46309</v>
      </c>
      <c r="C1246" s="1" t="s">
        <v>54</v>
      </c>
      <c r="D1246" s="1">
        <f>IFERROR(VLOOKUP(DEG_REDE[[#This Row],[ID]],DEG_ACUM!A:A,1,0),"NOVO")</f>
        <v>3499</v>
      </c>
    </row>
    <row r="1247" spans="1:4" hidden="1" x14ac:dyDescent="0.35">
      <c r="A1247" s="1">
        <v>3500</v>
      </c>
      <c r="B1247" s="2">
        <v>46309</v>
      </c>
      <c r="C1247" s="1" t="s">
        <v>54</v>
      </c>
      <c r="D1247" s="1">
        <f>IFERROR(VLOOKUP(DEG_REDE[[#This Row],[ID]],DEG_ACUM!A:A,1,0),"NOVO")</f>
        <v>3500</v>
      </c>
    </row>
    <row r="1248" spans="1:4" hidden="1" x14ac:dyDescent="0.35">
      <c r="A1248" s="1">
        <v>3501</v>
      </c>
      <c r="B1248" s="2">
        <v>46309</v>
      </c>
      <c r="C1248" s="1" t="s">
        <v>54</v>
      </c>
      <c r="D1248" s="1">
        <f>IFERROR(VLOOKUP(DEG_REDE[[#This Row],[ID]],DEG_ACUM!A:A,1,0),"NOVO")</f>
        <v>3501</v>
      </c>
    </row>
    <row r="1249" spans="1:4" hidden="1" x14ac:dyDescent="0.35">
      <c r="A1249" s="1">
        <v>3503</v>
      </c>
      <c r="B1249" s="2">
        <v>46309</v>
      </c>
      <c r="C1249" s="1" t="s">
        <v>52</v>
      </c>
      <c r="D1249" s="1">
        <f>IFERROR(VLOOKUP(DEG_REDE[[#This Row],[ID]],DEG_ACUM!A:A,1,0),"NOVO")</f>
        <v>3503</v>
      </c>
    </row>
    <row r="1250" spans="1:4" hidden="1" x14ac:dyDescent="0.35">
      <c r="A1250" s="1">
        <v>3504</v>
      </c>
      <c r="B1250" s="2">
        <v>46309</v>
      </c>
      <c r="C1250" s="1" t="s">
        <v>52</v>
      </c>
      <c r="D1250" s="1">
        <f>IFERROR(VLOOKUP(DEG_REDE[[#This Row],[ID]],DEG_ACUM!A:A,1,0),"NOVO")</f>
        <v>3504</v>
      </c>
    </row>
    <row r="1251" spans="1:4" hidden="1" x14ac:dyDescent="0.35">
      <c r="A1251" s="1">
        <v>3505</v>
      </c>
      <c r="B1251" s="2">
        <v>46309</v>
      </c>
      <c r="C1251" s="1" t="s">
        <v>52</v>
      </c>
      <c r="D1251" s="1">
        <f>IFERROR(VLOOKUP(DEG_REDE[[#This Row],[ID]],DEG_ACUM!A:A,1,0),"NOVO")</f>
        <v>3505</v>
      </c>
    </row>
    <row r="1252" spans="1:4" hidden="1" x14ac:dyDescent="0.35">
      <c r="A1252" s="1">
        <v>3506</v>
      </c>
      <c r="B1252" s="2">
        <v>46309</v>
      </c>
      <c r="C1252" s="1" t="s">
        <v>52</v>
      </c>
      <c r="D1252" s="1">
        <f>IFERROR(VLOOKUP(DEG_REDE[[#This Row],[ID]],DEG_ACUM!A:A,1,0),"NOVO")</f>
        <v>3506</v>
      </c>
    </row>
    <row r="1253" spans="1:4" hidden="1" x14ac:dyDescent="0.35">
      <c r="A1253" s="1">
        <v>3509</v>
      </c>
      <c r="B1253" s="2">
        <v>46309</v>
      </c>
      <c r="C1253" s="1" t="s">
        <v>52</v>
      </c>
      <c r="D1253" s="1">
        <f>IFERROR(VLOOKUP(DEG_REDE[[#This Row],[ID]],DEG_ACUM!A:A,1,0),"NOVO")</f>
        <v>3509</v>
      </c>
    </row>
    <row r="1254" spans="1:4" hidden="1" x14ac:dyDescent="0.35">
      <c r="A1254" s="1">
        <v>3510</v>
      </c>
      <c r="B1254" s="2">
        <v>46309</v>
      </c>
      <c r="C1254" s="1" t="s">
        <v>52</v>
      </c>
      <c r="D1254" s="1">
        <f>IFERROR(VLOOKUP(DEG_REDE[[#This Row],[ID]],DEG_ACUM!A:A,1,0),"NOVO")</f>
        <v>3510</v>
      </c>
    </row>
    <row r="1255" spans="1:4" hidden="1" x14ac:dyDescent="0.35">
      <c r="A1255" s="1">
        <v>3512</v>
      </c>
      <c r="B1255" s="2">
        <v>46309</v>
      </c>
      <c r="C1255" s="1" t="s">
        <v>52</v>
      </c>
      <c r="D1255" s="1">
        <f>IFERROR(VLOOKUP(DEG_REDE[[#This Row],[ID]],DEG_ACUM!A:A,1,0),"NOVO")</f>
        <v>3512</v>
      </c>
    </row>
    <row r="1256" spans="1:4" hidden="1" x14ac:dyDescent="0.35">
      <c r="A1256" s="1">
        <v>3513</v>
      </c>
      <c r="B1256" s="2">
        <v>46310</v>
      </c>
      <c r="C1256" s="1" t="s">
        <v>64</v>
      </c>
      <c r="D1256" s="1">
        <f>IFERROR(VLOOKUP(DEG_REDE[[#This Row],[ID]],DEG_ACUM!A:A,1,0),"NOVO")</f>
        <v>3513</v>
      </c>
    </row>
    <row r="1257" spans="1:4" hidden="1" x14ac:dyDescent="0.35">
      <c r="A1257" s="1">
        <v>3514</v>
      </c>
      <c r="B1257" s="2">
        <v>46310</v>
      </c>
      <c r="C1257" s="1" t="s">
        <v>64</v>
      </c>
      <c r="D1257" s="1">
        <f>IFERROR(VLOOKUP(DEG_REDE[[#This Row],[ID]],DEG_ACUM!A:A,1,0),"NOVO")</f>
        <v>3514</v>
      </c>
    </row>
    <row r="1258" spans="1:4" hidden="1" x14ac:dyDescent="0.35">
      <c r="A1258" s="1">
        <v>3515</v>
      </c>
      <c r="B1258" s="2">
        <v>46310</v>
      </c>
      <c r="C1258" s="1" t="s">
        <v>64</v>
      </c>
      <c r="D1258" s="1">
        <f>IFERROR(VLOOKUP(DEG_REDE[[#This Row],[ID]],DEG_ACUM!A:A,1,0),"NOVO")</f>
        <v>3515</v>
      </c>
    </row>
    <row r="1259" spans="1:4" hidden="1" x14ac:dyDescent="0.35">
      <c r="A1259" s="1">
        <v>3516</v>
      </c>
      <c r="B1259" s="2">
        <v>46310</v>
      </c>
      <c r="C1259" s="1" t="s">
        <v>64</v>
      </c>
      <c r="D1259" s="1">
        <f>IFERROR(VLOOKUP(DEG_REDE[[#This Row],[ID]],DEG_ACUM!A:A,1,0),"NOVO")</f>
        <v>3516</v>
      </c>
    </row>
    <row r="1260" spans="1:4" hidden="1" x14ac:dyDescent="0.35">
      <c r="A1260" s="1">
        <v>3517</v>
      </c>
      <c r="B1260" s="2">
        <v>46310</v>
      </c>
      <c r="C1260" s="1" t="s">
        <v>51</v>
      </c>
      <c r="D1260" s="1">
        <f>IFERROR(VLOOKUP(DEG_REDE[[#This Row],[ID]],DEG_ACUM!A:A,1,0),"NOVO")</f>
        <v>3517</v>
      </c>
    </row>
    <row r="1261" spans="1:4" hidden="1" x14ac:dyDescent="0.35">
      <c r="A1261" s="1">
        <v>3518</v>
      </c>
      <c r="B1261" s="2">
        <v>46310</v>
      </c>
      <c r="C1261" s="1" t="s">
        <v>51</v>
      </c>
      <c r="D1261" s="1">
        <f>IFERROR(VLOOKUP(DEG_REDE[[#This Row],[ID]],DEG_ACUM!A:A,1,0),"NOVO")</f>
        <v>3518</v>
      </c>
    </row>
    <row r="1262" spans="1:4" hidden="1" x14ac:dyDescent="0.35">
      <c r="A1262" s="1">
        <v>3520</v>
      </c>
      <c r="B1262" s="2">
        <v>46310</v>
      </c>
      <c r="C1262" s="1" t="s">
        <v>52</v>
      </c>
      <c r="D1262" s="1">
        <f>IFERROR(VLOOKUP(DEG_REDE[[#This Row],[ID]],DEG_ACUM!A:A,1,0),"NOVO")</f>
        <v>3520</v>
      </c>
    </row>
    <row r="1263" spans="1:4" hidden="1" x14ac:dyDescent="0.35">
      <c r="A1263" s="1">
        <v>3521</v>
      </c>
      <c r="B1263" s="2">
        <v>46310</v>
      </c>
      <c r="C1263" s="1" t="s">
        <v>52</v>
      </c>
      <c r="D1263" s="1">
        <f>IFERROR(VLOOKUP(DEG_REDE[[#This Row],[ID]],DEG_ACUM!A:A,1,0),"NOVO")</f>
        <v>3521</v>
      </c>
    </row>
    <row r="1264" spans="1:4" hidden="1" x14ac:dyDescent="0.35">
      <c r="A1264" s="1">
        <v>3522</v>
      </c>
      <c r="B1264" s="2">
        <v>46310</v>
      </c>
      <c r="C1264" s="1" t="s">
        <v>52</v>
      </c>
      <c r="D1264" s="1">
        <f>IFERROR(VLOOKUP(DEG_REDE[[#This Row],[ID]],DEG_ACUM!A:A,1,0),"NOVO")</f>
        <v>3522</v>
      </c>
    </row>
    <row r="1265" spans="1:4" hidden="1" x14ac:dyDescent="0.35">
      <c r="A1265" s="1">
        <v>3523</v>
      </c>
      <c r="B1265" s="2">
        <v>46310</v>
      </c>
      <c r="C1265" s="1" t="s">
        <v>52</v>
      </c>
      <c r="D1265" s="1">
        <f>IFERROR(VLOOKUP(DEG_REDE[[#This Row],[ID]],DEG_ACUM!A:A,1,0),"NOVO")</f>
        <v>3523</v>
      </c>
    </row>
    <row r="1266" spans="1:4" hidden="1" x14ac:dyDescent="0.35">
      <c r="A1266" s="1">
        <v>3524</v>
      </c>
      <c r="B1266" s="2">
        <v>46310</v>
      </c>
      <c r="C1266" s="1" t="s">
        <v>62</v>
      </c>
      <c r="D1266" s="1">
        <f>IFERROR(VLOOKUP(DEG_REDE[[#This Row],[ID]],DEG_ACUM!A:A,1,0),"NOVO")</f>
        <v>3524</v>
      </c>
    </row>
    <row r="1267" spans="1:4" hidden="1" x14ac:dyDescent="0.35">
      <c r="A1267" s="1">
        <v>3525</v>
      </c>
      <c r="B1267" s="2">
        <v>46311</v>
      </c>
      <c r="C1267" s="1" t="s">
        <v>64</v>
      </c>
      <c r="D1267" s="1">
        <f>IFERROR(VLOOKUP(DEG_REDE[[#This Row],[ID]],DEG_ACUM!A:A,1,0),"NOVO")</f>
        <v>3525</v>
      </c>
    </row>
    <row r="1268" spans="1:4" hidden="1" x14ac:dyDescent="0.35">
      <c r="A1268" s="1">
        <v>3526</v>
      </c>
      <c r="B1268" s="2">
        <v>46311</v>
      </c>
      <c r="C1268" s="1" t="s">
        <v>64</v>
      </c>
      <c r="D1268" s="1">
        <f>IFERROR(VLOOKUP(DEG_REDE[[#This Row],[ID]],DEG_ACUM!A:A,1,0),"NOVO")</f>
        <v>3526</v>
      </c>
    </row>
    <row r="1269" spans="1:4" hidden="1" x14ac:dyDescent="0.35">
      <c r="A1269" s="1">
        <v>3527</v>
      </c>
      <c r="B1269" s="2">
        <v>46311</v>
      </c>
      <c r="C1269" s="1" t="s">
        <v>64</v>
      </c>
      <c r="D1269" s="1">
        <f>IFERROR(VLOOKUP(DEG_REDE[[#This Row],[ID]],DEG_ACUM!A:A,1,0),"NOVO")</f>
        <v>3527</v>
      </c>
    </row>
    <row r="1270" spans="1:4" hidden="1" x14ac:dyDescent="0.35">
      <c r="A1270" s="1">
        <v>3528</v>
      </c>
      <c r="B1270" s="2">
        <v>46311</v>
      </c>
      <c r="C1270" s="1" t="s">
        <v>61</v>
      </c>
      <c r="D1270" s="1">
        <f>IFERROR(VLOOKUP(DEG_REDE[[#This Row],[ID]],DEG_ACUM!A:A,1,0),"NOVO")</f>
        <v>3528</v>
      </c>
    </row>
    <row r="1271" spans="1:4" hidden="1" x14ac:dyDescent="0.35">
      <c r="A1271" s="1">
        <v>3530</v>
      </c>
      <c r="B1271" s="2">
        <v>46311</v>
      </c>
      <c r="C1271" s="1" t="s">
        <v>64</v>
      </c>
      <c r="D1271" s="1">
        <f>IFERROR(VLOOKUP(DEG_REDE[[#This Row],[ID]],DEG_ACUM!A:A,1,0),"NOVO")</f>
        <v>3530</v>
      </c>
    </row>
    <row r="1272" spans="1:4" hidden="1" x14ac:dyDescent="0.35">
      <c r="A1272" s="1">
        <v>3531</v>
      </c>
      <c r="B1272" s="2">
        <v>46311</v>
      </c>
      <c r="C1272" s="1" t="s">
        <v>64</v>
      </c>
      <c r="D1272" s="1">
        <f>IFERROR(VLOOKUP(DEG_REDE[[#This Row],[ID]],DEG_ACUM!A:A,1,0),"NOVO")</f>
        <v>3531</v>
      </c>
    </row>
    <row r="1273" spans="1:4" hidden="1" x14ac:dyDescent="0.35">
      <c r="A1273" s="1">
        <v>3532</v>
      </c>
      <c r="B1273" s="2">
        <v>46311</v>
      </c>
      <c r="C1273" s="1" t="s">
        <v>64</v>
      </c>
      <c r="D1273" s="1">
        <f>IFERROR(VLOOKUP(DEG_REDE[[#This Row],[ID]],DEG_ACUM!A:A,1,0),"NOVO")</f>
        <v>3532</v>
      </c>
    </row>
    <row r="1274" spans="1:4" hidden="1" x14ac:dyDescent="0.35">
      <c r="A1274" s="1">
        <v>3533</v>
      </c>
      <c r="B1274" s="2">
        <v>46311</v>
      </c>
      <c r="C1274" s="1" t="s">
        <v>64</v>
      </c>
      <c r="D1274" s="1">
        <f>IFERROR(VLOOKUP(DEG_REDE[[#This Row],[ID]],DEG_ACUM!A:A,1,0),"NOVO")</f>
        <v>3533</v>
      </c>
    </row>
    <row r="1275" spans="1:4" hidden="1" x14ac:dyDescent="0.35">
      <c r="A1275" s="1">
        <v>3534</v>
      </c>
      <c r="B1275" s="2">
        <v>46311</v>
      </c>
      <c r="C1275" s="1" t="s">
        <v>64</v>
      </c>
      <c r="D1275" s="1">
        <f>IFERROR(VLOOKUP(DEG_REDE[[#This Row],[ID]],DEG_ACUM!A:A,1,0),"NOVO")</f>
        <v>3534</v>
      </c>
    </row>
    <row r="1276" spans="1:4" hidden="1" x14ac:dyDescent="0.35">
      <c r="A1276" s="1">
        <v>3535</v>
      </c>
      <c r="B1276" s="2">
        <v>46311</v>
      </c>
      <c r="C1276" s="1" t="s">
        <v>52</v>
      </c>
      <c r="D1276" s="1">
        <f>IFERROR(VLOOKUP(DEG_REDE[[#This Row],[ID]],DEG_ACUM!A:A,1,0),"NOVO")</f>
        <v>3535</v>
      </c>
    </row>
    <row r="1277" spans="1:4" hidden="1" x14ac:dyDescent="0.35">
      <c r="A1277" s="1">
        <v>3536</v>
      </c>
      <c r="B1277" s="2">
        <v>46311</v>
      </c>
      <c r="C1277" s="1" t="s">
        <v>52</v>
      </c>
      <c r="D1277" s="1">
        <f>IFERROR(VLOOKUP(DEG_REDE[[#This Row],[ID]],DEG_ACUM!A:A,1,0),"NOVO")</f>
        <v>3536</v>
      </c>
    </row>
    <row r="1278" spans="1:4" hidden="1" x14ac:dyDescent="0.35">
      <c r="A1278" s="1">
        <v>3537</v>
      </c>
      <c r="B1278" s="2">
        <v>46311</v>
      </c>
      <c r="C1278" s="1" t="s">
        <v>52</v>
      </c>
      <c r="D1278" s="1">
        <f>IFERROR(VLOOKUP(DEG_REDE[[#This Row],[ID]],DEG_ACUM!A:A,1,0),"NOVO")</f>
        <v>3537</v>
      </c>
    </row>
    <row r="1279" spans="1:4" hidden="1" x14ac:dyDescent="0.35">
      <c r="A1279" s="1">
        <v>3538</v>
      </c>
      <c r="B1279" s="2">
        <v>46311</v>
      </c>
      <c r="C1279" s="1" t="s">
        <v>52</v>
      </c>
      <c r="D1279" s="1">
        <f>IFERROR(VLOOKUP(DEG_REDE[[#This Row],[ID]],DEG_ACUM!A:A,1,0),"NOVO")</f>
        <v>3538</v>
      </c>
    </row>
    <row r="1280" spans="1:4" hidden="1" x14ac:dyDescent="0.35">
      <c r="A1280" s="1">
        <v>3539</v>
      </c>
      <c r="B1280" s="2">
        <v>46311</v>
      </c>
      <c r="C1280" s="1" t="s">
        <v>52</v>
      </c>
      <c r="D1280" s="1">
        <f>IFERROR(VLOOKUP(DEG_REDE[[#This Row],[ID]],DEG_ACUM!A:A,1,0),"NOVO")</f>
        <v>3539</v>
      </c>
    </row>
    <row r="1281" spans="1:4" hidden="1" x14ac:dyDescent="0.35">
      <c r="A1281" s="1">
        <v>3540</v>
      </c>
      <c r="B1281" s="2">
        <v>46311</v>
      </c>
      <c r="C1281" s="1" t="s">
        <v>52</v>
      </c>
      <c r="D1281" s="1">
        <f>IFERROR(VLOOKUP(DEG_REDE[[#This Row],[ID]],DEG_ACUM!A:A,1,0),"NOVO")</f>
        <v>3540</v>
      </c>
    </row>
    <row r="1282" spans="1:4" hidden="1" x14ac:dyDescent="0.35">
      <c r="A1282" s="1">
        <v>3546</v>
      </c>
      <c r="B1282" s="2">
        <v>46314</v>
      </c>
      <c r="C1282" s="1" t="s">
        <v>52</v>
      </c>
      <c r="D1282" s="1">
        <f>IFERROR(VLOOKUP(DEG_REDE[[#This Row],[ID]],DEG_ACUM!A:A,1,0),"NOVO")</f>
        <v>3546</v>
      </c>
    </row>
    <row r="1283" spans="1:4" hidden="1" x14ac:dyDescent="0.35">
      <c r="A1283" s="1">
        <v>3547</v>
      </c>
      <c r="B1283" s="2">
        <v>46314</v>
      </c>
      <c r="C1283" s="1" t="s">
        <v>61</v>
      </c>
      <c r="D1283" s="1">
        <f>IFERROR(VLOOKUP(DEG_REDE[[#This Row],[ID]],DEG_ACUM!A:A,1,0),"NOVO")</f>
        <v>3547</v>
      </c>
    </row>
    <row r="1284" spans="1:4" hidden="1" x14ac:dyDescent="0.35">
      <c r="A1284" s="1">
        <v>3548</v>
      </c>
      <c r="B1284" s="2">
        <v>46314</v>
      </c>
      <c r="C1284" s="1" t="s">
        <v>52</v>
      </c>
      <c r="D1284" s="1">
        <f>IFERROR(VLOOKUP(DEG_REDE[[#This Row],[ID]],DEG_ACUM!A:A,1,0),"NOVO")</f>
        <v>3548</v>
      </c>
    </row>
    <row r="1285" spans="1:4" hidden="1" x14ac:dyDescent="0.35">
      <c r="A1285" s="1">
        <v>3549</v>
      </c>
      <c r="B1285" s="2">
        <v>46314</v>
      </c>
      <c r="C1285" s="1" t="s">
        <v>52</v>
      </c>
      <c r="D1285" s="1">
        <f>IFERROR(VLOOKUP(DEG_REDE[[#This Row],[ID]],DEG_ACUM!A:A,1,0),"NOVO")</f>
        <v>3549</v>
      </c>
    </row>
    <row r="1286" spans="1:4" hidden="1" x14ac:dyDescent="0.35">
      <c r="A1286" s="1">
        <v>3550</v>
      </c>
      <c r="B1286" s="2">
        <v>46314</v>
      </c>
      <c r="C1286" s="1" t="s">
        <v>61</v>
      </c>
      <c r="D1286" s="1">
        <f>IFERROR(VLOOKUP(DEG_REDE[[#This Row],[ID]],DEG_ACUM!A:A,1,0),"NOVO")</f>
        <v>3550</v>
      </c>
    </row>
    <row r="1287" spans="1:4" hidden="1" x14ac:dyDescent="0.35">
      <c r="A1287" s="1">
        <v>3551</v>
      </c>
      <c r="B1287" s="2">
        <v>46314</v>
      </c>
      <c r="C1287" s="1" t="s">
        <v>52</v>
      </c>
      <c r="D1287" s="1">
        <f>IFERROR(VLOOKUP(DEG_REDE[[#This Row],[ID]],DEG_ACUM!A:A,1,0),"NOVO")</f>
        <v>3551</v>
      </c>
    </row>
    <row r="1288" spans="1:4" hidden="1" x14ac:dyDescent="0.35">
      <c r="A1288" s="1">
        <v>3552</v>
      </c>
      <c r="B1288" s="2">
        <v>46314</v>
      </c>
      <c r="C1288" s="1" t="s">
        <v>51</v>
      </c>
      <c r="D1288" s="1">
        <f>IFERROR(VLOOKUP(DEG_REDE[[#This Row],[ID]],DEG_ACUM!A:A,1,0),"NOVO")</f>
        <v>3552</v>
      </c>
    </row>
    <row r="1289" spans="1:4" hidden="1" x14ac:dyDescent="0.35">
      <c r="A1289" s="1">
        <v>3553</v>
      </c>
      <c r="B1289" s="2">
        <v>46314</v>
      </c>
      <c r="C1289" s="1" t="s">
        <v>61</v>
      </c>
      <c r="D1289" s="1">
        <f>IFERROR(VLOOKUP(DEG_REDE[[#This Row],[ID]],DEG_ACUM!A:A,1,0),"NOVO")</f>
        <v>3553</v>
      </c>
    </row>
    <row r="1290" spans="1:4" hidden="1" x14ac:dyDescent="0.35">
      <c r="A1290" s="1">
        <v>3554</v>
      </c>
      <c r="B1290" s="2">
        <v>46314</v>
      </c>
      <c r="C1290" s="1" t="s">
        <v>61</v>
      </c>
      <c r="D1290" s="1">
        <f>IFERROR(VLOOKUP(DEG_REDE[[#This Row],[ID]],DEG_ACUM!A:A,1,0),"NOVO")</f>
        <v>3554</v>
      </c>
    </row>
    <row r="1291" spans="1:4" hidden="1" x14ac:dyDescent="0.35">
      <c r="A1291" s="1">
        <v>3555</v>
      </c>
      <c r="B1291" s="2">
        <v>46314</v>
      </c>
      <c r="C1291" s="1" t="s">
        <v>57</v>
      </c>
      <c r="D1291" s="1">
        <f>IFERROR(VLOOKUP(DEG_REDE[[#This Row],[ID]],DEG_ACUM!A:A,1,0),"NOVO")</f>
        <v>3555</v>
      </c>
    </row>
    <row r="1292" spans="1:4" hidden="1" x14ac:dyDescent="0.35">
      <c r="A1292" s="1">
        <v>3556</v>
      </c>
      <c r="B1292" s="2">
        <v>46314</v>
      </c>
      <c r="C1292" s="1" t="s">
        <v>52</v>
      </c>
      <c r="D1292" s="1">
        <f>IFERROR(VLOOKUP(DEG_REDE[[#This Row],[ID]],DEG_ACUM!A:A,1,0),"NOVO")</f>
        <v>3556</v>
      </c>
    </row>
    <row r="1293" spans="1:4" hidden="1" x14ac:dyDescent="0.35">
      <c r="A1293" s="1">
        <v>3557</v>
      </c>
      <c r="B1293" s="2">
        <v>46314</v>
      </c>
      <c r="C1293" s="1" t="s">
        <v>61</v>
      </c>
      <c r="D1293" s="1">
        <f>IFERROR(VLOOKUP(DEG_REDE[[#This Row],[ID]],DEG_ACUM!A:A,1,0),"NOVO")</f>
        <v>3557</v>
      </c>
    </row>
    <row r="1294" spans="1:4" hidden="1" x14ac:dyDescent="0.35">
      <c r="A1294" s="1">
        <v>3558</v>
      </c>
      <c r="B1294" s="2">
        <v>46315</v>
      </c>
      <c r="C1294" s="1" t="s">
        <v>52</v>
      </c>
      <c r="D1294" s="1">
        <f>IFERROR(VLOOKUP(DEG_REDE[[#This Row],[ID]],DEG_ACUM!A:A,1,0),"NOVO")</f>
        <v>3558</v>
      </c>
    </row>
    <row r="1295" spans="1:4" hidden="1" x14ac:dyDescent="0.35">
      <c r="A1295" s="1">
        <v>3559</v>
      </c>
      <c r="B1295" s="2">
        <v>46315</v>
      </c>
      <c r="C1295" s="1" t="s">
        <v>57</v>
      </c>
      <c r="D1295" s="1">
        <f>IFERROR(VLOOKUP(DEG_REDE[[#This Row],[ID]],DEG_ACUM!A:A,1,0),"NOVO")</f>
        <v>3559</v>
      </c>
    </row>
    <row r="1296" spans="1:4" hidden="1" x14ac:dyDescent="0.35">
      <c r="A1296" s="1">
        <v>3560</v>
      </c>
      <c r="B1296" s="2">
        <v>46315</v>
      </c>
      <c r="C1296" s="1" t="s">
        <v>61</v>
      </c>
      <c r="D1296" s="1">
        <f>IFERROR(VLOOKUP(DEG_REDE[[#This Row],[ID]],DEG_ACUM!A:A,1,0),"NOVO")</f>
        <v>3560</v>
      </c>
    </row>
    <row r="1297" spans="1:4" hidden="1" x14ac:dyDescent="0.35">
      <c r="A1297" s="1">
        <v>3562</v>
      </c>
      <c r="B1297" s="2">
        <v>46315</v>
      </c>
      <c r="C1297" s="1" t="s">
        <v>51</v>
      </c>
      <c r="D1297" s="1">
        <f>IFERROR(VLOOKUP(DEG_REDE[[#This Row],[ID]],DEG_ACUM!A:A,1,0),"NOVO")</f>
        <v>3562</v>
      </c>
    </row>
    <row r="1298" spans="1:4" hidden="1" x14ac:dyDescent="0.35">
      <c r="A1298" s="1">
        <v>3563</v>
      </c>
      <c r="B1298" s="2">
        <v>46315</v>
      </c>
      <c r="C1298" s="1" t="s">
        <v>51</v>
      </c>
      <c r="D1298" s="1">
        <f>IFERROR(VLOOKUP(DEG_REDE[[#This Row],[ID]],DEG_ACUM!A:A,1,0),"NOVO")</f>
        <v>3563</v>
      </c>
    </row>
    <row r="1299" spans="1:4" hidden="1" x14ac:dyDescent="0.35">
      <c r="A1299" s="1">
        <v>3564</v>
      </c>
      <c r="B1299" s="2">
        <v>46315</v>
      </c>
      <c r="C1299" s="1" t="s">
        <v>61</v>
      </c>
      <c r="D1299" s="1">
        <f>IFERROR(VLOOKUP(DEG_REDE[[#This Row],[ID]],DEG_ACUM!A:A,1,0),"NOVO")</f>
        <v>3564</v>
      </c>
    </row>
    <row r="1300" spans="1:4" hidden="1" x14ac:dyDescent="0.35">
      <c r="A1300" s="1">
        <v>3565</v>
      </c>
      <c r="B1300" s="2">
        <v>46315</v>
      </c>
      <c r="C1300" s="1" t="s">
        <v>64</v>
      </c>
      <c r="D1300" s="1">
        <f>IFERROR(VLOOKUP(DEG_REDE[[#This Row],[ID]],DEG_ACUM!A:A,1,0),"NOVO")</f>
        <v>3565</v>
      </c>
    </row>
    <row r="1301" spans="1:4" hidden="1" x14ac:dyDescent="0.35">
      <c r="A1301" s="1">
        <v>3566</v>
      </c>
      <c r="B1301" s="2">
        <v>46315</v>
      </c>
      <c r="C1301" s="1" t="s">
        <v>64</v>
      </c>
      <c r="D1301" s="1">
        <f>IFERROR(VLOOKUP(DEG_REDE[[#This Row],[ID]],DEG_ACUM!A:A,1,0),"NOVO")</f>
        <v>3566</v>
      </c>
    </row>
    <row r="1302" spans="1:4" hidden="1" x14ac:dyDescent="0.35">
      <c r="A1302" s="1">
        <v>3567</v>
      </c>
      <c r="B1302" s="2">
        <v>46315</v>
      </c>
      <c r="C1302" s="1" t="s">
        <v>64</v>
      </c>
      <c r="D1302" s="1">
        <f>IFERROR(VLOOKUP(DEG_REDE[[#This Row],[ID]],DEG_ACUM!A:A,1,0),"NOVO")</f>
        <v>3567</v>
      </c>
    </row>
    <row r="1303" spans="1:4" hidden="1" x14ac:dyDescent="0.35">
      <c r="A1303" s="1">
        <v>3568</v>
      </c>
      <c r="B1303" s="2">
        <v>46315</v>
      </c>
      <c r="C1303" s="1" t="s">
        <v>64</v>
      </c>
      <c r="D1303" s="1">
        <f>IFERROR(VLOOKUP(DEG_REDE[[#This Row],[ID]],DEG_ACUM!A:A,1,0),"NOVO")</f>
        <v>3568</v>
      </c>
    </row>
    <row r="1304" spans="1:4" hidden="1" x14ac:dyDescent="0.35">
      <c r="A1304" s="1">
        <v>3569</v>
      </c>
      <c r="B1304" s="2">
        <v>46315</v>
      </c>
      <c r="C1304" s="1" t="s">
        <v>64</v>
      </c>
      <c r="D1304" s="1">
        <f>IFERROR(VLOOKUP(DEG_REDE[[#This Row],[ID]],DEG_ACUM!A:A,1,0),"NOVO")</f>
        <v>3569</v>
      </c>
    </row>
    <row r="1305" spans="1:4" hidden="1" x14ac:dyDescent="0.35">
      <c r="A1305" s="1">
        <v>3570</v>
      </c>
      <c r="B1305" s="2">
        <v>46315</v>
      </c>
      <c r="C1305" s="1" t="s">
        <v>64</v>
      </c>
      <c r="D1305" s="1">
        <f>IFERROR(VLOOKUP(DEG_REDE[[#This Row],[ID]],DEG_ACUM!A:A,1,0),"NOVO")</f>
        <v>3570</v>
      </c>
    </row>
    <row r="1306" spans="1:4" hidden="1" x14ac:dyDescent="0.35">
      <c r="A1306" s="1">
        <v>3571</v>
      </c>
      <c r="B1306" s="2">
        <v>46315</v>
      </c>
      <c r="C1306" s="1" t="s">
        <v>64</v>
      </c>
      <c r="D1306" s="1">
        <f>IFERROR(VLOOKUP(DEG_REDE[[#This Row],[ID]],DEG_ACUM!A:A,1,0),"NOVO")</f>
        <v>3571</v>
      </c>
    </row>
    <row r="1307" spans="1:4" hidden="1" x14ac:dyDescent="0.35">
      <c r="A1307" s="1">
        <v>3572</v>
      </c>
      <c r="B1307" s="2">
        <v>46315</v>
      </c>
      <c r="C1307" s="1" t="s">
        <v>64</v>
      </c>
      <c r="D1307" s="1">
        <f>IFERROR(VLOOKUP(DEG_REDE[[#This Row],[ID]],DEG_ACUM!A:A,1,0),"NOVO")</f>
        <v>3572</v>
      </c>
    </row>
    <row r="1308" spans="1:4" hidden="1" x14ac:dyDescent="0.35">
      <c r="A1308" s="1">
        <v>3573</v>
      </c>
      <c r="B1308" s="2">
        <v>46315</v>
      </c>
      <c r="C1308" s="1" t="s">
        <v>64</v>
      </c>
      <c r="D1308" s="1">
        <f>IFERROR(VLOOKUP(DEG_REDE[[#This Row],[ID]],DEG_ACUM!A:A,1,0),"NOVO")</f>
        <v>3573</v>
      </c>
    </row>
    <row r="1309" spans="1:4" hidden="1" x14ac:dyDescent="0.35">
      <c r="A1309" s="1">
        <v>3574</v>
      </c>
      <c r="B1309" s="2">
        <v>46315</v>
      </c>
      <c r="C1309" s="1" t="s">
        <v>51</v>
      </c>
      <c r="D1309" s="1">
        <f>IFERROR(VLOOKUP(DEG_REDE[[#This Row],[ID]],DEG_ACUM!A:A,1,0),"NOVO")</f>
        <v>3574</v>
      </c>
    </row>
    <row r="1310" spans="1:4" hidden="1" x14ac:dyDescent="0.35">
      <c r="A1310" s="1">
        <v>3575</v>
      </c>
      <c r="B1310" s="2">
        <v>46315</v>
      </c>
      <c r="C1310" s="1" t="s">
        <v>51</v>
      </c>
      <c r="D1310" s="1">
        <f>IFERROR(VLOOKUP(DEG_REDE[[#This Row],[ID]],DEG_ACUM!A:A,1,0),"NOVO")</f>
        <v>3575</v>
      </c>
    </row>
    <row r="1311" spans="1:4" hidden="1" x14ac:dyDescent="0.35">
      <c r="A1311" s="1">
        <v>3576</v>
      </c>
      <c r="B1311" s="2">
        <v>46315</v>
      </c>
      <c r="C1311" s="1" t="s">
        <v>51</v>
      </c>
      <c r="D1311" s="1">
        <f>IFERROR(VLOOKUP(DEG_REDE[[#This Row],[ID]],DEG_ACUM!A:A,1,0),"NOVO")</f>
        <v>3576</v>
      </c>
    </row>
    <row r="1312" spans="1:4" hidden="1" x14ac:dyDescent="0.35">
      <c r="A1312" s="1">
        <v>3577</v>
      </c>
      <c r="B1312" s="2">
        <v>46315</v>
      </c>
      <c r="C1312" s="1" t="s">
        <v>51</v>
      </c>
      <c r="D1312" s="1">
        <f>IFERROR(VLOOKUP(DEG_REDE[[#This Row],[ID]],DEG_ACUM!A:A,1,0),"NOVO")</f>
        <v>3577</v>
      </c>
    </row>
    <row r="1313" spans="1:4" hidden="1" x14ac:dyDescent="0.35">
      <c r="A1313" s="1">
        <v>3578</v>
      </c>
      <c r="B1313" s="2">
        <v>46315</v>
      </c>
      <c r="C1313" s="1" t="s">
        <v>51</v>
      </c>
      <c r="D1313" s="1">
        <f>IFERROR(VLOOKUP(DEG_REDE[[#This Row],[ID]],DEG_ACUM!A:A,1,0),"NOVO")</f>
        <v>3578</v>
      </c>
    </row>
    <row r="1314" spans="1:4" hidden="1" x14ac:dyDescent="0.35">
      <c r="A1314" s="1">
        <v>3579</v>
      </c>
      <c r="B1314" s="2">
        <v>46316</v>
      </c>
      <c r="C1314" s="1" t="s">
        <v>61</v>
      </c>
      <c r="D1314" s="1">
        <f>IFERROR(VLOOKUP(DEG_REDE[[#This Row],[ID]],DEG_ACUM!A:A,1,0),"NOVO")</f>
        <v>3579</v>
      </c>
    </row>
    <row r="1315" spans="1:4" hidden="1" x14ac:dyDescent="0.35">
      <c r="A1315" s="1">
        <v>3580</v>
      </c>
      <c r="B1315" s="2">
        <v>46316</v>
      </c>
      <c r="C1315" s="1" t="s">
        <v>52</v>
      </c>
      <c r="D1315" s="1">
        <f>IFERROR(VLOOKUP(DEG_REDE[[#This Row],[ID]],DEG_ACUM!A:A,1,0),"NOVO")</f>
        <v>3580</v>
      </c>
    </row>
    <row r="1316" spans="1:4" hidden="1" x14ac:dyDescent="0.35">
      <c r="A1316" s="1">
        <v>3581</v>
      </c>
      <c r="B1316" s="2">
        <v>46316</v>
      </c>
      <c r="C1316" s="1" t="s">
        <v>64</v>
      </c>
      <c r="D1316" s="1">
        <f>IFERROR(VLOOKUP(DEG_REDE[[#This Row],[ID]],DEG_ACUM!A:A,1,0),"NOVO")</f>
        <v>3581</v>
      </c>
    </row>
    <row r="1317" spans="1:4" hidden="1" x14ac:dyDescent="0.35">
      <c r="A1317" s="1">
        <v>3584</v>
      </c>
      <c r="B1317" s="2">
        <v>46316</v>
      </c>
      <c r="C1317" s="1" t="s">
        <v>64</v>
      </c>
      <c r="D1317" s="1">
        <f>IFERROR(VLOOKUP(DEG_REDE[[#This Row],[ID]],DEG_ACUM!A:A,1,0),"NOVO")</f>
        <v>3584</v>
      </c>
    </row>
    <row r="1318" spans="1:4" hidden="1" x14ac:dyDescent="0.35">
      <c r="A1318" s="1">
        <v>3585</v>
      </c>
      <c r="B1318" s="2">
        <v>46316</v>
      </c>
      <c r="C1318" s="1" t="s">
        <v>52</v>
      </c>
      <c r="D1318" s="1">
        <f>IFERROR(VLOOKUP(DEG_REDE[[#This Row],[ID]],DEG_ACUM!A:A,1,0),"NOVO")</f>
        <v>3585</v>
      </c>
    </row>
    <row r="1319" spans="1:4" hidden="1" x14ac:dyDescent="0.35">
      <c r="A1319" s="1">
        <v>3586</v>
      </c>
      <c r="B1319" s="2">
        <v>46316</v>
      </c>
      <c r="C1319" s="1" t="s">
        <v>52</v>
      </c>
      <c r="D1319" s="1">
        <f>IFERROR(VLOOKUP(DEG_REDE[[#This Row],[ID]],DEG_ACUM!A:A,1,0),"NOVO")</f>
        <v>3586</v>
      </c>
    </row>
    <row r="1320" spans="1:4" hidden="1" x14ac:dyDescent="0.35">
      <c r="A1320" s="1">
        <v>3587</v>
      </c>
      <c r="B1320" s="2">
        <v>46316</v>
      </c>
      <c r="C1320" s="1" t="s">
        <v>52</v>
      </c>
      <c r="D1320" s="1">
        <f>IFERROR(VLOOKUP(DEG_REDE[[#This Row],[ID]],DEG_ACUM!A:A,1,0),"NOVO")</f>
        <v>3587</v>
      </c>
    </row>
    <row r="1321" spans="1:4" hidden="1" x14ac:dyDescent="0.35">
      <c r="A1321" s="1">
        <v>3588</v>
      </c>
      <c r="B1321" s="2">
        <v>46316</v>
      </c>
      <c r="C1321" s="1" t="s">
        <v>52</v>
      </c>
      <c r="D1321" s="1">
        <f>IFERROR(VLOOKUP(DEG_REDE[[#This Row],[ID]],DEG_ACUM!A:A,1,0),"NOVO")</f>
        <v>3588</v>
      </c>
    </row>
    <row r="1322" spans="1:4" hidden="1" x14ac:dyDescent="0.35">
      <c r="A1322" s="1">
        <v>3589</v>
      </c>
      <c r="B1322" s="2">
        <v>46316</v>
      </c>
      <c r="C1322" s="1" t="s">
        <v>52</v>
      </c>
      <c r="D1322" s="1">
        <f>IFERROR(VLOOKUP(DEG_REDE[[#This Row],[ID]],DEG_ACUM!A:A,1,0),"NOVO")</f>
        <v>3589</v>
      </c>
    </row>
    <row r="1323" spans="1:4" hidden="1" x14ac:dyDescent="0.35">
      <c r="A1323" s="1">
        <v>3590</v>
      </c>
      <c r="B1323" s="2">
        <v>46316</v>
      </c>
      <c r="C1323" s="1" t="s">
        <v>52</v>
      </c>
      <c r="D1323" s="1">
        <f>IFERROR(VLOOKUP(DEG_REDE[[#This Row],[ID]],DEG_ACUM!A:A,1,0),"NOVO")</f>
        <v>3590</v>
      </c>
    </row>
    <row r="1324" spans="1:4" hidden="1" x14ac:dyDescent="0.35">
      <c r="A1324" s="1">
        <v>3591</v>
      </c>
      <c r="B1324" s="2">
        <v>46316</v>
      </c>
      <c r="C1324" s="1" t="s">
        <v>52</v>
      </c>
      <c r="D1324" s="1">
        <f>IFERROR(VLOOKUP(DEG_REDE[[#This Row],[ID]],DEG_ACUM!A:A,1,0),"NOVO")</f>
        <v>3591</v>
      </c>
    </row>
    <row r="1325" spans="1:4" hidden="1" x14ac:dyDescent="0.35">
      <c r="A1325" s="1">
        <v>3592</v>
      </c>
      <c r="B1325" s="2">
        <v>46316</v>
      </c>
      <c r="C1325" s="1" t="s">
        <v>52</v>
      </c>
      <c r="D1325" s="1">
        <f>IFERROR(VLOOKUP(DEG_REDE[[#This Row],[ID]],DEG_ACUM!A:A,1,0),"NOVO")</f>
        <v>3592</v>
      </c>
    </row>
    <row r="1326" spans="1:4" hidden="1" x14ac:dyDescent="0.35">
      <c r="A1326" s="1">
        <v>3593</v>
      </c>
      <c r="B1326" s="2">
        <v>46316</v>
      </c>
      <c r="C1326" s="1" t="s">
        <v>52</v>
      </c>
      <c r="D1326" s="1">
        <f>IFERROR(VLOOKUP(DEG_REDE[[#This Row],[ID]],DEG_ACUM!A:A,1,0),"NOVO")</f>
        <v>3593</v>
      </c>
    </row>
    <row r="1327" spans="1:4" hidden="1" x14ac:dyDescent="0.35">
      <c r="A1327" s="1">
        <v>3594</v>
      </c>
      <c r="B1327" s="2">
        <v>46316</v>
      </c>
      <c r="C1327" s="1" t="s">
        <v>52</v>
      </c>
      <c r="D1327" s="1">
        <f>IFERROR(VLOOKUP(DEG_REDE[[#This Row],[ID]],DEG_ACUM!A:A,1,0),"NOVO")</f>
        <v>3594</v>
      </c>
    </row>
    <row r="1328" spans="1:4" hidden="1" x14ac:dyDescent="0.35">
      <c r="A1328" s="1">
        <v>3595</v>
      </c>
      <c r="B1328" s="2">
        <v>46316</v>
      </c>
      <c r="C1328" s="1" t="s">
        <v>52</v>
      </c>
      <c r="D1328" s="1">
        <f>IFERROR(VLOOKUP(DEG_REDE[[#This Row],[ID]],DEG_ACUM!A:A,1,0),"NOVO")</f>
        <v>3595</v>
      </c>
    </row>
    <row r="1329" spans="1:4" hidden="1" x14ac:dyDescent="0.35">
      <c r="A1329" s="1">
        <v>3596</v>
      </c>
      <c r="B1329" s="2">
        <v>46316</v>
      </c>
      <c r="C1329" s="1" t="s">
        <v>61</v>
      </c>
      <c r="D1329" s="1">
        <f>IFERROR(VLOOKUP(DEG_REDE[[#This Row],[ID]],DEG_ACUM!A:A,1,0),"NOVO")</f>
        <v>3596</v>
      </c>
    </row>
    <row r="1330" spans="1:4" hidden="1" x14ac:dyDescent="0.35">
      <c r="A1330" s="1">
        <v>3598</v>
      </c>
      <c r="B1330" s="2">
        <v>46316</v>
      </c>
      <c r="C1330" s="1" t="s">
        <v>51</v>
      </c>
      <c r="D1330" s="1">
        <f>IFERROR(VLOOKUP(DEG_REDE[[#This Row],[ID]],DEG_ACUM!A:A,1,0),"NOVO")</f>
        <v>3598</v>
      </c>
    </row>
    <row r="1331" spans="1:4" hidden="1" x14ac:dyDescent="0.35">
      <c r="A1331" s="1">
        <v>3599</v>
      </c>
      <c r="B1331" s="2">
        <v>46316</v>
      </c>
      <c r="C1331" s="1" t="s">
        <v>51</v>
      </c>
      <c r="D1331" s="1">
        <f>IFERROR(VLOOKUP(DEG_REDE[[#This Row],[ID]],DEG_ACUM!A:A,1,0),"NOVO")</f>
        <v>3599</v>
      </c>
    </row>
    <row r="1332" spans="1:4" hidden="1" x14ac:dyDescent="0.35">
      <c r="A1332" s="1">
        <v>3600</v>
      </c>
      <c r="B1332" s="2">
        <v>46316</v>
      </c>
      <c r="C1332" s="1" t="s">
        <v>51</v>
      </c>
      <c r="D1332" s="1">
        <f>IFERROR(VLOOKUP(DEG_REDE[[#This Row],[ID]],DEG_ACUM!A:A,1,0),"NOVO")</f>
        <v>3600</v>
      </c>
    </row>
    <row r="1333" spans="1:4" hidden="1" x14ac:dyDescent="0.35">
      <c r="A1333" s="1">
        <v>3601</v>
      </c>
      <c r="B1333" s="2">
        <v>46317</v>
      </c>
      <c r="C1333" s="1" t="s">
        <v>57</v>
      </c>
      <c r="D1333" s="1">
        <f>IFERROR(VLOOKUP(DEG_REDE[[#This Row],[ID]],DEG_ACUM!A:A,1,0),"NOVO")</f>
        <v>3601</v>
      </c>
    </row>
    <row r="1334" spans="1:4" hidden="1" x14ac:dyDescent="0.35">
      <c r="A1334" s="1">
        <v>3602</v>
      </c>
      <c r="B1334" s="2">
        <v>46317</v>
      </c>
      <c r="C1334" s="1" t="s">
        <v>52</v>
      </c>
      <c r="D1334" s="1">
        <f>IFERROR(VLOOKUP(DEG_REDE[[#This Row],[ID]],DEG_ACUM!A:A,1,0),"NOVO")</f>
        <v>3602</v>
      </c>
    </row>
    <row r="1335" spans="1:4" hidden="1" x14ac:dyDescent="0.35">
      <c r="A1335" s="1">
        <v>3603</v>
      </c>
      <c r="B1335" s="2">
        <v>46317</v>
      </c>
      <c r="C1335" s="1" t="s">
        <v>51</v>
      </c>
      <c r="D1335" s="1">
        <f>IFERROR(VLOOKUP(DEG_REDE[[#This Row],[ID]],DEG_ACUM!A:A,1,0),"NOVO")</f>
        <v>3603</v>
      </c>
    </row>
    <row r="1336" spans="1:4" hidden="1" x14ac:dyDescent="0.35">
      <c r="A1336" s="1">
        <v>3604</v>
      </c>
      <c r="B1336" s="2">
        <v>46317</v>
      </c>
      <c r="C1336" s="1" t="s">
        <v>51</v>
      </c>
      <c r="D1336" s="1">
        <f>IFERROR(VLOOKUP(DEG_REDE[[#This Row],[ID]],DEG_ACUM!A:A,1,0),"NOVO")</f>
        <v>3604</v>
      </c>
    </row>
    <row r="1337" spans="1:4" hidden="1" x14ac:dyDescent="0.35">
      <c r="A1337" s="1">
        <v>3608</v>
      </c>
      <c r="B1337" s="2">
        <v>46318</v>
      </c>
      <c r="C1337" s="1" t="s">
        <v>64</v>
      </c>
      <c r="D1337" s="1">
        <f>IFERROR(VLOOKUP(DEG_REDE[[#This Row],[ID]],DEG_ACUM!A:A,1,0),"NOVO")</f>
        <v>3608</v>
      </c>
    </row>
    <row r="1338" spans="1:4" hidden="1" x14ac:dyDescent="0.35">
      <c r="A1338" s="1">
        <v>3609</v>
      </c>
      <c r="B1338" s="2">
        <v>46318</v>
      </c>
      <c r="C1338" s="1" t="s">
        <v>61</v>
      </c>
      <c r="D1338" s="1">
        <f>IFERROR(VLOOKUP(DEG_REDE[[#This Row],[ID]],DEG_ACUM!A:A,1,0),"NOVO")</f>
        <v>3609</v>
      </c>
    </row>
    <row r="1339" spans="1:4" hidden="1" x14ac:dyDescent="0.35">
      <c r="A1339" s="1">
        <v>3611</v>
      </c>
      <c r="B1339" s="2">
        <v>46318</v>
      </c>
      <c r="C1339" s="1" t="s">
        <v>61</v>
      </c>
      <c r="D1339" s="1">
        <f>IFERROR(VLOOKUP(DEG_REDE[[#This Row],[ID]],DEG_ACUM!A:A,1,0),"NOVO")</f>
        <v>3611</v>
      </c>
    </row>
    <row r="1340" spans="1:4" hidden="1" x14ac:dyDescent="0.35">
      <c r="A1340" s="1">
        <v>3612</v>
      </c>
      <c r="B1340" s="2">
        <v>46321</v>
      </c>
      <c r="C1340" s="1" t="s">
        <v>61</v>
      </c>
      <c r="D1340" s="1">
        <f>IFERROR(VLOOKUP(DEG_REDE[[#This Row],[ID]],DEG_ACUM!A:A,1,0),"NOVO")</f>
        <v>3612</v>
      </c>
    </row>
    <row r="1341" spans="1:4" hidden="1" x14ac:dyDescent="0.35">
      <c r="A1341" s="1">
        <v>3613</v>
      </c>
      <c r="B1341" s="2">
        <v>46321</v>
      </c>
      <c r="C1341" s="1" t="s">
        <v>61</v>
      </c>
      <c r="D1341" s="1">
        <f>IFERROR(VLOOKUP(DEG_REDE[[#This Row],[ID]],DEG_ACUM!A:A,1,0),"NOVO")</f>
        <v>3613</v>
      </c>
    </row>
    <row r="1342" spans="1:4" hidden="1" x14ac:dyDescent="0.35">
      <c r="A1342" s="1">
        <v>3614</v>
      </c>
      <c r="B1342" s="2">
        <v>46321</v>
      </c>
      <c r="C1342" s="1" t="s">
        <v>61</v>
      </c>
      <c r="D1342" s="1">
        <f>IFERROR(VLOOKUP(DEG_REDE[[#This Row],[ID]],DEG_ACUM!A:A,1,0),"NOVO")</f>
        <v>3614</v>
      </c>
    </row>
    <row r="1343" spans="1:4" hidden="1" x14ac:dyDescent="0.35">
      <c r="A1343" s="1">
        <v>3615</v>
      </c>
      <c r="B1343" s="2">
        <v>46321</v>
      </c>
      <c r="C1343" s="1" t="s">
        <v>61</v>
      </c>
      <c r="D1343" s="1">
        <f>IFERROR(VLOOKUP(DEG_REDE[[#This Row],[ID]],DEG_ACUM!A:A,1,0),"NOVO")</f>
        <v>3615</v>
      </c>
    </row>
    <row r="1344" spans="1:4" hidden="1" x14ac:dyDescent="0.35">
      <c r="A1344" s="1">
        <v>3617</v>
      </c>
      <c r="B1344" s="2">
        <v>46321</v>
      </c>
      <c r="C1344" s="1" t="s">
        <v>64</v>
      </c>
      <c r="D1344" s="1">
        <f>IFERROR(VLOOKUP(DEG_REDE[[#This Row],[ID]],DEG_ACUM!A:A,1,0),"NOVO")</f>
        <v>3617</v>
      </c>
    </row>
    <row r="1345" spans="1:4" hidden="1" x14ac:dyDescent="0.35">
      <c r="A1345" s="1">
        <v>3618</v>
      </c>
      <c r="B1345" s="2">
        <v>46321</v>
      </c>
      <c r="C1345" s="1" t="s">
        <v>64</v>
      </c>
      <c r="D1345" s="1">
        <f>IFERROR(VLOOKUP(DEG_REDE[[#This Row],[ID]],DEG_ACUM!A:A,1,0),"NOVO")</f>
        <v>3618</v>
      </c>
    </row>
    <row r="1346" spans="1:4" hidden="1" x14ac:dyDescent="0.35">
      <c r="A1346" s="1">
        <v>3619</v>
      </c>
      <c r="B1346" s="2">
        <v>46321</v>
      </c>
      <c r="C1346" s="1" t="s">
        <v>64</v>
      </c>
      <c r="D1346" s="1">
        <f>IFERROR(VLOOKUP(DEG_REDE[[#This Row],[ID]],DEG_ACUM!A:A,1,0),"NOVO")</f>
        <v>3619</v>
      </c>
    </row>
    <row r="1347" spans="1:4" hidden="1" x14ac:dyDescent="0.35">
      <c r="A1347" s="1">
        <v>3620</v>
      </c>
      <c r="B1347" s="2">
        <v>46321</v>
      </c>
      <c r="C1347" s="1" t="s">
        <v>61</v>
      </c>
      <c r="D1347" s="1">
        <f>IFERROR(VLOOKUP(DEG_REDE[[#This Row],[ID]],DEG_ACUM!A:A,1,0),"NOVO")</f>
        <v>3620</v>
      </c>
    </row>
    <row r="1348" spans="1:4" hidden="1" x14ac:dyDescent="0.35">
      <c r="A1348" s="1">
        <v>3621</v>
      </c>
      <c r="B1348" s="2">
        <v>46322</v>
      </c>
      <c r="C1348" s="1" t="s">
        <v>61</v>
      </c>
      <c r="D1348" s="1">
        <f>IFERROR(VLOOKUP(DEG_REDE[[#This Row],[ID]],DEG_ACUM!A:A,1,0),"NOVO")</f>
        <v>3621</v>
      </c>
    </row>
    <row r="1349" spans="1:4" hidden="1" x14ac:dyDescent="0.35">
      <c r="A1349" s="1">
        <v>3622</v>
      </c>
      <c r="B1349" s="2">
        <v>46322</v>
      </c>
      <c r="C1349" s="1" t="s">
        <v>61</v>
      </c>
      <c r="D1349" s="1">
        <f>IFERROR(VLOOKUP(DEG_REDE[[#This Row],[ID]],DEG_ACUM!A:A,1,0),"NOVO")</f>
        <v>3622</v>
      </c>
    </row>
    <row r="1350" spans="1:4" hidden="1" x14ac:dyDescent="0.35">
      <c r="A1350" s="1">
        <v>3623</v>
      </c>
      <c r="B1350" s="2">
        <v>46322</v>
      </c>
      <c r="C1350" s="1" t="s">
        <v>52</v>
      </c>
      <c r="D1350" s="1">
        <f>IFERROR(VLOOKUP(DEG_REDE[[#This Row],[ID]],DEG_ACUM!A:A,1,0),"NOVO")</f>
        <v>3623</v>
      </c>
    </row>
    <row r="1351" spans="1:4" hidden="1" x14ac:dyDescent="0.35">
      <c r="A1351" s="1">
        <v>3624</v>
      </c>
      <c r="B1351" s="2">
        <v>46322</v>
      </c>
      <c r="C1351" s="1" t="s">
        <v>64</v>
      </c>
      <c r="D1351" s="1">
        <f>IFERROR(VLOOKUP(DEG_REDE[[#This Row],[ID]],DEG_ACUM!A:A,1,0),"NOVO")</f>
        <v>3624</v>
      </c>
    </row>
    <row r="1352" spans="1:4" hidden="1" x14ac:dyDescent="0.35">
      <c r="A1352" s="1">
        <v>3625</v>
      </c>
      <c r="B1352" s="2">
        <v>46322</v>
      </c>
      <c r="C1352" s="1" t="s">
        <v>64</v>
      </c>
      <c r="D1352" s="1">
        <f>IFERROR(VLOOKUP(DEG_REDE[[#This Row],[ID]],DEG_ACUM!A:A,1,0),"NOVO")</f>
        <v>3625</v>
      </c>
    </row>
    <row r="1353" spans="1:4" hidden="1" x14ac:dyDescent="0.35">
      <c r="A1353" s="1">
        <v>3626</v>
      </c>
      <c r="B1353" s="2">
        <v>46322</v>
      </c>
      <c r="C1353" s="1" t="s">
        <v>51</v>
      </c>
      <c r="D1353" s="1">
        <f>IFERROR(VLOOKUP(DEG_REDE[[#This Row],[ID]],DEG_ACUM!A:A,1,0),"NOVO")</f>
        <v>3626</v>
      </c>
    </row>
    <row r="1354" spans="1:4" hidden="1" x14ac:dyDescent="0.35">
      <c r="A1354" s="1">
        <v>3627</v>
      </c>
      <c r="B1354" s="2">
        <v>46322</v>
      </c>
      <c r="C1354" s="1" t="s">
        <v>61</v>
      </c>
      <c r="D1354" s="1">
        <f>IFERROR(VLOOKUP(DEG_REDE[[#This Row],[ID]],DEG_ACUM!A:A,1,0),"NOVO")</f>
        <v>3627</v>
      </c>
    </row>
    <row r="1355" spans="1:4" hidden="1" x14ac:dyDescent="0.35">
      <c r="A1355" s="1">
        <v>3628</v>
      </c>
      <c r="B1355" s="2">
        <v>46323</v>
      </c>
      <c r="C1355" s="1" t="s">
        <v>61</v>
      </c>
      <c r="D1355" s="1">
        <f>IFERROR(VLOOKUP(DEG_REDE[[#This Row],[ID]],DEG_ACUM!A:A,1,0),"NOVO")</f>
        <v>3628</v>
      </c>
    </row>
    <row r="1356" spans="1:4" hidden="1" x14ac:dyDescent="0.35">
      <c r="A1356" s="1">
        <v>3629</v>
      </c>
      <c r="B1356" s="2">
        <v>46323</v>
      </c>
      <c r="C1356" s="1" t="s">
        <v>62</v>
      </c>
      <c r="D1356" s="1">
        <f>IFERROR(VLOOKUP(DEG_REDE[[#This Row],[ID]],DEG_ACUM!A:A,1,0),"NOVO")</f>
        <v>3629</v>
      </c>
    </row>
    <row r="1357" spans="1:4" hidden="1" x14ac:dyDescent="0.35">
      <c r="A1357" s="1">
        <v>3630</v>
      </c>
      <c r="B1357" s="2">
        <v>46323</v>
      </c>
      <c r="C1357" s="1" t="s">
        <v>52</v>
      </c>
      <c r="D1357" s="1">
        <f>IFERROR(VLOOKUP(DEG_REDE[[#This Row],[ID]],DEG_ACUM!A:A,1,0),"NOVO")</f>
        <v>3630</v>
      </c>
    </row>
    <row r="1358" spans="1:4" hidden="1" x14ac:dyDescent="0.35">
      <c r="A1358" s="1">
        <v>3631</v>
      </c>
      <c r="B1358" s="2">
        <v>46323</v>
      </c>
      <c r="C1358" s="1" t="s">
        <v>52</v>
      </c>
      <c r="D1358" s="1">
        <f>IFERROR(VLOOKUP(DEG_REDE[[#This Row],[ID]],DEG_ACUM!A:A,1,0),"NOVO")</f>
        <v>3631</v>
      </c>
    </row>
    <row r="1359" spans="1:4" hidden="1" x14ac:dyDescent="0.35">
      <c r="A1359" s="1">
        <v>3632</v>
      </c>
      <c r="B1359" s="2">
        <v>46323</v>
      </c>
      <c r="C1359" s="1" t="s">
        <v>51</v>
      </c>
      <c r="D1359" s="1">
        <f>IFERROR(VLOOKUP(DEG_REDE[[#This Row],[ID]],DEG_ACUM!A:A,1,0),"NOVO")</f>
        <v>3632</v>
      </c>
    </row>
    <row r="1360" spans="1:4" hidden="1" x14ac:dyDescent="0.35">
      <c r="A1360" s="1">
        <v>3633</v>
      </c>
      <c r="B1360" s="2">
        <v>46323</v>
      </c>
      <c r="C1360" s="1" t="s">
        <v>52</v>
      </c>
      <c r="D1360" s="1">
        <f>IFERROR(VLOOKUP(DEG_REDE[[#This Row],[ID]],DEG_ACUM!A:A,1,0),"NOVO")</f>
        <v>3633</v>
      </c>
    </row>
    <row r="1361" spans="1:4" hidden="1" x14ac:dyDescent="0.35">
      <c r="A1361" s="1">
        <v>3634</v>
      </c>
      <c r="B1361" s="2">
        <v>46323</v>
      </c>
      <c r="C1361" s="1" t="s">
        <v>52</v>
      </c>
      <c r="D1361" s="1">
        <f>IFERROR(VLOOKUP(DEG_REDE[[#This Row],[ID]],DEG_ACUM!A:A,1,0),"NOVO")</f>
        <v>3634</v>
      </c>
    </row>
    <row r="1362" spans="1:4" hidden="1" x14ac:dyDescent="0.35">
      <c r="A1362" s="1">
        <v>3635</v>
      </c>
      <c r="B1362" s="2">
        <v>46323</v>
      </c>
      <c r="C1362" s="1" t="s">
        <v>52</v>
      </c>
      <c r="D1362" s="1">
        <f>IFERROR(VLOOKUP(DEG_REDE[[#This Row],[ID]],DEG_ACUM!A:A,1,0),"NOVO")</f>
        <v>3635</v>
      </c>
    </row>
    <row r="1363" spans="1:4" hidden="1" x14ac:dyDescent="0.35">
      <c r="A1363" s="1">
        <v>3636</v>
      </c>
      <c r="B1363" s="2">
        <v>46323</v>
      </c>
      <c r="C1363" s="1" t="s">
        <v>52</v>
      </c>
      <c r="D1363" s="1">
        <f>IFERROR(VLOOKUP(DEG_REDE[[#This Row],[ID]],DEG_ACUM!A:A,1,0),"NOVO")</f>
        <v>3636</v>
      </c>
    </row>
    <row r="1364" spans="1:4" hidden="1" x14ac:dyDescent="0.35">
      <c r="A1364" s="1">
        <v>3637</v>
      </c>
      <c r="B1364" s="2">
        <v>46323</v>
      </c>
      <c r="C1364" s="1" t="s">
        <v>52</v>
      </c>
      <c r="D1364" s="1">
        <f>IFERROR(VLOOKUP(DEG_REDE[[#This Row],[ID]],DEG_ACUM!A:A,1,0),"NOVO")</f>
        <v>3637</v>
      </c>
    </row>
    <row r="1365" spans="1:4" hidden="1" x14ac:dyDescent="0.35">
      <c r="A1365" s="1">
        <v>3638</v>
      </c>
      <c r="B1365" s="2">
        <v>46323</v>
      </c>
      <c r="C1365" s="1" t="s">
        <v>52</v>
      </c>
      <c r="D1365" s="1">
        <f>IFERROR(VLOOKUP(DEG_REDE[[#This Row],[ID]],DEG_ACUM!A:A,1,0),"NOVO")</f>
        <v>3638</v>
      </c>
    </row>
    <row r="1366" spans="1:4" hidden="1" x14ac:dyDescent="0.35">
      <c r="A1366" s="1">
        <v>3639</v>
      </c>
      <c r="B1366" s="2">
        <v>46323</v>
      </c>
      <c r="C1366" s="1" t="s">
        <v>52</v>
      </c>
      <c r="D1366" s="1">
        <f>IFERROR(VLOOKUP(DEG_REDE[[#This Row],[ID]],DEG_ACUM!A:A,1,0),"NOVO")</f>
        <v>3639</v>
      </c>
    </row>
    <row r="1367" spans="1:4" hidden="1" x14ac:dyDescent="0.35">
      <c r="A1367" s="1">
        <v>3640</v>
      </c>
      <c r="B1367" s="2">
        <v>46323</v>
      </c>
      <c r="C1367" s="1" t="s">
        <v>52</v>
      </c>
      <c r="D1367" s="1">
        <f>IFERROR(VLOOKUP(DEG_REDE[[#This Row],[ID]],DEG_ACUM!A:A,1,0),"NOVO")</f>
        <v>3640</v>
      </c>
    </row>
    <row r="1368" spans="1:4" hidden="1" x14ac:dyDescent="0.35">
      <c r="A1368" s="1">
        <v>3644</v>
      </c>
      <c r="B1368" s="2">
        <v>46324</v>
      </c>
      <c r="C1368" s="1" t="s">
        <v>52</v>
      </c>
      <c r="D1368" s="1">
        <f>IFERROR(VLOOKUP(DEG_REDE[[#This Row],[ID]],DEG_ACUM!A:A,1,0),"NOVO")</f>
        <v>3644</v>
      </c>
    </row>
    <row r="1369" spans="1:4" hidden="1" x14ac:dyDescent="0.35">
      <c r="A1369" s="1">
        <v>3645</v>
      </c>
      <c r="B1369" s="2">
        <v>46324</v>
      </c>
      <c r="C1369" s="1" t="s">
        <v>61</v>
      </c>
      <c r="D1369" s="1">
        <f>IFERROR(VLOOKUP(DEG_REDE[[#This Row],[ID]],DEG_ACUM!A:A,1,0),"NOVO")</f>
        <v>3645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7F02-0113-4CF1-8B1C-082BE70F2698}">
  <dimension ref="A1:D2483"/>
  <sheetViews>
    <sheetView showGridLines="0" topLeftCell="A2456" workbookViewId="0">
      <selection activeCell="A2465" sqref="A2465:C2483"/>
    </sheetView>
  </sheetViews>
  <sheetFormatPr defaultRowHeight="10.5" x14ac:dyDescent="0.35"/>
  <cols>
    <col min="1" max="1" width="8.7265625" style="1"/>
    <col min="2" max="2" width="7.36328125" style="2" bestFit="1" customWidth="1"/>
    <col min="3" max="3" width="25.453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25856</v>
      </c>
      <c r="B2" s="2">
        <v>46024</v>
      </c>
      <c r="C2" s="1" t="s">
        <v>50</v>
      </c>
      <c r="D2" s="1">
        <f>MONTH(Tabela6[[#This Row],[DATA]])</f>
        <v>1</v>
      </c>
    </row>
    <row r="3" spans="1:4" x14ac:dyDescent="0.35">
      <c r="A3" s="1">
        <v>25857</v>
      </c>
      <c r="B3" s="2">
        <v>46024</v>
      </c>
      <c r="C3" s="1" t="s">
        <v>50</v>
      </c>
      <c r="D3" s="1">
        <f>MONTH(Tabela6[[#This Row],[DATA]])</f>
        <v>1</v>
      </c>
    </row>
    <row r="4" spans="1:4" x14ac:dyDescent="0.35">
      <c r="A4" s="1">
        <v>25858</v>
      </c>
      <c r="B4" s="2">
        <v>46024</v>
      </c>
      <c r="C4" s="1" t="s">
        <v>50</v>
      </c>
      <c r="D4" s="1">
        <f>MONTH(Tabela6[[#This Row],[DATA]])</f>
        <v>1</v>
      </c>
    </row>
    <row r="5" spans="1:4" x14ac:dyDescent="0.35">
      <c r="A5" s="1">
        <v>25859</v>
      </c>
      <c r="B5" s="2">
        <v>46024</v>
      </c>
      <c r="C5" s="1" t="s">
        <v>50</v>
      </c>
      <c r="D5" s="1">
        <f>MONTH(Tabela6[[#This Row],[DATA]])</f>
        <v>1</v>
      </c>
    </row>
    <row r="6" spans="1:4" x14ac:dyDescent="0.35">
      <c r="A6" s="1">
        <v>25861</v>
      </c>
      <c r="B6" s="2">
        <v>46027</v>
      </c>
      <c r="C6" s="1" t="s">
        <v>9</v>
      </c>
      <c r="D6" s="1">
        <f>MONTH(Tabela6[[#This Row],[DATA]])</f>
        <v>1</v>
      </c>
    </row>
    <row r="7" spans="1:4" x14ac:dyDescent="0.35">
      <c r="A7" s="1">
        <v>25862</v>
      </c>
      <c r="B7" s="2">
        <v>46027</v>
      </c>
      <c r="C7" s="1" t="s">
        <v>9</v>
      </c>
      <c r="D7" s="1">
        <f>MONTH(Tabela6[[#This Row],[DATA]])</f>
        <v>1</v>
      </c>
    </row>
    <row r="8" spans="1:4" x14ac:dyDescent="0.35">
      <c r="A8" s="1">
        <v>25863</v>
      </c>
      <c r="B8" s="2">
        <v>46027</v>
      </c>
      <c r="C8" s="1" t="s">
        <v>9</v>
      </c>
      <c r="D8" s="1">
        <f>MONTH(Tabela6[[#This Row],[DATA]])</f>
        <v>1</v>
      </c>
    </row>
    <row r="9" spans="1:4" x14ac:dyDescent="0.35">
      <c r="A9" s="1">
        <v>25864</v>
      </c>
      <c r="B9" s="2">
        <v>46027</v>
      </c>
      <c r="C9" s="1" t="s">
        <v>9</v>
      </c>
      <c r="D9" s="1">
        <f>MONTH(Tabela6[[#This Row],[DATA]])</f>
        <v>1</v>
      </c>
    </row>
    <row r="10" spans="1:4" x14ac:dyDescent="0.35">
      <c r="A10" s="1">
        <v>25865</v>
      </c>
      <c r="B10" s="2">
        <v>46027</v>
      </c>
      <c r="C10" s="1" t="s">
        <v>9</v>
      </c>
      <c r="D10" s="1">
        <f>MONTH(Tabela6[[#This Row],[DATA]])</f>
        <v>1</v>
      </c>
    </row>
    <row r="11" spans="1:4" x14ac:dyDescent="0.35">
      <c r="A11" s="1">
        <v>25866</v>
      </c>
      <c r="B11" s="2">
        <v>46027</v>
      </c>
      <c r="C11" s="1" t="s">
        <v>9</v>
      </c>
      <c r="D11" s="1">
        <f>MONTH(Tabela6[[#This Row],[DATA]])</f>
        <v>1</v>
      </c>
    </row>
    <row r="12" spans="1:4" x14ac:dyDescent="0.35">
      <c r="A12" s="1">
        <v>25867</v>
      </c>
      <c r="B12" s="2">
        <v>46027</v>
      </c>
      <c r="C12" s="1" t="s">
        <v>32</v>
      </c>
      <c r="D12" s="1">
        <f>MONTH(Tabela6[[#This Row],[DATA]])</f>
        <v>1</v>
      </c>
    </row>
    <row r="13" spans="1:4" x14ac:dyDescent="0.35">
      <c r="A13" s="1">
        <v>25868</v>
      </c>
      <c r="B13" s="2">
        <v>46027</v>
      </c>
      <c r="C13" s="1" t="s">
        <v>32</v>
      </c>
      <c r="D13" s="1">
        <f>MONTH(Tabela6[[#This Row],[DATA]])</f>
        <v>1</v>
      </c>
    </row>
    <row r="14" spans="1:4" x14ac:dyDescent="0.35">
      <c r="A14" s="1">
        <v>25869</v>
      </c>
      <c r="B14" s="2">
        <v>46027</v>
      </c>
      <c r="C14" s="1" t="s">
        <v>32</v>
      </c>
      <c r="D14" s="1">
        <f>MONTH(Tabela6[[#This Row],[DATA]])</f>
        <v>1</v>
      </c>
    </row>
    <row r="15" spans="1:4" x14ac:dyDescent="0.35">
      <c r="A15" s="1">
        <v>25870</v>
      </c>
      <c r="B15" s="2">
        <v>46027</v>
      </c>
      <c r="C15" s="1" t="s">
        <v>33</v>
      </c>
      <c r="D15" s="1">
        <f>MONTH(Tabela6[[#This Row],[DATA]])</f>
        <v>1</v>
      </c>
    </row>
    <row r="16" spans="1:4" x14ac:dyDescent="0.35">
      <c r="A16" s="1">
        <v>25871</v>
      </c>
      <c r="B16" s="2">
        <v>46027</v>
      </c>
      <c r="C16" s="1" t="s">
        <v>33</v>
      </c>
      <c r="D16" s="1">
        <f>MONTH(Tabela6[[#This Row],[DATA]])</f>
        <v>1</v>
      </c>
    </row>
    <row r="17" spans="1:4" x14ac:dyDescent="0.35">
      <c r="A17" s="1">
        <v>25872</v>
      </c>
      <c r="B17" s="2">
        <v>46027</v>
      </c>
      <c r="C17" s="1" t="s">
        <v>33</v>
      </c>
      <c r="D17" s="1">
        <f>MONTH(Tabela6[[#This Row],[DATA]])</f>
        <v>1</v>
      </c>
    </row>
    <row r="18" spans="1:4" x14ac:dyDescent="0.35">
      <c r="A18" s="1">
        <v>25873</v>
      </c>
      <c r="B18" s="2">
        <v>46027</v>
      </c>
      <c r="C18" s="1" t="s">
        <v>33</v>
      </c>
      <c r="D18" s="1">
        <f>MONTH(Tabela6[[#This Row],[DATA]])</f>
        <v>1</v>
      </c>
    </row>
    <row r="19" spans="1:4" x14ac:dyDescent="0.35">
      <c r="A19" s="1">
        <v>25874</v>
      </c>
      <c r="B19" s="2">
        <v>46027</v>
      </c>
      <c r="C19" s="1" t="s">
        <v>32</v>
      </c>
      <c r="D19" s="1">
        <f>MONTH(Tabela6[[#This Row],[DATA]])</f>
        <v>1</v>
      </c>
    </row>
    <row r="20" spans="1:4" x14ac:dyDescent="0.35">
      <c r="A20" s="1">
        <v>25875</v>
      </c>
      <c r="B20" s="2">
        <v>46027</v>
      </c>
      <c r="C20" s="1" t="s">
        <v>32</v>
      </c>
      <c r="D20" s="1">
        <f>MONTH(Tabela6[[#This Row],[DATA]])</f>
        <v>1</v>
      </c>
    </row>
    <row r="21" spans="1:4" x14ac:dyDescent="0.35">
      <c r="A21" s="1">
        <v>25876</v>
      </c>
      <c r="B21" s="2">
        <v>46027</v>
      </c>
      <c r="C21" s="1" t="s">
        <v>33</v>
      </c>
      <c r="D21" s="1">
        <f>MONTH(Tabela6[[#This Row],[DATA]])</f>
        <v>1</v>
      </c>
    </row>
    <row r="22" spans="1:4" x14ac:dyDescent="0.35">
      <c r="A22" s="1">
        <v>25885</v>
      </c>
      <c r="B22" s="2">
        <v>46028</v>
      </c>
      <c r="C22" s="1" t="s">
        <v>24</v>
      </c>
      <c r="D22" s="1">
        <f>MONTH(Tabela6[[#This Row],[DATA]])</f>
        <v>1</v>
      </c>
    </row>
    <row r="23" spans="1:4" x14ac:dyDescent="0.35">
      <c r="A23" s="1">
        <v>25886</v>
      </c>
      <c r="B23" s="2">
        <v>46028</v>
      </c>
      <c r="C23" s="1" t="s">
        <v>24</v>
      </c>
      <c r="D23" s="1">
        <f>MONTH(Tabela6[[#This Row],[DATA]])</f>
        <v>1</v>
      </c>
    </row>
    <row r="24" spans="1:4" x14ac:dyDescent="0.35">
      <c r="A24" s="1">
        <v>25887</v>
      </c>
      <c r="B24" s="2">
        <v>46028</v>
      </c>
      <c r="C24" s="1" t="s">
        <v>24</v>
      </c>
      <c r="D24" s="1">
        <f>MONTH(Tabela6[[#This Row],[DATA]])</f>
        <v>1</v>
      </c>
    </row>
    <row r="25" spans="1:4" x14ac:dyDescent="0.35">
      <c r="A25" s="1">
        <v>25888</v>
      </c>
      <c r="B25" s="2">
        <v>46028</v>
      </c>
      <c r="C25" s="1" t="s">
        <v>24</v>
      </c>
      <c r="D25" s="1">
        <f>MONTH(Tabela6[[#This Row],[DATA]])</f>
        <v>1</v>
      </c>
    </row>
    <row r="26" spans="1:4" x14ac:dyDescent="0.35">
      <c r="A26" s="1">
        <v>25889</v>
      </c>
      <c r="B26" s="2">
        <v>46028</v>
      </c>
      <c r="C26" s="1" t="s">
        <v>24</v>
      </c>
      <c r="D26" s="1">
        <f>MONTH(Tabela6[[#This Row],[DATA]])</f>
        <v>1</v>
      </c>
    </row>
    <row r="27" spans="1:4" x14ac:dyDescent="0.35">
      <c r="A27" s="1">
        <v>25890</v>
      </c>
      <c r="B27" s="2">
        <v>46028</v>
      </c>
      <c r="C27" s="1" t="s">
        <v>24</v>
      </c>
      <c r="D27" s="1">
        <f>MONTH(Tabela6[[#This Row],[DATA]])</f>
        <v>1</v>
      </c>
    </row>
    <row r="28" spans="1:4" x14ac:dyDescent="0.35">
      <c r="A28" s="1">
        <v>25891</v>
      </c>
      <c r="B28" s="2">
        <v>46028</v>
      </c>
      <c r="C28" s="1" t="s">
        <v>24</v>
      </c>
      <c r="D28" s="1">
        <f>MONTH(Tabela6[[#This Row],[DATA]])</f>
        <v>1</v>
      </c>
    </row>
    <row r="29" spans="1:4" x14ac:dyDescent="0.35">
      <c r="A29" s="1">
        <v>25892</v>
      </c>
      <c r="B29" s="2">
        <v>46028</v>
      </c>
      <c r="C29" s="1" t="s">
        <v>24</v>
      </c>
      <c r="D29" s="1">
        <f>MONTH(Tabela6[[#This Row],[DATA]])</f>
        <v>1</v>
      </c>
    </row>
    <row r="30" spans="1:4" x14ac:dyDescent="0.35">
      <c r="A30" s="1">
        <v>25896</v>
      </c>
      <c r="B30" s="2">
        <v>46028</v>
      </c>
      <c r="C30" s="1" t="s">
        <v>33</v>
      </c>
      <c r="D30" s="1">
        <f>MONTH(Tabela6[[#This Row],[DATA]])</f>
        <v>1</v>
      </c>
    </row>
    <row r="31" spans="1:4" x14ac:dyDescent="0.35">
      <c r="A31" s="1">
        <v>25897</v>
      </c>
      <c r="B31" s="2">
        <v>46028</v>
      </c>
      <c r="C31" s="1" t="s">
        <v>33</v>
      </c>
      <c r="D31" s="1">
        <f>MONTH(Tabela6[[#This Row],[DATA]])</f>
        <v>1</v>
      </c>
    </row>
    <row r="32" spans="1:4" x14ac:dyDescent="0.35">
      <c r="A32" s="1">
        <v>25898</v>
      </c>
      <c r="B32" s="2">
        <v>46028</v>
      </c>
      <c r="C32" s="1" t="s">
        <v>33</v>
      </c>
      <c r="D32" s="1">
        <f>MONTH(Tabela6[[#This Row],[DATA]])</f>
        <v>1</v>
      </c>
    </row>
    <row r="33" spans="1:4" x14ac:dyDescent="0.35">
      <c r="A33" s="1">
        <v>25900</v>
      </c>
      <c r="B33" s="2">
        <v>46028</v>
      </c>
      <c r="C33" s="1" t="s">
        <v>33</v>
      </c>
      <c r="D33" s="1">
        <f>MONTH(Tabela6[[#This Row],[DATA]])</f>
        <v>1</v>
      </c>
    </row>
    <row r="34" spans="1:4" x14ac:dyDescent="0.35">
      <c r="A34" s="1">
        <v>25906</v>
      </c>
      <c r="B34" s="2">
        <v>46028</v>
      </c>
      <c r="C34" s="1" t="s">
        <v>32</v>
      </c>
      <c r="D34" s="1">
        <f>MONTH(Tabela6[[#This Row],[DATA]])</f>
        <v>1</v>
      </c>
    </row>
    <row r="35" spans="1:4" x14ac:dyDescent="0.35">
      <c r="A35" s="1">
        <v>25907</v>
      </c>
      <c r="B35" s="2">
        <v>46028</v>
      </c>
      <c r="C35" s="1" t="s">
        <v>32</v>
      </c>
      <c r="D35" s="1">
        <f>MONTH(Tabela6[[#This Row],[DATA]])</f>
        <v>1</v>
      </c>
    </row>
    <row r="36" spans="1:4" x14ac:dyDescent="0.35">
      <c r="A36" s="1">
        <v>25908</v>
      </c>
      <c r="B36" s="2">
        <v>46028</v>
      </c>
      <c r="C36" s="1" t="s">
        <v>32</v>
      </c>
      <c r="D36" s="1">
        <f>MONTH(Tabela6[[#This Row],[DATA]])</f>
        <v>1</v>
      </c>
    </row>
    <row r="37" spans="1:4" x14ac:dyDescent="0.35">
      <c r="A37" s="1">
        <v>25909</v>
      </c>
      <c r="B37" s="2">
        <v>46028</v>
      </c>
      <c r="C37" s="1" t="s">
        <v>32</v>
      </c>
      <c r="D37" s="1">
        <f>MONTH(Tabela6[[#This Row],[DATA]])</f>
        <v>1</v>
      </c>
    </row>
    <row r="38" spans="1:4" x14ac:dyDescent="0.35">
      <c r="A38" s="1">
        <v>25910</v>
      </c>
      <c r="B38" s="2">
        <v>46028</v>
      </c>
      <c r="C38" s="1" t="s">
        <v>32</v>
      </c>
      <c r="D38" s="1">
        <f>MONTH(Tabela6[[#This Row],[DATA]])</f>
        <v>1</v>
      </c>
    </row>
    <row r="39" spans="1:4" x14ac:dyDescent="0.35">
      <c r="A39" s="1">
        <v>25911</v>
      </c>
      <c r="B39" s="2">
        <v>46028</v>
      </c>
      <c r="C39" s="1" t="s">
        <v>32</v>
      </c>
      <c r="D39" s="1">
        <f>MONTH(Tabela6[[#This Row],[DATA]])</f>
        <v>1</v>
      </c>
    </row>
    <row r="40" spans="1:4" x14ac:dyDescent="0.35">
      <c r="A40" s="1">
        <v>25912</v>
      </c>
      <c r="B40" s="2">
        <v>46028</v>
      </c>
      <c r="C40" s="1" t="s">
        <v>9</v>
      </c>
      <c r="D40" s="1">
        <f>MONTH(Tabela6[[#This Row],[DATA]])</f>
        <v>1</v>
      </c>
    </row>
    <row r="41" spans="1:4" x14ac:dyDescent="0.35">
      <c r="A41" s="1">
        <v>25913</v>
      </c>
      <c r="B41" s="2">
        <v>46028</v>
      </c>
      <c r="C41" s="1" t="s">
        <v>9</v>
      </c>
      <c r="D41" s="1">
        <f>MONTH(Tabela6[[#This Row],[DATA]])</f>
        <v>1</v>
      </c>
    </row>
    <row r="42" spans="1:4" x14ac:dyDescent="0.35">
      <c r="A42" s="1">
        <v>25914</v>
      </c>
      <c r="B42" s="2">
        <v>46028</v>
      </c>
      <c r="C42" s="1" t="s">
        <v>9</v>
      </c>
      <c r="D42" s="1">
        <f>MONTH(Tabela6[[#This Row],[DATA]])</f>
        <v>1</v>
      </c>
    </row>
    <row r="43" spans="1:4" x14ac:dyDescent="0.35">
      <c r="A43" s="1">
        <v>25915</v>
      </c>
      <c r="B43" s="2">
        <v>46028</v>
      </c>
      <c r="C43" s="1" t="s">
        <v>9</v>
      </c>
      <c r="D43" s="1">
        <f>MONTH(Tabela6[[#This Row],[DATA]])</f>
        <v>1</v>
      </c>
    </row>
    <row r="44" spans="1:4" x14ac:dyDescent="0.35">
      <c r="A44" s="1">
        <v>25916</v>
      </c>
      <c r="B44" s="2">
        <v>46028</v>
      </c>
      <c r="C44" s="1" t="s">
        <v>9</v>
      </c>
      <c r="D44" s="1">
        <f>MONTH(Tabela6[[#This Row],[DATA]])</f>
        <v>1</v>
      </c>
    </row>
    <row r="45" spans="1:4" x14ac:dyDescent="0.35">
      <c r="A45" s="1">
        <v>25917</v>
      </c>
      <c r="B45" s="2">
        <v>46028</v>
      </c>
      <c r="C45" s="1" t="s">
        <v>24</v>
      </c>
      <c r="D45" s="1">
        <f>MONTH(Tabela6[[#This Row],[DATA]])</f>
        <v>1</v>
      </c>
    </row>
    <row r="46" spans="1:4" x14ac:dyDescent="0.35">
      <c r="A46" s="1">
        <v>25918</v>
      </c>
      <c r="B46" s="2">
        <v>46028</v>
      </c>
      <c r="C46" s="1" t="s">
        <v>24</v>
      </c>
      <c r="D46" s="1">
        <f>MONTH(Tabela6[[#This Row],[DATA]])</f>
        <v>1</v>
      </c>
    </row>
    <row r="47" spans="1:4" x14ac:dyDescent="0.35">
      <c r="A47" s="1">
        <v>25919</v>
      </c>
      <c r="B47" s="2">
        <v>46028</v>
      </c>
      <c r="C47" s="1" t="s">
        <v>24</v>
      </c>
      <c r="D47" s="1">
        <f>MONTH(Tabela6[[#This Row],[DATA]])</f>
        <v>1</v>
      </c>
    </row>
    <row r="48" spans="1:4" x14ac:dyDescent="0.35">
      <c r="A48" s="1">
        <v>25920</v>
      </c>
      <c r="B48" s="2">
        <v>46028</v>
      </c>
      <c r="C48" s="1" t="s">
        <v>24</v>
      </c>
      <c r="D48" s="1">
        <f>MONTH(Tabela6[[#This Row],[DATA]])</f>
        <v>1</v>
      </c>
    </row>
    <row r="49" spans="1:4" x14ac:dyDescent="0.35">
      <c r="A49" s="1">
        <v>25921</v>
      </c>
      <c r="B49" s="2">
        <v>46028</v>
      </c>
      <c r="C49" s="1" t="s">
        <v>24</v>
      </c>
      <c r="D49" s="1">
        <f>MONTH(Tabela6[[#This Row],[DATA]])</f>
        <v>1</v>
      </c>
    </row>
    <row r="50" spans="1:4" x14ac:dyDescent="0.35">
      <c r="A50" s="1">
        <v>25922</v>
      </c>
      <c r="B50" s="2">
        <v>46028</v>
      </c>
      <c r="C50" s="1" t="s">
        <v>24</v>
      </c>
      <c r="D50" s="1">
        <f>MONTH(Tabela6[[#This Row],[DATA]])</f>
        <v>1</v>
      </c>
    </row>
    <row r="51" spans="1:4" x14ac:dyDescent="0.35">
      <c r="A51" s="1">
        <v>25923</v>
      </c>
      <c r="B51" s="2">
        <v>46028</v>
      </c>
      <c r="C51" s="1" t="s">
        <v>24</v>
      </c>
      <c r="D51" s="1">
        <f>MONTH(Tabela6[[#This Row],[DATA]])</f>
        <v>1</v>
      </c>
    </row>
    <row r="52" spans="1:4" x14ac:dyDescent="0.35">
      <c r="A52" s="1">
        <v>25924</v>
      </c>
      <c r="B52" s="2">
        <v>46028</v>
      </c>
      <c r="C52" s="1" t="s">
        <v>24</v>
      </c>
      <c r="D52" s="1">
        <f>MONTH(Tabela6[[#This Row],[DATA]])</f>
        <v>1</v>
      </c>
    </row>
    <row r="53" spans="1:4" x14ac:dyDescent="0.35">
      <c r="A53" s="1">
        <v>25925</v>
      </c>
      <c r="B53" s="2">
        <v>46028</v>
      </c>
      <c r="C53" s="1" t="s">
        <v>24</v>
      </c>
      <c r="D53" s="1">
        <f>MONTH(Tabela6[[#This Row],[DATA]])</f>
        <v>1</v>
      </c>
    </row>
    <row r="54" spans="1:4" x14ac:dyDescent="0.35">
      <c r="A54" s="1">
        <v>25926</v>
      </c>
      <c r="B54" s="2">
        <v>46028</v>
      </c>
      <c r="C54" s="1" t="s">
        <v>24</v>
      </c>
      <c r="D54" s="1">
        <f>MONTH(Tabela6[[#This Row],[DATA]])</f>
        <v>1</v>
      </c>
    </row>
    <row r="55" spans="1:4" x14ac:dyDescent="0.35">
      <c r="A55" s="1">
        <v>25927</v>
      </c>
      <c r="B55" s="2">
        <v>46028</v>
      </c>
      <c r="C55" s="1" t="s">
        <v>24</v>
      </c>
      <c r="D55" s="1">
        <f>MONTH(Tabela6[[#This Row],[DATA]])</f>
        <v>1</v>
      </c>
    </row>
    <row r="56" spans="1:4" x14ac:dyDescent="0.35">
      <c r="A56" s="1">
        <v>25928</v>
      </c>
      <c r="B56" s="2">
        <v>46028</v>
      </c>
      <c r="C56" s="1" t="s">
        <v>24</v>
      </c>
      <c r="D56" s="1">
        <f>MONTH(Tabela6[[#This Row],[DATA]])</f>
        <v>1</v>
      </c>
    </row>
    <row r="57" spans="1:4" x14ac:dyDescent="0.35">
      <c r="A57" s="1">
        <v>25929</v>
      </c>
      <c r="B57" s="2">
        <v>46028</v>
      </c>
      <c r="C57" s="1" t="s">
        <v>24</v>
      </c>
      <c r="D57" s="1">
        <f>MONTH(Tabela6[[#This Row],[DATA]])</f>
        <v>1</v>
      </c>
    </row>
    <row r="58" spans="1:4" x14ac:dyDescent="0.35">
      <c r="A58" s="1">
        <v>25930</v>
      </c>
      <c r="B58" s="2">
        <v>46028</v>
      </c>
      <c r="C58" s="1" t="s">
        <v>5</v>
      </c>
      <c r="D58" s="1">
        <f>MONTH(Tabela6[[#This Row],[DATA]])</f>
        <v>1</v>
      </c>
    </row>
    <row r="59" spans="1:4" x14ac:dyDescent="0.35">
      <c r="A59" s="1">
        <v>25931</v>
      </c>
      <c r="B59" s="2">
        <v>46028</v>
      </c>
      <c r="C59" s="1" t="s">
        <v>5</v>
      </c>
      <c r="D59" s="1">
        <f>MONTH(Tabela6[[#This Row],[DATA]])</f>
        <v>1</v>
      </c>
    </row>
    <row r="60" spans="1:4" x14ac:dyDescent="0.35">
      <c r="A60" s="1">
        <v>25932</v>
      </c>
      <c r="B60" s="2">
        <v>46028</v>
      </c>
      <c r="C60" s="1" t="s">
        <v>5</v>
      </c>
      <c r="D60" s="1">
        <f>MONTH(Tabela6[[#This Row],[DATA]])</f>
        <v>1</v>
      </c>
    </row>
    <row r="61" spans="1:4" x14ac:dyDescent="0.35">
      <c r="A61" s="1">
        <v>25933</v>
      </c>
      <c r="B61" s="2">
        <v>46028</v>
      </c>
      <c r="C61" s="1" t="s">
        <v>5</v>
      </c>
      <c r="D61" s="1">
        <f>MONTH(Tabela6[[#This Row],[DATA]])</f>
        <v>1</v>
      </c>
    </row>
    <row r="62" spans="1:4" x14ac:dyDescent="0.35">
      <c r="A62" s="1">
        <v>25934</v>
      </c>
      <c r="B62" s="2">
        <v>46028</v>
      </c>
      <c r="C62" s="1" t="s">
        <v>5</v>
      </c>
      <c r="D62" s="1">
        <f>MONTH(Tabela6[[#This Row],[DATA]])</f>
        <v>1</v>
      </c>
    </row>
    <row r="63" spans="1:4" x14ac:dyDescent="0.35">
      <c r="A63" s="1">
        <v>25935</v>
      </c>
      <c r="B63" s="2">
        <v>46028</v>
      </c>
      <c r="C63" s="1" t="s">
        <v>5</v>
      </c>
      <c r="D63" s="1">
        <f>MONTH(Tabela6[[#This Row],[DATA]])</f>
        <v>1</v>
      </c>
    </row>
    <row r="64" spans="1:4" x14ac:dyDescent="0.35">
      <c r="A64" s="1">
        <v>25936</v>
      </c>
      <c r="B64" s="2">
        <v>46028</v>
      </c>
      <c r="C64" s="1" t="s">
        <v>5</v>
      </c>
      <c r="D64" s="1">
        <f>MONTH(Tabela6[[#This Row],[DATA]])</f>
        <v>1</v>
      </c>
    </row>
    <row r="65" spans="1:4" x14ac:dyDescent="0.35">
      <c r="A65" s="1">
        <v>25937</v>
      </c>
      <c r="B65" s="2">
        <v>46028</v>
      </c>
      <c r="C65" s="1" t="s">
        <v>5</v>
      </c>
      <c r="D65" s="1">
        <f>MONTH(Tabela6[[#This Row],[DATA]])</f>
        <v>1</v>
      </c>
    </row>
    <row r="66" spans="1:4" x14ac:dyDescent="0.35">
      <c r="A66" s="1">
        <v>25938</v>
      </c>
      <c r="B66" s="2">
        <v>46028</v>
      </c>
      <c r="C66" s="1" t="s">
        <v>5</v>
      </c>
      <c r="D66" s="1">
        <f>MONTH(Tabela6[[#This Row],[DATA]])</f>
        <v>1</v>
      </c>
    </row>
    <row r="67" spans="1:4" x14ac:dyDescent="0.35">
      <c r="A67" s="1">
        <v>25975</v>
      </c>
      <c r="B67" s="2">
        <v>46029</v>
      </c>
      <c r="C67" s="1" t="s">
        <v>34</v>
      </c>
      <c r="D67" s="1">
        <f>MONTH(Tabela6[[#This Row],[DATA]])</f>
        <v>1</v>
      </c>
    </row>
    <row r="68" spans="1:4" x14ac:dyDescent="0.35">
      <c r="A68" s="1">
        <v>25976</v>
      </c>
      <c r="B68" s="2">
        <v>46029</v>
      </c>
      <c r="C68" s="1" t="s">
        <v>34</v>
      </c>
      <c r="D68" s="1">
        <f>MONTH(Tabela6[[#This Row],[DATA]])</f>
        <v>1</v>
      </c>
    </row>
    <row r="69" spans="1:4" x14ac:dyDescent="0.35">
      <c r="A69" s="1">
        <v>25977</v>
      </c>
      <c r="B69" s="2">
        <v>46029</v>
      </c>
      <c r="C69" s="1" t="s">
        <v>34</v>
      </c>
      <c r="D69" s="1">
        <f>MONTH(Tabela6[[#This Row],[DATA]])</f>
        <v>1</v>
      </c>
    </row>
    <row r="70" spans="1:4" x14ac:dyDescent="0.35">
      <c r="A70" s="1">
        <v>25979</v>
      </c>
      <c r="B70" s="2">
        <v>46029</v>
      </c>
      <c r="C70" s="1" t="s">
        <v>34</v>
      </c>
      <c r="D70" s="1">
        <f>MONTH(Tabela6[[#This Row],[DATA]])</f>
        <v>1</v>
      </c>
    </row>
    <row r="71" spans="1:4" x14ac:dyDescent="0.35">
      <c r="A71" s="1">
        <v>25981</v>
      </c>
      <c r="B71" s="2">
        <v>46029</v>
      </c>
      <c r="C71" s="1" t="s">
        <v>34</v>
      </c>
      <c r="D71" s="1">
        <f>MONTH(Tabela6[[#This Row],[DATA]])</f>
        <v>1</v>
      </c>
    </row>
    <row r="72" spans="1:4" x14ac:dyDescent="0.35">
      <c r="A72" s="1">
        <v>25986</v>
      </c>
      <c r="B72" s="2">
        <v>46029</v>
      </c>
      <c r="C72" s="1" t="s">
        <v>34</v>
      </c>
      <c r="D72" s="1">
        <f>MONTH(Tabela6[[#This Row],[DATA]])</f>
        <v>1</v>
      </c>
    </row>
    <row r="73" spans="1:4" x14ac:dyDescent="0.35">
      <c r="A73" s="1">
        <v>25991</v>
      </c>
      <c r="B73" s="2">
        <v>46029</v>
      </c>
      <c r="C73" s="1" t="s">
        <v>24</v>
      </c>
      <c r="D73" s="1">
        <f>MONTH(Tabela6[[#This Row],[DATA]])</f>
        <v>1</v>
      </c>
    </row>
    <row r="74" spans="1:4" x14ac:dyDescent="0.35">
      <c r="A74" s="1">
        <v>25992</v>
      </c>
      <c r="B74" s="2">
        <v>46029</v>
      </c>
      <c r="C74" s="1" t="s">
        <v>24</v>
      </c>
      <c r="D74" s="1">
        <f>MONTH(Tabela6[[#This Row],[DATA]])</f>
        <v>1</v>
      </c>
    </row>
    <row r="75" spans="1:4" x14ac:dyDescent="0.35">
      <c r="A75" s="1">
        <v>25993</v>
      </c>
      <c r="B75" s="2">
        <v>46029</v>
      </c>
      <c r="C75" s="1" t="s">
        <v>24</v>
      </c>
      <c r="D75" s="1">
        <f>MONTH(Tabela6[[#This Row],[DATA]])</f>
        <v>1</v>
      </c>
    </row>
    <row r="76" spans="1:4" x14ac:dyDescent="0.35">
      <c r="A76" s="1">
        <v>25994</v>
      </c>
      <c r="B76" s="2">
        <v>46029</v>
      </c>
      <c r="C76" s="1" t="s">
        <v>24</v>
      </c>
      <c r="D76" s="1">
        <f>MONTH(Tabela6[[#This Row],[DATA]])</f>
        <v>1</v>
      </c>
    </row>
    <row r="77" spans="1:4" x14ac:dyDescent="0.35">
      <c r="A77" s="1">
        <v>25995</v>
      </c>
      <c r="B77" s="2">
        <v>46029</v>
      </c>
      <c r="C77" s="1" t="s">
        <v>24</v>
      </c>
      <c r="D77" s="1">
        <f>MONTH(Tabela6[[#This Row],[DATA]])</f>
        <v>1</v>
      </c>
    </row>
    <row r="78" spans="1:4" x14ac:dyDescent="0.35">
      <c r="A78" s="1">
        <v>25996</v>
      </c>
      <c r="B78" s="2">
        <v>46029</v>
      </c>
      <c r="C78" s="1" t="s">
        <v>24</v>
      </c>
      <c r="D78" s="1">
        <f>MONTH(Tabela6[[#This Row],[DATA]])</f>
        <v>1</v>
      </c>
    </row>
    <row r="79" spans="1:4" x14ac:dyDescent="0.35">
      <c r="A79" s="1">
        <v>25997</v>
      </c>
      <c r="B79" s="2">
        <v>46029</v>
      </c>
      <c r="C79" s="1" t="s">
        <v>24</v>
      </c>
      <c r="D79" s="1">
        <f>MONTH(Tabela6[[#This Row],[DATA]])</f>
        <v>1</v>
      </c>
    </row>
    <row r="80" spans="1:4" x14ac:dyDescent="0.35">
      <c r="A80" s="1">
        <v>25998</v>
      </c>
      <c r="B80" s="2">
        <v>46029</v>
      </c>
      <c r="C80" s="1" t="s">
        <v>24</v>
      </c>
      <c r="D80" s="1">
        <f>MONTH(Tabela6[[#This Row],[DATA]])</f>
        <v>1</v>
      </c>
    </row>
    <row r="81" spans="1:4" x14ac:dyDescent="0.35">
      <c r="A81" s="1">
        <v>26021</v>
      </c>
      <c r="B81" s="2">
        <v>46030</v>
      </c>
      <c r="C81" s="1" t="s">
        <v>34</v>
      </c>
      <c r="D81" s="1">
        <f>MONTH(Tabela6[[#This Row],[DATA]])</f>
        <v>1</v>
      </c>
    </row>
    <row r="82" spans="1:4" x14ac:dyDescent="0.35">
      <c r="A82" s="1">
        <v>26022</v>
      </c>
      <c r="B82" s="2">
        <v>46030</v>
      </c>
      <c r="C82" s="1" t="s">
        <v>34</v>
      </c>
      <c r="D82" s="1">
        <f>MONTH(Tabela6[[#This Row],[DATA]])</f>
        <v>1</v>
      </c>
    </row>
    <row r="83" spans="1:4" x14ac:dyDescent="0.35">
      <c r="A83" s="1">
        <v>26023</v>
      </c>
      <c r="B83" s="2">
        <v>46030</v>
      </c>
      <c r="C83" s="1" t="s">
        <v>34</v>
      </c>
      <c r="D83" s="1">
        <f>MONTH(Tabela6[[#This Row],[DATA]])</f>
        <v>1</v>
      </c>
    </row>
    <row r="84" spans="1:4" x14ac:dyDescent="0.35">
      <c r="A84" s="1">
        <v>26024</v>
      </c>
      <c r="B84" s="2">
        <v>46030</v>
      </c>
      <c r="C84" s="1" t="s">
        <v>34</v>
      </c>
      <c r="D84" s="1">
        <f>MONTH(Tabela6[[#This Row],[DATA]])</f>
        <v>1</v>
      </c>
    </row>
    <row r="85" spans="1:4" x14ac:dyDescent="0.35">
      <c r="A85" s="1">
        <v>26025</v>
      </c>
      <c r="B85" s="2">
        <v>46030</v>
      </c>
      <c r="C85" s="1" t="s">
        <v>34</v>
      </c>
      <c r="D85" s="1">
        <f>MONTH(Tabela6[[#This Row],[DATA]])</f>
        <v>1</v>
      </c>
    </row>
    <row r="86" spans="1:4" x14ac:dyDescent="0.35">
      <c r="A86" s="1">
        <v>26026</v>
      </c>
      <c r="B86" s="2">
        <v>46030</v>
      </c>
      <c r="C86" s="1" t="s">
        <v>34</v>
      </c>
      <c r="D86" s="1">
        <f>MONTH(Tabela6[[#This Row],[DATA]])</f>
        <v>1</v>
      </c>
    </row>
    <row r="87" spans="1:4" x14ac:dyDescent="0.35">
      <c r="A87" s="1">
        <v>26032</v>
      </c>
      <c r="B87" s="2">
        <v>46031</v>
      </c>
      <c r="C87" s="1" t="s">
        <v>34</v>
      </c>
      <c r="D87" s="1">
        <f>MONTH(Tabela6[[#This Row],[DATA]])</f>
        <v>1</v>
      </c>
    </row>
    <row r="88" spans="1:4" x14ac:dyDescent="0.35">
      <c r="A88" s="1">
        <v>26033</v>
      </c>
      <c r="B88" s="2">
        <v>46031</v>
      </c>
      <c r="C88" s="1" t="s">
        <v>34</v>
      </c>
      <c r="D88" s="1">
        <f>MONTH(Tabela6[[#This Row],[DATA]])</f>
        <v>1</v>
      </c>
    </row>
    <row r="89" spans="1:4" x14ac:dyDescent="0.35">
      <c r="A89" s="1">
        <v>26034</v>
      </c>
      <c r="B89" s="2">
        <v>46031</v>
      </c>
      <c r="C89" s="1" t="s">
        <v>34</v>
      </c>
      <c r="D89" s="1">
        <f>MONTH(Tabela6[[#This Row],[DATA]])</f>
        <v>1</v>
      </c>
    </row>
    <row r="90" spans="1:4" x14ac:dyDescent="0.35">
      <c r="A90" s="1">
        <v>26035</v>
      </c>
      <c r="B90" s="2">
        <v>46031</v>
      </c>
      <c r="C90" s="1" t="s">
        <v>34</v>
      </c>
      <c r="D90" s="1">
        <f>MONTH(Tabela6[[#This Row],[DATA]])</f>
        <v>1</v>
      </c>
    </row>
    <row r="91" spans="1:4" x14ac:dyDescent="0.35">
      <c r="A91" s="1">
        <v>26036</v>
      </c>
      <c r="B91" s="2">
        <v>46031</v>
      </c>
      <c r="C91" s="1" t="s">
        <v>34</v>
      </c>
      <c r="D91" s="1">
        <f>MONTH(Tabela6[[#This Row],[DATA]])</f>
        <v>1</v>
      </c>
    </row>
    <row r="92" spans="1:4" x14ac:dyDescent="0.35">
      <c r="A92" s="1">
        <v>26047</v>
      </c>
      <c r="B92" s="2">
        <v>46034</v>
      </c>
      <c r="C92" s="1" t="s">
        <v>33</v>
      </c>
      <c r="D92" s="1">
        <f>MONTH(Tabela6[[#This Row],[DATA]])</f>
        <v>1</v>
      </c>
    </row>
    <row r="93" spans="1:4" x14ac:dyDescent="0.35">
      <c r="A93" s="1">
        <v>26058</v>
      </c>
      <c r="B93" s="2">
        <v>46034</v>
      </c>
      <c r="C93" s="1" t="s">
        <v>34</v>
      </c>
      <c r="D93" s="1">
        <f>MONTH(Tabela6[[#This Row],[DATA]])</f>
        <v>1</v>
      </c>
    </row>
    <row r="94" spans="1:4" x14ac:dyDescent="0.35">
      <c r="A94" s="1">
        <v>26059</v>
      </c>
      <c r="B94" s="2">
        <v>46034</v>
      </c>
      <c r="C94" s="1" t="s">
        <v>34</v>
      </c>
      <c r="D94" s="1">
        <f>MONTH(Tabela6[[#This Row],[DATA]])</f>
        <v>1</v>
      </c>
    </row>
    <row r="95" spans="1:4" x14ac:dyDescent="0.35">
      <c r="A95" s="1">
        <v>26060</v>
      </c>
      <c r="B95" s="2">
        <v>46034</v>
      </c>
      <c r="C95" s="1" t="s">
        <v>34</v>
      </c>
      <c r="D95" s="1">
        <f>MONTH(Tabela6[[#This Row],[DATA]])</f>
        <v>1</v>
      </c>
    </row>
    <row r="96" spans="1:4" x14ac:dyDescent="0.35">
      <c r="A96" s="1">
        <v>26061</v>
      </c>
      <c r="B96" s="2">
        <v>46034</v>
      </c>
      <c r="C96" s="1" t="s">
        <v>34</v>
      </c>
      <c r="D96" s="1">
        <f>MONTH(Tabela6[[#This Row],[DATA]])</f>
        <v>1</v>
      </c>
    </row>
    <row r="97" spans="1:4" x14ac:dyDescent="0.35">
      <c r="A97" s="1">
        <v>26062</v>
      </c>
      <c r="B97" s="2">
        <v>46034</v>
      </c>
      <c r="C97" s="1" t="s">
        <v>34</v>
      </c>
      <c r="D97" s="1">
        <f>MONTH(Tabela6[[#This Row],[DATA]])</f>
        <v>1</v>
      </c>
    </row>
    <row r="98" spans="1:4" x14ac:dyDescent="0.35">
      <c r="A98" s="1">
        <v>26063</v>
      </c>
      <c r="B98" s="2">
        <v>46034</v>
      </c>
      <c r="C98" s="1" t="s">
        <v>34</v>
      </c>
      <c r="D98" s="1">
        <f>MONTH(Tabela6[[#This Row],[DATA]])</f>
        <v>1</v>
      </c>
    </row>
    <row r="99" spans="1:4" x14ac:dyDescent="0.35">
      <c r="A99" s="1">
        <v>26064</v>
      </c>
      <c r="B99" s="2">
        <v>46034</v>
      </c>
      <c r="C99" s="1" t="s">
        <v>34</v>
      </c>
      <c r="D99" s="1">
        <f>MONTH(Tabela6[[#This Row],[DATA]])</f>
        <v>1</v>
      </c>
    </row>
    <row r="100" spans="1:4" x14ac:dyDescent="0.35">
      <c r="A100" s="1">
        <v>26065</v>
      </c>
      <c r="B100" s="2">
        <v>46034</v>
      </c>
      <c r="C100" s="1" t="s">
        <v>34</v>
      </c>
      <c r="D100" s="1">
        <f>MONTH(Tabela6[[#This Row],[DATA]])</f>
        <v>1</v>
      </c>
    </row>
    <row r="101" spans="1:4" x14ac:dyDescent="0.35">
      <c r="A101" s="1">
        <v>26066</v>
      </c>
      <c r="B101" s="2">
        <v>46034</v>
      </c>
      <c r="C101" s="1" t="s">
        <v>34</v>
      </c>
      <c r="D101" s="1">
        <f>MONTH(Tabela6[[#This Row],[DATA]])</f>
        <v>1</v>
      </c>
    </row>
    <row r="102" spans="1:4" x14ac:dyDescent="0.35">
      <c r="A102" s="1">
        <v>26067</v>
      </c>
      <c r="B102" s="2">
        <v>46034</v>
      </c>
      <c r="C102" s="1" t="s">
        <v>9</v>
      </c>
      <c r="D102" s="1">
        <f>MONTH(Tabela6[[#This Row],[DATA]])</f>
        <v>1</v>
      </c>
    </row>
    <row r="103" spans="1:4" x14ac:dyDescent="0.35">
      <c r="A103" s="1">
        <v>26068</v>
      </c>
      <c r="B103" s="2">
        <v>46034</v>
      </c>
      <c r="C103" s="1" t="s">
        <v>9</v>
      </c>
      <c r="D103" s="1">
        <f>MONTH(Tabela6[[#This Row],[DATA]])</f>
        <v>1</v>
      </c>
    </row>
    <row r="104" spans="1:4" x14ac:dyDescent="0.35">
      <c r="A104" s="1">
        <v>26069</v>
      </c>
      <c r="B104" s="2">
        <v>46034</v>
      </c>
      <c r="C104" s="1" t="s">
        <v>9</v>
      </c>
      <c r="D104" s="1">
        <f>MONTH(Tabela6[[#This Row],[DATA]])</f>
        <v>1</v>
      </c>
    </row>
    <row r="105" spans="1:4" x14ac:dyDescent="0.35">
      <c r="A105" s="1">
        <v>26070</v>
      </c>
      <c r="B105" s="2">
        <v>46034</v>
      </c>
      <c r="C105" s="1" t="s">
        <v>9</v>
      </c>
      <c r="D105" s="1">
        <f>MONTH(Tabela6[[#This Row],[DATA]])</f>
        <v>1</v>
      </c>
    </row>
    <row r="106" spans="1:4" x14ac:dyDescent="0.35">
      <c r="A106" s="1">
        <v>26071</v>
      </c>
      <c r="B106" s="2">
        <v>46034</v>
      </c>
      <c r="C106" s="1" t="s">
        <v>9</v>
      </c>
      <c r="D106" s="1">
        <f>MONTH(Tabela6[[#This Row],[DATA]])</f>
        <v>1</v>
      </c>
    </row>
    <row r="107" spans="1:4" x14ac:dyDescent="0.35">
      <c r="A107" s="1">
        <v>26072</v>
      </c>
      <c r="B107" s="2">
        <v>46034</v>
      </c>
      <c r="C107" s="1" t="s">
        <v>9</v>
      </c>
      <c r="D107" s="1">
        <f>MONTH(Tabela6[[#This Row],[DATA]])</f>
        <v>1</v>
      </c>
    </row>
    <row r="108" spans="1:4" x14ac:dyDescent="0.35">
      <c r="A108" s="1">
        <v>26073</v>
      </c>
      <c r="B108" s="2">
        <v>46035</v>
      </c>
      <c r="C108" s="1" t="s">
        <v>5</v>
      </c>
      <c r="D108" s="1">
        <f>MONTH(Tabela6[[#This Row],[DATA]])</f>
        <v>1</v>
      </c>
    </row>
    <row r="109" spans="1:4" x14ac:dyDescent="0.35">
      <c r="A109" s="1">
        <v>26074</v>
      </c>
      <c r="B109" s="2">
        <v>46035</v>
      </c>
      <c r="C109" s="1" t="s">
        <v>5</v>
      </c>
      <c r="D109" s="1">
        <f>MONTH(Tabela6[[#This Row],[DATA]])</f>
        <v>1</v>
      </c>
    </row>
    <row r="110" spans="1:4" x14ac:dyDescent="0.35">
      <c r="A110" s="1">
        <v>26109</v>
      </c>
      <c r="B110" s="2">
        <v>46035</v>
      </c>
      <c r="C110" s="1" t="s">
        <v>9</v>
      </c>
      <c r="D110" s="1">
        <f>MONTH(Tabela6[[#This Row],[DATA]])</f>
        <v>1</v>
      </c>
    </row>
    <row r="111" spans="1:4" x14ac:dyDescent="0.35">
      <c r="A111" s="1">
        <v>26110</v>
      </c>
      <c r="B111" s="2">
        <v>46035</v>
      </c>
      <c r="C111" s="1" t="s">
        <v>9</v>
      </c>
      <c r="D111" s="1">
        <f>MONTH(Tabela6[[#This Row],[DATA]])</f>
        <v>1</v>
      </c>
    </row>
    <row r="112" spans="1:4" x14ac:dyDescent="0.35">
      <c r="A112" s="1">
        <v>26111</v>
      </c>
      <c r="B112" s="2">
        <v>46035</v>
      </c>
      <c r="C112" s="1" t="s">
        <v>9</v>
      </c>
      <c r="D112" s="1">
        <f>MONTH(Tabela6[[#This Row],[DATA]])</f>
        <v>1</v>
      </c>
    </row>
    <row r="113" spans="1:4" x14ac:dyDescent="0.35">
      <c r="A113" s="1">
        <v>26112</v>
      </c>
      <c r="B113" s="2">
        <v>46035</v>
      </c>
      <c r="C113" s="1" t="s">
        <v>9</v>
      </c>
      <c r="D113" s="1">
        <f>MONTH(Tabela6[[#This Row],[DATA]])</f>
        <v>1</v>
      </c>
    </row>
    <row r="114" spans="1:4" x14ac:dyDescent="0.35">
      <c r="A114" s="1">
        <v>26113</v>
      </c>
      <c r="B114" s="2">
        <v>46035</v>
      </c>
      <c r="C114" s="1" t="s">
        <v>9</v>
      </c>
      <c r="D114" s="1">
        <f>MONTH(Tabela6[[#This Row],[DATA]])</f>
        <v>1</v>
      </c>
    </row>
    <row r="115" spans="1:4" x14ac:dyDescent="0.35">
      <c r="A115" s="1">
        <v>26114</v>
      </c>
      <c r="B115" s="2">
        <v>46035</v>
      </c>
      <c r="C115" s="1" t="s">
        <v>9</v>
      </c>
      <c r="D115" s="1">
        <f>MONTH(Tabela6[[#This Row],[DATA]])</f>
        <v>1</v>
      </c>
    </row>
    <row r="116" spans="1:4" x14ac:dyDescent="0.35">
      <c r="A116" s="1">
        <v>26119</v>
      </c>
      <c r="B116" s="2">
        <v>46035</v>
      </c>
      <c r="C116" s="1" t="s">
        <v>32</v>
      </c>
      <c r="D116" s="1">
        <f>MONTH(Tabela6[[#This Row],[DATA]])</f>
        <v>1</v>
      </c>
    </row>
    <row r="117" spans="1:4" x14ac:dyDescent="0.35">
      <c r="A117" s="1">
        <v>26120</v>
      </c>
      <c r="B117" s="2">
        <v>46035</v>
      </c>
      <c r="C117" s="1" t="s">
        <v>32</v>
      </c>
      <c r="D117" s="1">
        <f>MONTH(Tabela6[[#This Row],[DATA]])</f>
        <v>1</v>
      </c>
    </row>
    <row r="118" spans="1:4" x14ac:dyDescent="0.35">
      <c r="A118" s="1">
        <v>26121</v>
      </c>
      <c r="B118" s="2">
        <v>46035</v>
      </c>
      <c r="C118" s="1" t="s">
        <v>32</v>
      </c>
      <c r="D118" s="1">
        <f>MONTH(Tabela6[[#This Row],[DATA]])</f>
        <v>1</v>
      </c>
    </row>
    <row r="119" spans="1:4" x14ac:dyDescent="0.35">
      <c r="A119" s="1">
        <v>26137</v>
      </c>
      <c r="B119" s="2">
        <v>46035</v>
      </c>
      <c r="C119" s="1" t="s">
        <v>33</v>
      </c>
      <c r="D119" s="1">
        <f>MONTH(Tabela6[[#This Row],[DATA]])</f>
        <v>1</v>
      </c>
    </row>
    <row r="120" spans="1:4" x14ac:dyDescent="0.35">
      <c r="A120" s="1">
        <v>26140</v>
      </c>
      <c r="B120" s="2">
        <v>46036</v>
      </c>
      <c r="C120" s="1" t="s">
        <v>34</v>
      </c>
      <c r="D120" s="1">
        <f>MONTH(Tabela6[[#This Row],[DATA]])</f>
        <v>1</v>
      </c>
    </row>
    <row r="121" spans="1:4" x14ac:dyDescent="0.35">
      <c r="A121" s="1">
        <v>26141</v>
      </c>
      <c r="B121" s="2">
        <v>46036</v>
      </c>
      <c r="C121" s="1" t="s">
        <v>34</v>
      </c>
      <c r="D121" s="1">
        <f>MONTH(Tabela6[[#This Row],[DATA]])</f>
        <v>1</v>
      </c>
    </row>
    <row r="122" spans="1:4" x14ac:dyDescent="0.35">
      <c r="A122" s="1">
        <v>26142</v>
      </c>
      <c r="B122" s="2">
        <v>46036</v>
      </c>
      <c r="C122" s="1" t="s">
        <v>34</v>
      </c>
      <c r="D122" s="1">
        <f>MONTH(Tabela6[[#This Row],[DATA]])</f>
        <v>1</v>
      </c>
    </row>
    <row r="123" spans="1:4" x14ac:dyDescent="0.35">
      <c r="A123" s="1">
        <v>26143</v>
      </c>
      <c r="B123" s="2">
        <v>46036</v>
      </c>
      <c r="C123" s="1" t="s">
        <v>34</v>
      </c>
      <c r="D123" s="1">
        <f>MONTH(Tabela6[[#This Row],[DATA]])</f>
        <v>1</v>
      </c>
    </row>
    <row r="124" spans="1:4" x14ac:dyDescent="0.35">
      <c r="A124" s="1">
        <v>26144</v>
      </c>
      <c r="B124" s="2">
        <v>46036</v>
      </c>
      <c r="C124" s="1" t="s">
        <v>34</v>
      </c>
      <c r="D124" s="1">
        <f>MONTH(Tabela6[[#This Row],[DATA]])</f>
        <v>1</v>
      </c>
    </row>
    <row r="125" spans="1:4" x14ac:dyDescent="0.35">
      <c r="A125" s="1">
        <v>26145</v>
      </c>
      <c r="B125" s="2">
        <v>46036</v>
      </c>
      <c r="C125" s="1" t="s">
        <v>34</v>
      </c>
      <c r="D125" s="1">
        <f>MONTH(Tabela6[[#This Row],[DATA]])</f>
        <v>1</v>
      </c>
    </row>
    <row r="126" spans="1:4" x14ac:dyDescent="0.35">
      <c r="A126" s="1">
        <v>26146</v>
      </c>
      <c r="B126" s="2">
        <v>46036</v>
      </c>
      <c r="C126" s="1" t="s">
        <v>34</v>
      </c>
      <c r="D126" s="1">
        <f>MONTH(Tabela6[[#This Row],[DATA]])</f>
        <v>1</v>
      </c>
    </row>
    <row r="127" spans="1:4" x14ac:dyDescent="0.35">
      <c r="A127" s="1">
        <v>26147</v>
      </c>
      <c r="B127" s="2">
        <v>46036</v>
      </c>
      <c r="C127" s="1" t="s">
        <v>34</v>
      </c>
      <c r="D127" s="1">
        <f>MONTH(Tabela6[[#This Row],[DATA]])</f>
        <v>1</v>
      </c>
    </row>
    <row r="128" spans="1:4" x14ac:dyDescent="0.35">
      <c r="A128" s="1">
        <v>26150</v>
      </c>
      <c r="B128" s="2">
        <v>46036</v>
      </c>
      <c r="C128" s="1" t="s">
        <v>32</v>
      </c>
      <c r="D128" s="1">
        <f>MONTH(Tabela6[[#This Row],[DATA]])</f>
        <v>1</v>
      </c>
    </row>
    <row r="129" spans="1:4" x14ac:dyDescent="0.35">
      <c r="A129" s="1">
        <v>26151</v>
      </c>
      <c r="B129" s="2">
        <v>46036</v>
      </c>
      <c r="C129" s="1" t="s">
        <v>32</v>
      </c>
      <c r="D129" s="1">
        <f>MONTH(Tabela6[[#This Row],[DATA]])</f>
        <v>1</v>
      </c>
    </row>
    <row r="130" spans="1:4" x14ac:dyDescent="0.35">
      <c r="A130" s="1">
        <v>26152</v>
      </c>
      <c r="B130" s="2">
        <v>46036</v>
      </c>
      <c r="C130" s="1" t="s">
        <v>32</v>
      </c>
      <c r="D130" s="1">
        <f>MONTH(Tabela6[[#This Row],[DATA]])</f>
        <v>1</v>
      </c>
    </row>
    <row r="131" spans="1:4" x14ac:dyDescent="0.35">
      <c r="A131" s="1">
        <v>26153</v>
      </c>
      <c r="B131" s="2">
        <v>46036</v>
      </c>
      <c r="C131" s="1" t="s">
        <v>32</v>
      </c>
      <c r="D131" s="1">
        <f>MONTH(Tabela6[[#This Row],[DATA]])</f>
        <v>1</v>
      </c>
    </row>
    <row r="132" spans="1:4" x14ac:dyDescent="0.35">
      <c r="A132" s="1">
        <v>26154</v>
      </c>
      <c r="B132" s="2">
        <v>46036</v>
      </c>
      <c r="C132" s="1" t="s">
        <v>9</v>
      </c>
      <c r="D132" s="1">
        <f>MONTH(Tabela6[[#This Row],[DATA]])</f>
        <v>1</v>
      </c>
    </row>
    <row r="133" spans="1:4" x14ac:dyDescent="0.35">
      <c r="A133" s="1">
        <v>26155</v>
      </c>
      <c r="B133" s="2">
        <v>46036</v>
      </c>
      <c r="C133" s="1" t="s">
        <v>9</v>
      </c>
      <c r="D133" s="1">
        <f>MONTH(Tabela6[[#This Row],[DATA]])</f>
        <v>1</v>
      </c>
    </row>
    <row r="134" spans="1:4" x14ac:dyDescent="0.35">
      <c r="A134" s="1">
        <v>26156</v>
      </c>
      <c r="B134" s="2">
        <v>46036</v>
      </c>
      <c r="C134" s="1" t="s">
        <v>9</v>
      </c>
      <c r="D134" s="1">
        <f>MONTH(Tabela6[[#This Row],[DATA]])</f>
        <v>1</v>
      </c>
    </row>
    <row r="135" spans="1:4" x14ac:dyDescent="0.35">
      <c r="A135" s="1">
        <v>26157</v>
      </c>
      <c r="B135" s="2">
        <v>46036</v>
      </c>
      <c r="C135" s="1" t="s">
        <v>9</v>
      </c>
      <c r="D135" s="1">
        <f>MONTH(Tabela6[[#This Row],[DATA]])</f>
        <v>1</v>
      </c>
    </row>
    <row r="136" spans="1:4" x14ac:dyDescent="0.35">
      <c r="A136" s="1">
        <v>26161</v>
      </c>
      <c r="B136" s="2">
        <v>46036</v>
      </c>
      <c r="C136" s="1" t="s">
        <v>33</v>
      </c>
      <c r="D136" s="1">
        <f>MONTH(Tabela6[[#This Row],[DATA]])</f>
        <v>1</v>
      </c>
    </row>
    <row r="137" spans="1:4" x14ac:dyDescent="0.35">
      <c r="A137" s="1">
        <v>26162</v>
      </c>
      <c r="B137" s="2">
        <v>46036</v>
      </c>
      <c r="C137" s="1" t="s">
        <v>33</v>
      </c>
      <c r="D137" s="1">
        <f>MONTH(Tabela6[[#This Row],[DATA]])</f>
        <v>1</v>
      </c>
    </row>
    <row r="138" spans="1:4" x14ac:dyDescent="0.35">
      <c r="A138" s="1">
        <v>26163</v>
      </c>
      <c r="B138" s="2">
        <v>46036</v>
      </c>
      <c r="C138" s="1" t="s">
        <v>33</v>
      </c>
      <c r="D138" s="1">
        <f>MONTH(Tabela6[[#This Row],[DATA]])</f>
        <v>1</v>
      </c>
    </row>
    <row r="139" spans="1:4" x14ac:dyDescent="0.35">
      <c r="A139" s="1">
        <v>26164</v>
      </c>
      <c r="B139" s="2">
        <v>46036</v>
      </c>
      <c r="C139" s="1" t="s">
        <v>33</v>
      </c>
      <c r="D139" s="1">
        <f>MONTH(Tabela6[[#This Row],[DATA]])</f>
        <v>1</v>
      </c>
    </row>
    <row r="140" spans="1:4" x14ac:dyDescent="0.35">
      <c r="A140" s="1">
        <v>26165</v>
      </c>
      <c r="B140" s="2">
        <v>46036</v>
      </c>
      <c r="C140" s="1" t="s">
        <v>33</v>
      </c>
      <c r="D140" s="1">
        <f>MONTH(Tabela6[[#This Row],[DATA]])</f>
        <v>1</v>
      </c>
    </row>
    <row r="141" spans="1:4" x14ac:dyDescent="0.35">
      <c r="A141" s="1">
        <v>26166</v>
      </c>
      <c r="B141" s="2">
        <v>46036</v>
      </c>
      <c r="C141" s="1" t="s">
        <v>33</v>
      </c>
      <c r="D141" s="1">
        <f>MONTH(Tabela6[[#This Row],[DATA]])</f>
        <v>1</v>
      </c>
    </row>
    <row r="142" spans="1:4" x14ac:dyDescent="0.35">
      <c r="A142" s="1">
        <v>26167</v>
      </c>
      <c r="B142" s="2">
        <v>46036</v>
      </c>
      <c r="C142" s="1" t="s">
        <v>24</v>
      </c>
      <c r="D142" s="1">
        <f>MONTH(Tabela6[[#This Row],[DATA]])</f>
        <v>1</v>
      </c>
    </row>
    <row r="143" spans="1:4" x14ac:dyDescent="0.35">
      <c r="A143" s="1">
        <v>26168</v>
      </c>
      <c r="B143" s="2">
        <v>46036</v>
      </c>
      <c r="C143" s="1" t="s">
        <v>24</v>
      </c>
      <c r="D143" s="1">
        <f>MONTH(Tabela6[[#This Row],[DATA]])</f>
        <v>1</v>
      </c>
    </row>
    <row r="144" spans="1:4" x14ac:dyDescent="0.35">
      <c r="A144" s="1">
        <v>26169</v>
      </c>
      <c r="B144" s="2">
        <v>46036</v>
      </c>
      <c r="C144" s="1" t="s">
        <v>24</v>
      </c>
      <c r="D144" s="1">
        <f>MONTH(Tabela6[[#This Row],[DATA]])</f>
        <v>1</v>
      </c>
    </row>
    <row r="145" spans="1:4" x14ac:dyDescent="0.35">
      <c r="A145" s="1">
        <v>26170</v>
      </c>
      <c r="B145" s="2">
        <v>46036</v>
      </c>
      <c r="C145" s="1" t="s">
        <v>24</v>
      </c>
      <c r="D145" s="1">
        <f>MONTH(Tabela6[[#This Row],[DATA]])</f>
        <v>1</v>
      </c>
    </row>
    <row r="146" spans="1:4" x14ac:dyDescent="0.35">
      <c r="A146" s="1">
        <v>26171</v>
      </c>
      <c r="B146" s="2">
        <v>46036</v>
      </c>
      <c r="C146" s="1" t="s">
        <v>24</v>
      </c>
      <c r="D146" s="1">
        <f>MONTH(Tabela6[[#This Row],[DATA]])</f>
        <v>1</v>
      </c>
    </row>
    <row r="147" spans="1:4" x14ac:dyDescent="0.35">
      <c r="A147" s="1">
        <v>26172</v>
      </c>
      <c r="B147" s="2">
        <v>46036</v>
      </c>
      <c r="C147" s="1" t="s">
        <v>24</v>
      </c>
      <c r="D147" s="1">
        <f>MONTH(Tabela6[[#This Row],[DATA]])</f>
        <v>1</v>
      </c>
    </row>
    <row r="148" spans="1:4" x14ac:dyDescent="0.35">
      <c r="A148" s="1">
        <v>26173</v>
      </c>
      <c r="B148" s="2">
        <v>46036</v>
      </c>
      <c r="C148" s="1" t="s">
        <v>24</v>
      </c>
      <c r="D148" s="1">
        <f>MONTH(Tabela6[[#This Row],[DATA]])</f>
        <v>1</v>
      </c>
    </row>
    <row r="149" spans="1:4" x14ac:dyDescent="0.35">
      <c r="A149" s="1">
        <v>26174</v>
      </c>
      <c r="B149" s="2">
        <v>46036</v>
      </c>
      <c r="C149" s="1" t="s">
        <v>24</v>
      </c>
      <c r="D149" s="1">
        <f>MONTH(Tabela6[[#This Row],[DATA]])</f>
        <v>1</v>
      </c>
    </row>
    <row r="150" spans="1:4" x14ac:dyDescent="0.35">
      <c r="A150" s="1">
        <v>26175</v>
      </c>
      <c r="B150" s="2">
        <v>46036</v>
      </c>
      <c r="C150" s="1" t="s">
        <v>24</v>
      </c>
      <c r="D150" s="1">
        <f>MONTH(Tabela6[[#This Row],[DATA]])</f>
        <v>1</v>
      </c>
    </row>
    <row r="151" spans="1:4" x14ac:dyDescent="0.35">
      <c r="A151" s="1">
        <v>26176</v>
      </c>
      <c r="B151" s="2">
        <v>46036</v>
      </c>
      <c r="C151" s="1" t="s">
        <v>24</v>
      </c>
      <c r="D151" s="1">
        <f>MONTH(Tabela6[[#This Row],[DATA]])</f>
        <v>1</v>
      </c>
    </row>
    <row r="152" spans="1:4" x14ac:dyDescent="0.35">
      <c r="A152" s="1">
        <v>26177</v>
      </c>
      <c r="B152" s="2">
        <v>46036</v>
      </c>
      <c r="C152" s="1" t="s">
        <v>24</v>
      </c>
      <c r="D152" s="1">
        <f>MONTH(Tabela6[[#This Row],[DATA]])</f>
        <v>1</v>
      </c>
    </row>
    <row r="153" spans="1:4" x14ac:dyDescent="0.35">
      <c r="A153" s="1">
        <v>26178</v>
      </c>
      <c r="B153" s="2">
        <v>46036</v>
      </c>
      <c r="C153" s="1" t="s">
        <v>24</v>
      </c>
      <c r="D153" s="1">
        <f>MONTH(Tabela6[[#This Row],[DATA]])</f>
        <v>1</v>
      </c>
    </row>
    <row r="154" spans="1:4" x14ac:dyDescent="0.35">
      <c r="A154" s="1">
        <v>26179</v>
      </c>
      <c r="B154" s="2">
        <v>46036</v>
      </c>
      <c r="C154" s="1" t="s">
        <v>24</v>
      </c>
      <c r="D154" s="1">
        <f>MONTH(Tabela6[[#This Row],[DATA]])</f>
        <v>1</v>
      </c>
    </row>
    <row r="155" spans="1:4" x14ac:dyDescent="0.35">
      <c r="A155" s="1">
        <v>26180</v>
      </c>
      <c r="B155" s="2">
        <v>46036</v>
      </c>
      <c r="C155" s="1" t="s">
        <v>24</v>
      </c>
      <c r="D155" s="1">
        <f>MONTH(Tabela6[[#This Row],[DATA]])</f>
        <v>1</v>
      </c>
    </row>
    <row r="156" spans="1:4" x14ac:dyDescent="0.35">
      <c r="A156" s="1">
        <v>26181</v>
      </c>
      <c r="B156" s="2">
        <v>46036</v>
      </c>
      <c r="C156" s="1" t="s">
        <v>24</v>
      </c>
      <c r="D156" s="1">
        <f>MONTH(Tabela6[[#This Row],[DATA]])</f>
        <v>1</v>
      </c>
    </row>
    <row r="157" spans="1:4" x14ac:dyDescent="0.35">
      <c r="A157" s="1">
        <v>26206</v>
      </c>
      <c r="B157" s="2">
        <v>46037</v>
      </c>
      <c r="C157" s="1" t="s">
        <v>9</v>
      </c>
      <c r="D157" s="1">
        <f>MONTH(Tabela6[[#This Row],[DATA]])</f>
        <v>1</v>
      </c>
    </row>
    <row r="158" spans="1:4" x14ac:dyDescent="0.35">
      <c r="A158" s="1">
        <v>26207</v>
      </c>
      <c r="B158" s="2">
        <v>46037</v>
      </c>
      <c r="C158" s="1" t="s">
        <v>9</v>
      </c>
      <c r="D158" s="1">
        <f>MONTH(Tabela6[[#This Row],[DATA]])</f>
        <v>1</v>
      </c>
    </row>
    <row r="159" spans="1:4" x14ac:dyDescent="0.35">
      <c r="A159" s="1">
        <v>26208</v>
      </c>
      <c r="B159" s="2">
        <v>46037</v>
      </c>
      <c r="C159" s="1" t="s">
        <v>9</v>
      </c>
      <c r="D159" s="1">
        <f>MONTH(Tabela6[[#This Row],[DATA]])</f>
        <v>1</v>
      </c>
    </row>
    <row r="160" spans="1:4" x14ac:dyDescent="0.35">
      <c r="A160" s="1">
        <v>26209</v>
      </c>
      <c r="B160" s="2">
        <v>46037</v>
      </c>
      <c r="C160" s="1" t="s">
        <v>9</v>
      </c>
      <c r="D160" s="1">
        <f>MONTH(Tabela6[[#This Row],[DATA]])</f>
        <v>1</v>
      </c>
    </row>
    <row r="161" spans="1:4" x14ac:dyDescent="0.35">
      <c r="A161" s="1">
        <v>26210</v>
      </c>
      <c r="B161" s="2">
        <v>46037</v>
      </c>
      <c r="C161" s="1" t="s">
        <v>9</v>
      </c>
      <c r="D161" s="1">
        <f>MONTH(Tabela6[[#This Row],[DATA]])</f>
        <v>1</v>
      </c>
    </row>
    <row r="162" spans="1:4" x14ac:dyDescent="0.35">
      <c r="A162" s="1">
        <v>26212</v>
      </c>
      <c r="B162" s="2">
        <v>46037</v>
      </c>
      <c r="C162" s="1" t="s">
        <v>32</v>
      </c>
      <c r="D162" s="1">
        <f>MONTH(Tabela6[[#This Row],[DATA]])</f>
        <v>1</v>
      </c>
    </row>
    <row r="163" spans="1:4" x14ac:dyDescent="0.35">
      <c r="A163" s="1">
        <v>26213</v>
      </c>
      <c r="B163" s="2">
        <v>46037</v>
      </c>
      <c r="C163" s="1" t="s">
        <v>32</v>
      </c>
      <c r="D163" s="1">
        <f>MONTH(Tabela6[[#This Row],[DATA]])</f>
        <v>1</v>
      </c>
    </row>
    <row r="164" spans="1:4" x14ac:dyDescent="0.35">
      <c r="A164" s="1">
        <v>26214</v>
      </c>
      <c r="B164" s="2">
        <v>46037</v>
      </c>
      <c r="C164" s="1" t="s">
        <v>32</v>
      </c>
      <c r="D164" s="1">
        <f>MONTH(Tabela6[[#This Row],[DATA]])</f>
        <v>1</v>
      </c>
    </row>
    <row r="165" spans="1:4" x14ac:dyDescent="0.35">
      <c r="A165" s="1">
        <v>26215</v>
      </c>
      <c r="B165" s="2">
        <v>46037</v>
      </c>
      <c r="C165" s="1" t="s">
        <v>32</v>
      </c>
      <c r="D165" s="1">
        <f>MONTH(Tabela6[[#This Row],[DATA]])</f>
        <v>1</v>
      </c>
    </row>
    <row r="166" spans="1:4" x14ac:dyDescent="0.35">
      <c r="A166" s="1">
        <v>26216</v>
      </c>
      <c r="B166" s="2">
        <v>46037</v>
      </c>
      <c r="C166" s="1" t="s">
        <v>24</v>
      </c>
      <c r="D166" s="1">
        <f>MONTH(Tabela6[[#This Row],[DATA]])</f>
        <v>1</v>
      </c>
    </row>
    <row r="167" spans="1:4" x14ac:dyDescent="0.35">
      <c r="A167" s="1">
        <v>26217</v>
      </c>
      <c r="B167" s="2">
        <v>46037</v>
      </c>
      <c r="C167" s="1" t="s">
        <v>24</v>
      </c>
      <c r="D167" s="1">
        <f>MONTH(Tabela6[[#This Row],[DATA]])</f>
        <v>1</v>
      </c>
    </row>
    <row r="168" spans="1:4" x14ac:dyDescent="0.35">
      <c r="A168" s="1">
        <v>26218</v>
      </c>
      <c r="B168" s="2">
        <v>46037</v>
      </c>
      <c r="C168" s="1" t="s">
        <v>24</v>
      </c>
      <c r="D168" s="1">
        <f>MONTH(Tabela6[[#This Row],[DATA]])</f>
        <v>1</v>
      </c>
    </row>
    <row r="169" spans="1:4" x14ac:dyDescent="0.35">
      <c r="A169" s="1">
        <v>26219</v>
      </c>
      <c r="B169" s="2">
        <v>46037</v>
      </c>
      <c r="C169" s="1" t="s">
        <v>24</v>
      </c>
      <c r="D169" s="1">
        <f>MONTH(Tabela6[[#This Row],[DATA]])</f>
        <v>1</v>
      </c>
    </row>
    <row r="170" spans="1:4" x14ac:dyDescent="0.35">
      <c r="A170" s="1">
        <v>26220</v>
      </c>
      <c r="B170" s="2">
        <v>46037</v>
      </c>
      <c r="C170" s="1" t="s">
        <v>24</v>
      </c>
      <c r="D170" s="1">
        <f>MONTH(Tabela6[[#This Row],[DATA]])</f>
        <v>1</v>
      </c>
    </row>
    <row r="171" spans="1:4" x14ac:dyDescent="0.35">
      <c r="A171" s="1">
        <v>26221</v>
      </c>
      <c r="B171" s="2">
        <v>46037</v>
      </c>
      <c r="C171" s="1" t="s">
        <v>24</v>
      </c>
      <c r="D171" s="1">
        <f>MONTH(Tabela6[[#This Row],[DATA]])</f>
        <v>1</v>
      </c>
    </row>
    <row r="172" spans="1:4" x14ac:dyDescent="0.35">
      <c r="A172" s="1">
        <v>26222</v>
      </c>
      <c r="B172" s="2">
        <v>46037</v>
      </c>
      <c r="C172" s="1" t="s">
        <v>24</v>
      </c>
      <c r="D172" s="1">
        <f>MONTH(Tabela6[[#This Row],[DATA]])</f>
        <v>1</v>
      </c>
    </row>
    <row r="173" spans="1:4" x14ac:dyDescent="0.35">
      <c r="A173" s="1">
        <v>26223</v>
      </c>
      <c r="B173" s="2">
        <v>46037</v>
      </c>
      <c r="C173" s="1" t="s">
        <v>24</v>
      </c>
      <c r="D173" s="1">
        <f>MONTH(Tabela6[[#This Row],[DATA]])</f>
        <v>1</v>
      </c>
    </row>
    <row r="174" spans="1:4" x14ac:dyDescent="0.35">
      <c r="A174" s="1">
        <v>26224</v>
      </c>
      <c r="B174" s="2">
        <v>46037</v>
      </c>
      <c r="C174" s="1" t="s">
        <v>24</v>
      </c>
      <c r="D174" s="1">
        <f>MONTH(Tabela6[[#This Row],[DATA]])</f>
        <v>1</v>
      </c>
    </row>
    <row r="175" spans="1:4" x14ac:dyDescent="0.35">
      <c r="A175" s="1">
        <v>26225</v>
      </c>
      <c r="B175" s="2">
        <v>46037</v>
      </c>
      <c r="C175" s="1" t="s">
        <v>24</v>
      </c>
      <c r="D175" s="1">
        <f>MONTH(Tabela6[[#This Row],[DATA]])</f>
        <v>1</v>
      </c>
    </row>
    <row r="176" spans="1:4" x14ac:dyDescent="0.35">
      <c r="A176" s="1">
        <v>26226</v>
      </c>
      <c r="B176" s="2">
        <v>46037</v>
      </c>
      <c r="C176" s="1" t="s">
        <v>24</v>
      </c>
      <c r="D176" s="1">
        <f>MONTH(Tabela6[[#This Row],[DATA]])</f>
        <v>1</v>
      </c>
    </row>
    <row r="177" spans="1:4" x14ac:dyDescent="0.35">
      <c r="A177" s="1">
        <v>26227</v>
      </c>
      <c r="B177" s="2">
        <v>46037</v>
      </c>
      <c r="C177" s="1" t="s">
        <v>24</v>
      </c>
      <c r="D177" s="1">
        <f>MONTH(Tabela6[[#This Row],[DATA]])</f>
        <v>1</v>
      </c>
    </row>
    <row r="178" spans="1:4" x14ac:dyDescent="0.35">
      <c r="A178" s="1">
        <v>26228</v>
      </c>
      <c r="B178" s="2">
        <v>46038</v>
      </c>
      <c r="C178" s="1" t="s">
        <v>32</v>
      </c>
      <c r="D178" s="1">
        <f>MONTH(Tabela6[[#This Row],[DATA]])</f>
        <v>1</v>
      </c>
    </row>
    <row r="179" spans="1:4" x14ac:dyDescent="0.35">
      <c r="A179" s="1">
        <v>26229</v>
      </c>
      <c r="B179" s="2">
        <v>46041</v>
      </c>
      <c r="C179" s="1" t="s">
        <v>5</v>
      </c>
      <c r="D179" s="1">
        <f>MONTH(Tabela6[[#This Row],[DATA]])</f>
        <v>1</v>
      </c>
    </row>
    <row r="180" spans="1:4" x14ac:dyDescent="0.35">
      <c r="A180" s="1">
        <v>26230</v>
      </c>
      <c r="B180" s="2">
        <v>46041</v>
      </c>
      <c r="C180" s="1" t="s">
        <v>5</v>
      </c>
      <c r="D180" s="1">
        <f>MONTH(Tabela6[[#This Row],[DATA]])</f>
        <v>1</v>
      </c>
    </row>
    <row r="181" spans="1:4" x14ac:dyDescent="0.35">
      <c r="A181" s="1">
        <v>26231</v>
      </c>
      <c r="B181" s="2">
        <v>46041</v>
      </c>
      <c r="C181" s="1" t="s">
        <v>5</v>
      </c>
      <c r="D181" s="1">
        <f>MONTH(Tabela6[[#This Row],[DATA]])</f>
        <v>1</v>
      </c>
    </row>
    <row r="182" spans="1:4" x14ac:dyDescent="0.35">
      <c r="A182" s="1">
        <v>26232</v>
      </c>
      <c r="B182" s="2">
        <v>46041</v>
      </c>
      <c r="C182" s="1" t="s">
        <v>5</v>
      </c>
      <c r="D182" s="1">
        <f>MONTH(Tabela6[[#This Row],[DATA]])</f>
        <v>1</v>
      </c>
    </row>
    <row r="183" spans="1:4" x14ac:dyDescent="0.35">
      <c r="A183" s="1">
        <v>26233</v>
      </c>
      <c r="B183" s="2">
        <v>46041</v>
      </c>
      <c r="C183" s="1" t="s">
        <v>5</v>
      </c>
      <c r="D183" s="1">
        <f>MONTH(Tabela6[[#This Row],[DATA]])</f>
        <v>1</v>
      </c>
    </row>
    <row r="184" spans="1:4" x14ac:dyDescent="0.35">
      <c r="A184" s="1">
        <v>26234</v>
      </c>
      <c r="B184" s="2">
        <v>46041</v>
      </c>
      <c r="C184" s="1" t="s">
        <v>5</v>
      </c>
      <c r="D184" s="1">
        <f>MONTH(Tabela6[[#This Row],[DATA]])</f>
        <v>1</v>
      </c>
    </row>
    <row r="185" spans="1:4" x14ac:dyDescent="0.35">
      <c r="A185" s="1">
        <v>26235</v>
      </c>
      <c r="B185" s="2">
        <v>46041</v>
      </c>
      <c r="C185" s="1" t="s">
        <v>5</v>
      </c>
      <c r="D185" s="1">
        <f>MONTH(Tabela6[[#This Row],[DATA]])</f>
        <v>1</v>
      </c>
    </row>
    <row r="186" spans="1:4" x14ac:dyDescent="0.35">
      <c r="A186" s="1">
        <v>26236</v>
      </c>
      <c r="B186" s="2">
        <v>46041</v>
      </c>
      <c r="C186" s="1" t="s">
        <v>5</v>
      </c>
      <c r="D186" s="1">
        <f>MONTH(Tabela6[[#This Row],[DATA]])</f>
        <v>1</v>
      </c>
    </row>
    <row r="187" spans="1:4" x14ac:dyDescent="0.35">
      <c r="A187" s="1">
        <v>26237</v>
      </c>
      <c r="B187" s="2">
        <v>46041</v>
      </c>
      <c r="C187" s="1" t="s">
        <v>5</v>
      </c>
      <c r="D187" s="1">
        <f>MONTH(Tabela6[[#This Row],[DATA]])</f>
        <v>1</v>
      </c>
    </row>
    <row r="188" spans="1:4" x14ac:dyDescent="0.35">
      <c r="A188" s="1">
        <v>26238</v>
      </c>
      <c r="B188" s="2">
        <v>46041</v>
      </c>
      <c r="C188" s="1" t="s">
        <v>5</v>
      </c>
      <c r="D188" s="1">
        <f>MONTH(Tabela6[[#This Row],[DATA]])</f>
        <v>1</v>
      </c>
    </row>
    <row r="189" spans="1:4" x14ac:dyDescent="0.35">
      <c r="A189" s="1">
        <v>26239</v>
      </c>
      <c r="B189" s="2">
        <v>46041</v>
      </c>
      <c r="C189" s="1" t="s">
        <v>5</v>
      </c>
      <c r="D189" s="1">
        <f>MONTH(Tabela6[[#This Row],[DATA]])</f>
        <v>1</v>
      </c>
    </row>
    <row r="190" spans="1:4" x14ac:dyDescent="0.35">
      <c r="A190" s="1">
        <v>26240</v>
      </c>
      <c r="B190" s="2">
        <v>46041</v>
      </c>
      <c r="C190" s="1" t="s">
        <v>5</v>
      </c>
      <c r="D190" s="1">
        <f>MONTH(Tabela6[[#This Row],[DATA]])</f>
        <v>1</v>
      </c>
    </row>
    <row r="191" spans="1:4" x14ac:dyDescent="0.35">
      <c r="A191" s="1">
        <v>26241</v>
      </c>
      <c r="B191" s="2">
        <v>46041</v>
      </c>
      <c r="C191" s="1" t="s">
        <v>5</v>
      </c>
      <c r="D191" s="1">
        <f>MONTH(Tabela6[[#This Row],[DATA]])</f>
        <v>1</v>
      </c>
    </row>
    <row r="192" spans="1:4" x14ac:dyDescent="0.35">
      <c r="A192" s="1">
        <v>26242</v>
      </c>
      <c r="B192" s="2">
        <v>46041</v>
      </c>
      <c r="C192" s="1" t="s">
        <v>5</v>
      </c>
      <c r="D192" s="1">
        <f>MONTH(Tabela6[[#This Row],[DATA]])</f>
        <v>1</v>
      </c>
    </row>
    <row r="193" spans="1:4" x14ac:dyDescent="0.35">
      <c r="A193" s="1">
        <v>26243</v>
      </c>
      <c r="B193" s="2">
        <v>46041</v>
      </c>
      <c r="C193" s="1" t="s">
        <v>5</v>
      </c>
      <c r="D193" s="1">
        <f>MONTH(Tabela6[[#This Row],[DATA]])</f>
        <v>1</v>
      </c>
    </row>
    <row r="194" spans="1:4" x14ac:dyDescent="0.35">
      <c r="A194" s="1">
        <v>26244</v>
      </c>
      <c r="B194" s="2">
        <v>46041</v>
      </c>
      <c r="C194" s="1" t="s">
        <v>5</v>
      </c>
      <c r="D194" s="1">
        <f>MONTH(Tabela6[[#This Row],[DATA]])</f>
        <v>1</v>
      </c>
    </row>
    <row r="195" spans="1:4" x14ac:dyDescent="0.35">
      <c r="A195" s="1">
        <v>26245</v>
      </c>
      <c r="B195" s="2">
        <v>46041</v>
      </c>
      <c r="C195" s="1" t="s">
        <v>5</v>
      </c>
      <c r="D195" s="1">
        <f>MONTH(Tabela6[[#This Row],[DATA]])</f>
        <v>1</v>
      </c>
    </row>
    <row r="196" spans="1:4" x14ac:dyDescent="0.35">
      <c r="A196" s="1">
        <v>26246</v>
      </c>
      <c r="B196" s="2">
        <v>46041</v>
      </c>
      <c r="C196" s="1" t="s">
        <v>5</v>
      </c>
      <c r="D196" s="1">
        <f>MONTH(Tabela6[[#This Row],[DATA]])</f>
        <v>1</v>
      </c>
    </row>
    <row r="197" spans="1:4" x14ac:dyDescent="0.35">
      <c r="A197" s="1">
        <v>26247</v>
      </c>
      <c r="B197" s="2">
        <v>46041</v>
      </c>
      <c r="C197" s="1" t="s">
        <v>32</v>
      </c>
      <c r="D197" s="1">
        <f>MONTH(Tabela6[[#This Row],[DATA]])</f>
        <v>1</v>
      </c>
    </row>
    <row r="198" spans="1:4" x14ac:dyDescent="0.35">
      <c r="A198" s="1">
        <v>26248</v>
      </c>
      <c r="B198" s="2">
        <v>46041</v>
      </c>
      <c r="C198" s="1" t="s">
        <v>32</v>
      </c>
      <c r="D198" s="1">
        <f>MONTH(Tabela6[[#This Row],[DATA]])</f>
        <v>1</v>
      </c>
    </row>
    <row r="199" spans="1:4" x14ac:dyDescent="0.35">
      <c r="A199" s="1">
        <v>26249</v>
      </c>
      <c r="B199" s="2">
        <v>46041</v>
      </c>
      <c r="C199" s="1" t="s">
        <v>32</v>
      </c>
      <c r="D199" s="1">
        <f>MONTH(Tabela6[[#This Row],[DATA]])</f>
        <v>1</v>
      </c>
    </row>
    <row r="200" spans="1:4" x14ac:dyDescent="0.35">
      <c r="A200" s="1">
        <v>26250</v>
      </c>
      <c r="B200" s="2">
        <v>46041</v>
      </c>
      <c r="C200" s="1" t="s">
        <v>32</v>
      </c>
      <c r="D200" s="1">
        <f>MONTH(Tabela6[[#This Row],[DATA]])</f>
        <v>1</v>
      </c>
    </row>
    <row r="201" spans="1:4" x14ac:dyDescent="0.35">
      <c r="A201" s="1">
        <v>26251</v>
      </c>
      <c r="B201" s="2">
        <v>46041</v>
      </c>
      <c r="C201" s="1" t="s">
        <v>32</v>
      </c>
      <c r="D201" s="1">
        <f>MONTH(Tabela6[[#This Row],[DATA]])</f>
        <v>1</v>
      </c>
    </row>
    <row r="202" spans="1:4" x14ac:dyDescent="0.35">
      <c r="A202" s="1">
        <v>26252</v>
      </c>
      <c r="B202" s="2">
        <v>46041</v>
      </c>
      <c r="C202" s="1" t="s">
        <v>32</v>
      </c>
      <c r="D202" s="1">
        <f>MONTH(Tabela6[[#This Row],[DATA]])</f>
        <v>1</v>
      </c>
    </row>
    <row r="203" spans="1:4" x14ac:dyDescent="0.35">
      <c r="A203" s="1">
        <v>26253</v>
      </c>
      <c r="B203" s="2">
        <v>46041</v>
      </c>
      <c r="C203" s="1" t="s">
        <v>9</v>
      </c>
      <c r="D203" s="1">
        <f>MONTH(Tabela6[[#This Row],[DATA]])</f>
        <v>1</v>
      </c>
    </row>
    <row r="204" spans="1:4" x14ac:dyDescent="0.35">
      <c r="A204" s="1">
        <v>26254</v>
      </c>
      <c r="B204" s="2">
        <v>46041</v>
      </c>
      <c r="C204" s="1" t="s">
        <v>9</v>
      </c>
      <c r="D204" s="1">
        <f>MONTH(Tabela6[[#This Row],[DATA]])</f>
        <v>1</v>
      </c>
    </row>
    <row r="205" spans="1:4" x14ac:dyDescent="0.35">
      <c r="A205" s="1">
        <v>26255</v>
      </c>
      <c r="B205" s="2">
        <v>46041</v>
      </c>
      <c r="C205" s="1" t="s">
        <v>9</v>
      </c>
      <c r="D205" s="1">
        <f>MONTH(Tabela6[[#This Row],[DATA]])</f>
        <v>1</v>
      </c>
    </row>
    <row r="206" spans="1:4" x14ac:dyDescent="0.35">
      <c r="A206" s="1">
        <v>26256</v>
      </c>
      <c r="B206" s="2">
        <v>46041</v>
      </c>
      <c r="C206" s="1" t="s">
        <v>33</v>
      </c>
      <c r="D206" s="1">
        <f>MONTH(Tabela6[[#This Row],[DATA]])</f>
        <v>1</v>
      </c>
    </row>
    <row r="207" spans="1:4" x14ac:dyDescent="0.35">
      <c r="A207" s="1">
        <v>26257</v>
      </c>
      <c r="B207" s="2">
        <v>46041</v>
      </c>
      <c r="C207" s="1" t="s">
        <v>33</v>
      </c>
      <c r="D207" s="1">
        <f>MONTH(Tabela6[[#This Row],[DATA]])</f>
        <v>1</v>
      </c>
    </row>
    <row r="208" spans="1:4" x14ac:dyDescent="0.35">
      <c r="A208" s="1">
        <v>26258</v>
      </c>
      <c r="B208" s="2">
        <v>46041</v>
      </c>
      <c r="C208" s="1" t="s">
        <v>33</v>
      </c>
      <c r="D208" s="1">
        <f>MONTH(Tabela6[[#This Row],[DATA]])</f>
        <v>1</v>
      </c>
    </row>
    <row r="209" spans="1:4" x14ac:dyDescent="0.35">
      <c r="A209" s="1">
        <v>26259</v>
      </c>
      <c r="B209" s="2">
        <v>46041</v>
      </c>
      <c r="C209" s="1" t="s">
        <v>33</v>
      </c>
      <c r="D209" s="1">
        <f>MONTH(Tabela6[[#This Row],[DATA]])</f>
        <v>1</v>
      </c>
    </row>
    <row r="210" spans="1:4" x14ac:dyDescent="0.35">
      <c r="A210" s="1">
        <v>26260</v>
      </c>
      <c r="B210" s="2">
        <v>46041</v>
      </c>
      <c r="C210" s="1" t="s">
        <v>33</v>
      </c>
      <c r="D210" s="1">
        <f>MONTH(Tabela6[[#This Row],[DATA]])</f>
        <v>1</v>
      </c>
    </row>
    <row r="211" spans="1:4" x14ac:dyDescent="0.35">
      <c r="A211" s="1">
        <v>26261</v>
      </c>
      <c r="B211" s="2">
        <v>46041</v>
      </c>
      <c r="C211" s="1" t="s">
        <v>33</v>
      </c>
      <c r="D211" s="1">
        <f>MONTH(Tabela6[[#This Row],[DATA]])</f>
        <v>1</v>
      </c>
    </row>
    <row r="212" spans="1:4" x14ac:dyDescent="0.35">
      <c r="A212" s="1">
        <v>26262</v>
      </c>
      <c r="B212" s="2">
        <v>46041</v>
      </c>
      <c r="C212" s="1" t="s">
        <v>33</v>
      </c>
      <c r="D212" s="1">
        <f>MONTH(Tabela6[[#This Row],[DATA]])</f>
        <v>1</v>
      </c>
    </row>
    <row r="213" spans="1:4" x14ac:dyDescent="0.35">
      <c r="A213" s="1">
        <v>26263</v>
      </c>
      <c r="B213" s="2">
        <v>46041</v>
      </c>
      <c r="C213" s="1" t="s">
        <v>32</v>
      </c>
      <c r="D213" s="1">
        <f>MONTH(Tabela6[[#This Row],[DATA]])</f>
        <v>1</v>
      </c>
    </row>
    <row r="214" spans="1:4" x14ac:dyDescent="0.35">
      <c r="A214" s="1">
        <v>26264</v>
      </c>
      <c r="B214" s="2">
        <v>46041</v>
      </c>
      <c r="C214" s="1" t="s">
        <v>32</v>
      </c>
      <c r="D214" s="1">
        <f>MONTH(Tabela6[[#This Row],[DATA]])</f>
        <v>1</v>
      </c>
    </row>
    <row r="215" spans="1:4" x14ac:dyDescent="0.35">
      <c r="A215" s="1">
        <v>26265</v>
      </c>
      <c r="B215" s="2">
        <v>46041</v>
      </c>
      <c r="C215" s="1" t="s">
        <v>32</v>
      </c>
      <c r="D215" s="1">
        <f>MONTH(Tabela6[[#This Row],[DATA]])</f>
        <v>1</v>
      </c>
    </row>
    <row r="216" spans="1:4" x14ac:dyDescent="0.35">
      <c r="A216" s="1">
        <v>26266</v>
      </c>
      <c r="B216" s="2">
        <v>46041</v>
      </c>
      <c r="C216" s="1" t="s">
        <v>34</v>
      </c>
      <c r="D216" s="1">
        <f>MONTH(Tabela6[[#This Row],[DATA]])</f>
        <v>1</v>
      </c>
    </row>
    <row r="217" spans="1:4" x14ac:dyDescent="0.35">
      <c r="A217" s="1">
        <v>26267</v>
      </c>
      <c r="B217" s="2">
        <v>46041</v>
      </c>
      <c r="C217" s="1" t="s">
        <v>34</v>
      </c>
      <c r="D217" s="1">
        <f>MONTH(Tabela6[[#This Row],[DATA]])</f>
        <v>1</v>
      </c>
    </row>
    <row r="218" spans="1:4" x14ac:dyDescent="0.35">
      <c r="A218" s="1">
        <v>26268</v>
      </c>
      <c r="B218" s="2">
        <v>46041</v>
      </c>
      <c r="C218" s="1" t="s">
        <v>34</v>
      </c>
      <c r="D218" s="1">
        <f>MONTH(Tabela6[[#This Row],[DATA]])</f>
        <v>1</v>
      </c>
    </row>
    <row r="219" spans="1:4" x14ac:dyDescent="0.35">
      <c r="A219" s="1">
        <v>26269</v>
      </c>
      <c r="B219" s="2">
        <v>46041</v>
      </c>
      <c r="C219" s="1" t="s">
        <v>24</v>
      </c>
      <c r="D219" s="1">
        <f>MONTH(Tabela6[[#This Row],[DATA]])</f>
        <v>1</v>
      </c>
    </row>
    <row r="220" spans="1:4" x14ac:dyDescent="0.35">
      <c r="A220" s="1">
        <v>26270</v>
      </c>
      <c r="B220" s="2">
        <v>46041</v>
      </c>
      <c r="C220" s="1" t="s">
        <v>34</v>
      </c>
      <c r="D220" s="1">
        <f>MONTH(Tabela6[[#This Row],[DATA]])</f>
        <v>1</v>
      </c>
    </row>
    <row r="221" spans="1:4" x14ac:dyDescent="0.35">
      <c r="A221" s="1">
        <v>26271</v>
      </c>
      <c r="B221" s="2">
        <v>46041</v>
      </c>
      <c r="C221" s="1" t="s">
        <v>24</v>
      </c>
      <c r="D221" s="1">
        <f>MONTH(Tabela6[[#This Row],[DATA]])</f>
        <v>1</v>
      </c>
    </row>
    <row r="222" spans="1:4" x14ac:dyDescent="0.35">
      <c r="A222" s="1">
        <v>26272</v>
      </c>
      <c r="B222" s="2">
        <v>46041</v>
      </c>
      <c r="C222" s="1" t="s">
        <v>34</v>
      </c>
      <c r="D222" s="1">
        <f>MONTH(Tabela6[[#This Row],[DATA]])</f>
        <v>1</v>
      </c>
    </row>
    <row r="223" spans="1:4" x14ac:dyDescent="0.35">
      <c r="A223" s="1">
        <v>26273</v>
      </c>
      <c r="B223" s="2">
        <v>46041</v>
      </c>
      <c r="C223" s="1" t="s">
        <v>24</v>
      </c>
      <c r="D223" s="1">
        <f>MONTH(Tabela6[[#This Row],[DATA]])</f>
        <v>1</v>
      </c>
    </row>
    <row r="224" spans="1:4" x14ac:dyDescent="0.35">
      <c r="A224" s="1">
        <v>26274</v>
      </c>
      <c r="B224" s="2">
        <v>46041</v>
      </c>
      <c r="C224" s="1" t="s">
        <v>24</v>
      </c>
      <c r="D224" s="1">
        <f>MONTH(Tabela6[[#This Row],[DATA]])</f>
        <v>1</v>
      </c>
    </row>
    <row r="225" spans="1:4" x14ac:dyDescent="0.35">
      <c r="A225" s="1">
        <v>26275</v>
      </c>
      <c r="B225" s="2">
        <v>46041</v>
      </c>
      <c r="C225" s="1" t="s">
        <v>24</v>
      </c>
      <c r="D225" s="1">
        <f>MONTH(Tabela6[[#This Row],[DATA]])</f>
        <v>1</v>
      </c>
    </row>
    <row r="226" spans="1:4" x14ac:dyDescent="0.35">
      <c r="A226" s="1">
        <v>26276</v>
      </c>
      <c r="B226" s="2">
        <v>46041</v>
      </c>
      <c r="C226" s="1" t="s">
        <v>24</v>
      </c>
      <c r="D226" s="1">
        <f>MONTH(Tabela6[[#This Row],[DATA]])</f>
        <v>1</v>
      </c>
    </row>
    <row r="227" spans="1:4" x14ac:dyDescent="0.35">
      <c r="A227" s="1">
        <v>26290</v>
      </c>
      <c r="B227" s="2">
        <v>46042</v>
      </c>
      <c r="C227" s="1" t="s">
        <v>34</v>
      </c>
      <c r="D227" s="1">
        <f>MONTH(Tabela6[[#This Row],[DATA]])</f>
        <v>1</v>
      </c>
    </row>
    <row r="228" spans="1:4" x14ac:dyDescent="0.35">
      <c r="A228" s="1">
        <v>26291</v>
      </c>
      <c r="B228" s="2">
        <v>46042</v>
      </c>
      <c r="C228" s="1" t="s">
        <v>34</v>
      </c>
      <c r="D228" s="1">
        <f>MONTH(Tabela6[[#This Row],[DATA]])</f>
        <v>1</v>
      </c>
    </row>
    <row r="229" spans="1:4" x14ac:dyDescent="0.35">
      <c r="A229" s="1">
        <v>26292</v>
      </c>
      <c r="B229" s="2">
        <v>46042</v>
      </c>
      <c r="C229" s="1" t="s">
        <v>34</v>
      </c>
      <c r="D229" s="1">
        <f>MONTH(Tabela6[[#This Row],[DATA]])</f>
        <v>1</v>
      </c>
    </row>
    <row r="230" spans="1:4" x14ac:dyDescent="0.35">
      <c r="A230" s="1">
        <v>26293</v>
      </c>
      <c r="B230" s="2">
        <v>46042</v>
      </c>
      <c r="C230" s="1" t="s">
        <v>34</v>
      </c>
      <c r="D230" s="1">
        <f>MONTH(Tabela6[[#This Row],[DATA]])</f>
        <v>1</v>
      </c>
    </row>
    <row r="231" spans="1:4" x14ac:dyDescent="0.35">
      <c r="A231" s="1">
        <v>26294</v>
      </c>
      <c r="B231" s="2">
        <v>46042</v>
      </c>
      <c r="C231" s="1" t="s">
        <v>34</v>
      </c>
      <c r="D231" s="1">
        <f>MONTH(Tabela6[[#This Row],[DATA]])</f>
        <v>1</v>
      </c>
    </row>
    <row r="232" spans="1:4" x14ac:dyDescent="0.35">
      <c r="A232" s="1">
        <v>26295</v>
      </c>
      <c r="B232" s="2">
        <v>46042</v>
      </c>
      <c r="C232" s="1" t="s">
        <v>34</v>
      </c>
      <c r="D232" s="1">
        <f>MONTH(Tabela6[[#This Row],[DATA]])</f>
        <v>1</v>
      </c>
    </row>
    <row r="233" spans="1:4" x14ac:dyDescent="0.35">
      <c r="A233" s="1">
        <v>26296</v>
      </c>
      <c r="B233" s="2">
        <v>46042</v>
      </c>
      <c r="C233" s="1" t="s">
        <v>34</v>
      </c>
      <c r="D233" s="1">
        <f>MONTH(Tabela6[[#This Row],[DATA]])</f>
        <v>1</v>
      </c>
    </row>
    <row r="234" spans="1:4" x14ac:dyDescent="0.35">
      <c r="A234" s="1">
        <v>26297</v>
      </c>
      <c r="B234" s="2">
        <v>46042</v>
      </c>
      <c r="C234" s="1" t="s">
        <v>34</v>
      </c>
      <c r="D234" s="1">
        <f>MONTH(Tabela6[[#This Row],[DATA]])</f>
        <v>1</v>
      </c>
    </row>
    <row r="235" spans="1:4" x14ac:dyDescent="0.35">
      <c r="A235" s="1">
        <v>26298</v>
      </c>
      <c r="B235" s="2">
        <v>46042</v>
      </c>
      <c r="C235" s="1" t="s">
        <v>9</v>
      </c>
      <c r="D235" s="1">
        <f>MONTH(Tabela6[[#This Row],[DATA]])</f>
        <v>1</v>
      </c>
    </row>
    <row r="236" spans="1:4" x14ac:dyDescent="0.35">
      <c r="A236" s="1">
        <v>26299</v>
      </c>
      <c r="B236" s="2">
        <v>46042</v>
      </c>
      <c r="C236" s="1" t="s">
        <v>9</v>
      </c>
      <c r="D236" s="1">
        <f>MONTH(Tabela6[[#This Row],[DATA]])</f>
        <v>1</v>
      </c>
    </row>
    <row r="237" spans="1:4" x14ac:dyDescent="0.35">
      <c r="A237" s="1">
        <v>26300</v>
      </c>
      <c r="B237" s="2">
        <v>46042</v>
      </c>
      <c r="C237" s="1" t="s">
        <v>9</v>
      </c>
      <c r="D237" s="1">
        <f>MONTH(Tabela6[[#This Row],[DATA]])</f>
        <v>1</v>
      </c>
    </row>
    <row r="238" spans="1:4" x14ac:dyDescent="0.35">
      <c r="A238" s="1">
        <v>26301</v>
      </c>
      <c r="B238" s="2">
        <v>46042</v>
      </c>
      <c r="C238" s="1" t="s">
        <v>9</v>
      </c>
      <c r="D238" s="1">
        <f>MONTH(Tabela6[[#This Row],[DATA]])</f>
        <v>1</v>
      </c>
    </row>
    <row r="239" spans="1:4" x14ac:dyDescent="0.35">
      <c r="A239" s="1">
        <v>26302</v>
      </c>
      <c r="B239" s="2">
        <v>46042</v>
      </c>
      <c r="C239" s="1" t="s">
        <v>9</v>
      </c>
      <c r="D239" s="1">
        <f>MONTH(Tabela6[[#This Row],[DATA]])</f>
        <v>1</v>
      </c>
    </row>
    <row r="240" spans="1:4" x14ac:dyDescent="0.35">
      <c r="A240" s="1">
        <v>26303</v>
      </c>
      <c r="B240" s="2">
        <v>46042</v>
      </c>
      <c r="C240" s="1" t="s">
        <v>9</v>
      </c>
      <c r="D240" s="1">
        <f>MONTH(Tabela6[[#This Row],[DATA]])</f>
        <v>1</v>
      </c>
    </row>
    <row r="241" spans="1:4" x14ac:dyDescent="0.35">
      <c r="A241" s="1">
        <v>26304</v>
      </c>
      <c r="B241" s="2">
        <v>46042</v>
      </c>
      <c r="C241" s="1" t="s">
        <v>9</v>
      </c>
      <c r="D241" s="1">
        <f>MONTH(Tabela6[[#This Row],[DATA]])</f>
        <v>1</v>
      </c>
    </row>
    <row r="242" spans="1:4" x14ac:dyDescent="0.35">
      <c r="A242" s="1">
        <v>26305</v>
      </c>
      <c r="B242" s="2">
        <v>46042</v>
      </c>
      <c r="C242" s="1" t="s">
        <v>9</v>
      </c>
      <c r="D242" s="1">
        <f>MONTH(Tabela6[[#This Row],[DATA]])</f>
        <v>1</v>
      </c>
    </row>
    <row r="243" spans="1:4" x14ac:dyDescent="0.35">
      <c r="A243" s="1">
        <v>26306</v>
      </c>
      <c r="B243" s="2">
        <v>46042</v>
      </c>
      <c r="C243" s="1" t="s">
        <v>9</v>
      </c>
      <c r="D243" s="1">
        <f>MONTH(Tabela6[[#This Row],[DATA]])</f>
        <v>1</v>
      </c>
    </row>
    <row r="244" spans="1:4" x14ac:dyDescent="0.35">
      <c r="A244" s="1">
        <v>26307</v>
      </c>
      <c r="B244" s="2">
        <v>46042</v>
      </c>
      <c r="C244" s="1" t="s">
        <v>24</v>
      </c>
      <c r="D244" s="1">
        <f>MONTH(Tabela6[[#This Row],[DATA]])</f>
        <v>1</v>
      </c>
    </row>
    <row r="245" spans="1:4" x14ac:dyDescent="0.35">
      <c r="A245" s="1">
        <v>26308</v>
      </c>
      <c r="B245" s="2">
        <v>46042</v>
      </c>
      <c r="C245" s="1" t="s">
        <v>24</v>
      </c>
      <c r="D245" s="1">
        <f>MONTH(Tabela6[[#This Row],[DATA]])</f>
        <v>1</v>
      </c>
    </row>
    <row r="246" spans="1:4" x14ac:dyDescent="0.35">
      <c r="A246" s="1">
        <v>26309</v>
      </c>
      <c r="B246" s="2">
        <v>46042</v>
      </c>
      <c r="C246" s="1" t="s">
        <v>24</v>
      </c>
      <c r="D246" s="1">
        <f>MONTH(Tabela6[[#This Row],[DATA]])</f>
        <v>1</v>
      </c>
    </row>
    <row r="247" spans="1:4" x14ac:dyDescent="0.35">
      <c r="A247" s="1">
        <v>26324</v>
      </c>
      <c r="B247" s="2">
        <v>46043</v>
      </c>
      <c r="C247" s="1" t="s">
        <v>32</v>
      </c>
      <c r="D247" s="1">
        <f>MONTH(Tabela6[[#This Row],[DATA]])</f>
        <v>1</v>
      </c>
    </row>
    <row r="248" spans="1:4" x14ac:dyDescent="0.35">
      <c r="A248" s="1">
        <v>26325</v>
      </c>
      <c r="B248" s="2">
        <v>46043</v>
      </c>
      <c r="C248" s="1" t="s">
        <v>33</v>
      </c>
      <c r="D248" s="1">
        <f>MONTH(Tabela6[[#This Row],[DATA]])</f>
        <v>1</v>
      </c>
    </row>
    <row r="249" spans="1:4" x14ac:dyDescent="0.35">
      <c r="A249" s="1">
        <v>26326</v>
      </c>
      <c r="B249" s="2">
        <v>46043</v>
      </c>
      <c r="C249" s="1" t="s">
        <v>33</v>
      </c>
      <c r="D249" s="1">
        <f>MONTH(Tabela6[[#This Row],[DATA]])</f>
        <v>1</v>
      </c>
    </row>
    <row r="250" spans="1:4" x14ac:dyDescent="0.35">
      <c r="A250" s="1">
        <v>26328</v>
      </c>
      <c r="B250" s="2">
        <v>46043</v>
      </c>
      <c r="C250" s="1" t="s">
        <v>32</v>
      </c>
      <c r="D250" s="1">
        <f>MONTH(Tabela6[[#This Row],[DATA]])</f>
        <v>1</v>
      </c>
    </row>
    <row r="251" spans="1:4" x14ac:dyDescent="0.35">
      <c r="A251" s="1">
        <v>26336</v>
      </c>
      <c r="B251" s="2">
        <v>46043</v>
      </c>
      <c r="C251" s="1" t="s">
        <v>32</v>
      </c>
      <c r="D251" s="1">
        <f>MONTH(Tabela6[[#This Row],[DATA]])</f>
        <v>1</v>
      </c>
    </row>
    <row r="252" spans="1:4" x14ac:dyDescent="0.35">
      <c r="A252" s="1">
        <v>26337</v>
      </c>
      <c r="B252" s="2">
        <v>46043</v>
      </c>
      <c r="C252" s="1" t="s">
        <v>32</v>
      </c>
      <c r="D252" s="1">
        <f>MONTH(Tabela6[[#This Row],[DATA]])</f>
        <v>1</v>
      </c>
    </row>
    <row r="253" spans="1:4" x14ac:dyDescent="0.35">
      <c r="A253" s="1">
        <v>26338</v>
      </c>
      <c r="B253" s="2">
        <v>46043</v>
      </c>
      <c r="C253" s="1" t="s">
        <v>32</v>
      </c>
      <c r="D253" s="1">
        <f>MONTH(Tabela6[[#This Row],[DATA]])</f>
        <v>1</v>
      </c>
    </row>
    <row r="254" spans="1:4" x14ac:dyDescent="0.35">
      <c r="A254" s="1">
        <v>26341</v>
      </c>
      <c r="B254" s="2">
        <v>46043</v>
      </c>
      <c r="C254" s="1" t="s">
        <v>34</v>
      </c>
      <c r="D254" s="1">
        <f>MONTH(Tabela6[[#This Row],[DATA]])</f>
        <v>1</v>
      </c>
    </row>
    <row r="255" spans="1:4" x14ac:dyDescent="0.35">
      <c r="A255" s="1">
        <v>26342</v>
      </c>
      <c r="B255" s="2">
        <v>46043</v>
      </c>
      <c r="C255" s="1" t="s">
        <v>34</v>
      </c>
      <c r="D255" s="1">
        <f>MONTH(Tabela6[[#This Row],[DATA]])</f>
        <v>1</v>
      </c>
    </row>
    <row r="256" spans="1:4" x14ac:dyDescent="0.35">
      <c r="A256" s="1">
        <v>26343</v>
      </c>
      <c r="B256" s="2">
        <v>46043</v>
      </c>
      <c r="C256" s="1" t="s">
        <v>34</v>
      </c>
      <c r="D256" s="1">
        <f>MONTH(Tabela6[[#This Row],[DATA]])</f>
        <v>1</v>
      </c>
    </row>
    <row r="257" spans="1:4" x14ac:dyDescent="0.35">
      <c r="A257" s="1">
        <v>26344</v>
      </c>
      <c r="B257" s="2">
        <v>46043</v>
      </c>
      <c r="C257" s="1" t="s">
        <v>34</v>
      </c>
      <c r="D257" s="1">
        <f>MONTH(Tabela6[[#This Row],[DATA]])</f>
        <v>1</v>
      </c>
    </row>
    <row r="258" spans="1:4" x14ac:dyDescent="0.35">
      <c r="A258" s="1">
        <v>26345</v>
      </c>
      <c r="B258" s="2">
        <v>46043</v>
      </c>
      <c r="C258" s="1" t="s">
        <v>34</v>
      </c>
      <c r="D258" s="1">
        <f>MONTH(Tabela6[[#This Row],[DATA]])</f>
        <v>1</v>
      </c>
    </row>
    <row r="259" spans="1:4" x14ac:dyDescent="0.35">
      <c r="A259" s="1">
        <v>26346</v>
      </c>
      <c r="B259" s="2">
        <v>46043</v>
      </c>
      <c r="C259" s="1" t="s">
        <v>34</v>
      </c>
      <c r="D259" s="1">
        <f>MONTH(Tabela6[[#This Row],[DATA]])</f>
        <v>1</v>
      </c>
    </row>
    <row r="260" spans="1:4" x14ac:dyDescent="0.35">
      <c r="A260" s="1">
        <v>26347</v>
      </c>
      <c r="B260" s="2">
        <v>46043</v>
      </c>
      <c r="C260" s="1" t="s">
        <v>34</v>
      </c>
      <c r="D260" s="1">
        <f>MONTH(Tabela6[[#This Row],[DATA]])</f>
        <v>1</v>
      </c>
    </row>
    <row r="261" spans="1:4" x14ac:dyDescent="0.35">
      <c r="A261" s="1">
        <v>26359</v>
      </c>
      <c r="B261" s="2">
        <v>46043</v>
      </c>
      <c r="C261" s="1" t="s">
        <v>24</v>
      </c>
      <c r="D261" s="1">
        <f>MONTH(Tabela6[[#This Row],[DATA]])</f>
        <v>1</v>
      </c>
    </row>
    <row r="262" spans="1:4" x14ac:dyDescent="0.35">
      <c r="A262" s="1">
        <v>26360</v>
      </c>
      <c r="B262" s="2">
        <v>46043</v>
      </c>
      <c r="C262" s="1" t="s">
        <v>24</v>
      </c>
      <c r="D262" s="1">
        <f>MONTH(Tabela6[[#This Row],[DATA]])</f>
        <v>1</v>
      </c>
    </row>
    <row r="263" spans="1:4" x14ac:dyDescent="0.35">
      <c r="A263" s="1">
        <v>26361</v>
      </c>
      <c r="B263" s="2">
        <v>46043</v>
      </c>
      <c r="C263" s="1" t="s">
        <v>24</v>
      </c>
      <c r="D263" s="1">
        <f>MONTH(Tabela6[[#This Row],[DATA]])</f>
        <v>1</v>
      </c>
    </row>
    <row r="264" spans="1:4" x14ac:dyDescent="0.35">
      <c r="A264" s="1">
        <v>26362</v>
      </c>
      <c r="B264" s="2">
        <v>46043</v>
      </c>
      <c r="C264" s="1" t="s">
        <v>24</v>
      </c>
      <c r="D264" s="1">
        <f>MONTH(Tabela6[[#This Row],[DATA]])</f>
        <v>1</v>
      </c>
    </row>
    <row r="265" spans="1:4" x14ac:dyDescent="0.35">
      <c r="A265" s="1">
        <v>26363</v>
      </c>
      <c r="B265" s="2">
        <v>46043</v>
      </c>
      <c r="C265" s="1" t="s">
        <v>33</v>
      </c>
      <c r="D265" s="1">
        <f>MONTH(Tabela6[[#This Row],[DATA]])</f>
        <v>1</v>
      </c>
    </row>
    <row r="266" spans="1:4" x14ac:dyDescent="0.35">
      <c r="A266" s="1">
        <v>26364</v>
      </c>
      <c r="B266" s="2">
        <v>46043</v>
      </c>
      <c r="C266" s="1" t="s">
        <v>33</v>
      </c>
      <c r="D266" s="1">
        <f>MONTH(Tabela6[[#This Row],[DATA]])</f>
        <v>1</v>
      </c>
    </row>
    <row r="267" spans="1:4" x14ac:dyDescent="0.35">
      <c r="A267" s="1">
        <v>26365</v>
      </c>
      <c r="B267" s="2">
        <v>46043</v>
      </c>
      <c r="C267" s="1" t="s">
        <v>33</v>
      </c>
      <c r="D267" s="1">
        <f>MONTH(Tabela6[[#This Row],[DATA]])</f>
        <v>1</v>
      </c>
    </row>
    <row r="268" spans="1:4" x14ac:dyDescent="0.35">
      <c r="A268" s="1">
        <v>26366</v>
      </c>
      <c r="B268" s="2">
        <v>46043</v>
      </c>
      <c r="C268" s="1" t="s">
        <v>33</v>
      </c>
      <c r="D268" s="1">
        <f>MONTH(Tabela6[[#This Row],[DATA]])</f>
        <v>1</v>
      </c>
    </row>
    <row r="269" spans="1:4" x14ac:dyDescent="0.35">
      <c r="A269" s="1">
        <v>26367</v>
      </c>
      <c r="B269" s="2">
        <v>46043</v>
      </c>
      <c r="C269" s="1" t="s">
        <v>33</v>
      </c>
      <c r="D269" s="1">
        <f>MONTH(Tabela6[[#This Row],[DATA]])</f>
        <v>1</v>
      </c>
    </row>
    <row r="270" spans="1:4" x14ac:dyDescent="0.35">
      <c r="A270" s="1">
        <v>26368</v>
      </c>
      <c r="B270" s="2">
        <v>46043</v>
      </c>
      <c r="C270" s="1" t="s">
        <v>33</v>
      </c>
      <c r="D270" s="1">
        <f>MONTH(Tabela6[[#This Row],[DATA]])</f>
        <v>1</v>
      </c>
    </row>
    <row r="271" spans="1:4" x14ac:dyDescent="0.35">
      <c r="A271" s="1">
        <v>26377</v>
      </c>
      <c r="B271" s="2">
        <v>46044</v>
      </c>
      <c r="C271" s="1" t="s">
        <v>5</v>
      </c>
      <c r="D271" s="1">
        <f>MONTH(Tabela6[[#This Row],[DATA]])</f>
        <v>1</v>
      </c>
    </row>
    <row r="272" spans="1:4" x14ac:dyDescent="0.35">
      <c r="A272" s="1">
        <v>26378</v>
      </c>
      <c r="B272" s="2">
        <v>46044</v>
      </c>
      <c r="C272" s="1" t="s">
        <v>5</v>
      </c>
      <c r="D272" s="1">
        <f>MONTH(Tabela6[[#This Row],[DATA]])</f>
        <v>1</v>
      </c>
    </row>
    <row r="273" spans="1:4" x14ac:dyDescent="0.35">
      <c r="A273" s="1">
        <v>26379</v>
      </c>
      <c r="B273" s="2">
        <v>46044</v>
      </c>
      <c r="C273" s="1" t="s">
        <v>5</v>
      </c>
      <c r="D273" s="1">
        <f>MONTH(Tabela6[[#This Row],[DATA]])</f>
        <v>1</v>
      </c>
    </row>
    <row r="274" spans="1:4" x14ac:dyDescent="0.35">
      <c r="A274" s="1">
        <v>26380</v>
      </c>
      <c r="B274" s="2">
        <v>46044</v>
      </c>
      <c r="C274" s="1" t="s">
        <v>5</v>
      </c>
      <c r="D274" s="1">
        <f>MONTH(Tabela6[[#This Row],[DATA]])</f>
        <v>1</v>
      </c>
    </row>
    <row r="275" spans="1:4" x14ac:dyDescent="0.35">
      <c r="A275" s="1">
        <v>26381</v>
      </c>
      <c r="B275" s="2">
        <v>46044</v>
      </c>
      <c r="C275" s="1" t="s">
        <v>5</v>
      </c>
      <c r="D275" s="1">
        <f>MONTH(Tabela6[[#This Row],[DATA]])</f>
        <v>1</v>
      </c>
    </row>
    <row r="276" spans="1:4" x14ac:dyDescent="0.35">
      <c r="A276" s="1">
        <v>26382</v>
      </c>
      <c r="B276" s="2">
        <v>46044</v>
      </c>
      <c r="C276" s="1" t="s">
        <v>5</v>
      </c>
      <c r="D276" s="1">
        <f>MONTH(Tabela6[[#This Row],[DATA]])</f>
        <v>1</v>
      </c>
    </row>
    <row r="277" spans="1:4" x14ac:dyDescent="0.35">
      <c r="A277" s="1">
        <v>26383</v>
      </c>
      <c r="B277" s="2">
        <v>46044</v>
      </c>
      <c r="C277" s="1" t="s">
        <v>5</v>
      </c>
      <c r="D277" s="1">
        <f>MONTH(Tabela6[[#This Row],[DATA]])</f>
        <v>1</v>
      </c>
    </row>
    <row r="278" spans="1:4" x14ac:dyDescent="0.35">
      <c r="A278" s="1">
        <v>26384</v>
      </c>
      <c r="B278" s="2">
        <v>46044</v>
      </c>
      <c r="C278" s="1" t="s">
        <v>5</v>
      </c>
      <c r="D278" s="1">
        <f>MONTH(Tabela6[[#This Row],[DATA]])</f>
        <v>1</v>
      </c>
    </row>
    <row r="279" spans="1:4" x14ac:dyDescent="0.35">
      <c r="A279" s="1">
        <v>26385</v>
      </c>
      <c r="B279" s="2">
        <v>46044</v>
      </c>
      <c r="C279" s="1" t="s">
        <v>5</v>
      </c>
      <c r="D279" s="1">
        <f>MONTH(Tabela6[[#This Row],[DATA]])</f>
        <v>1</v>
      </c>
    </row>
    <row r="280" spans="1:4" x14ac:dyDescent="0.35">
      <c r="A280" s="1">
        <v>26386</v>
      </c>
      <c r="B280" s="2">
        <v>46044</v>
      </c>
      <c r="C280" s="1" t="s">
        <v>5</v>
      </c>
      <c r="D280" s="1">
        <f>MONTH(Tabela6[[#This Row],[DATA]])</f>
        <v>1</v>
      </c>
    </row>
    <row r="281" spans="1:4" x14ac:dyDescent="0.35">
      <c r="A281" s="1">
        <v>26387</v>
      </c>
      <c r="B281" s="2">
        <v>46044</v>
      </c>
      <c r="C281" s="1" t="s">
        <v>5</v>
      </c>
      <c r="D281" s="1">
        <f>MONTH(Tabela6[[#This Row],[DATA]])</f>
        <v>1</v>
      </c>
    </row>
    <row r="282" spans="1:4" x14ac:dyDescent="0.35">
      <c r="A282" s="1">
        <v>26388</v>
      </c>
      <c r="B282" s="2">
        <v>46044</v>
      </c>
      <c r="C282" s="1" t="s">
        <v>5</v>
      </c>
      <c r="D282" s="1">
        <f>MONTH(Tabela6[[#This Row],[DATA]])</f>
        <v>1</v>
      </c>
    </row>
    <row r="283" spans="1:4" x14ac:dyDescent="0.35">
      <c r="A283" s="1">
        <v>26389</v>
      </c>
      <c r="B283" s="2">
        <v>46044</v>
      </c>
      <c r="C283" s="1" t="s">
        <v>5</v>
      </c>
      <c r="D283" s="1">
        <f>MONTH(Tabela6[[#This Row],[DATA]])</f>
        <v>1</v>
      </c>
    </row>
    <row r="284" spans="1:4" x14ac:dyDescent="0.35">
      <c r="A284" s="1">
        <v>26391</v>
      </c>
      <c r="B284" s="2">
        <v>46044</v>
      </c>
      <c r="C284" s="1" t="s">
        <v>9</v>
      </c>
      <c r="D284" s="1">
        <f>MONTH(Tabela6[[#This Row],[DATA]])</f>
        <v>1</v>
      </c>
    </row>
    <row r="285" spans="1:4" x14ac:dyDescent="0.35">
      <c r="A285" s="1">
        <v>26392</v>
      </c>
      <c r="B285" s="2">
        <v>46044</v>
      </c>
      <c r="C285" s="1" t="s">
        <v>9</v>
      </c>
      <c r="D285" s="1">
        <f>MONTH(Tabela6[[#This Row],[DATA]])</f>
        <v>1</v>
      </c>
    </row>
    <row r="286" spans="1:4" x14ac:dyDescent="0.35">
      <c r="A286" s="1">
        <v>26393</v>
      </c>
      <c r="B286" s="2">
        <v>46044</v>
      </c>
      <c r="C286" s="1" t="s">
        <v>9</v>
      </c>
      <c r="D286" s="1">
        <f>MONTH(Tabela6[[#This Row],[DATA]])</f>
        <v>1</v>
      </c>
    </row>
    <row r="287" spans="1:4" x14ac:dyDescent="0.35">
      <c r="A287" s="1">
        <v>26394</v>
      </c>
      <c r="B287" s="2">
        <v>46044</v>
      </c>
      <c r="C287" s="1" t="s">
        <v>9</v>
      </c>
      <c r="D287" s="1">
        <f>MONTH(Tabela6[[#This Row],[DATA]])</f>
        <v>1</v>
      </c>
    </row>
    <row r="288" spans="1:4" x14ac:dyDescent="0.35">
      <c r="A288" s="1">
        <v>26395</v>
      </c>
      <c r="B288" s="2">
        <v>46044</v>
      </c>
      <c r="C288" s="1" t="s">
        <v>9</v>
      </c>
      <c r="D288" s="1">
        <f>MONTH(Tabela6[[#This Row],[DATA]])</f>
        <v>1</v>
      </c>
    </row>
    <row r="289" spans="1:4" x14ac:dyDescent="0.35">
      <c r="A289" s="1">
        <v>26396</v>
      </c>
      <c r="B289" s="2">
        <v>46044</v>
      </c>
      <c r="C289" s="1" t="s">
        <v>9</v>
      </c>
      <c r="D289" s="1">
        <f>MONTH(Tabela6[[#This Row],[DATA]])</f>
        <v>1</v>
      </c>
    </row>
    <row r="290" spans="1:4" x14ac:dyDescent="0.35">
      <c r="A290" s="1">
        <v>26429</v>
      </c>
      <c r="B290" s="2">
        <v>46045</v>
      </c>
      <c r="C290" s="1" t="s">
        <v>9</v>
      </c>
      <c r="D290" s="1">
        <f>MONTH(Tabela6[[#This Row],[DATA]])</f>
        <v>1</v>
      </c>
    </row>
    <row r="291" spans="1:4" x14ac:dyDescent="0.35">
      <c r="A291" s="1">
        <v>26430</v>
      </c>
      <c r="B291" s="2">
        <v>46045</v>
      </c>
      <c r="C291" s="1" t="s">
        <v>9</v>
      </c>
      <c r="D291" s="1">
        <f>MONTH(Tabela6[[#This Row],[DATA]])</f>
        <v>1</v>
      </c>
    </row>
    <row r="292" spans="1:4" x14ac:dyDescent="0.35">
      <c r="A292" s="1">
        <v>26431</v>
      </c>
      <c r="B292" s="2">
        <v>46045</v>
      </c>
      <c r="C292" s="1" t="s">
        <v>9</v>
      </c>
      <c r="D292" s="1">
        <f>MONTH(Tabela6[[#This Row],[DATA]])</f>
        <v>1</v>
      </c>
    </row>
    <row r="293" spans="1:4" x14ac:dyDescent="0.35">
      <c r="A293" s="1">
        <v>26432</v>
      </c>
      <c r="B293" s="2">
        <v>46045</v>
      </c>
      <c r="C293" s="1" t="s">
        <v>9</v>
      </c>
      <c r="D293" s="1">
        <f>MONTH(Tabela6[[#This Row],[DATA]])</f>
        <v>1</v>
      </c>
    </row>
    <row r="294" spans="1:4" x14ac:dyDescent="0.35">
      <c r="A294" s="1">
        <v>26433</v>
      </c>
      <c r="B294" s="2">
        <v>46045</v>
      </c>
      <c r="C294" s="1" t="s">
        <v>9</v>
      </c>
      <c r="D294" s="1">
        <f>MONTH(Tabela6[[#This Row],[DATA]])</f>
        <v>1</v>
      </c>
    </row>
    <row r="295" spans="1:4" x14ac:dyDescent="0.35">
      <c r="A295" s="1">
        <v>26434</v>
      </c>
      <c r="B295" s="2">
        <v>46048</v>
      </c>
      <c r="C295" s="1" t="s">
        <v>5</v>
      </c>
      <c r="D295" s="1">
        <f>MONTH(Tabela6[[#This Row],[DATA]])</f>
        <v>1</v>
      </c>
    </row>
    <row r="296" spans="1:4" x14ac:dyDescent="0.35">
      <c r="A296" s="1">
        <v>26435</v>
      </c>
      <c r="B296" s="2">
        <v>46048</v>
      </c>
      <c r="C296" s="1" t="s">
        <v>5</v>
      </c>
      <c r="D296" s="1">
        <f>MONTH(Tabela6[[#This Row],[DATA]])</f>
        <v>1</v>
      </c>
    </row>
    <row r="297" spans="1:4" x14ac:dyDescent="0.35">
      <c r="A297" s="1">
        <v>26436</v>
      </c>
      <c r="B297" s="2">
        <v>46048</v>
      </c>
      <c r="C297" s="1" t="s">
        <v>5</v>
      </c>
      <c r="D297" s="1">
        <f>MONTH(Tabela6[[#This Row],[DATA]])</f>
        <v>1</v>
      </c>
    </row>
    <row r="298" spans="1:4" x14ac:dyDescent="0.35">
      <c r="A298" s="1">
        <v>26437</v>
      </c>
      <c r="B298" s="2">
        <v>46048</v>
      </c>
      <c r="C298" s="1" t="s">
        <v>34</v>
      </c>
      <c r="D298" s="1">
        <f>MONTH(Tabela6[[#This Row],[DATA]])</f>
        <v>1</v>
      </c>
    </row>
    <row r="299" spans="1:4" x14ac:dyDescent="0.35">
      <c r="A299" s="1">
        <v>26438</v>
      </c>
      <c r="B299" s="2">
        <v>46048</v>
      </c>
      <c r="C299" s="1" t="s">
        <v>34</v>
      </c>
      <c r="D299" s="1">
        <f>MONTH(Tabela6[[#This Row],[DATA]])</f>
        <v>1</v>
      </c>
    </row>
    <row r="300" spans="1:4" x14ac:dyDescent="0.35">
      <c r="A300" s="1">
        <v>26439</v>
      </c>
      <c r="B300" s="2">
        <v>46048</v>
      </c>
      <c r="C300" s="1" t="s">
        <v>34</v>
      </c>
      <c r="D300" s="1">
        <f>MONTH(Tabela6[[#This Row],[DATA]])</f>
        <v>1</v>
      </c>
    </row>
    <row r="301" spans="1:4" x14ac:dyDescent="0.35">
      <c r="A301" s="1">
        <v>26440</v>
      </c>
      <c r="B301" s="2">
        <v>46048</v>
      </c>
      <c r="C301" s="1" t="s">
        <v>34</v>
      </c>
      <c r="D301" s="1">
        <f>MONTH(Tabela6[[#This Row],[DATA]])</f>
        <v>1</v>
      </c>
    </row>
    <row r="302" spans="1:4" x14ac:dyDescent="0.35">
      <c r="A302" s="1">
        <v>26441</v>
      </c>
      <c r="B302" s="2">
        <v>46048</v>
      </c>
      <c r="C302" s="1" t="s">
        <v>34</v>
      </c>
      <c r="D302" s="1">
        <f>MONTH(Tabela6[[#This Row],[DATA]])</f>
        <v>1</v>
      </c>
    </row>
    <row r="303" spans="1:4" x14ac:dyDescent="0.35">
      <c r="A303" s="1">
        <v>26442</v>
      </c>
      <c r="B303" s="2">
        <v>46048</v>
      </c>
      <c r="C303" s="1" t="s">
        <v>34</v>
      </c>
      <c r="D303" s="1">
        <f>MONTH(Tabela6[[#This Row],[DATA]])</f>
        <v>1</v>
      </c>
    </row>
    <row r="304" spans="1:4" x14ac:dyDescent="0.35">
      <c r="A304" s="1">
        <v>26443</v>
      </c>
      <c r="B304" s="2">
        <v>46048</v>
      </c>
      <c r="C304" s="1" t="s">
        <v>34</v>
      </c>
      <c r="D304" s="1">
        <f>MONTH(Tabela6[[#This Row],[DATA]])</f>
        <v>1</v>
      </c>
    </row>
    <row r="305" spans="1:4" x14ac:dyDescent="0.35">
      <c r="A305" s="1">
        <v>26444</v>
      </c>
      <c r="B305" s="2">
        <v>46048</v>
      </c>
      <c r="C305" s="1" t="s">
        <v>34</v>
      </c>
      <c r="D305" s="1">
        <f>MONTH(Tabela6[[#This Row],[DATA]])</f>
        <v>1</v>
      </c>
    </row>
    <row r="306" spans="1:4" x14ac:dyDescent="0.35">
      <c r="A306" s="1">
        <v>26445</v>
      </c>
      <c r="B306" s="2">
        <v>46048</v>
      </c>
      <c r="C306" s="1" t="s">
        <v>34</v>
      </c>
      <c r="D306" s="1">
        <f>MONTH(Tabela6[[#This Row],[DATA]])</f>
        <v>1</v>
      </c>
    </row>
    <row r="307" spans="1:4" x14ac:dyDescent="0.35">
      <c r="A307" s="1">
        <v>26446</v>
      </c>
      <c r="B307" s="2">
        <v>46048</v>
      </c>
      <c r="C307" s="1" t="s">
        <v>34</v>
      </c>
      <c r="D307" s="1">
        <f>MONTH(Tabela6[[#This Row],[DATA]])</f>
        <v>1</v>
      </c>
    </row>
    <row r="308" spans="1:4" x14ac:dyDescent="0.35">
      <c r="A308" s="1">
        <v>26447</v>
      </c>
      <c r="B308" s="2">
        <v>46048</v>
      </c>
      <c r="C308" s="1" t="s">
        <v>34</v>
      </c>
      <c r="D308" s="1">
        <f>MONTH(Tabela6[[#This Row],[DATA]])</f>
        <v>1</v>
      </c>
    </row>
    <row r="309" spans="1:4" x14ac:dyDescent="0.35">
      <c r="A309" s="1">
        <v>26448</v>
      </c>
      <c r="B309" s="2">
        <v>46048</v>
      </c>
      <c r="C309" s="1" t="s">
        <v>34</v>
      </c>
      <c r="D309" s="1">
        <f>MONTH(Tabela6[[#This Row],[DATA]])</f>
        <v>1</v>
      </c>
    </row>
    <row r="310" spans="1:4" x14ac:dyDescent="0.35">
      <c r="A310" s="1">
        <v>26449</v>
      </c>
      <c r="B310" s="2">
        <v>46048</v>
      </c>
      <c r="C310" s="1" t="s">
        <v>32</v>
      </c>
      <c r="D310" s="1">
        <f>MONTH(Tabela6[[#This Row],[DATA]])</f>
        <v>1</v>
      </c>
    </row>
    <row r="311" spans="1:4" x14ac:dyDescent="0.35">
      <c r="A311" s="1">
        <v>26450</v>
      </c>
      <c r="B311" s="2">
        <v>46048</v>
      </c>
      <c r="C311" s="1" t="s">
        <v>32</v>
      </c>
      <c r="D311" s="1">
        <f>MONTH(Tabela6[[#This Row],[DATA]])</f>
        <v>1</v>
      </c>
    </row>
    <row r="312" spans="1:4" x14ac:dyDescent="0.35">
      <c r="A312" s="1">
        <v>26451</v>
      </c>
      <c r="B312" s="2">
        <v>46048</v>
      </c>
      <c r="C312" s="1" t="s">
        <v>32</v>
      </c>
      <c r="D312" s="1">
        <f>MONTH(Tabela6[[#This Row],[DATA]])</f>
        <v>1</v>
      </c>
    </row>
    <row r="313" spans="1:4" x14ac:dyDescent="0.35">
      <c r="A313" s="1">
        <v>26452</v>
      </c>
      <c r="B313" s="2">
        <v>46048</v>
      </c>
      <c r="C313" s="1" t="s">
        <v>32</v>
      </c>
      <c r="D313" s="1">
        <f>MONTH(Tabela6[[#This Row],[DATA]])</f>
        <v>1</v>
      </c>
    </row>
    <row r="314" spans="1:4" x14ac:dyDescent="0.35">
      <c r="A314" s="1">
        <v>26453</v>
      </c>
      <c r="B314" s="2">
        <v>46048</v>
      </c>
      <c r="C314" s="1" t="s">
        <v>32</v>
      </c>
      <c r="D314" s="1">
        <f>MONTH(Tabela6[[#This Row],[DATA]])</f>
        <v>1</v>
      </c>
    </row>
    <row r="315" spans="1:4" x14ac:dyDescent="0.35">
      <c r="A315" s="1">
        <v>26454</v>
      </c>
      <c r="B315" s="2">
        <v>46048</v>
      </c>
      <c r="C315" s="1" t="s">
        <v>9</v>
      </c>
      <c r="D315" s="1">
        <f>MONTH(Tabela6[[#This Row],[DATA]])</f>
        <v>1</v>
      </c>
    </row>
    <row r="316" spans="1:4" x14ac:dyDescent="0.35">
      <c r="A316" s="1">
        <v>26455</v>
      </c>
      <c r="B316" s="2">
        <v>46048</v>
      </c>
      <c r="C316" s="1" t="s">
        <v>9</v>
      </c>
      <c r="D316" s="1">
        <f>MONTH(Tabela6[[#This Row],[DATA]])</f>
        <v>1</v>
      </c>
    </row>
    <row r="317" spans="1:4" x14ac:dyDescent="0.35">
      <c r="A317" s="1">
        <v>26456</v>
      </c>
      <c r="B317" s="2">
        <v>46048</v>
      </c>
      <c r="C317" s="1" t="s">
        <v>9</v>
      </c>
      <c r="D317" s="1">
        <f>MONTH(Tabela6[[#This Row],[DATA]])</f>
        <v>1</v>
      </c>
    </row>
    <row r="318" spans="1:4" x14ac:dyDescent="0.35">
      <c r="A318" s="1">
        <v>26457</v>
      </c>
      <c r="B318" s="2">
        <v>46048</v>
      </c>
      <c r="C318" s="1" t="s">
        <v>9</v>
      </c>
      <c r="D318" s="1">
        <f>MONTH(Tabela6[[#This Row],[DATA]])</f>
        <v>1</v>
      </c>
    </row>
    <row r="319" spans="1:4" x14ac:dyDescent="0.35">
      <c r="A319" s="1">
        <v>26458</v>
      </c>
      <c r="B319" s="2">
        <v>46048</v>
      </c>
      <c r="C319" s="1" t="s">
        <v>9</v>
      </c>
      <c r="D319" s="1">
        <f>MONTH(Tabela6[[#This Row],[DATA]])</f>
        <v>1</v>
      </c>
    </row>
    <row r="320" spans="1:4" x14ac:dyDescent="0.35">
      <c r="A320" s="1">
        <v>26459</v>
      </c>
      <c r="B320" s="2">
        <v>46049</v>
      </c>
      <c r="C320" s="1" t="s">
        <v>9</v>
      </c>
      <c r="D320" s="1">
        <f>MONTH(Tabela6[[#This Row],[DATA]])</f>
        <v>1</v>
      </c>
    </row>
    <row r="321" spans="1:4" x14ac:dyDescent="0.35">
      <c r="A321" s="1">
        <v>26460</v>
      </c>
      <c r="B321" s="2">
        <v>46049</v>
      </c>
      <c r="C321" s="1" t="s">
        <v>9</v>
      </c>
      <c r="D321" s="1">
        <f>MONTH(Tabela6[[#This Row],[DATA]])</f>
        <v>1</v>
      </c>
    </row>
    <row r="322" spans="1:4" x14ac:dyDescent="0.35">
      <c r="A322" s="1">
        <v>26461</v>
      </c>
      <c r="B322" s="2">
        <v>46049</v>
      </c>
      <c r="C322" s="1" t="s">
        <v>9</v>
      </c>
      <c r="D322" s="1">
        <f>MONTH(Tabela6[[#This Row],[DATA]])</f>
        <v>1</v>
      </c>
    </row>
    <row r="323" spans="1:4" x14ac:dyDescent="0.35">
      <c r="A323" s="1">
        <v>26462</v>
      </c>
      <c r="B323" s="2">
        <v>46049</v>
      </c>
      <c r="C323" s="1" t="s">
        <v>9</v>
      </c>
      <c r="D323" s="1">
        <f>MONTH(Tabela6[[#This Row],[DATA]])</f>
        <v>1</v>
      </c>
    </row>
    <row r="324" spans="1:4" x14ac:dyDescent="0.35">
      <c r="A324" s="1">
        <v>26463</v>
      </c>
      <c r="B324" s="2">
        <v>46049</v>
      </c>
      <c r="C324" s="1" t="s">
        <v>9</v>
      </c>
      <c r="D324" s="1">
        <f>MONTH(Tabela6[[#This Row],[DATA]])</f>
        <v>1</v>
      </c>
    </row>
    <row r="325" spans="1:4" x14ac:dyDescent="0.35">
      <c r="A325" s="1">
        <v>26464</v>
      </c>
      <c r="B325" s="2">
        <v>46049</v>
      </c>
      <c r="C325" s="1" t="s">
        <v>9</v>
      </c>
      <c r="D325" s="1">
        <f>MONTH(Tabela6[[#This Row],[DATA]])</f>
        <v>1</v>
      </c>
    </row>
    <row r="326" spans="1:4" x14ac:dyDescent="0.35">
      <c r="A326" s="1">
        <v>26465</v>
      </c>
      <c r="B326" s="2">
        <v>46049</v>
      </c>
      <c r="C326" s="1" t="s">
        <v>9</v>
      </c>
      <c r="D326" s="1">
        <f>MONTH(Tabela6[[#This Row],[DATA]])</f>
        <v>1</v>
      </c>
    </row>
    <row r="327" spans="1:4" x14ac:dyDescent="0.35">
      <c r="A327" s="1">
        <v>26466</v>
      </c>
      <c r="B327" s="2">
        <v>46049</v>
      </c>
      <c r="C327" s="1" t="s">
        <v>9</v>
      </c>
      <c r="D327" s="1">
        <f>MONTH(Tabela6[[#This Row],[DATA]])</f>
        <v>1</v>
      </c>
    </row>
    <row r="328" spans="1:4" x14ac:dyDescent="0.35">
      <c r="A328" s="1">
        <v>26468</v>
      </c>
      <c r="B328" s="2">
        <v>46050</v>
      </c>
      <c r="C328" s="1" t="s">
        <v>32</v>
      </c>
      <c r="D328" s="1">
        <f>MONTH(Tabela6[[#This Row],[DATA]])</f>
        <v>1</v>
      </c>
    </row>
    <row r="329" spans="1:4" x14ac:dyDescent="0.35">
      <c r="A329" s="1">
        <v>26469</v>
      </c>
      <c r="B329" s="2">
        <v>46050</v>
      </c>
      <c r="C329" s="1" t="s">
        <v>32</v>
      </c>
      <c r="D329" s="1">
        <f>MONTH(Tabela6[[#This Row],[DATA]])</f>
        <v>1</v>
      </c>
    </row>
    <row r="330" spans="1:4" x14ac:dyDescent="0.35">
      <c r="A330" s="1">
        <v>26470</v>
      </c>
      <c r="B330" s="2">
        <v>46050</v>
      </c>
      <c r="C330" s="1" t="s">
        <v>33</v>
      </c>
      <c r="D330" s="1">
        <f>MONTH(Tabela6[[#This Row],[DATA]])</f>
        <v>1</v>
      </c>
    </row>
    <row r="331" spans="1:4" x14ac:dyDescent="0.35">
      <c r="A331" s="1">
        <v>26473</v>
      </c>
      <c r="B331" s="2">
        <v>46051</v>
      </c>
      <c r="C331" s="1" t="s">
        <v>9</v>
      </c>
      <c r="D331" s="1">
        <f>MONTH(Tabela6[[#This Row],[DATA]])</f>
        <v>1</v>
      </c>
    </row>
    <row r="332" spans="1:4" x14ac:dyDescent="0.35">
      <c r="A332" s="1">
        <v>26474</v>
      </c>
      <c r="B332" s="2">
        <v>46051</v>
      </c>
      <c r="C332" s="1" t="s">
        <v>9</v>
      </c>
      <c r="D332" s="1">
        <f>MONTH(Tabela6[[#This Row],[DATA]])</f>
        <v>1</v>
      </c>
    </row>
    <row r="333" spans="1:4" x14ac:dyDescent="0.35">
      <c r="A333" s="1">
        <v>26475</v>
      </c>
      <c r="B333" s="2">
        <v>46051</v>
      </c>
      <c r="C333" s="1" t="s">
        <v>9</v>
      </c>
      <c r="D333" s="1">
        <f>MONTH(Tabela6[[#This Row],[DATA]])</f>
        <v>1</v>
      </c>
    </row>
    <row r="334" spans="1:4" x14ac:dyDescent="0.35">
      <c r="A334" s="1">
        <v>26476</v>
      </c>
      <c r="B334" s="2">
        <v>46051</v>
      </c>
      <c r="C334" s="1" t="s">
        <v>9</v>
      </c>
      <c r="D334" s="1">
        <f>MONTH(Tabela6[[#This Row],[DATA]])</f>
        <v>1</v>
      </c>
    </row>
    <row r="335" spans="1:4" x14ac:dyDescent="0.35">
      <c r="A335" s="1">
        <v>26477</v>
      </c>
      <c r="B335" s="2">
        <v>46051</v>
      </c>
      <c r="C335" s="1" t="s">
        <v>9</v>
      </c>
      <c r="D335" s="1">
        <f>MONTH(Tabela6[[#This Row],[DATA]])</f>
        <v>1</v>
      </c>
    </row>
    <row r="336" spans="1:4" x14ac:dyDescent="0.35">
      <c r="A336" s="1">
        <v>26478</v>
      </c>
      <c r="B336" s="2">
        <v>46051</v>
      </c>
      <c r="C336" s="1" t="s">
        <v>34</v>
      </c>
      <c r="D336" s="1">
        <f>MONTH(Tabela6[[#This Row],[DATA]])</f>
        <v>1</v>
      </c>
    </row>
    <row r="337" spans="1:4" x14ac:dyDescent="0.35">
      <c r="A337" s="1">
        <v>26479</v>
      </c>
      <c r="B337" s="2">
        <v>46051</v>
      </c>
      <c r="C337" s="1" t="s">
        <v>34</v>
      </c>
      <c r="D337" s="1">
        <f>MONTH(Tabela6[[#This Row],[DATA]])</f>
        <v>1</v>
      </c>
    </row>
    <row r="338" spans="1:4" x14ac:dyDescent="0.35">
      <c r="A338" s="1">
        <v>26480</v>
      </c>
      <c r="B338" s="2">
        <v>46051</v>
      </c>
      <c r="C338" s="1" t="s">
        <v>34</v>
      </c>
      <c r="D338" s="1">
        <f>MONTH(Tabela6[[#This Row],[DATA]])</f>
        <v>1</v>
      </c>
    </row>
    <row r="339" spans="1:4" x14ac:dyDescent="0.35">
      <c r="A339" s="1">
        <v>26481</v>
      </c>
      <c r="B339" s="2">
        <v>46051</v>
      </c>
      <c r="C339" s="1" t="s">
        <v>34</v>
      </c>
      <c r="D339" s="1">
        <f>MONTH(Tabela6[[#This Row],[DATA]])</f>
        <v>1</v>
      </c>
    </row>
    <row r="340" spans="1:4" x14ac:dyDescent="0.35">
      <c r="A340" s="1">
        <v>26482</v>
      </c>
      <c r="B340" s="2">
        <v>46051</v>
      </c>
      <c r="C340" s="1" t="s">
        <v>34</v>
      </c>
      <c r="D340" s="1">
        <f>MONTH(Tabela6[[#This Row],[DATA]])</f>
        <v>1</v>
      </c>
    </row>
    <row r="341" spans="1:4" x14ac:dyDescent="0.35">
      <c r="A341" s="1">
        <v>26483</v>
      </c>
      <c r="B341" s="2">
        <v>46051</v>
      </c>
      <c r="C341" s="1" t="s">
        <v>34</v>
      </c>
      <c r="D341" s="1">
        <f>MONTH(Tabela6[[#This Row],[DATA]])</f>
        <v>1</v>
      </c>
    </row>
    <row r="342" spans="1:4" x14ac:dyDescent="0.35">
      <c r="A342" s="1">
        <v>26484</v>
      </c>
      <c r="B342" s="2">
        <v>46051</v>
      </c>
      <c r="C342" s="1" t="s">
        <v>34</v>
      </c>
      <c r="D342" s="1">
        <f>MONTH(Tabela6[[#This Row],[DATA]])</f>
        <v>1</v>
      </c>
    </row>
    <row r="343" spans="1:4" x14ac:dyDescent="0.35">
      <c r="A343" s="1">
        <v>26485</v>
      </c>
      <c r="B343" s="2">
        <v>46051</v>
      </c>
      <c r="C343" s="1" t="s">
        <v>34</v>
      </c>
      <c r="D343" s="1">
        <f>MONTH(Tabela6[[#This Row],[DATA]])</f>
        <v>1</v>
      </c>
    </row>
    <row r="344" spans="1:4" x14ac:dyDescent="0.35">
      <c r="A344" s="1">
        <v>26486</v>
      </c>
      <c r="B344" s="2">
        <v>46051</v>
      </c>
      <c r="C344" s="1" t="s">
        <v>34</v>
      </c>
      <c r="D344" s="1">
        <f>MONTH(Tabela6[[#This Row],[DATA]])</f>
        <v>1</v>
      </c>
    </row>
    <row r="345" spans="1:4" x14ac:dyDescent="0.35">
      <c r="A345" s="1">
        <v>26487</v>
      </c>
      <c r="B345" s="2">
        <v>46051</v>
      </c>
      <c r="C345" s="1" t="s">
        <v>34</v>
      </c>
      <c r="D345" s="1">
        <f>MONTH(Tabela6[[#This Row],[DATA]])</f>
        <v>1</v>
      </c>
    </row>
    <row r="346" spans="1:4" x14ac:dyDescent="0.35">
      <c r="A346" s="1">
        <v>26488</v>
      </c>
      <c r="B346" s="2">
        <v>46051</v>
      </c>
      <c r="C346" s="1" t="s">
        <v>33</v>
      </c>
      <c r="D346" s="1">
        <f>MONTH(Tabela6[[#This Row],[DATA]])</f>
        <v>1</v>
      </c>
    </row>
    <row r="347" spans="1:4" x14ac:dyDescent="0.35">
      <c r="A347" s="1">
        <v>26489</v>
      </c>
      <c r="B347" s="2">
        <v>46051</v>
      </c>
      <c r="C347" s="1" t="s">
        <v>33</v>
      </c>
      <c r="D347" s="1">
        <f>MONTH(Tabela6[[#This Row],[DATA]])</f>
        <v>1</v>
      </c>
    </row>
    <row r="348" spans="1:4" x14ac:dyDescent="0.35">
      <c r="A348" s="1">
        <v>26490</v>
      </c>
      <c r="B348" s="2">
        <v>46052</v>
      </c>
      <c r="C348" s="1" t="s">
        <v>5</v>
      </c>
      <c r="D348" s="1">
        <f>MONTH(Tabela6[[#This Row],[DATA]])</f>
        <v>1</v>
      </c>
    </row>
    <row r="349" spans="1:4" x14ac:dyDescent="0.35">
      <c r="A349" s="1">
        <v>26491</v>
      </c>
      <c r="B349" s="2">
        <v>46052</v>
      </c>
      <c r="C349" s="1" t="s">
        <v>5</v>
      </c>
      <c r="D349" s="1">
        <f>MONTH(Tabela6[[#This Row],[DATA]])</f>
        <v>1</v>
      </c>
    </row>
    <row r="350" spans="1:4" x14ac:dyDescent="0.35">
      <c r="A350" s="1">
        <v>26492</v>
      </c>
      <c r="B350" s="2">
        <v>46052</v>
      </c>
      <c r="C350" s="1" t="s">
        <v>5</v>
      </c>
      <c r="D350" s="1">
        <f>MONTH(Tabela6[[#This Row],[DATA]])</f>
        <v>1</v>
      </c>
    </row>
    <row r="351" spans="1:4" x14ac:dyDescent="0.35">
      <c r="A351" s="1">
        <v>26493</v>
      </c>
      <c r="B351" s="2">
        <v>46052</v>
      </c>
      <c r="C351" s="1" t="s">
        <v>5</v>
      </c>
      <c r="D351" s="1">
        <f>MONTH(Tabela6[[#This Row],[DATA]])</f>
        <v>1</v>
      </c>
    </row>
    <row r="352" spans="1:4" x14ac:dyDescent="0.35">
      <c r="A352" s="1">
        <v>26532</v>
      </c>
      <c r="B352" s="2">
        <v>46055</v>
      </c>
      <c r="C352" s="1" t="s">
        <v>32</v>
      </c>
      <c r="D352" s="1">
        <f>MONTH(Tabela6[[#This Row],[DATA]])</f>
        <v>2</v>
      </c>
    </row>
    <row r="353" spans="1:4" x14ac:dyDescent="0.35">
      <c r="A353" s="1">
        <v>26534</v>
      </c>
      <c r="B353" s="2">
        <v>46055</v>
      </c>
      <c r="C353" s="1" t="s">
        <v>32</v>
      </c>
      <c r="D353" s="1">
        <f>MONTH(Tabela6[[#This Row],[DATA]])</f>
        <v>2</v>
      </c>
    </row>
    <row r="354" spans="1:4" x14ac:dyDescent="0.35">
      <c r="A354" s="1">
        <v>26536</v>
      </c>
      <c r="B354" s="2">
        <v>46055</v>
      </c>
      <c r="C354" s="1" t="s">
        <v>32</v>
      </c>
      <c r="D354" s="1">
        <f>MONTH(Tabela6[[#This Row],[DATA]])</f>
        <v>2</v>
      </c>
    </row>
    <row r="355" spans="1:4" x14ac:dyDescent="0.35">
      <c r="A355" s="1">
        <v>26538</v>
      </c>
      <c r="B355" s="2">
        <v>46055</v>
      </c>
      <c r="C355" s="1" t="s">
        <v>32</v>
      </c>
      <c r="D355" s="1">
        <f>MONTH(Tabela6[[#This Row],[DATA]])</f>
        <v>2</v>
      </c>
    </row>
    <row r="356" spans="1:4" x14ac:dyDescent="0.35">
      <c r="A356" s="1">
        <v>26539</v>
      </c>
      <c r="B356" s="2">
        <v>46055</v>
      </c>
      <c r="C356" s="1" t="s">
        <v>34</v>
      </c>
      <c r="D356" s="1">
        <f>MONTH(Tabela6[[#This Row],[DATA]])</f>
        <v>2</v>
      </c>
    </row>
    <row r="357" spans="1:4" x14ac:dyDescent="0.35">
      <c r="A357" s="1">
        <v>26540</v>
      </c>
      <c r="B357" s="2">
        <v>46055</v>
      </c>
      <c r="C357" s="1" t="s">
        <v>34</v>
      </c>
      <c r="D357" s="1">
        <f>MONTH(Tabela6[[#This Row],[DATA]])</f>
        <v>2</v>
      </c>
    </row>
    <row r="358" spans="1:4" x14ac:dyDescent="0.35">
      <c r="A358" s="1">
        <v>26541</v>
      </c>
      <c r="B358" s="2">
        <v>46055</v>
      </c>
      <c r="C358" s="1" t="s">
        <v>34</v>
      </c>
      <c r="D358" s="1">
        <f>MONTH(Tabela6[[#This Row],[DATA]])</f>
        <v>2</v>
      </c>
    </row>
    <row r="359" spans="1:4" x14ac:dyDescent="0.35">
      <c r="A359" s="1">
        <v>26542</v>
      </c>
      <c r="B359" s="2">
        <v>46055</v>
      </c>
      <c r="C359" s="1" t="s">
        <v>34</v>
      </c>
      <c r="D359" s="1">
        <f>MONTH(Tabela6[[#This Row],[DATA]])</f>
        <v>2</v>
      </c>
    </row>
    <row r="360" spans="1:4" x14ac:dyDescent="0.35">
      <c r="A360" s="1">
        <v>26543</v>
      </c>
      <c r="B360" s="2">
        <v>46055</v>
      </c>
      <c r="C360" s="1" t="s">
        <v>34</v>
      </c>
      <c r="D360" s="1">
        <f>MONTH(Tabela6[[#This Row],[DATA]])</f>
        <v>2</v>
      </c>
    </row>
    <row r="361" spans="1:4" x14ac:dyDescent="0.35">
      <c r="A361" s="1">
        <v>26544</v>
      </c>
      <c r="B361" s="2">
        <v>46055</v>
      </c>
      <c r="C361" s="1" t="s">
        <v>34</v>
      </c>
      <c r="D361" s="1">
        <f>MONTH(Tabela6[[#This Row],[DATA]])</f>
        <v>2</v>
      </c>
    </row>
    <row r="362" spans="1:4" x14ac:dyDescent="0.35">
      <c r="A362" s="1">
        <v>26549</v>
      </c>
      <c r="B362" s="2">
        <v>46055</v>
      </c>
      <c r="C362" s="1" t="s">
        <v>33</v>
      </c>
      <c r="D362" s="1">
        <f>MONTH(Tabela6[[#This Row],[DATA]])</f>
        <v>2</v>
      </c>
    </row>
    <row r="363" spans="1:4" x14ac:dyDescent="0.35">
      <c r="A363" s="1">
        <v>26550</v>
      </c>
      <c r="B363" s="2">
        <v>46055</v>
      </c>
      <c r="C363" s="1" t="s">
        <v>33</v>
      </c>
      <c r="D363" s="1">
        <f>MONTH(Tabela6[[#This Row],[DATA]])</f>
        <v>2</v>
      </c>
    </row>
    <row r="364" spans="1:4" x14ac:dyDescent="0.35">
      <c r="A364" s="1">
        <v>26551</v>
      </c>
      <c r="B364" s="2">
        <v>46055</v>
      </c>
      <c r="C364" s="1" t="s">
        <v>33</v>
      </c>
      <c r="D364" s="1">
        <f>MONTH(Tabela6[[#This Row],[DATA]])</f>
        <v>2</v>
      </c>
    </row>
    <row r="365" spans="1:4" x14ac:dyDescent="0.35">
      <c r="A365" s="1">
        <v>26552</v>
      </c>
      <c r="B365" s="2">
        <v>46055</v>
      </c>
      <c r="C365" s="1" t="s">
        <v>33</v>
      </c>
      <c r="D365" s="1">
        <f>MONTH(Tabela6[[#This Row],[DATA]])</f>
        <v>2</v>
      </c>
    </row>
    <row r="366" spans="1:4" x14ac:dyDescent="0.35">
      <c r="A366" s="1">
        <v>26553</v>
      </c>
      <c r="B366" s="2">
        <v>46055</v>
      </c>
      <c r="C366" s="1" t="s">
        <v>33</v>
      </c>
      <c r="D366" s="1">
        <f>MONTH(Tabela6[[#This Row],[DATA]])</f>
        <v>2</v>
      </c>
    </row>
    <row r="367" spans="1:4" x14ac:dyDescent="0.35">
      <c r="A367" s="1">
        <v>26554</v>
      </c>
      <c r="B367" s="2">
        <v>46055</v>
      </c>
      <c r="C367" s="1" t="s">
        <v>33</v>
      </c>
      <c r="D367" s="1">
        <f>MONTH(Tabela6[[#This Row],[DATA]])</f>
        <v>2</v>
      </c>
    </row>
    <row r="368" spans="1:4" x14ac:dyDescent="0.35">
      <c r="A368" s="1">
        <v>26555</v>
      </c>
      <c r="B368" s="2">
        <v>46056</v>
      </c>
      <c r="C368" s="1" t="s">
        <v>9</v>
      </c>
      <c r="D368" s="1">
        <f>MONTH(Tabela6[[#This Row],[DATA]])</f>
        <v>2</v>
      </c>
    </row>
    <row r="369" spans="1:4" x14ac:dyDescent="0.35">
      <c r="A369" s="1">
        <v>26556</v>
      </c>
      <c r="B369" s="2">
        <v>46056</v>
      </c>
      <c r="C369" s="1" t="s">
        <v>9</v>
      </c>
      <c r="D369" s="1">
        <f>MONTH(Tabela6[[#This Row],[DATA]])</f>
        <v>2</v>
      </c>
    </row>
    <row r="370" spans="1:4" x14ac:dyDescent="0.35">
      <c r="A370" s="1">
        <v>26557</v>
      </c>
      <c r="B370" s="2">
        <v>46056</v>
      </c>
      <c r="C370" s="1" t="s">
        <v>9</v>
      </c>
      <c r="D370" s="1">
        <f>MONTH(Tabela6[[#This Row],[DATA]])</f>
        <v>2</v>
      </c>
    </row>
    <row r="371" spans="1:4" x14ac:dyDescent="0.35">
      <c r="A371" s="1">
        <v>26558</v>
      </c>
      <c r="B371" s="2">
        <v>46056</v>
      </c>
      <c r="C371" s="1" t="s">
        <v>9</v>
      </c>
      <c r="D371" s="1">
        <f>MONTH(Tabela6[[#This Row],[DATA]])</f>
        <v>2</v>
      </c>
    </row>
    <row r="372" spans="1:4" x14ac:dyDescent="0.35">
      <c r="A372" s="1">
        <v>26559</v>
      </c>
      <c r="B372" s="2">
        <v>46056</v>
      </c>
      <c r="C372" s="1" t="s">
        <v>9</v>
      </c>
      <c r="D372" s="1">
        <f>MONTH(Tabela6[[#This Row],[DATA]])</f>
        <v>2</v>
      </c>
    </row>
    <row r="373" spans="1:4" x14ac:dyDescent="0.35">
      <c r="A373" s="1">
        <v>26562</v>
      </c>
      <c r="B373" s="2">
        <v>46056</v>
      </c>
      <c r="C373" s="1" t="s">
        <v>34</v>
      </c>
      <c r="D373" s="1">
        <f>MONTH(Tabela6[[#This Row],[DATA]])</f>
        <v>2</v>
      </c>
    </row>
    <row r="374" spans="1:4" x14ac:dyDescent="0.35">
      <c r="A374" s="1">
        <v>26563</v>
      </c>
      <c r="B374" s="2">
        <v>46056</v>
      </c>
      <c r="C374" s="1" t="s">
        <v>34</v>
      </c>
      <c r="D374" s="1">
        <f>MONTH(Tabela6[[#This Row],[DATA]])</f>
        <v>2</v>
      </c>
    </row>
    <row r="375" spans="1:4" x14ac:dyDescent="0.35">
      <c r="A375" s="1">
        <v>26564</v>
      </c>
      <c r="B375" s="2">
        <v>46056</v>
      </c>
      <c r="C375" s="1" t="s">
        <v>34</v>
      </c>
      <c r="D375" s="1">
        <f>MONTH(Tabela6[[#This Row],[DATA]])</f>
        <v>2</v>
      </c>
    </row>
    <row r="376" spans="1:4" x14ac:dyDescent="0.35">
      <c r="A376" s="1">
        <v>26565</v>
      </c>
      <c r="B376" s="2">
        <v>46056</v>
      </c>
      <c r="C376" s="1" t="s">
        <v>34</v>
      </c>
      <c r="D376" s="1">
        <f>MONTH(Tabela6[[#This Row],[DATA]])</f>
        <v>2</v>
      </c>
    </row>
    <row r="377" spans="1:4" x14ac:dyDescent="0.35">
      <c r="A377" s="1">
        <v>26568</v>
      </c>
      <c r="B377" s="2">
        <v>46056</v>
      </c>
      <c r="C377" s="1" t="s">
        <v>9</v>
      </c>
      <c r="D377" s="1">
        <f>MONTH(Tabela6[[#This Row],[DATA]])</f>
        <v>2</v>
      </c>
    </row>
    <row r="378" spans="1:4" x14ac:dyDescent="0.35">
      <c r="A378" s="1">
        <v>26569</v>
      </c>
      <c r="B378" s="2">
        <v>46056</v>
      </c>
      <c r="C378" s="1" t="s">
        <v>9</v>
      </c>
      <c r="D378" s="1">
        <f>MONTH(Tabela6[[#This Row],[DATA]])</f>
        <v>2</v>
      </c>
    </row>
    <row r="379" spans="1:4" x14ac:dyDescent="0.35">
      <c r="A379" s="1">
        <v>26570</v>
      </c>
      <c r="B379" s="2">
        <v>46056</v>
      </c>
      <c r="C379" s="1" t="s">
        <v>9</v>
      </c>
      <c r="D379" s="1">
        <f>MONTH(Tabela6[[#This Row],[DATA]])</f>
        <v>2</v>
      </c>
    </row>
    <row r="380" spans="1:4" x14ac:dyDescent="0.35">
      <c r="A380" s="1">
        <v>26571</v>
      </c>
      <c r="B380" s="2">
        <v>46056</v>
      </c>
      <c r="C380" s="1" t="s">
        <v>9</v>
      </c>
      <c r="D380" s="1">
        <f>MONTH(Tabela6[[#This Row],[DATA]])</f>
        <v>2</v>
      </c>
    </row>
    <row r="381" spans="1:4" x14ac:dyDescent="0.35">
      <c r="A381" s="1">
        <v>26572</v>
      </c>
      <c r="B381" s="2">
        <v>46056</v>
      </c>
      <c r="C381" s="1" t="s">
        <v>9</v>
      </c>
      <c r="D381" s="1">
        <f>MONTH(Tabela6[[#This Row],[DATA]])</f>
        <v>2</v>
      </c>
    </row>
    <row r="382" spans="1:4" x14ac:dyDescent="0.35">
      <c r="A382" s="1">
        <v>26573</v>
      </c>
      <c r="B382" s="2">
        <v>46056</v>
      </c>
      <c r="C382" s="1" t="s">
        <v>9</v>
      </c>
      <c r="D382" s="1">
        <f>MONTH(Tabela6[[#This Row],[DATA]])</f>
        <v>2</v>
      </c>
    </row>
    <row r="383" spans="1:4" x14ac:dyDescent="0.35">
      <c r="A383" s="1">
        <v>26574</v>
      </c>
      <c r="B383" s="2">
        <v>46056</v>
      </c>
      <c r="C383" s="1" t="s">
        <v>9</v>
      </c>
      <c r="D383" s="1">
        <f>MONTH(Tabela6[[#This Row],[DATA]])</f>
        <v>2</v>
      </c>
    </row>
    <row r="384" spans="1:4" x14ac:dyDescent="0.35">
      <c r="A384" s="1">
        <v>26575</v>
      </c>
      <c r="B384" s="2">
        <v>46056</v>
      </c>
      <c r="C384" s="1" t="s">
        <v>33</v>
      </c>
      <c r="D384" s="1">
        <f>MONTH(Tabela6[[#This Row],[DATA]])</f>
        <v>2</v>
      </c>
    </row>
    <row r="385" spans="1:4" x14ac:dyDescent="0.35">
      <c r="A385" s="1">
        <v>26576</v>
      </c>
      <c r="B385" s="2">
        <v>46056</v>
      </c>
      <c r="C385" s="1" t="s">
        <v>33</v>
      </c>
      <c r="D385" s="1">
        <f>MONTH(Tabela6[[#This Row],[DATA]])</f>
        <v>2</v>
      </c>
    </row>
    <row r="386" spans="1:4" x14ac:dyDescent="0.35">
      <c r="A386" s="1">
        <v>26577</v>
      </c>
      <c r="B386" s="2">
        <v>46056</v>
      </c>
      <c r="C386" s="1" t="s">
        <v>33</v>
      </c>
      <c r="D386" s="1">
        <f>MONTH(Tabela6[[#This Row],[DATA]])</f>
        <v>2</v>
      </c>
    </row>
    <row r="387" spans="1:4" x14ac:dyDescent="0.35">
      <c r="A387" s="1">
        <v>26578</v>
      </c>
      <c r="B387" s="2">
        <v>46056</v>
      </c>
      <c r="C387" s="1" t="s">
        <v>33</v>
      </c>
      <c r="D387" s="1">
        <f>MONTH(Tabela6[[#This Row],[DATA]])</f>
        <v>2</v>
      </c>
    </row>
    <row r="388" spans="1:4" x14ac:dyDescent="0.35">
      <c r="A388" s="1">
        <v>26582</v>
      </c>
      <c r="B388" s="2">
        <v>46057</v>
      </c>
      <c r="C388" s="1" t="s">
        <v>5</v>
      </c>
      <c r="D388" s="1">
        <f>MONTH(Tabela6[[#This Row],[DATA]])</f>
        <v>2</v>
      </c>
    </row>
    <row r="389" spans="1:4" x14ac:dyDescent="0.35">
      <c r="A389" s="1">
        <v>26583</v>
      </c>
      <c r="B389" s="2">
        <v>46057</v>
      </c>
      <c r="C389" s="1" t="s">
        <v>5</v>
      </c>
      <c r="D389" s="1">
        <f>MONTH(Tabela6[[#This Row],[DATA]])</f>
        <v>2</v>
      </c>
    </row>
    <row r="390" spans="1:4" x14ac:dyDescent="0.35">
      <c r="A390" s="1">
        <v>26584</v>
      </c>
      <c r="B390" s="2">
        <v>46057</v>
      </c>
      <c r="C390" s="1" t="s">
        <v>5</v>
      </c>
      <c r="D390" s="1">
        <f>MONTH(Tabela6[[#This Row],[DATA]])</f>
        <v>2</v>
      </c>
    </row>
    <row r="391" spans="1:4" x14ac:dyDescent="0.35">
      <c r="A391" s="1">
        <v>26585</v>
      </c>
      <c r="B391" s="2">
        <v>46057</v>
      </c>
      <c r="C391" s="1" t="s">
        <v>5</v>
      </c>
      <c r="D391" s="1">
        <f>MONTH(Tabela6[[#This Row],[DATA]])</f>
        <v>2</v>
      </c>
    </row>
    <row r="392" spans="1:4" x14ac:dyDescent="0.35">
      <c r="A392" s="1">
        <v>26586</v>
      </c>
      <c r="B392" s="2">
        <v>46057</v>
      </c>
      <c r="C392" s="1" t="s">
        <v>5</v>
      </c>
      <c r="D392" s="1">
        <f>MONTH(Tabela6[[#This Row],[DATA]])</f>
        <v>2</v>
      </c>
    </row>
    <row r="393" spans="1:4" x14ac:dyDescent="0.35">
      <c r="A393" s="1">
        <v>26587</v>
      </c>
      <c r="B393" s="2">
        <v>46057</v>
      </c>
      <c r="C393" s="1" t="s">
        <v>5</v>
      </c>
      <c r="D393" s="1">
        <f>MONTH(Tabela6[[#This Row],[DATA]])</f>
        <v>2</v>
      </c>
    </row>
    <row r="394" spans="1:4" x14ac:dyDescent="0.35">
      <c r="A394" s="1">
        <v>26588</v>
      </c>
      <c r="B394" s="2">
        <v>46057</v>
      </c>
      <c r="C394" s="1" t="s">
        <v>5</v>
      </c>
      <c r="D394" s="1">
        <f>MONTH(Tabela6[[#This Row],[DATA]])</f>
        <v>2</v>
      </c>
    </row>
    <row r="395" spans="1:4" x14ac:dyDescent="0.35">
      <c r="A395" s="1">
        <v>26589</v>
      </c>
      <c r="B395" s="2">
        <v>46057</v>
      </c>
      <c r="C395" s="1" t="s">
        <v>9</v>
      </c>
      <c r="D395" s="1">
        <f>MONTH(Tabela6[[#This Row],[DATA]])</f>
        <v>2</v>
      </c>
    </row>
    <row r="396" spans="1:4" x14ac:dyDescent="0.35">
      <c r="A396" s="1">
        <v>26590</v>
      </c>
      <c r="B396" s="2">
        <v>46057</v>
      </c>
      <c r="C396" s="1" t="s">
        <v>9</v>
      </c>
      <c r="D396" s="1">
        <f>MONTH(Tabela6[[#This Row],[DATA]])</f>
        <v>2</v>
      </c>
    </row>
    <row r="397" spans="1:4" x14ac:dyDescent="0.35">
      <c r="A397" s="1">
        <v>26591</v>
      </c>
      <c r="B397" s="2">
        <v>46057</v>
      </c>
      <c r="C397" s="1" t="s">
        <v>9</v>
      </c>
      <c r="D397" s="1">
        <f>MONTH(Tabela6[[#This Row],[DATA]])</f>
        <v>2</v>
      </c>
    </row>
    <row r="398" spans="1:4" x14ac:dyDescent="0.35">
      <c r="A398" s="1">
        <v>26592</v>
      </c>
      <c r="B398" s="2">
        <v>46057</v>
      </c>
      <c r="C398" s="1" t="s">
        <v>9</v>
      </c>
      <c r="D398" s="1">
        <f>MONTH(Tabela6[[#This Row],[DATA]])</f>
        <v>2</v>
      </c>
    </row>
    <row r="399" spans="1:4" x14ac:dyDescent="0.35">
      <c r="A399" s="1">
        <v>26593</v>
      </c>
      <c r="B399" s="2">
        <v>46057</v>
      </c>
      <c r="C399" s="1" t="s">
        <v>9</v>
      </c>
      <c r="D399" s="1">
        <f>MONTH(Tabela6[[#This Row],[DATA]])</f>
        <v>2</v>
      </c>
    </row>
    <row r="400" spans="1:4" x14ac:dyDescent="0.35">
      <c r="A400" s="1">
        <v>26594</v>
      </c>
      <c r="B400" s="2">
        <v>46057</v>
      </c>
      <c r="C400" s="1" t="s">
        <v>9</v>
      </c>
      <c r="D400" s="1">
        <f>MONTH(Tabela6[[#This Row],[DATA]])</f>
        <v>2</v>
      </c>
    </row>
    <row r="401" spans="1:4" x14ac:dyDescent="0.35">
      <c r="A401" s="1">
        <v>26595</v>
      </c>
      <c r="B401" s="2">
        <v>46057</v>
      </c>
      <c r="C401" s="1" t="s">
        <v>9</v>
      </c>
      <c r="D401" s="1">
        <f>MONTH(Tabela6[[#This Row],[DATA]])</f>
        <v>2</v>
      </c>
    </row>
    <row r="402" spans="1:4" x14ac:dyDescent="0.35">
      <c r="A402" s="1">
        <v>26596</v>
      </c>
      <c r="B402" s="2">
        <v>46057</v>
      </c>
      <c r="C402" s="1" t="s">
        <v>9</v>
      </c>
      <c r="D402" s="1">
        <f>MONTH(Tabela6[[#This Row],[DATA]])</f>
        <v>2</v>
      </c>
    </row>
    <row r="403" spans="1:4" x14ac:dyDescent="0.35">
      <c r="A403" s="1">
        <v>26607</v>
      </c>
      <c r="B403" s="2">
        <v>46058</v>
      </c>
      <c r="C403" s="1" t="s">
        <v>34</v>
      </c>
      <c r="D403" s="1">
        <f>MONTH(Tabela6[[#This Row],[DATA]])</f>
        <v>2</v>
      </c>
    </row>
    <row r="404" spans="1:4" x14ac:dyDescent="0.35">
      <c r="A404" s="1">
        <v>26608</v>
      </c>
      <c r="B404" s="2">
        <v>46058</v>
      </c>
      <c r="C404" s="1" t="s">
        <v>34</v>
      </c>
      <c r="D404" s="1">
        <f>MONTH(Tabela6[[#This Row],[DATA]])</f>
        <v>2</v>
      </c>
    </row>
    <row r="405" spans="1:4" x14ac:dyDescent="0.35">
      <c r="A405" s="1">
        <v>26609</v>
      </c>
      <c r="B405" s="2">
        <v>46058</v>
      </c>
      <c r="C405" s="1" t="s">
        <v>34</v>
      </c>
      <c r="D405" s="1">
        <f>MONTH(Tabela6[[#This Row],[DATA]])</f>
        <v>2</v>
      </c>
    </row>
    <row r="406" spans="1:4" x14ac:dyDescent="0.35">
      <c r="A406" s="1">
        <v>26610</v>
      </c>
      <c r="B406" s="2">
        <v>46058</v>
      </c>
      <c r="C406" s="1" t="s">
        <v>34</v>
      </c>
      <c r="D406" s="1">
        <f>MONTH(Tabela6[[#This Row],[DATA]])</f>
        <v>2</v>
      </c>
    </row>
    <row r="407" spans="1:4" x14ac:dyDescent="0.35">
      <c r="A407" s="1">
        <v>26643</v>
      </c>
      <c r="B407" s="2">
        <v>46063</v>
      </c>
      <c r="C407" s="1" t="s">
        <v>5</v>
      </c>
      <c r="D407" s="1">
        <f>MONTH(Tabela6[[#This Row],[DATA]])</f>
        <v>2</v>
      </c>
    </row>
    <row r="408" spans="1:4" x14ac:dyDescent="0.35">
      <c r="A408" s="1">
        <v>26647</v>
      </c>
      <c r="B408" s="2">
        <v>46063</v>
      </c>
      <c r="C408" s="1" t="s">
        <v>5</v>
      </c>
      <c r="D408" s="1">
        <f>MONTH(Tabela6[[#This Row],[DATA]])</f>
        <v>2</v>
      </c>
    </row>
    <row r="409" spans="1:4" x14ac:dyDescent="0.35">
      <c r="A409" s="1">
        <v>26649</v>
      </c>
      <c r="B409" s="2">
        <v>46063</v>
      </c>
      <c r="C409" s="1" t="s">
        <v>5</v>
      </c>
      <c r="D409" s="1">
        <f>MONTH(Tabela6[[#This Row],[DATA]])</f>
        <v>2</v>
      </c>
    </row>
    <row r="410" spans="1:4" x14ac:dyDescent="0.35">
      <c r="A410" s="1">
        <v>26650</v>
      </c>
      <c r="B410" s="2">
        <v>46063</v>
      </c>
      <c r="C410" s="1" t="s">
        <v>5</v>
      </c>
      <c r="D410" s="1">
        <f>MONTH(Tabela6[[#This Row],[DATA]])</f>
        <v>2</v>
      </c>
    </row>
    <row r="411" spans="1:4" x14ac:dyDescent="0.35">
      <c r="A411" s="1">
        <v>26651</v>
      </c>
      <c r="B411" s="2">
        <v>46063</v>
      </c>
      <c r="C411" s="1" t="s">
        <v>5</v>
      </c>
      <c r="D411" s="1">
        <f>MONTH(Tabela6[[#This Row],[DATA]])</f>
        <v>2</v>
      </c>
    </row>
    <row r="412" spans="1:4" x14ac:dyDescent="0.35">
      <c r="A412" s="1">
        <v>26652</v>
      </c>
      <c r="B412" s="2">
        <v>46063</v>
      </c>
      <c r="C412" s="1" t="s">
        <v>5</v>
      </c>
      <c r="D412" s="1">
        <f>MONTH(Tabela6[[#This Row],[DATA]])</f>
        <v>2</v>
      </c>
    </row>
    <row r="413" spans="1:4" x14ac:dyDescent="0.35">
      <c r="A413" s="1">
        <v>26653</v>
      </c>
      <c r="B413" s="2">
        <v>46063</v>
      </c>
      <c r="C413" s="1" t="s">
        <v>5</v>
      </c>
      <c r="D413" s="1">
        <f>MONTH(Tabela6[[#This Row],[DATA]])</f>
        <v>2</v>
      </c>
    </row>
    <row r="414" spans="1:4" x14ac:dyDescent="0.35">
      <c r="A414" s="1">
        <v>26654</v>
      </c>
      <c r="B414" s="2">
        <v>46063</v>
      </c>
      <c r="C414" s="1" t="s">
        <v>5</v>
      </c>
      <c r="D414" s="1">
        <f>MONTH(Tabela6[[#This Row],[DATA]])</f>
        <v>2</v>
      </c>
    </row>
    <row r="415" spans="1:4" x14ac:dyDescent="0.35">
      <c r="A415" s="1">
        <v>26686</v>
      </c>
      <c r="B415" s="2">
        <v>46064</v>
      </c>
      <c r="C415" s="1" t="s">
        <v>34</v>
      </c>
      <c r="D415" s="1">
        <f>MONTH(Tabela6[[#This Row],[DATA]])</f>
        <v>2</v>
      </c>
    </row>
    <row r="416" spans="1:4" x14ac:dyDescent="0.35">
      <c r="A416" s="1">
        <v>26687</v>
      </c>
      <c r="B416" s="2">
        <v>46064</v>
      </c>
      <c r="C416" s="1" t="s">
        <v>34</v>
      </c>
      <c r="D416" s="1">
        <f>MONTH(Tabela6[[#This Row],[DATA]])</f>
        <v>2</v>
      </c>
    </row>
    <row r="417" spans="1:4" x14ac:dyDescent="0.35">
      <c r="A417" s="1">
        <v>26688</v>
      </c>
      <c r="B417" s="2">
        <v>46064</v>
      </c>
      <c r="C417" s="1" t="s">
        <v>34</v>
      </c>
      <c r="D417" s="1">
        <f>MONTH(Tabela6[[#This Row],[DATA]])</f>
        <v>2</v>
      </c>
    </row>
    <row r="418" spans="1:4" x14ac:dyDescent="0.35">
      <c r="A418" s="1">
        <v>26689</v>
      </c>
      <c r="B418" s="2">
        <v>46064</v>
      </c>
      <c r="C418" s="1" t="s">
        <v>34</v>
      </c>
      <c r="D418" s="1">
        <f>MONTH(Tabela6[[#This Row],[DATA]])</f>
        <v>2</v>
      </c>
    </row>
    <row r="419" spans="1:4" x14ac:dyDescent="0.35">
      <c r="A419" s="1">
        <v>26690</v>
      </c>
      <c r="B419" s="2">
        <v>46064</v>
      </c>
      <c r="C419" s="1" t="s">
        <v>34</v>
      </c>
      <c r="D419" s="1">
        <f>MONTH(Tabela6[[#This Row],[DATA]])</f>
        <v>2</v>
      </c>
    </row>
    <row r="420" spans="1:4" x14ac:dyDescent="0.35">
      <c r="A420" s="1">
        <v>26691</v>
      </c>
      <c r="B420" s="2">
        <v>46064</v>
      </c>
      <c r="C420" s="1" t="s">
        <v>34</v>
      </c>
      <c r="D420" s="1">
        <f>MONTH(Tabela6[[#This Row],[DATA]])</f>
        <v>2</v>
      </c>
    </row>
    <row r="421" spans="1:4" x14ac:dyDescent="0.35">
      <c r="A421" s="1">
        <v>26692</v>
      </c>
      <c r="B421" s="2">
        <v>46064</v>
      </c>
      <c r="C421" s="1" t="s">
        <v>34</v>
      </c>
      <c r="D421" s="1">
        <f>MONTH(Tabela6[[#This Row],[DATA]])</f>
        <v>2</v>
      </c>
    </row>
    <row r="422" spans="1:4" x14ac:dyDescent="0.35">
      <c r="A422" s="1">
        <v>26693</v>
      </c>
      <c r="B422" s="2">
        <v>46064</v>
      </c>
      <c r="C422" s="1" t="s">
        <v>34</v>
      </c>
      <c r="D422" s="1">
        <f>MONTH(Tabela6[[#This Row],[DATA]])</f>
        <v>2</v>
      </c>
    </row>
    <row r="423" spans="1:4" x14ac:dyDescent="0.35">
      <c r="A423" s="1">
        <v>26694</v>
      </c>
      <c r="B423" s="2">
        <v>46064</v>
      </c>
      <c r="C423" s="1" t="s">
        <v>34</v>
      </c>
      <c r="D423" s="1">
        <f>MONTH(Tabela6[[#This Row],[DATA]])</f>
        <v>2</v>
      </c>
    </row>
    <row r="424" spans="1:4" x14ac:dyDescent="0.35">
      <c r="A424" s="1">
        <v>26736</v>
      </c>
      <c r="B424" s="2">
        <v>46065</v>
      </c>
      <c r="C424" s="1" t="s">
        <v>9</v>
      </c>
      <c r="D424" s="1">
        <f>MONTH(Tabela6[[#This Row],[DATA]])</f>
        <v>2</v>
      </c>
    </row>
    <row r="425" spans="1:4" x14ac:dyDescent="0.35">
      <c r="A425" s="1">
        <v>26737</v>
      </c>
      <c r="B425" s="2">
        <v>46065</v>
      </c>
      <c r="C425" s="1" t="s">
        <v>9</v>
      </c>
      <c r="D425" s="1">
        <f>MONTH(Tabela6[[#This Row],[DATA]])</f>
        <v>2</v>
      </c>
    </row>
    <row r="426" spans="1:4" x14ac:dyDescent="0.35">
      <c r="A426" s="1">
        <v>26738</v>
      </c>
      <c r="B426" s="2">
        <v>46065</v>
      </c>
      <c r="C426" s="1" t="s">
        <v>9</v>
      </c>
      <c r="D426" s="1">
        <f>MONTH(Tabela6[[#This Row],[DATA]])</f>
        <v>2</v>
      </c>
    </row>
    <row r="427" spans="1:4" x14ac:dyDescent="0.35">
      <c r="A427" s="1">
        <v>26739</v>
      </c>
      <c r="B427" s="2">
        <v>46065</v>
      </c>
      <c r="C427" s="1" t="s">
        <v>9</v>
      </c>
      <c r="D427" s="1">
        <f>MONTH(Tabela6[[#This Row],[DATA]])</f>
        <v>2</v>
      </c>
    </row>
    <row r="428" spans="1:4" x14ac:dyDescent="0.35">
      <c r="A428" s="1">
        <v>26740</v>
      </c>
      <c r="B428" s="2">
        <v>46065</v>
      </c>
      <c r="C428" s="1" t="s">
        <v>9</v>
      </c>
      <c r="D428" s="1">
        <f>MONTH(Tabela6[[#This Row],[DATA]])</f>
        <v>2</v>
      </c>
    </row>
    <row r="429" spans="1:4" x14ac:dyDescent="0.35">
      <c r="A429" s="1">
        <v>26759</v>
      </c>
      <c r="B429" s="2">
        <v>46066</v>
      </c>
      <c r="C429" s="1" t="s">
        <v>34</v>
      </c>
      <c r="D429" s="1">
        <f>MONTH(Tabela6[[#This Row],[DATA]])</f>
        <v>2</v>
      </c>
    </row>
    <row r="430" spans="1:4" x14ac:dyDescent="0.35">
      <c r="A430" s="1">
        <v>26761</v>
      </c>
      <c r="B430" s="2">
        <v>46066</v>
      </c>
      <c r="C430" s="1" t="s">
        <v>34</v>
      </c>
      <c r="D430" s="1">
        <f>MONTH(Tabela6[[#This Row],[DATA]])</f>
        <v>2</v>
      </c>
    </row>
    <row r="431" spans="1:4" x14ac:dyDescent="0.35">
      <c r="A431" s="1">
        <v>26763</v>
      </c>
      <c r="B431" s="2">
        <v>46066</v>
      </c>
      <c r="C431" s="1" t="s">
        <v>34</v>
      </c>
      <c r="D431" s="1">
        <f>MONTH(Tabela6[[#This Row],[DATA]])</f>
        <v>2</v>
      </c>
    </row>
    <row r="432" spans="1:4" x14ac:dyDescent="0.35">
      <c r="A432" s="1">
        <v>26765</v>
      </c>
      <c r="B432" s="2">
        <v>46066</v>
      </c>
      <c r="C432" s="1" t="s">
        <v>34</v>
      </c>
      <c r="D432" s="1">
        <f>MONTH(Tabela6[[#This Row],[DATA]])</f>
        <v>2</v>
      </c>
    </row>
    <row r="433" spans="1:4" x14ac:dyDescent="0.35">
      <c r="A433" s="1">
        <v>26766</v>
      </c>
      <c r="B433" s="2">
        <v>46066</v>
      </c>
      <c r="C433" s="1" t="s">
        <v>34</v>
      </c>
      <c r="D433" s="1">
        <f>MONTH(Tabela6[[#This Row],[DATA]])</f>
        <v>2</v>
      </c>
    </row>
    <row r="434" spans="1:4" x14ac:dyDescent="0.35">
      <c r="A434" s="1">
        <v>26853</v>
      </c>
      <c r="B434" s="2">
        <v>46072</v>
      </c>
      <c r="C434" s="1" t="s">
        <v>9</v>
      </c>
      <c r="D434" s="1">
        <f>MONTH(Tabela6[[#This Row],[DATA]])</f>
        <v>2</v>
      </c>
    </row>
    <row r="435" spans="1:4" x14ac:dyDescent="0.35">
      <c r="A435" s="1">
        <v>26854</v>
      </c>
      <c r="B435" s="2">
        <v>46072</v>
      </c>
      <c r="C435" s="1" t="s">
        <v>9</v>
      </c>
      <c r="D435" s="1">
        <f>MONTH(Tabela6[[#This Row],[DATA]])</f>
        <v>2</v>
      </c>
    </row>
    <row r="436" spans="1:4" x14ac:dyDescent="0.35">
      <c r="A436" s="1">
        <v>26855</v>
      </c>
      <c r="B436" s="2">
        <v>46072</v>
      </c>
      <c r="C436" s="1" t="s">
        <v>9</v>
      </c>
      <c r="D436" s="1">
        <f>MONTH(Tabela6[[#This Row],[DATA]])</f>
        <v>2</v>
      </c>
    </row>
    <row r="437" spans="1:4" x14ac:dyDescent="0.35">
      <c r="A437" s="1">
        <v>26856</v>
      </c>
      <c r="B437" s="2">
        <v>46072</v>
      </c>
      <c r="C437" s="1" t="s">
        <v>9</v>
      </c>
      <c r="D437" s="1">
        <f>MONTH(Tabela6[[#This Row],[DATA]])</f>
        <v>2</v>
      </c>
    </row>
    <row r="438" spans="1:4" x14ac:dyDescent="0.35">
      <c r="A438" s="1">
        <v>26857</v>
      </c>
      <c r="B438" s="2">
        <v>46072</v>
      </c>
      <c r="C438" s="1" t="s">
        <v>9</v>
      </c>
      <c r="D438" s="1">
        <f>MONTH(Tabela6[[#This Row],[DATA]])</f>
        <v>2</v>
      </c>
    </row>
    <row r="439" spans="1:4" x14ac:dyDescent="0.35">
      <c r="A439" s="1">
        <v>26858</v>
      </c>
      <c r="B439" s="2">
        <v>46072</v>
      </c>
      <c r="C439" s="1" t="s">
        <v>9</v>
      </c>
      <c r="D439" s="1">
        <f>MONTH(Tabela6[[#This Row],[DATA]])</f>
        <v>2</v>
      </c>
    </row>
    <row r="440" spans="1:4" x14ac:dyDescent="0.35">
      <c r="A440" s="1">
        <v>26859</v>
      </c>
      <c r="B440" s="2">
        <v>46072</v>
      </c>
      <c r="C440" s="1" t="s">
        <v>9</v>
      </c>
      <c r="D440" s="1">
        <f>MONTH(Tabela6[[#This Row],[DATA]])</f>
        <v>2</v>
      </c>
    </row>
    <row r="441" spans="1:4" x14ac:dyDescent="0.35">
      <c r="A441" s="1">
        <v>26860</v>
      </c>
      <c r="B441" s="2">
        <v>46072</v>
      </c>
      <c r="C441" s="1" t="s">
        <v>9</v>
      </c>
      <c r="D441" s="1">
        <f>MONTH(Tabela6[[#This Row],[DATA]])</f>
        <v>2</v>
      </c>
    </row>
    <row r="442" spans="1:4" x14ac:dyDescent="0.35">
      <c r="A442" s="1">
        <v>26861</v>
      </c>
      <c r="B442" s="2">
        <v>46072</v>
      </c>
      <c r="C442" s="1" t="s">
        <v>9</v>
      </c>
      <c r="D442" s="1">
        <f>MONTH(Tabela6[[#This Row],[DATA]])</f>
        <v>2</v>
      </c>
    </row>
    <row r="443" spans="1:4" x14ac:dyDescent="0.35">
      <c r="A443" s="1">
        <v>26862</v>
      </c>
      <c r="B443" s="2">
        <v>46072</v>
      </c>
      <c r="C443" s="1" t="s">
        <v>34</v>
      </c>
      <c r="D443" s="1">
        <f>MONTH(Tabela6[[#This Row],[DATA]])</f>
        <v>2</v>
      </c>
    </row>
    <row r="444" spans="1:4" x14ac:dyDescent="0.35">
      <c r="A444" s="1">
        <v>26863</v>
      </c>
      <c r="B444" s="2">
        <v>46072</v>
      </c>
      <c r="C444" s="1" t="s">
        <v>34</v>
      </c>
      <c r="D444" s="1">
        <f>MONTH(Tabela6[[#This Row],[DATA]])</f>
        <v>2</v>
      </c>
    </row>
    <row r="445" spans="1:4" x14ac:dyDescent="0.35">
      <c r="A445" s="1">
        <v>26864</v>
      </c>
      <c r="B445" s="2">
        <v>46072</v>
      </c>
      <c r="C445" s="1" t="s">
        <v>34</v>
      </c>
      <c r="D445" s="1">
        <f>MONTH(Tabela6[[#This Row],[DATA]])</f>
        <v>2</v>
      </c>
    </row>
    <row r="446" spans="1:4" x14ac:dyDescent="0.35">
      <c r="A446" s="1">
        <v>26865</v>
      </c>
      <c r="B446" s="2">
        <v>46072</v>
      </c>
      <c r="C446" s="1" t="s">
        <v>34</v>
      </c>
      <c r="D446" s="1">
        <f>MONTH(Tabela6[[#This Row],[DATA]])</f>
        <v>2</v>
      </c>
    </row>
    <row r="447" spans="1:4" x14ac:dyDescent="0.35">
      <c r="A447" s="1">
        <v>26866</v>
      </c>
      <c r="B447" s="2">
        <v>46072</v>
      </c>
      <c r="C447" s="1" t="s">
        <v>34</v>
      </c>
      <c r="D447" s="1">
        <f>MONTH(Tabela6[[#This Row],[DATA]])</f>
        <v>2</v>
      </c>
    </row>
    <row r="448" spans="1:4" x14ac:dyDescent="0.35">
      <c r="A448" s="1">
        <v>26867</v>
      </c>
      <c r="B448" s="2">
        <v>46072</v>
      </c>
      <c r="C448" s="1" t="s">
        <v>34</v>
      </c>
      <c r="D448" s="1">
        <f>MONTH(Tabela6[[#This Row],[DATA]])</f>
        <v>2</v>
      </c>
    </row>
    <row r="449" spans="1:4" x14ac:dyDescent="0.35">
      <c r="A449" s="1">
        <v>26868</v>
      </c>
      <c r="B449" s="2">
        <v>46072</v>
      </c>
      <c r="C449" s="1" t="s">
        <v>34</v>
      </c>
      <c r="D449" s="1">
        <f>MONTH(Tabela6[[#This Row],[DATA]])</f>
        <v>2</v>
      </c>
    </row>
    <row r="450" spans="1:4" x14ac:dyDescent="0.35">
      <c r="A450" s="1">
        <v>26869</v>
      </c>
      <c r="B450" s="2">
        <v>46072</v>
      </c>
      <c r="C450" s="1" t="s">
        <v>34</v>
      </c>
      <c r="D450" s="1">
        <f>MONTH(Tabela6[[#This Row],[DATA]])</f>
        <v>2</v>
      </c>
    </row>
    <row r="451" spans="1:4" x14ac:dyDescent="0.35">
      <c r="A451" s="1">
        <v>26870</v>
      </c>
      <c r="B451" s="2">
        <v>46072</v>
      </c>
      <c r="C451" s="1" t="s">
        <v>34</v>
      </c>
      <c r="D451" s="1">
        <f>MONTH(Tabela6[[#This Row],[DATA]])</f>
        <v>2</v>
      </c>
    </row>
    <row r="452" spans="1:4" x14ac:dyDescent="0.35">
      <c r="A452" s="1">
        <v>26871</v>
      </c>
      <c r="B452" s="2">
        <v>46072</v>
      </c>
      <c r="C452" s="1" t="s">
        <v>34</v>
      </c>
      <c r="D452" s="1">
        <f>MONTH(Tabela6[[#This Row],[DATA]])</f>
        <v>2</v>
      </c>
    </row>
    <row r="453" spans="1:4" x14ac:dyDescent="0.35">
      <c r="A453" s="1">
        <v>26872</v>
      </c>
      <c r="B453" s="2">
        <v>46072</v>
      </c>
      <c r="C453" s="1" t="s">
        <v>34</v>
      </c>
      <c r="D453" s="1">
        <f>MONTH(Tabela6[[#This Row],[DATA]])</f>
        <v>2</v>
      </c>
    </row>
    <row r="454" spans="1:4" x14ac:dyDescent="0.35">
      <c r="A454" s="1">
        <v>26873</v>
      </c>
      <c r="B454" s="2">
        <v>46072</v>
      </c>
      <c r="C454" s="1" t="s">
        <v>34</v>
      </c>
      <c r="D454" s="1">
        <f>MONTH(Tabela6[[#This Row],[DATA]])</f>
        <v>2</v>
      </c>
    </row>
    <row r="455" spans="1:4" x14ac:dyDescent="0.35">
      <c r="A455" s="1">
        <v>26879</v>
      </c>
      <c r="B455" s="2">
        <v>46073</v>
      </c>
      <c r="C455" s="1" t="s">
        <v>9</v>
      </c>
      <c r="D455" s="1">
        <f>MONTH(Tabela6[[#This Row],[DATA]])</f>
        <v>2</v>
      </c>
    </row>
    <row r="456" spans="1:4" x14ac:dyDescent="0.35">
      <c r="A456" s="1">
        <v>26880</v>
      </c>
      <c r="B456" s="2">
        <v>46073</v>
      </c>
      <c r="C456" s="1" t="s">
        <v>9</v>
      </c>
      <c r="D456" s="1">
        <f>MONTH(Tabela6[[#This Row],[DATA]])</f>
        <v>2</v>
      </c>
    </row>
    <row r="457" spans="1:4" x14ac:dyDescent="0.35">
      <c r="A457" s="1">
        <v>26881</v>
      </c>
      <c r="B457" s="2">
        <v>46073</v>
      </c>
      <c r="C457" s="1" t="s">
        <v>9</v>
      </c>
      <c r="D457" s="1">
        <f>MONTH(Tabela6[[#This Row],[DATA]])</f>
        <v>2</v>
      </c>
    </row>
    <row r="458" spans="1:4" x14ac:dyDescent="0.35">
      <c r="A458" s="1">
        <v>26882</v>
      </c>
      <c r="B458" s="2">
        <v>46073</v>
      </c>
      <c r="C458" s="1" t="s">
        <v>9</v>
      </c>
      <c r="D458" s="1">
        <f>MONTH(Tabela6[[#This Row],[DATA]])</f>
        <v>2</v>
      </c>
    </row>
    <row r="459" spans="1:4" x14ac:dyDescent="0.35">
      <c r="A459" s="1">
        <v>26883</v>
      </c>
      <c r="B459" s="2">
        <v>46073</v>
      </c>
      <c r="C459" s="1" t="s">
        <v>9</v>
      </c>
      <c r="D459" s="1">
        <f>MONTH(Tabela6[[#This Row],[DATA]])</f>
        <v>2</v>
      </c>
    </row>
    <row r="460" spans="1:4" x14ac:dyDescent="0.35">
      <c r="A460" s="1">
        <v>26884</v>
      </c>
      <c r="B460" s="2">
        <v>46073</v>
      </c>
      <c r="C460" s="1" t="s">
        <v>9</v>
      </c>
      <c r="D460" s="1">
        <f>MONTH(Tabela6[[#This Row],[DATA]])</f>
        <v>2</v>
      </c>
    </row>
    <row r="461" spans="1:4" x14ac:dyDescent="0.35">
      <c r="A461" s="1">
        <v>26885</v>
      </c>
      <c r="B461" s="2">
        <v>46073</v>
      </c>
      <c r="C461" s="1" t="s">
        <v>9</v>
      </c>
      <c r="D461" s="1">
        <f>MONTH(Tabela6[[#This Row],[DATA]])</f>
        <v>2</v>
      </c>
    </row>
    <row r="462" spans="1:4" x14ac:dyDescent="0.35">
      <c r="A462" s="1">
        <v>26886</v>
      </c>
      <c r="B462" s="2">
        <v>46073</v>
      </c>
      <c r="C462" s="1" t="s">
        <v>9</v>
      </c>
      <c r="D462" s="1">
        <f>MONTH(Tabela6[[#This Row],[DATA]])</f>
        <v>2</v>
      </c>
    </row>
    <row r="463" spans="1:4" x14ac:dyDescent="0.35">
      <c r="A463" s="1">
        <v>26887</v>
      </c>
      <c r="B463" s="2">
        <v>46073</v>
      </c>
      <c r="C463" s="1" t="s">
        <v>9</v>
      </c>
      <c r="D463" s="1">
        <f>MONTH(Tabela6[[#This Row],[DATA]])</f>
        <v>2</v>
      </c>
    </row>
    <row r="464" spans="1:4" x14ac:dyDescent="0.35">
      <c r="A464" s="1">
        <v>26888</v>
      </c>
      <c r="B464" s="2">
        <v>46073</v>
      </c>
      <c r="C464" s="1" t="s">
        <v>9</v>
      </c>
      <c r="D464" s="1">
        <f>MONTH(Tabela6[[#This Row],[DATA]])</f>
        <v>2</v>
      </c>
    </row>
    <row r="465" spans="1:4" x14ac:dyDescent="0.35">
      <c r="A465" s="1">
        <v>26889</v>
      </c>
      <c r="B465" s="2">
        <v>46073</v>
      </c>
      <c r="C465" s="1" t="s">
        <v>9</v>
      </c>
      <c r="D465" s="1">
        <f>MONTH(Tabela6[[#This Row],[DATA]])</f>
        <v>2</v>
      </c>
    </row>
    <row r="466" spans="1:4" x14ac:dyDescent="0.35">
      <c r="A466" s="1">
        <v>26890</v>
      </c>
      <c r="B466" s="2">
        <v>46073</v>
      </c>
      <c r="C466" s="1" t="s">
        <v>33</v>
      </c>
      <c r="D466" s="1">
        <f>MONTH(Tabela6[[#This Row],[DATA]])</f>
        <v>2</v>
      </c>
    </row>
    <row r="467" spans="1:4" x14ac:dyDescent="0.35">
      <c r="A467" s="1">
        <v>26891</v>
      </c>
      <c r="B467" s="2">
        <v>46073</v>
      </c>
      <c r="C467" s="1" t="s">
        <v>33</v>
      </c>
      <c r="D467" s="1">
        <f>MONTH(Tabela6[[#This Row],[DATA]])</f>
        <v>2</v>
      </c>
    </row>
    <row r="468" spans="1:4" x14ac:dyDescent="0.35">
      <c r="A468" s="1">
        <v>26892</v>
      </c>
      <c r="B468" s="2">
        <v>46073</v>
      </c>
      <c r="C468" s="1" t="s">
        <v>33</v>
      </c>
      <c r="D468" s="1">
        <f>MONTH(Tabela6[[#This Row],[DATA]])</f>
        <v>2</v>
      </c>
    </row>
    <row r="469" spans="1:4" x14ac:dyDescent="0.35">
      <c r="A469" s="1">
        <v>26893</v>
      </c>
      <c r="B469" s="2">
        <v>46073</v>
      </c>
      <c r="C469" s="1" t="s">
        <v>33</v>
      </c>
      <c r="D469" s="1">
        <f>MONTH(Tabela6[[#This Row],[DATA]])</f>
        <v>2</v>
      </c>
    </row>
    <row r="470" spans="1:4" x14ac:dyDescent="0.35">
      <c r="A470" s="1">
        <v>26894</v>
      </c>
      <c r="B470" s="2">
        <v>46073</v>
      </c>
      <c r="C470" s="1" t="s">
        <v>33</v>
      </c>
      <c r="D470" s="1">
        <f>MONTH(Tabela6[[#This Row],[DATA]])</f>
        <v>2</v>
      </c>
    </row>
    <row r="471" spans="1:4" x14ac:dyDescent="0.35">
      <c r="A471" s="1">
        <v>26895</v>
      </c>
      <c r="B471" s="2">
        <v>46073</v>
      </c>
      <c r="C471" s="1" t="s">
        <v>33</v>
      </c>
      <c r="D471" s="1">
        <f>MONTH(Tabela6[[#This Row],[DATA]])</f>
        <v>2</v>
      </c>
    </row>
    <row r="472" spans="1:4" x14ac:dyDescent="0.35">
      <c r="A472" s="1">
        <v>26896</v>
      </c>
      <c r="B472" s="2">
        <v>46073</v>
      </c>
      <c r="C472" s="1" t="s">
        <v>33</v>
      </c>
      <c r="D472" s="1">
        <f>MONTH(Tabela6[[#This Row],[DATA]])</f>
        <v>2</v>
      </c>
    </row>
    <row r="473" spans="1:4" x14ac:dyDescent="0.35">
      <c r="A473" s="1">
        <v>26897</v>
      </c>
      <c r="B473" s="2">
        <v>46073</v>
      </c>
      <c r="C473" s="1" t="s">
        <v>33</v>
      </c>
      <c r="D473" s="1">
        <f>MONTH(Tabela6[[#This Row],[DATA]])</f>
        <v>2</v>
      </c>
    </row>
    <row r="474" spans="1:4" x14ac:dyDescent="0.35">
      <c r="A474" s="1">
        <v>26898</v>
      </c>
      <c r="B474" s="2">
        <v>46073</v>
      </c>
      <c r="C474" s="1" t="s">
        <v>33</v>
      </c>
      <c r="D474" s="1">
        <f>MONTH(Tabela6[[#This Row],[DATA]])</f>
        <v>2</v>
      </c>
    </row>
    <row r="475" spans="1:4" x14ac:dyDescent="0.35">
      <c r="A475" s="1">
        <v>26899</v>
      </c>
      <c r="B475" s="2">
        <v>46076</v>
      </c>
      <c r="C475" s="1" t="s">
        <v>22</v>
      </c>
      <c r="D475" s="1">
        <f>MONTH(Tabela6[[#This Row],[DATA]])</f>
        <v>2</v>
      </c>
    </row>
    <row r="476" spans="1:4" x14ac:dyDescent="0.35">
      <c r="A476" s="1">
        <v>26900</v>
      </c>
      <c r="B476" s="2">
        <v>46076</v>
      </c>
      <c r="C476" s="1" t="s">
        <v>22</v>
      </c>
      <c r="D476" s="1">
        <f>MONTH(Tabela6[[#This Row],[DATA]])</f>
        <v>2</v>
      </c>
    </row>
    <row r="477" spans="1:4" x14ac:dyDescent="0.35">
      <c r="A477" s="1">
        <v>26957</v>
      </c>
      <c r="B477" s="2">
        <v>46077</v>
      </c>
      <c r="C477" s="1" t="s">
        <v>9</v>
      </c>
      <c r="D477" s="1">
        <f>MONTH(Tabela6[[#This Row],[DATA]])</f>
        <v>2</v>
      </c>
    </row>
    <row r="478" spans="1:4" x14ac:dyDescent="0.35">
      <c r="A478" s="1">
        <v>26958</v>
      </c>
      <c r="B478" s="2">
        <v>46077</v>
      </c>
      <c r="C478" s="1" t="s">
        <v>9</v>
      </c>
      <c r="D478" s="1">
        <f>MONTH(Tabela6[[#This Row],[DATA]])</f>
        <v>2</v>
      </c>
    </row>
    <row r="479" spans="1:4" x14ac:dyDescent="0.35">
      <c r="A479" s="1">
        <v>26959</v>
      </c>
      <c r="B479" s="2">
        <v>46077</v>
      </c>
      <c r="C479" s="1" t="s">
        <v>9</v>
      </c>
      <c r="D479" s="1">
        <f>MONTH(Tabela6[[#This Row],[DATA]])</f>
        <v>2</v>
      </c>
    </row>
    <row r="480" spans="1:4" x14ac:dyDescent="0.35">
      <c r="A480" s="1">
        <v>26960</v>
      </c>
      <c r="B480" s="2">
        <v>46077</v>
      </c>
      <c r="C480" s="1" t="s">
        <v>9</v>
      </c>
      <c r="D480" s="1">
        <f>MONTH(Tabela6[[#This Row],[DATA]])</f>
        <v>2</v>
      </c>
    </row>
    <row r="481" spans="1:4" x14ac:dyDescent="0.35">
      <c r="A481" s="1">
        <v>26997</v>
      </c>
      <c r="B481" s="2">
        <v>46077</v>
      </c>
      <c r="C481" s="1" t="s">
        <v>9</v>
      </c>
      <c r="D481" s="1">
        <f>MONTH(Tabela6[[#This Row],[DATA]])</f>
        <v>2</v>
      </c>
    </row>
    <row r="482" spans="1:4" x14ac:dyDescent="0.35">
      <c r="A482" s="1">
        <v>26998</v>
      </c>
      <c r="B482" s="2">
        <v>46077</v>
      </c>
      <c r="C482" s="1" t="s">
        <v>9</v>
      </c>
      <c r="D482" s="1">
        <f>MONTH(Tabela6[[#This Row],[DATA]])</f>
        <v>2</v>
      </c>
    </row>
    <row r="483" spans="1:4" x14ac:dyDescent="0.35">
      <c r="A483" s="1">
        <v>26999</v>
      </c>
      <c r="B483" s="2">
        <v>46077</v>
      </c>
      <c r="C483" s="1" t="s">
        <v>9</v>
      </c>
      <c r="D483" s="1">
        <f>MONTH(Tabela6[[#This Row],[DATA]])</f>
        <v>2</v>
      </c>
    </row>
    <row r="484" spans="1:4" x14ac:dyDescent="0.35">
      <c r="A484" s="1">
        <v>27000</v>
      </c>
      <c r="B484" s="2">
        <v>46077</v>
      </c>
      <c r="C484" s="1" t="s">
        <v>9</v>
      </c>
      <c r="D484" s="1">
        <f>MONTH(Tabela6[[#This Row],[DATA]])</f>
        <v>2</v>
      </c>
    </row>
    <row r="485" spans="1:4" x14ac:dyDescent="0.35">
      <c r="A485" s="1">
        <v>27001</v>
      </c>
      <c r="B485" s="2">
        <v>46077</v>
      </c>
      <c r="C485" s="1" t="s">
        <v>9</v>
      </c>
      <c r="D485" s="1">
        <f>MONTH(Tabela6[[#This Row],[DATA]])</f>
        <v>2</v>
      </c>
    </row>
    <row r="486" spans="1:4" x14ac:dyDescent="0.35">
      <c r="A486" s="1">
        <v>27002</v>
      </c>
      <c r="B486" s="2">
        <v>46077</v>
      </c>
      <c r="C486" s="1" t="s">
        <v>34</v>
      </c>
      <c r="D486" s="1">
        <f>MONTH(Tabela6[[#This Row],[DATA]])</f>
        <v>2</v>
      </c>
    </row>
    <row r="487" spans="1:4" x14ac:dyDescent="0.35">
      <c r="A487" s="1">
        <v>27003</v>
      </c>
      <c r="B487" s="2">
        <v>46077</v>
      </c>
      <c r="C487" s="1" t="s">
        <v>9</v>
      </c>
      <c r="D487" s="1">
        <f>MONTH(Tabela6[[#This Row],[DATA]])</f>
        <v>2</v>
      </c>
    </row>
    <row r="488" spans="1:4" x14ac:dyDescent="0.35">
      <c r="A488" s="1">
        <v>27004</v>
      </c>
      <c r="B488" s="2">
        <v>46077</v>
      </c>
      <c r="C488" s="1" t="s">
        <v>34</v>
      </c>
      <c r="D488" s="1">
        <f>MONTH(Tabela6[[#This Row],[DATA]])</f>
        <v>2</v>
      </c>
    </row>
    <row r="489" spans="1:4" x14ac:dyDescent="0.35">
      <c r="A489" s="1">
        <v>27005</v>
      </c>
      <c r="B489" s="2">
        <v>46077</v>
      </c>
      <c r="C489" s="1" t="s">
        <v>34</v>
      </c>
      <c r="D489" s="1">
        <f>MONTH(Tabela6[[#This Row],[DATA]])</f>
        <v>2</v>
      </c>
    </row>
    <row r="490" spans="1:4" x14ac:dyDescent="0.35">
      <c r="A490" s="1">
        <v>27006</v>
      </c>
      <c r="B490" s="2">
        <v>46077</v>
      </c>
      <c r="C490" s="1" t="s">
        <v>9</v>
      </c>
      <c r="D490" s="1">
        <f>MONTH(Tabela6[[#This Row],[DATA]])</f>
        <v>2</v>
      </c>
    </row>
    <row r="491" spans="1:4" x14ac:dyDescent="0.35">
      <c r="A491" s="1">
        <v>27007</v>
      </c>
      <c r="B491" s="2">
        <v>46077</v>
      </c>
      <c r="C491" s="1" t="s">
        <v>34</v>
      </c>
      <c r="D491" s="1">
        <f>MONTH(Tabela6[[#This Row],[DATA]])</f>
        <v>2</v>
      </c>
    </row>
    <row r="492" spans="1:4" x14ac:dyDescent="0.35">
      <c r="A492" s="1">
        <v>27008</v>
      </c>
      <c r="B492" s="2">
        <v>46077</v>
      </c>
      <c r="C492" s="1" t="s">
        <v>34</v>
      </c>
      <c r="D492" s="1">
        <f>MONTH(Tabela6[[#This Row],[DATA]])</f>
        <v>2</v>
      </c>
    </row>
    <row r="493" spans="1:4" x14ac:dyDescent="0.35">
      <c r="A493" s="1">
        <v>27009</v>
      </c>
      <c r="B493" s="2">
        <v>46077</v>
      </c>
      <c r="C493" s="1" t="s">
        <v>9</v>
      </c>
      <c r="D493" s="1">
        <f>MONTH(Tabela6[[#This Row],[DATA]])</f>
        <v>2</v>
      </c>
    </row>
    <row r="494" spans="1:4" x14ac:dyDescent="0.35">
      <c r="A494" s="1">
        <v>27010</v>
      </c>
      <c r="B494" s="2">
        <v>46077</v>
      </c>
      <c r="C494" s="1" t="s">
        <v>34</v>
      </c>
      <c r="D494" s="1">
        <f>MONTH(Tabela6[[#This Row],[DATA]])</f>
        <v>2</v>
      </c>
    </row>
    <row r="495" spans="1:4" x14ac:dyDescent="0.35">
      <c r="A495" s="1">
        <v>27011</v>
      </c>
      <c r="B495" s="2">
        <v>46077</v>
      </c>
      <c r="C495" s="1" t="s">
        <v>34</v>
      </c>
      <c r="D495" s="1">
        <f>MONTH(Tabela6[[#This Row],[DATA]])</f>
        <v>2</v>
      </c>
    </row>
    <row r="496" spans="1:4" x14ac:dyDescent="0.35">
      <c r="A496" s="1">
        <v>27049</v>
      </c>
      <c r="B496" s="2">
        <v>46078</v>
      </c>
      <c r="C496" s="1" t="s">
        <v>9</v>
      </c>
      <c r="D496" s="1">
        <f>MONTH(Tabela6[[#This Row],[DATA]])</f>
        <v>2</v>
      </c>
    </row>
    <row r="497" spans="1:4" x14ac:dyDescent="0.35">
      <c r="A497" s="1">
        <v>27050</v>
      </c>
      <c r="B497" s="2">
        <v>46078</v>
      </c>
      <c r="C497" s="1" t="s">
        <v>9</v>
      </c>
      <c r="D497" s="1">
        <f>MONTH(Tabela6[[#This Row],[DATA]])</f>
        <v>2</v>
      </c>
    </row>
    <row r="498" spans="1:4" x14ac:dyDescent="0.35">
      <c r="A498" s="1">
        <v>27051</v>
      </c>
      <c r="B498" s="2">
        <v>46078</v>
      </c>
      <c r="C498" s="1" t="s">
        <v>9</v>
      </c>
      <c r="D498" s="1">
        <f>MONTH(Tabela6[[#This Row],[DATA]])</f>
        <v>2</v>
      </c>
    </row>
    <row r="499" spans="1:4" x14ac:dyDescent="0.35">
      <c r="A499" s="1">
        <v>27052</v>
      </c>
      <c r="B499" s="2">
        <v>46078</v>
      </c>
      <c r="C499" s="1" t="s">
        <v>9</v>
      </c>
      <c r="D499" s="1">
        <f>MONTH(Tabela6[[#This Row],[DATA]])</f>
        <v>2</v>
      </c>
    </row>
    <row r="500" spans="1:4" x14ac:dyDescent="0.35">
      <c r="A500" s="1">
        <v>27053</v>
      </c>
      <c r="B500" s="2">
        <v>46078</v>
      </c>
      <c r="C500" s="1" t="s">
        <v>9</v>
      </c>
      <c r="D500" s="1">
        <f>MONTH(Tabela6[[#This Row],[DATA]])</f>
        <v>2</v>
      </c>
    </row>
    <row r="501" spans="1:4" x14ac:dyDescent="0.35">
      <c r="A501" s="1">
        <v>27054</v>
      </c>
      <c r="B501" s="2">
        <v>46078</v>
      </c>
      <c r="C501" s="1" t="s">
        <v>9</v>
      </c>
      <c r="D501" s="1">
        <f>MONTH(Tabela6[[#This Row],[DATA]])</f>
        <v>2</v>
      </c>
    </row>
    <row r="502" spans="1:4" x14ac:dyDescent="0.35">
      <c r="A502" s="1">
        <v>27055</v>
      </c>
      <c r="B502" s="2">
        <v>46078</v>
      </c>
      <c r="C502" s="1" t="s">
        <v>9</v>
      </c>
      <c r="D502" s="1">
        <f>MONTH(Tabela6[[#This Row],[DATA]])</f>
        <v>2</v>
      </c>
    </row>
    <row r="503" spans="1:4" x14ac:dyDescent="0.35">
      <c r="A503" s="1">
        <v>27056</v>
      </c>
      <c r="B503" s="2">
        <v>46078</v>
      </c>
      <c r="C503" s="1" t="s">
        <v>9</v>
      </c>
      <c r="D503" s="1">
        <f>MONTH(Tabela6[[#This Row],[DATA]])</f>
        <v>2</v>
      </c>
    </row>
    <row r="504" spans="1:4" x14ac:dyDescent="0.35">
      <c r="A504" s="1">
        <v>27057</v>
      </c>
      <c r="B504" s="2">
        <v>46078</v>
      </c>
      <c r="C504" s="1" t="s">
        <v>9</v>
      </c>
      <c r="D504" s="1">
        <f>MONTH(Tabela6[[#This Row],[DATA]])</f>
        <v>2</v>
      </c>
    </row>
    <row r="505" spans="1:4" x14ac:dyDescent="0.35">
      <c r="A505" s="1">
        <v>27109</v>
      </c>
      <c r="B505" s="2">
        <v>46083</v>
      </c>
      <c r="C505" s="1" t="s">
        <v>21</v>
      </c>
      <c r="D505" s="1">
        <f>MONTH(Tabela6[[#This Row],[DATA]])</f>
        <v>3</v>
      </c>
    </row>
    <row r="506" spans="1:4" x14ac:dyDescent="0.35">
      <c r="A506" s="1">
        <v>27110</v>
      </c>
      <c r="B506" s="2">
        <v>46083</v>
      </c>
      <c r="C506" s="1" t="s">
        <v>21</v>
      </c>
      <c r="D506" s="1">
        <f>MONTH(Tabela6[[#This Row],[DATA]])</f>
        <v>3</v>
      </c>
    </row>
    <row r="507" spans="1:4" x14ac:dyDescent="0.35">
      <c r="A507" s="1">
        <v>27111</v>
      </c>
      <c r="B507" s="2">
        <v>46083</v>
      </c>
      <c r="C507" s="1" t="s">
        <v>21</v>
      </c>
      <c r="D507" s="1">
        <f>MONTH(Tabela6[[#This Row],[DATA]])</f>
        <v>3</v>
      </c>
    </row>
    <row r="508" spans="1:4" x14ac:dyDescent="0.35">
      <c r="A508" s="1">
        <v>27112</v>
      </c>
      <c r="B508" s="2">
        <v>46083</v>
      </c>
      <c r="C508" s="1" t="s">
        <v>21</v>
      </c>
      <c r="D508" s="1">
        <f>MONTH(Tabela6[[#This Row],[DATA]])</f>
        <v>3</v>
      </c>
    </row>
    <row r="509" spans="1:4" x14ac:dyDescent="0.35">
      <c r="A509" s="1">
        <v>27132</v>
      </c>
      <c r="B509" s="2">
        <v>46083</v>
      </c>
      <c r="C509" s="1" t="s">
        <v>33</v>
      </c>
      <c r="D509" s="1">
        <f>MONTH(Tabela6[[#This Row],[DATA]])</f>
        <v>3</v>
      </c>
    </row>
    <row r="510" spans="1:4" x14ac:dyDescent="0.35">
      <c r="A510" s="1">
        <v>27133</v>
      </c>
      <c r="B510" s="2">
        <v>46083</v>
      </c>
      <c r="C510" s="1" t="s">
        <v>33</v>
      </c>
      <c r="D510" s="1">
        <f>MONTH(Tabela6[[#This Row],[DATA]])</f>
        <v>3</v>
      </c>
    </row>
    <row r="511" spans="1:4" x14ac:dyDescent="0.35">
      <c r="A511" s="1">
        <v>27134</v>
      </c>
      <c r="B511" s="2">
        <v>46083</v>
      </c>
      <c r="C511" s="1" t="s">
        <v>33</v>
      </c>
      <c r="D511" s="1">
        <f>MONTH(Tabela6[[#This Row],[DATA]])</f>
        <v>3</v>
      </c>
    </row>
    <row r="512" spans="1:4" x14ac:dyDescent="0.35">
      <c r="A512" s="1">
        <v>27135</v>
      </c>
      <c r="B512" s="2">
        <v>46083</v>
      </c>
      <c r="C512" s="1" t="s">
        <v>33</v>
      </c>
      <c r="D512" s="1">
        <f>MONTH(Tabela6[[#This Row],[DATA]])</f>
        <v>3</v>
      </c>
    </row>
    <row r="513" spans="1:4" x14ac:dyDescent="0.35">
      <c r="A513" s="1">
        <v>27136</v>
      </c>
      <c r="B513" s="2">
        <v>46083</v>
      </c>
      <c r="C513" s="1" t="s">
        <v>33</v>
      </c>
      <c r="D513" s="1">
        <f>MONTH(Tabela6[[#This Row],[DATA]])</f>
        <v>3</v>
      </c>
    </row>
    <row r="514" spans="1:4" x14ac:dyDescent="0.35">
      <c r="A514" s="1">
        <v>27137</v>
      </c>
      <c r="B514" s="2">
        <v>46083</v>
      </c>
      <c r="C514" s="1" t="s">
        <v>33</v>
      </c>
      <c r="D514" s="1">
        <f>MONTH(Tabela6[[#This Row],[DATA]])</f>
        <v>3</v>
      </c>
    </row>
    <row r="515" spans="1:4" x14ac:dyDescent="0.35">
      <c r="A515" s="1">
        <v>27139</v>
      </c>
      <c r="B515" s="2">
        <v>46083</v>
      </c>
      <c r="C515" s="1" t="s">
        <v>9</v>
      </c>
      <c r="D515" s="1">
        <f>MONTH(Tabela6[[#This Row],[DATA]])</f>
        <v>3</v>
      </c>
    </row>
    <row r="516" spans="1:4" x14ac:dyDescent="0.35">
      <c r="A516" s="1">
        <v>27140</v>
      </c>
      <c r="B516" s="2">
        <v>46083</v>
      </c>
      <c r="C516" s="1" t="s">
        <v>9</v>
      </c>
      <c r="D516" s="1">
        <f>MONTH(Tabela6[[#This Row],[DATA]])</f>
        <v>3</v>
      </c>
    </row>
    <row r="517" spans="1:4" x14ac:dyDescent="0.35">
      <c r="A517" s="1">
        <v>27141</v>
      </c>
      <c r="B517" s="2">
        <v>46083</v>
      </c>
      <c r="C517" s="1" t="s">
        <v>9</v>
      </c>
      <c r="D517" s="1">
        <f>MONTH(Tabela6[[#This Row],[DATA]])</f>
        <v>3</v>
      </c>
    </row>
    <row r="518" spans="1:4" x14ac:dyDescent="0.35">
      <c r="A518" s="1">
        <v>27142</v>
      </c>
      <c r="B518" s="2">
        <v>46083</v>
      </c>
      <c r="C518" s="1" t="s">
        <v>9</v>
      </c>
      <c r="D518" s="1">
        <f>MONTH(Tabela6[[#This Row],[DATA]])</f>
        <v>3</v>
      </c>
    </row>
    <row r="519" spans="1:4" x14ac:dyDescent="0.35">
      <c r="A519" s="1">
        <v>27143</v>
      </c>
      <c r="B519" s="2">
        <v>46083</v>
      </c>
      <c r="C519" s="1" t="s">
        <v>9</v>
      </c>
      <c r="D519" s="1">
        <f>MONTH(Tabela6[[#This Row],[DATA]])</f>
        <v>3</v>
      </c>
    </row>
    <row r="520" spans="1:4" x14ac:dyDescent="0.35">
      <c r="A520" s="1">
        <v>27144</v>
      </c>
      <c r="B520" s="2">
        <v>46083</v>
      </c>
      <c r="C520" s="1" t="s">
        <v>9</v>
      </c>
      <c r="D520" s="1">
        <f>MONTH(Tabela6[[#This Row],[DATA]])</f>
        <v>3</v>
      </c>
    </row>
    <row r="521" spans="1:4" x14ac:dyDescent="0.35">
      <c r="A521" s="1">
        <v>27181</v>
      </c>
      <c r="B521" s="2">
        <v>46084</v>
      </c>
      <c r="C521" s="1" t="s">
        <v>33</v>
      </c>
      <c r="D521" s="1">
        <f>MONTH(Tabela6[[#This Row],[DATA]])</f>
        <v>3</v>
      </c>
    </row>
    <row r="522" spans="1:4" x14ac:dyDescent="0.35">
      <c r="A522" s="1">
        <v>27182</v>
      </c>
      <c r="B522" s="2">
        <v>46084</v>
      </c>
      <c r="C522" s="1" t="s">
        <v>33</v>
      </c>
      <c r="D522" s="1">
        <f>MONTH(Tabela6[[#This Row],[DATA]])</f>
        <v>3</v>
      </c>
    </row>
    <row r="523" spans="1:4" x14ac:dyDescent="0.35">
      <c r="A523" s="1">
        <v>27183</v>
      </c>
      <c r="B523" s="2">
        <v>46084</v>
      </c>
      <c r="C523" s="1" t="s">
        <v>33</v>
      </c>
      <c r="D523" s="1">
        <f>MONTH(Tabela6[[#This Row],[DATA]])</f>
        <v>3</v>
      </c>
    </row>
    <row r="524" spans="1:4" x14ac:dyDescent="0.35">
      <c r="A524" s="1">
        <v>27184</v>
      </c>
      <c r="B524" s="2">
        <v>46084</v>
      </c>
      <c r="C524" s="1" t="s">
        <v>33</v>
      </c>
      <c r="D524" s="1">
        <f>MONTH(Tabela6[[#This Row],[DATA]])</f>
        <v>3</v>
      </c>
    </row>
    <row r="525" spans="1:4" x14ac:dyDescent="0.35">
      <c r="A525" s="1">
        <v>27191</v>
      </c>
      <c r="B525" s="2">
        <v>46085</v>
      </c>
      <c r="C525" s="1" t="s">
        <v>9</v>
      </c>
      <c r="D525" s="1">
        <f>MONTH(Tabela6[[#This Row],[DATA]])</f>
        <v>3</v>
      </c>
    </row>
    <row r="526" spans="1:4" x14ac:dyDescent="0.35">
      <c r="A526" s="1">
        <v>27192</v>
      </c>
      <c r="B526" s="2">
        <v>46085</v>
      </c>
      <c r="C526" s="1" t="s">
        <v>9</v>
      </c>
      <c r="D526" s="1">
        <f>MONTH(Tabela6[[#This Row],[DATA]])</f>
        <v>3</v>
      </c>
    </row>
    <row r="527" spans="1:4" x14ac:dyDescent="0.35">
      <c r="A527" s="1">
        <v>27193</v>
      </c>
      <c r="B527" s="2">
        <v>46085</v>
      </c>
      <c r="C527" s="1" t="s">
        <v>9</v>
      </c>
      <c r="D527" s="1">
        <f>MONTH(Tabela6[[#This Row],[DATA]])</f>
        <v>3</v>
      </c>
    </row>
    <row r="528" spans="1:4" x14ac:dyDescent="0.35">
      <c r="A528" s="1">
        <v>27194</v>
      </c>
      <c r="B528" s="2">
        <v>46085</v>
      </c>
      <c r="C528" s="1" t="s">
        <v>9</v>
      </c>
      <c r="D528" s="1">
        <f>MONTH(Tabela6[[#This Row],[DATA]])</f>
        <v>3</v>
      </c>
    </row>
    <row r="529" spans="1:4" x14ac:dyDescent="0.35">
      <c r="A529" s="1">
        <v>27195</v>
      </c>
      <c r="B529" s="2">
        <v>46085</v>
      </c>
      <c r="C529" s="1" t="s">
        <v>9</v>
      </c>
      <c r="D529" s="1">
        <f>MONTH(Tabela6[[#This Row],[DATA]])</f>
        <v>3</v>
      </c>
    </row>
    <row r="530" spans="1:4" x14ac:dyDescent="0.35">
      <c r="A530" s="1">
        <v>27196</v>
      </c>
      <c r="B530" s="2">
        <v>46085</v>
      </c>
      <c r="C530" s="1" t="s">
        <v>21</v>
      </c>
      <c r="D530" s="1">
        <f>MONTH(Tabela6[[#This Row],[DATA]])</f>
        <v>3</v>
      </c>
    </row>
    <row r="531" spans="1:4" x14ac:dyDescent="0.35">
      <c r="A531" s="1">
        <v>27201</v>
      </c>
      <c r="B531" s="2">
        <v>46086</v>
      </c>
      <c r="C531" s="1" t="s">
        <v>9</v>
      </c>
      <c r="D531" s="1">
        <f>MONTH(Tabela6[[#This Row],[DATA]])</f>
        <v>3</v>
      </c>
    </row>
    <row r="532" spans="1:4" x14ac:dyDescent="0.35">
      <c r="A532" s="1">
        <v>27202</v>
      </c>
      <c r="B532" s="2">
        <v>46086</v>
      </c>
      <c r="C532" s="1" t="s">
        <v>9</v>
      </c>
      <c r="D532" s="1">
        <f>MONTH(Tabela6[[#This Row],[DATA]])</f>
        <v>3</v>
      </c>
    </row>
    <row r="533" spans="1:4" x14ac:dyDescent="0.35">
      <c r="A533" s="1">
        <v>27203</v>
      </c>
      <c r="B533" s="2">
        <v>46086</v>
      </c>
      <c r="C533" s="1" t="s">
        <v>9</v>
      </c>
      <c r="D533" s="1">
        <f>MONTH(Tabela6[[#This Row],[DATA]])</f>
        <v>3</v>
      </c>
    </row>
    <row r="534" spans="1:4" x14ac:dyDescent="0.35">
      <c r="A534" s="1">
        <v>27204</v>
      </c>
      <c r="B534" s="2">
        <v>46086</v>
      </c>
      <c r="C534" s="1" t="s">
        <v>9</v>
      </c>
      <c r="D534" s="1">
        <f>MONTH(Tabela6[[#This Row],[DATA]])</f>
        <v>3</v>
      </c>
    </row>
    <row r="535" spans="1:4" x14ac:dyDescent="0.35">
      <c r="A535" s="1">
        <v>27205</v>
      </c>
      <c r="B535" s="2">
        <v>46086</v>
      </c>
      <c r="C535" s="1" t="s">
        <v>5</v>
      </c>
      <c r="D535" s="1">
        <f>MONTH(Tabela6[[#This Row],[DATA]])</f>
        <v>3</v>
      </c>
    </row>
    <row r="536" spans="1:4" x14ac:dyDescent="0.35">
      <c r="A536" s="1">
        <v>27206</v>
      </c>
      <c r="B536" s="2">
        <v>46086</v>
      </c>
      <c r="C536" s="1" t="s">
        <v>5</v>
      </c>
      <c r="D536" s="1">
        <f>MONTH(Tabela6[[#This Row],[DATA]])</f>
        <v>3</v>
      </c>
    </row>
    <row r="537" spans="1:4" x14ac:dyDescent="0.35">
      <c r="A537" s="1">
        <v>27208</v>
      </c>
      <c r="B537" s="2">
        <v>46086</v>
      </c>
      <c r="C537" s="1" t="s">
        <v>33</v>
      </c>
      <c r="D537" s="1">
        <f>MONTH(Tabela6[[#This Row],[DATA]])</f>
        <v>3</v>
      </c>
    </row>
    <row r="538" spans="1:4" x14ac:dyDescent="0.35">
      <c r="A538" s="1">
        <v>27209</v>
      </c>
      <c r="B538" s="2">
        <v>46086</v>
      </c>
      <c r="C538" s="1" t="s">
        <v>33</v>
      </c>
      <c r="D538" s="1">
        <f>MONTH(Tabela6[[#This Row],[DATA]])</f>
        <v>3</v>
      </c>
    </row>
    <row r="539" spans="1:4" x14ac:dyDescent="0.35">
      <c r="A539" s="1">
        <v>27210</v>
      </c>
      <c r="B539" s="2">
        <v>46086</v>
      </c>
      <c r="C539" s="1" t="s">
        <v>33</v>
      </c>
      <c r="D539" s="1">
        <f>MONTH(Tabela6[[#This Row],[DATA]])</f>
        <v>3</v>
      </c>
    </row>
    <row r="540" spans="1:4" x14ac:dyDescent="0.35">
      <c r="A540" s="1">
        <v>27211</v>
      </c>
      <c r="B540" s="2">
        <v>46086</v>
      </c>
      <c r="C540" s="1" t="s">
        <v>33</v>
      </c>
      <c r="D540" s="1">
        <f>MONTH(Tabela6[[#This Row],[DATA]])</f>
        <v>3</v>
      </c>
    </row>
    <row r="541" spans="1:4" x14ac:dyDescent="0.35">
      <c r="A541" s="1">
        <v>27212</v>
      </c>
      <c r="B541" s="2">
        <v>46086</v>
      </c>
      <c r="C541" s="1" t="s">
        <v>9</v>
      </c>
      <c r="D541" s="1">
        <f>MONTH(Tabela6[[#This Row],[DATA]])</f>
        <v>3</v>
      </c>
    </row>
    <row r="542" spans="1:4" x14ac:dyDescent="0.35">
      <c r="A542" s="1">
        <v>27213</v>
      </c>
      <c r="B542" s="2">
        <v>46086</v>
      </c>
      <c r="C542" s="1" t="s">
        <v>9</v>
      </c>
      <c r="D542" s="1">
        <f>MONTH(Tabela6[[#This Row],[DATA]])</f>
        <v>3</v>
      </c>
    </row>
    <row r="543" spans="1:4" x14ac:dyDescent="0.35">
      <c r="A543" s="1">
        <v>27214</v>
      </c>
      <c r="B543" s="2">
        <v>46086</v>
      </c>
      <c r="C543" s="1" t="s">
        <v>9</v>
      </c>
      <c r="D543" s="1">
        <f>MONTH(Tabela6[[#This Row],[DATA]])</f>
        <v>3</v>
      </c>
    </row>
    <row r="544" spans="1:4" x14ac:dyDescent="0.35">
      <c r="A544" s="1">
        <v>27247</v>
      </c>
      <c r="B544" s="2">
        <v>46087</v>
      </c>
      <c r="C544" s="1" t="s">
        <v>21</v>
      </c>
      <c r="D544" s="1">
        <f>MONTH(Tabela6[[#This Row],[DATA]])</f>
        <v>3</v>
      </c>
    </row>
    <row r="545" spans="1:4" x14ac:dyDescent="0.35">
      <c r="A545" s="1">
        <v>27248</v>
      </c>
      <c r="B545" s="2">
        <v>46087</v>
      </c>
      <c r="C545" s="1" t="s">
        <v>22</v>
      </c>
      <c r="D545" s="1">
        <f>MONTH(Tabela6[[#This Row],[DATA]])</f>
        <v>3</v>
      </c>
    </row>
    <row r="546" spans="1:4" x14ac:dyDescent="0.35">
      <c r="A546" s="1">
        <v>27249</v>
      </c>
      <c r="B546" s="2">
        <v>46087</v>
      </c>
      <c r="C546" s="1" t="s">
        <v>22</v>
      </c>
      <c r="D546" s="1">
        <f>MONTH(Tabela6[[#This Row],[DATA]])</f>
        <v>3</v>
      </c>
    </row>
    <row r="547" spans="1:4" x14ac:dyDescent="0.35">
      <c r="A547" s="1">
        <v>27250</v>
      </c>
      <c r="B547" s="2">
        <v>46087</v>
      </c>
      <c r="C547" s="1" t="s">
        <v>22</v>
      </c>
      <c r="D547" s="1">
        <f>MONTH(Tabela6[[#This Row],[DATA]])</f>
        <v>3</v>
      </c>
    </row>
    <row r="548" spans="1:4" x14ac:dyDescent="0.35">
      <c r="A548" s="1">
        <v>27251</v>
      </c>
      <c r="B548" s="2">
        <v>46087</v>
      </c>
      <c r="C548" s="1" t="s">
        <v>22</v>
      </c>
      <c r="D548" s="1">
        <f>MONTH(Tabela6[[#This Row],[DATA]])</f>
        <v>3</v>
      </c>
    </row>
    <row r="549" spans="1:4" x14ac:dyDescent="0.35">
      <c r="A549" s="1">
        <v>27316</v>
      </c>
      <c r="B549" s="2">
        <v>46091</v>
      </c>
      <c r="C549" s="1" t="s">
        <v>21</v>
      </c>
      <c r="D549" s="1">
        <f>MONTH(Tabela6[[#This Row],[DATA]])</f>
        <v>3</v>
      </c>
    </row>
    <row r="550" spans="1:4" x14ac:dyDescent="0.35">
      <c r="A550" s="1">
        <v>27330</v>
      </c>
      <c r="B550" s="2">
        <v>46091</v>
      </c>
      <c r="C550" s="1" t="s">
        <v>21</v>
      </c>
      <c r="D550" s="1">
        <f>MONTH(Tabela6[[#This Row],[DATA]])</f>
        <v>3</v>
      </c>
    </row>
    <row r="551" spans="1:4" x14ac:dyDescent="0.35">
      <c r="A551" s="1">
        <v>27331</v>
      </c>
      <c r="B551" s="2">
        <v>46091</v>
      </c>
      <c r="C551" s="1" t="s">
        <v>21</v>
      </c>
      <c r="D551" s="1">
        <f>MONTH(Tabela6[[#This Row],[DATA]])</f>
        <v>3</v>
      </c>
    </row>
    <row r="552" spans="1:4" x14ac:dyDescent="0.35">
      <c r="A552" s="1">
        <v>27343</v>
      </c>
      <c r="B552" s="2">
        <v>46092</v>
      </c>
      <c r="C552" s="1" t="s">
        <v>24</v>
      </c>
      <c r="D552" s="1">
        <f>MONTH(Tabela6[[#This Row],[DATA]])</f>
        <v>3</v>
      </c>
    </row>
    <row r="553" spans="1:4" x14ac:dyDescent="0.35">
      <c r="A553" s="1">
        <v>27344</v>
      </c>
      <c r="B553" s="2">
        <v>46092</v>
      </c>
      <c r="C553" s="1" t="s">
        <v>24</v>
      </c>
      <c r="D553" s="1">
        <f>MONTH(Tabela6[[#This Row],[DATA]])</f>
        <v>3</v>
      </c>
    </row>
    <row r="554" spans="1:4" x14ac:dyDescent="0.35">
      <c r="A554" s="1">
        <v>27345</v>
      </c>
      <c r="B554" s="2">
        <v>46092</v>
      </c>
      <c r="C554" s="1" t="s">
        <v>24</v>
      </c>
      <c r="D554" s="1">
        <f>MONTH(Tabela6[[#This Row],[DATA]])</f>
        <v>3</v>
      </c>
    </row>
    <row r="555" spans="1:4" x14ac:dyDescent="0.35">
      <c r="A555" s="1">
        <v>27346</v>
      </c>
      <c r="B555" s="2">
        <v>46092</v>
      </c>
      <c r="C555" s="1" t="s">
        <v>24</v>
      </c>
      <c r="D555" s="1">
        <f>MONTH(Tabela6[[#This Row],[DATA]])</f>
        <v>3</v>
      </c>
    </row>
    <row r="556" spans="1:4" x14ac:dyDescent="0.35">
      <c r="A556" s="1">
        <v>27347</v>
      </c>
      <c r="B556" s="2">
        <v>46092</v>
      </c>
      <c r="C556" s="1" t="s">
        <v>24</v>
      </c>
      <c r="D556" s="1">
        <f>MONTH(Tabela6[[#This Row],[DATA]])</f>
        <v>3</v>
      </c>
    </row>
    <row r="557" spans="1:4" x14ac:dyDescent="0.35">
      <c r="A557" s="1">
        <v>27348</v>
      </c>
      <c r="B557" s="2">
        <v>46092</v>
      </c>
      <c r="C557" s="1" t="s">
        <v>24</v>
      </c>
      <c r="D557" s="1">
        <f>MONTH(Tabela6[[#This Row],[DATA]])</f>
        <v>3</v>
      </c>
    </row>
    <row r="558" spans="1:4" x14ac:dyDescent="0.35">
      <c r="A558" s="1">
        <v>27349</v>
      </c>
      <c r="B558" s="2">
        <v>46092</v>
      </c>
      <c r="C558" s="1" t="s">
        <v>24</v>
      </c>
      <c r="D558" s="1">
        <f>MONTH(Tabela6[[#This Row],[DATA]])</f>
        <v>3</v>
      </c>
    </row>
    <row r="559" spans="1:4" x14ac:dyDescent="0.35">
      <c r="A559" s="1">
        <v>27350</v>
      </c>
      <c r="B559" s="2">
        <v>46092</v>
      </c>
      <c r="C559" s="1" t="s">
        <v>24</v>
      </c>
      <c r="D559" s="1">
        <f>MONTH(Tabela6[[#This Row],[DATA]])</f>
        <v>3</v>
      </c>
    </row>
    <row r="560" spans="1:4" x14ac:dyDescent="0.35">
      <c r="A560" s="1">
        <v>27351</v>
      </c>
      <c r="B560" s="2">
        <v>46092</v>
      </c>
      <c r="C560" s="1" t="s">
        <v>24</v>
      </c>
      <c r="D560" s="1">
        <f>MONTH(Tabela6[[#This Row],[DATA]])</f>
        <v>3</v>
      </c>
    </row>
    <row r="561" spans="1:4" x14ac:dyDescent="0.35">
      <c r="A561" s="1">
        <v>27352</v>
      </c>
      <c r="B561" s="2">
        <v>46092</v>
      </c>
      <c r="C561" s="1" t="s">
        <v>24</v>
      </c>
      <c r="D561" s="1">
        <f>MONTH(Tabela6[[#This Row],[DATA]])</f>
        <v>3</v>
      </c>
    </row>
    <row r="562" spans="1:4" x14ac:dyDescent="0.35">
      <c r="A562" s="1">
        <v>27353</v>
      </c>
      <c r="B562" s="2">
        <v>46092</v>
      </c>
      <c r="C562" s="1" t="s">
        <v>5</v>
      </c>
      <c r="D562" s="1">
        <f>MONTH(Tabela6[[#This Row],[DATA]])</f>
        <v>3</v>
      </c>
    </row>
    <row r="563" spans="1:4" x14ac:dyDescent="0.35">
      <c r="A563" s="1">
        <v>27354</v>
      </c>
      <c r="B563" s="2">
        <v>46092</v>
      </c>
      <c r="C563" s="1" t="s">
        <v>24</v>
      </c>
      <c r="D563" s="1">
        <f>MONTH(Tabela6[[#This Row],[DATA]])</f>
        <v>3</v>
      </c>
    </row>
    <row r="564" spans="1:4" x14ac:dyDescent="0.35">
      <c r="A564" s="1">
        <v>27355</v>
      </c>
      <c r="B564" s="2">
        <v>46092</v>
      </c>
      <c r="C564" s="1" t="s">
        <v>24</v>
      </c>
      <c r="D564" s="1">
        <f>MONTH(Tabela6[[#This Row],[DATA]])</f>
        <v>3</v>
      </c>
    </row>
    <row r="565" spans="1:4" x14ac:dyDescent="0.35">
      <c r="A565" s="1">
        <v>27356</v>
      </c>
      <c r="B565" s="2">
        <v>46092</v>
      </c>
      <c r="C565" s="1" t="s">
        <v>24</v>
      </c>
      <c r="D565" s="1">
        <f>MONTH(Tabela6[[#This Row],[DATA]])</f>
        <v>3</v>
      </c>
    </row>
    <row r="566" spans="1:4" x14ac:dyDescent="0.35">
      <c r="A566" s="1">
        <v>27357</v>
      </c>
      <c r="B566" s="2">
        <v>46092</v>
      </c>
      <c r="C566" s="1" t="s">
        <v>5</v>
      </c>
      <c r="D566" s="1">
        <f>MONTH(Tabela6[[#This Row],[DATA]])</f>
        <v>3</v>
      </c>
    </row>
    <row r="567" spans="1:4" x14ac:dyDescent="0.35">
      <c r="A567" s="1">
        <v>27358</v>
      </c>
      <c r="B567" s="2">
        <v>46092</v>
      </c>
      <c r="C567" s="1" t="s">
        <v>24</v>
      </c>
      <c r="D567" s="1">
        <f>MONTH(Tabela6[[#This Row],[DATA]])</f>
        <v>3</v>
      </c>
    </row>
    <row r="568" spans="1:4" x14ac:dyDescent="0.35">
      <c r="A568" s="1">
        <v>27359</v>
      </c>
      <c r="B568" s="2">
        <v>46092</v>
      </c>
      <c r="C568" s="1" t="s">
        <v>21</v>
      </c>
      <c r="D568" s="1">
        <f>MONTH(Tabela6[[#This Row],[DATA]])</f>
        <v>3</v>
      </c>
    </row>
    <row r="569" spans="1:4" x14ac:dyDescent="0.35">
      <c r="A569" s="1">
        <v>27361</v>
      </c>
      <c r="B569" s="2">
        <v>46092</v>
      </c>
      <c r="C569" s="1" t="s">
        <v>21</v>
      </c>
      <c r="D569" s="1">
        <f>MONTH(Tabela6[[#This Row],[DATA]])</f>
        <v>3</v>
      </c>
    </row>
    <row r="570" spans="1:4" x14ac:dyDescent="0.35">
      <c r="A570" s="1">
        <v>27370</v>
      </c>
      <c r="B570" s="2">
        <v>46092</v>
      </c>
      <c r="C570" s="1" t="s">
        <v>33</v>
      </c>
      <c r="D570" s="1">
        <f>MONTH(Tabela6[[#This Row],[DATA]])</f>
        <v>3</v>
      </c>
    </row>
    <row r="571" spans="1:4" x14ac:dyDescent="0.35">
      <c r="A571" s="1">
        <v>27371</v>
      </c>
      <c r="B571" s="2">
        <v>46092</v>
      </c>
      <c r="C571" s="1" t="s">
        <v>33</v>
      </c>
      <c r="D571" s="1">
        <f>MONTH(Tabela6[[#This Row],[DATA]])</f>
        <v>3</v>
      </c>
    </row>
    <row r="572" spans="1:4" x14ac:dyDescent="0.35">
      <c r="A572" s="1">
        <v>27374</v>
      </c>
      <c r="B572" s="2">
        <v>46092</v>
      </c>
      <c r="C572" s="1" t="s">
        <v>21</v>
      </c>
      <c r="D572" s="1">
        <f>MONTH(Tabela6[[#This Row],[DATA]])</f>
        <v>3</v>
      </c>
    </row>
    <row r="573" spans="1:4" x14ac:dyDescent="0.35">
      <c r="A573" s="1">
        <v>27403</v>
      </c>
      <c r="B573" s="2">
        <v>46092</v>
      </c>
      <c r="C573" s="1" t="s">
        <v>24</v>
      </c>
      <c r="D573" s="1">
        <f>MONTH(Tabela6[[#This Row],[DATA]])</f>
        <v>3</v>
      </c>
    </row>
    <row r="574" spans="1:4" x14ac:dyDescent="0.35">
      <c r="A574" s="1">
        <v>27404</v>
      </c>
      <c r="B574" s="2">
        <v>46092</v>
      </c>
      <c r="C574" s="1" t="s">
        <v>24</v>
      </c>
      <c r="D574" s="1">
        <f>MONTH(Tabela6[[#This Row],[DATA]])</f>
        <v>3</v>
      </c>
    </row>
    <row r="575" spans="1:4" x14ac:dyDescent="0.35">
      <c r="A575" s="1">
        <v>27405</v>
      </c>
      <c r="B575" s="2">
        <v>46092</v>
      </c>
      <c r="C575" s="1" t="s">
        <v>24</v>
      </c>
      <c r="D575" s="1">
        <f>MONTH(Tabela6[[#This Row],[DATA]])</f>
        <v>3</v>
      </c>
    </row>
    <row r="576" spans="1:4" x14ac:dyDescent="0.35">
      <c r="A576" s="1">
        <v>27406</v>
      </c>
      <c r="B576" s="2">
        <v>46092</v>
      </c>
      <c r="C576" s="1" t="s">
        <v>24</v>
      </c>
      <c r="D576" s="1">
        <f>MONTH(Tabela6[[#This Row],[DATA]])</f>
        <v>3</v>
      </c>
    </row>
    <row r="577" spans="1:4" x14ac:dyDescent="0.35">
      <c r="A577" s="1">
        <v>27407</v>
      </c>
      <c r="B577" s="2">
        <v>46092</v>
      </c>
      <c r="C577" s="1" t="s">
        <v>24</v>
      </c>
      <c r="D577" s="1">
        <f>MONTH(Tabela6[[#This Row],[DATA]])</f>
        <v>3</v>
      </c>
    </row>
    <row r="578" spans="1:4" x14ac:dyDescent="0.35">
      <c r="A578" s="1">
        <v>27408</v>
      </c>
      <c r="B578" s="2">
        <v>46092</v>
      </c>
      <c r="C578" s="1" t="s">
        <v>24</v>
      </c>
      <c r="D578" s="1">
        <f>MONTH(Tabela6[[#This Row],[DATA]])</f>
        <v>3</v>
      </c>
    </row>
    <row r="579" spans="1:4" x14ac:dyDescent="0.35">
      <c r="A579" s="1">
        <v>27409</v>
      </c>
      <c r="B579" s="2">
        <v>46092</v>
      </c>
      <c r="C579" s="1" t="s">
        <v>24</v>
      </c>
      <c r="D579" s="1">
        <f>MONTH(Tabela6[[#This Row],[DATA]])</f>
        <v>3</v>
      </c>
    </row>
    <row r="580" spans="1:4" x14ac:dyDescent="0.35">
      <c r="A580" s="1">
        <v>27410</v>
      </c>
      <c r="B580" s="2">
        <v>46092</v>
      </c>
      <c r="C580" s="1" t="s">
        <v>24</v>
      </c>
      <c r="D580" s="1">
        <f>MONTH(Tabela6[[#This Row],[DATA]])</f>
        <v>3</v>
      </c>
    </row>
    <row r="581" spans="1:4" x14ac:dyDescent="0.35">
      <c r="A581" s="1">
        <v>27411</v>
      </c>
      <c r="B581" s="2">
        <v>46092</v>
      </c>
      <c r="C581" s="1" t="s">
        <v>24</v>
      </c>
      <c r="D581" s="1">
        <f>MONTH(Tabela6[[#This Row],[DATA]])</f>
        <v>3</v>
      </c>
    </row>
    <row r="582" spans="1:4" x14ac:dyDescent="0.35">
      <c r="A582" s="1">
        <v>27412</v>
      </c>
      <c r="B582" s="2">
        <v>46092</v>
      </c>
      <c r="C582" s="1" t="s">
        <v>24</v>
      </c>
      <c r="D582" s="1">
        <f>MONTH(Tabela6[[#This Row],[DATA]])</f>
        <v>3</v>
      </c>
    </row>
    <row r="583" spans="1:4" x14ac:dyDescent="0.35">
      <c r="A583" s="1">
        <v>27413</v>
      </c>
      <c r="B583" s="2">
        <v>46092</v>
      </c>
      <c r="C583" s="1" t="s">
        <v>24</v>
      </c>
      <c r="D583" s="1">
        <f>MONTH(Tabela6[[#This Row],[DATA]])</f>
        <v>3</v>
      </c>
    </row>
    <row r="584" spans="1:4" x14ac:dyDescent="0.35">
      <c r="A584" s="1">
        <v>27414</v>
      </c>
      <c r="B584" s="2">
        <v>46092</v>
      </c>
      <c r="C584" s="1" t="s">
        <v>28</v>
      </c>
      <c r="D584" s="1">
        <f>MONTH(Tabela6[[#This Row],[DATA]])</f>
        <v>3</v>
      </c>
    </row>
    <row r="585" spans="1:4" x14ac:dyDescent="0.35">
      <c r="A585" s="1">
        <v>27415</v>
      </c>
      <c r="B585" s="2">
        <v>46092</v>
      </c>
      <c r="C585" s="1" t="s">
        <v>28</v>
      </c>
      <c r="D585" s="1">
        <f>MONTH(Tabela6[[#This Row],[DATA]])</f>
        <v>3</v>
      </c>
    </row>
    <row r="586" spans="1:4" x14ac:dyDescent="0.35">
      <c r="A586" s="1">
        <v>27416</v>
      </c>
      <c r="B586" s="2">
        <v>46092</v>
      </c>
      <c r="C586" s="1" t="s">
        <v>28</v>
      </c>
      <c r="D586" s="1">
        <f>MONTH(Tabela6[[#This Row],[DATA]])</f>
        <v>3</v>
      </c>
    </row>
    <row r="587" spans="1:4" x14ac:dyDescent="0.35">
      <c r="A587" s="1">
        <v>27417</v>
      </c>
      <c r="B587" s="2">
        <v>46092</v>
      </c>
      <c r="C587" s="1" t="s">
        <v>28</v>
      </c>
      <c r="D587" s="1">
        <f>MONTH(Tabela6[[#This Row],[DATA]])</f>
        <v>3</v>
      </c>
    </row>
    <row r="588" spans="1:4" x14ac:dyDescent="0.35">
      <c r="A588" s="1">
        <v>27418</v>
      </c>
      <c r="B588" s="2">
        <v>46092</v>
      </c>
      <c r="C588" s="1" t="s">
        <v>28</v>
      </c>
      <c r="D588" s="1">
        <f>MONTH(Tabela6[[#This Row],[DATA]])</f>
        <v>3</v>
      </c>
    </row>
    <row r="589" spans="1:4" x14ac:dyDescent="0.35">
      <c r="A589" s="1">
        <v>27419</v>
      </c>
      <c r="B589" s="2">
        <v>46092</v>
      </c>
      <c r="C589" s="1" t="s">
        <v>28</v>
      </c>
      <c r="D589" s="1">
        <f>MONTH(Tabela6[[#This Row],[DATA]])</f>
        <v>3</v>
      </c>
    </row>
    <row r="590" spans="1:4" x14ac:dyDescent="0.35">
      <c r="A590" s="1">
        <v>27420</v>
      </c>
      <c r="B590" s="2">
        <v>46092</v>
      </c>
      <c r="C590" s="1" t="s">
        <v>9</v>
      </c>
      <c r="D590" s="1">
        <f>MONTH(Tabela6[[#This Row],[DATA]])</f>
        <v>3</v>
      </c>
    </row>
    <row r="591" spans="1:4" x14ac:dyDescent="0.35">
      <c r="A591" s="1">
        <v>27421</v>
      </c>
      <c r="B591" s="2">
        <v>46092</v>
      </c>
      <c r="C591" s="1" t="s">
        <v>9</v>
      </c>
      <c r="D591" s="1">
        <f>MONTH(Tabela6[[#This Row],[DATA]])</f>
        <v>3</v>
      </c>
    </row>
    <row r="592" spans="1:4" x14ac:dyDescent="0.35">
      <c r="A592" s="1">
        <v>27422</v>
      </c>
      <c r="B592" s="2">
        <v>46092</v>
      </c>
      <c r="C592" s="1" t="s">
        <v>9</v>
      </c>
      <c r="D592" s="1">
        <f>MONTH(Tabela6[[#This Row],[DATA]])</f>
        <v>3</v>
      </c>
    </row>
    <row r="593" spans="1:4" x14ac:dyDescent="0.35">
      <c r="A593" s="1">
        <v>27423</v>
      </c>
      <c r="B593" s="2">
        <v>46092</v>
      </c>
      <c r="C593" s="1" t="s">
        <v>9</v>
      </c>
      <c r="D593" s="1">
        <f>MONTH(Tabela6[[#This Row],[DATA]])</f>
        <v>3</v>
      </c>
    </row>
    <row r="594" spans="1:4" x14ac:dyDescent="0.35">
      <c r="A594" s="1">
        <v>27424</v>
      </c>
      <c r="B594" s="2">
        <v>46092</v>
      </c>
      <c r="C594" s="1" t="s">
        <v>9</v>
      </c>
      <c r="D594" s="1">
        <f>MONTH(Tabela6[[#This Row],[DATA]])</f>
        <v>3</v>
      </c>
    </row>
    <row r="595" spans="1:4" x14ac:dyDescent="0.35">
      <c r="A595" s="1">
        <v>27425</v>
      </c>
      <c r="B595" s="2">
        <v>46092</v>
      </c>
      <c r="C595" s="1" t="s">
        <v>9</v>
      </c>
      <c r="D595" s="1">
        <f>MONTH(Tabela6[[#This Row],[DATA]])</f>
        <v>3</v>
      </c>
    </row>
    <row r="596" spans="1:4" x14ac:dyDescent="0.35">
      <c r="A596" s="1">
        <v>27426</v>
      </c>
      <c r="B596" s="2">
        <v>46093</v>
      </c>
      <c r="C596" s="1" t="s">
        <v>22</v>
      </c>
      <c r="D596" s="1">
        <f>MONTH(Tabela6[[#This Row],[DATA]])</f>
        <v>3</v>
      </c>
    </row>
    <row r="597" spans="1:4" x14ac:dyDescent="0.35">
      <c r="A597" s="1">
        <v>27427</v>
      </c>
      <c r="B597" s="2">
        <v>46093</v>
      </c>
      <c r="C597" s="1" t="s">
        <v>22</v>
      </c>
      <c r="D597" s="1">
        <f>MONTH(Tabela6[[#This Row],[DATA]])</f>
        <v>3</v>
      </c>
    </row>
    <row r="598" spans="1:4" x14ac:dyDescent="0.35">
      <c r="A598" s="1">
        <v>27428</v>
      </c>
      <c r="B598" s="2">
        <v>46093</v>
      </c>
      <c r="C598" s="1" t="s">
        <v>22</v>
      </c>
      <c r="D598" s="1">
        <f>MONTH(Tabela6[[#This Row],[DATA]])</f>
        <v>3</v>
      </c>
    </row>
    <row r="599" spans="1:4" x14ac:dyDescent="0.35">
      <c r="A599" s="1">
        <v>27429</v>
      </c>
      <c r="B599" s="2">
        <v>46093</v>
      </c>
      <c r="C599" s="1" t="s">
        <v>22</v>
      </c>
      <c r="D599" s="1">
        <f>MONTH(Tabela6[[#This Row],[DATA]])</f>
        <v>3</v>
      </c>
    </row>
    <row r="600" spans="1:4" x14ac:dyDescent="0.35">
      <c r="A600" s="1">
        <v>27430</v>
      </c>
      <c r="B600" s="2">
        <v>46093</v>
      </c>
      <c r="C600" s="1" t="s">
        <v>22</v>
      </c>
      <c r="D600" s="1">
        <f>MONTH(Tabela6[[#This Row],[DATA]])</f>
        <v>3</v>
      </c>
    </row>
    <row r="601" spans="1:4" x14ac:dyDescent="0.35">
      <c r="A601" s="1">
        <v>27431</v>
      </c>
      <c r="B601" s="2">
        <v>46093</v>
      </c>
      <c r="C601" s="1" t="s">
        <v>22</v>
      </c>
      <c r="D601" s="1">
        <f>MONTH(Tabela6[[#This Row],[DATA]])</f>
        <v>3</v>
      </c>
    </row>
    <row r="602" spans="1:4" x14ac:dyDescent="0.35">
      <c r="A602" s="1">
        <v>27432</v>
      </c>
      <c r="B602" s="2">
        <v>46093</v>
      </c>
      <c r="C602" s="1" t="s">
        <v>22</v>
      </c>
      <c r="D602" s="1">
        <f>MONTH(Tabela6[[#This Row],[DATA]])</f>
        <v>3</v>
      </c>
    </row>
    <row r="603" spans="1:4" x14ac:dyDescent="0.35">
      <c r="A603" s="1">
        <v>27433</v>
      </c>
      <c r="B603" s="2">
        <v>46093</v>
      </c>
      <c r="C603" s="1" t="s">
        <v>22</v>
      </c>
      <c r="D603" s="1">
        <f>MONTH(Tabela6[[#This Row],[DATA]])</f>
        <v>3</v>
      </c>
    </row>
    <row r="604" spans="1:4" x14ac:dyDescent="0.35">
      <c r="A604" s="1">
        <v>27434</v>
      </c>
      <c r="B604" s="2">
        <v>46093</v>
      </c>
      <c r="C604" s="1" t="s">
        <v>22</v>
      </c>
      <c r="D604" s="1">
        <f>MONTH(Tabela6[[#This Row],[DATA]])</f>
        <v>3</v>
      </c>
    </row>
    <row r="605" spans="1:4" x14ac:dyDescent="0.35">
      <c r="A605" s="1">
        <v>27435</v>
      </c>
      <c r="B605" s="2">
        <v>46093</v>
      </c>
      <c r="C605" s="1" t="s">
        <v>22</v>
      </c>
      <c r="D605" s="1">
        <f>MONTH(Tabela6[[#This Row],[DATA]])</f>
        <v>3</v>
      </c>
    </row>
    <row r="606" spans="1:4" x14ac:dyDescent="0.35">
      <c r="A606" s="1">
        <v>27457</v>
      </c>
      <c r="B606" s="2">
        <v>46093</v>
      </c>
      <c r="C606" s="1" t="s">
        <v>24</v>
      </c>
      <c r="D606" s="1">
        <f>MONTH(Tabela6[[#This Row],[DATA]])</f>
        <v>3</v>
      </c>
    </row>
    <row r="607" spans="1:4" x14ac:dyDescent="0.35">
      <c r="A607" s="1">
        <v>27458</v>
      </c>
      <c r="B607" s="2">
        <v>46093</v>
      </c>
      <c r="C607" s="1" t="s">
        <v>24</v>
      </c>
      <c r="D607" s="1">
        <f>MONTH(Tabela6[[#This Row],[DATA]])</f>
        <v>3</v>
      </c>
    </row>
    <row r="608" spans="1:4" x14ac:dyDescent="0.35">
      <c r="A608" s="1">
        <v>27459</v>
      </c>
      <c r="B608" s="2">
        <v>46093</v>
      </c>
      <c r="C608" s="1" t="s">
        <v>24</v>
      </c>
      <c r="D608" s="1">
        <f>MONTH(Tabela6[[#This Row],[DATA]])</f>
        <v>3</v>
      </c>
    </row>
    <row r="609" spans="1:4" x14ac:dyDescent="0.35">
      <c r="A609" s="1">
        <v>27460</v>
      </c>
      <c r="B609" s="2">
        <v>46093</v>
      </c>
      <c r="C609" s="1" t="s">
        <v>24</v>
      </c>
      <c r="D609" s="1">
        <f>MONTH(Tabela6[[#This Row],[DATA]])</f>
        <v>3</v>
      </c>
    </row>
    <row r="610" spans="1:4" x14ac:dyDescent="0.35">
      <c r="A610" s="1">
        <v>27461</v>
      </c>
      <c r="B610" s="2">
        <v>46093</v>
      </c>
      <c r="C610" s="1" t="s">
        <v>24</v>
      </c>
      <c r="D610" s="1">
        <f>MONTH(Tabela6[[#This Row],[DATA]])</f>
        <v>3</v>
      </c>
    </row>
    <row r="611" spans="1:4" x14ac:dyDescent="0.35">
      <c r="A611" s="1">
        <v>27462</v>
      </c>
      <c r="B611" s="2">
        <v>46093</v>
      </c>
      <c r="C611" s="1" t="s">
        <v>24</v>
      </c>
      <c r="D611" s="1">
        <f>MONTH(Tabela6[[#This Row],[DATA]])</f>
        <v>3</v>
      </c>
    </row>
    <row r="612" spans="1:4" x14ac:dyDescent="0.35">
      <c r="A612" s="1">
        <v>27463</v>
      </c>
      <c r="B612" s="2">
        <v>46093</v>
      </c>
      <c r="C612" s="1" t="s">
        <v>33</v>
      </c>
      <c r="D612" s="1">
        <f>MONTH(Tabela6[[#This Row],[DATA]])</f>
        <v>3</v>
      </c>
    </row>
    <row r="613" spans="1:4" x14ac:dyDescent="0.35">
      <c r="A613" s="1">
        <v>27464</v>
      </c>
      <c r="B613" s="2">
        <v>46093</v>
      </c>
      <c r="C613" s="1" t="s">
        <v>33</v>
      </c>
      <c r="D613" s="1">
        <f>MONTH(Tabela6[[#This Row],[DATA]])</f>
        <v>3</v>
      </c>
    </row>
    <row r="614" spans="1:4" x14ac:dyDescent="0.35">
      <c r="A614" s="1">
        <v>27465</v>
      </c>
      <c r="B614" s="2">
        <v>46093</v>
      </c>
      <c r="C614" s="1" t="s">
        <v>33</v>
      </c>
      <c r="D614" s="1">
        <f>MONTH(Tabela6[[#This Row],[DATA]])</f>
        <v>3</v>
      </c>
    </row>
    <row r="615" spans="1:4" x14ac:dyDescent="0.35">
      <c r="A615" s="1">
        <v>27466</v>
      </c>
      <c r="B615" s="2">
        <v>46093</v>
      </c>
      <c r="C615" s="1" t="s">
        <v>33</v>
      </c>
      <c r="D615" s="1">
        <f>MONTH(Tabela6[[#This Row],[DATA]])</f>
        <v>3</v>
      </c>
    </row>
    <row r="616" spans="1:4" x14ac:dyDescent="0.35">
      <c r="A616" s="1">
        <v>27467</v>
      </c>
      <c r="B616" s="2">
        <v>46093</v>
      </c>
      <c r="C616" s="1" t="s">
        <v>33</v>
      </c>
      <c r="D616" s="1">
        <f>MONTH(Tabela6[[#This Row],[DATA]])</f>
        <v>3</v>
      </c>
    </row>
    <row r="617" spans="1:4" x14ac:dyDescent="0.35">
      <c r="A617" s="1">
        <v>27468</v>
      </c>
      <c r="B617" s="2">
        <v>46093</v>
      </c>
      <c r="C617" s="1" t="s">
        <v>33</v>
      </c>
      <c r="D617" s="1">
        <f>MONTH(Tabela6[[#This Row],[DATA]])</f>
        <v>3</v>
      </c>
    </row>
    <row r="618" spans="1:4" x14ac:dyDescent="0.35">
      <c r="A618" s="1">
        <v>27486</v>
      </c>
      <c r="B618" s="2">
        <v>46093</v>
      </c>
      <c r="C618" s="1" t="s">
        <v>21</v>
      </c>
      <c r="D618" s="1">
        <f>MONTH(Tabela6[[#This Row],[DATA]])</f>
        <v>3</v>
      </c>
    </row>
    <row r="619" spans="1:4" x14ac:dyDescent="0.35">
      <c r="A619" s="1">
        <v>27487</v>
      </c>
      <c r="B619" s="2">
        <v>46093</v>
      </c>
      <c r="C619" s="1" t="s">
        <v>21</v>
      </c>
      <c r="D619" s="1">
        <f>MONTH(Tabela6[[#This Row],[DATA]])</f>
        <v>3</v>
      </c>
    </row>
    <row r="620" spans="1:4" x14ac:dyDescent="0.35">
      <c r="A620" s="1">
        <v>27488</v>
      </c>
      <c r="B620" s="2">
        <v>46093</v>
      </c>
      <c r="C620" s="1" t="s">
        <v>21</v>
      </c>
      <c r="D620" s="1">
        <f>MONTH(Tabela6[[#This Row],[DATA]])</f>
        <v>3</v>
      </c>
    </row>
    <row r="621" spans="1:4" x14ac:dyDescent="0.35">
      <c r="A621" s="1">
        <v>27494</v>
      </c>
      <c r="B621" s="2">
        <v>46093</v>
      </c>
      <c r="C621" s="1" t="s">
        <v>9</v>
      </c>
      <c r="D621" s="1">
        <f>MONTH(Tabela6[[#This Row],[DATA]])</f>
        <v>3</v>
      </c>
    </row>
    <row r="622" spans="1:4" x14ac:dyDescent="0.35">
      <c r="A622" s="1">
        <v>27495</v>
      </c>
      <c r="B622" s="2">
        <v>46093</v>
      </c>
      <c r="C622" s="1" t="s">
        <v>9</v>
      </c>
      <c r="D622" s="1">
        <f>MONTH(Tabela6[[#This Row],[DATA]])</f>
        <v>3</v>
      </c>
    </row>
    <row r="623" spans="1:4" x14ac:dyDescent="0.35">
      <c r="A623" s="1">
        <v>27496</v>
      </c>
      <c r="B623" s="2">
        <v>46093</v>
      </c>
      <c r="C623" s="1" t="s">
        <v>9</v>
      </c>
      <c r="D623" s="1">
        <f>MONTH(Tabela6[[#This Row],[DATA]])</f>
        <v>3</v>
      </c>
    </row>
    <row r="624" spans="1:4" x14ac:dyDescent="0.35">
      <c r="A624" s="1">
        <v>27497</v>
      </c>
      <c r="B624" s="2">
        <v>46093</v>
      </c>
      <c r="C624" s="1" t="s">
        <v>28</v>
      </c>
      <c r="D624" s="1">
        <f>MONTH(Tabela6[[#This Row],[DATA]])</f>
        <v>3</v>
      </c>
    </row>
    <row r="625" spans="1:4" x14ac:dyDescent="0.35">
      <c r="A625" s="1">
        <v>27498</v>
      </c>
      <c r="B625" s="2">
        <v>46093</v>
      </c>
      <c r="C625" s="1" t="s">
        <v>28</v>
      </c>
      <c r="D625" s="1">
        <f>MONTH(Tabela6[[#This Row],[DATA]])</f>
        <v>3</v>
      </c>
    </row>
    <row r="626" spans="1:4" x14ac:dyDescent="0.35">
      <c r="A626" s="1">
        <v>27499</v>
      </c>
      <c r="B626" s="2">
        <v>46093</v>
      </c>
      <c r="C626" s="1" t="s">
        <v>28</v>
      </c>
      <c r="D626" s="1">
        <f>MONTH(Tabela6[[#This Row],[DATA]])</f>
        <v>3</v>
      </c>
    </row>
    <row r="627" spans="1:4" x14ac:dyDescent="0.35">
      <c r="A627" s="1">
        <v>27500</v>
      </c>
      <c r="B627" s="2">
        <v>46093</v>
      </c>
      <c r="C627" s="1" t="s">
        <v>28</v>
      </c>
      <c r="D627" s="1">
        <f>MONTH(Tabela6[[#This Row],[DATA]])</f>
        <v>3</v>
      </c>
    </row>
    <row r="628" spans="1:4" x14ac:dyDescent="0.35">
      <c r="A628" s="1">
        <v>27501</v>
      </c>
      <c r="B628" s="2">
        <v>46093</v>
      </c>
      <c r="C628" s="1" t="s">
        <v>28</v>
      </c>
      <c r="D628" s="1">
        <f>MONTH(Tabela6[[#This Row],[DATA]])</f>
        <v>3</v>
      </c>
    </row>
    <row r="629" spans="1:4" x14ac:dyDescent="0.35">
      <c r="A629" s="1">
        <v>27502</v>
      </c>
      <c r="B629" s="2">
        <v>46093</v>
      </c>
      <c r="C629" s="1" t="s">
        <v>28</v>
      </c>
      <c r="D629" s="1">
        <f>MONTH(Tabela6[[#This Row],[DATA]])</f>
        <v>3</v>
      </c>
    </row>
    <row r="630" spans="1:4" x14ac:dyDescent="0.35">
      <c r="A630" s="1">
        <v>27503</v>
      </c>
      <c r="B630" s="2">
        <v>46093</v>
      </c>
      <c r="C630" s="1" t="s">
        <v>28</v>
      </c>
      <c r="D630" s="1">
        <f>MONTH(Tabela6[[#This Row],[DATA]])</f>
        <v>3</v>
      </c>
    </row>
    <row r="631" spans="1:4" x14ac:dyDescent="0.35">
      <c r="A631" s="1">
        <v>27504</v>
      </c>
      <c r="B631" s="2">
        <v>46093</v>
      </c>
      <c r="C631" s="1" t="s">
        <v>28</v>
      </c>
      <c r="D631" s="1">
        <f>MONTH(Tabela6[[#This Row],[DATA]])</f>
        <v>3</v>
      </c>
    </row>
    <row r="632" spans="1:4" x14ac:dyDescent="0.35">
      <c r="A632" s="1">
        <v>27505</v>
      </c>
      <c r="B632" s="2">
        <v>46093</v>
      </c>
      <c r="C632" s="1" t="s">
        <v>28</v>
      </c>
      <c r="D632" s="1">
        <f>MONTH(Tabela6[[#This Row],[DATA]])</f>
        <v>3</v>
      </c>
    </row>
    <row r="633" spans="1:4" x14ac:dyDescent="0.35">
      <c r="A633" s="1">
        <v>27506</v>
      </c>
      <c r="B633" s="2">
        <v>46093</v>
      </c>
      <c r="C633" s="1" t="s">
        <v>28</v>
      </c>
      <c r="D633" s="1">
        <f>MONTH(Tabela6[[#This Row],[DATA]])</f>
        <v>3</v>
      </c>
    </row>
    <row r="634" spans="1:4" x14ac:dyDescent="0.35">
      <c r="A634" s="1">
        <v>27507</v>
      </c>
      <c r="B634" s="2">
        <v>46093</v>
      </c>
      <c r="C634" s="1" t="s">
        <v>28</v>
      </c>
      <c r="D634" s="1">
        <f>MONTH(Tabela6[[#This Row],[DATA]])</f>
        <v>3</v>
      </c>
    </row>
    <row r="635" spans="1:4" x14ac:dyDescent="0.35">
      <c r="A635" s="1">
        <v>27508</v>
      </c>
      <c r="B635" s="2">
        <v>46093</v>
      </c>
      <c r="C635" s="1" t="s">
        <v>28</v>
      </c>
      <c r="D635" s="1">
        <f>MONTH(Tabela6[[#This Row],[DATA]])</f>
        <v>3</v>
      </c>
    </row>
    <row r="636" spans="1:4" x14ac:dyDescent="0.35">
      <c r="A636" s="1">
        <v>27509</v>
      </c>
      <c r="B636" s="2">
        <v>46093</v>
      </c>
      <c r="C636" s="1" t="s">
        <v>28</v>
      </c>
      <c r="D636" s="1">
        <f>MONTH(Tabela6[[#This Row],[DATA]])</f>
        <v>3</v>
      </c>
    </row>
    <row r="637" spans="1:4" x14ac:dyDescent="0.35">
      <c r="A637" s="1">
        <v>27510</v>
      </c>
      <c r="B637" s="2">
        <v>46093</v>
      </c>
      <c r="C637" s="1" t="s">
        <v>28</v>
      </c>
      <c r="D637" s="1">
        <f>MONTH(Tabela6[[#This Row],[DATA]])</f>
        <v>3</v>
      </c>
    </row>
    <row r="638" spans="1:4" x14ac:dyDescent="0.35">
      <c r="A638" s="1">
        <v>27511</v>
      </c>
      <c r="B638" s="2">
        <v>46093</v>
      </c>
      <c r="C638" s="1" t="s">
        <v>28</v>
      </c>
      <c r="D638" s="1">
        <f>MONTH(Tabela6[[#This Row],[DATA]])</f>
        <v>3</v>
      </c>
    </row>
    <row r="639" spans="1:4" x14ac:dyDescent="0.35">
      <c r="A639" s="1">
        <v>27512</v>
      </c>
      <c r="B639" s="2">
        <v>46093</v>
      </c>
      <c r="C639" s="1" t="s">
        <v>28</v>
      </c>
      <c r="D639" s="1">
        <f>MONTH(Tabela6[[#This Row],[DATA]])</f>
        <v>3</v>
      </c>
    </row>
    <row r="640" spans="1:4" x14ac:dyDescent="0.35">
      <c r="A640" s="1">
        <v>27529</v>
      </c>
      <c r="B640" s="2">
        <v>46094</v>
      </c>
      <c r="C640" s="1" t="s">
        <v>33</v>
      </c>
      <c r="D640" s="1">
        <f>MONTH(Tabela6[[#This Row],[DATA]])</f>
        <v>3</v>
      </c>
    </row>
    <row r="641" spans="1:4" x14ac:dyDescent="0.35">
      <c r="A641" s="1">
        <v>27530</v>
      </c>
      <c r="B641" s="2">
        <v>46094</v>
      </c>
      <c r="C641" s="1" t="s">
        <v>33</v>
      </c>
      <c r="D641" s="1">
        <f>MONTH(Tabela6[[#This Row],[DATA]])</f>
        <v>3</v>
      </c>
    </row>
    <row r="642" spans="1:4" x14ac:dyDescent="0.35">
      <c r="A642" s="1">
        <v>27531</v>
      </c>
      <c r="B642" s="2">
        <v>46094</v>
      </c>
      <c r="C642" s="1" t="s">
        <v>33</v>
      </c>
      <c r="D642" s="1">
        <f>MONTH(Tabela6[[#This Row],[DATA]])</f>
        <v>3</v>
      </c>
    </row>
    <row r="643" spans="1:4" x14ac:dyDescent="0.35">
      <c r="A643" s="1">
        <v>27532</v>
      </c>
      <c r="B643" s="2">
        <v>46094</v>
      </c>
      <c r="C643" s="1" t="s">
        <v>33</v>
      </c>
      <c r="D643" s="1">
        <f>MONTH(Tabela6[[#This Row],[DATA]])</f>
        <v>3</v>
      </c>
    </row>
    <row r="644" spans="1:4" x14ac:dyDescent="0.35">
      <c r="A644" s="1">
        <v>27533</v>
      </c>
      <c r="B644" s="2">
        <v>46094</v>
      </c>
      <c r="C644" s="1" t="s">
        <v>21</v>
      </c>
      <c r="D644" s="1">
        <f>MONTH(Tabela6[[#This Row],[DATA]])</f>
        <v>3</v>
      </c>
    </row>
    <row r="645" spans="1:4" x14ac:dyDescent="0.35">
      <c r="A645" s="1">
        <v>27564</v>
      </c>
      <c r="B645" s="2">
        <v>46097</v>
      </c>
      <c r="C645" s="1" t="s">
        <v>28</v>
      </c>
      <c r="D645" s="1">
        <f>MONTH(Tabela6[[#This Row],[DATA]])</f>
        <v>3</v>
      </c>
    </row>
    <row r="646" spans="1:4" x14ac:dyDescent="0.35">
      <c r="A646" s="1">
        <v>27565</v>
      </c>
      <c r="B646" s="2">
        <v>46097</v>
      </c>
      <c r="C646" s="1" t="s">
        <v>9</v>
      </c>
      <c r="D646" s="1">
        <f>MONTH(Tabela6[[#This Row],[DATA]])</f>
        <v>3</v>
      </c>
    </row>
    <row r="647" spans="1:4" x14ac:dyDescent="0.35">
      <c r="A647" s="1">
        <v>27566</v>
      </c>
      <c r="B647" s="2">
        <v>46097</v>
      </c>
      <c r="C647" s="1" t="s">
        <v>9</v>
      </c>
      <c r="D647" s="1">
        <f>MONTH(Tabela6[[#This Row],[DATA]])</f>
        <v>3</v>
      </c>
    </row>
    <row r="648" spans="1:4" x14ac:dyDescent="0.35">
      <c r="A648" s="1">
        <v>27567</v>
      </c>
      <c r="B648" s="2">
        <v>46097</v>
      </c>
      <c r="C648" s="1" t="s">
        <v>9</v>
      </c>
      <c r="D648" s="1">
        <f>MONTH(Tabela6[[#This Row],[DATA]])</f>
        <v>3</v>
      </c>
    </row>
    <row r="649" spans="1:4" x14ac:dyDescent="0.35">
      <c r="A649" s="1">
        <v>27568</v>
      </c>
      <c r="B649" s="2">
        <v>46097</v>
      </c>
      <c r="C649" s="1" t="s">
        <v>9</v>
      </c>
      <c r="D649" s="1">
        <f>MONTH(Tabela6[[#This Row],[DATA]])</f>
        <v>3</v>
      </c>
    </row>
    <row r="650" spans="1:4" x14ac:dyDescent="0.35">
      <c r="A650" s="1">
        <v>27569</v>
      </c>
      <c r="B650" s="2">
        <v>46097</v>
      </c>
      <c r="C650" s="1" t="s">
        <v>9</v>
      </c>
      <c r="D650" s="1">
        <f>MONTH(Tabela6[[#This Row],[DATA]])</f>
        <v>3</v>
      </c>
    </row>
    <row r="651" spans="1:4" x14ac:dyDescent="0.35">
      <c r="A651" s="1">
        <v>27570</v>
      </c>
      <c r="B651" s="2">
        <v>46097</v>
      </c>
      <c r="C651" s="1" t="s">
        <v>9</v>
      </c>
      <c r="D651" s="1">
        <f>MONTH(Tabela6[[#This Row],[DATA]])</f>
        <v>3</v>
      </c>
    </row>
    <row r="652" spans="1:4" x14ac:dyDescent="0.35">
      <c r="A652" s="1">
        <v>27577</v>
      </c>
      <c r="B652" s="2">
        <v>46098</v>
      </c>
      <c r="C652" s="1" t="s">
        <v>28</v>
      </c>
      <c r="D652" s="1">
        <f>MONTH(Tabela6[[#This Row],[DATA]])</f>
        <v>3</v>
      </c>
    </row>
    <row r="653" spans="1:4" x14ac:dyDescent="0.35">
      <c r="A653" s="1">
        <v>27588</v>
      </c>
      <c r="B653" s="2">
        <v>46098</v>
      </c>
      <c r="C653" s="1" t="s">
        <v>5</v>
      </c>
      <c r="D653" s="1">
        <f>MONTH(Tabela6[[#This Row],[DATA]])</f>
        <v>3</v>
      </c>
    </row>
    <row r="654" spans="1:4" x14ac:dyDescent="0.35">
      <c r="A654" s="1">
        <v>27589</v>
      </c>
      <c r="B654" s="2">
        <v>46098</v>
      </c>
      <c r="C654" s="1" t="s">
        <v>5</v>
      </c>
      <c r="D654" s="1">
        <f>MONTH(Tabela6[[#This Row],[DATA]])</f>
        <v>3</v>
      </c>
    </row>
    <row r="655" spans="1:4" x14ac:dyDescent="0.35">
      <c r="A655" s="1">
        <v>27590</v>
      </c>
      <c r="B655" s="2">
        <v>46098</v>
      </c>
      <c r="C655" s="1" t="s">
        <v>5</v>
      </c>
      <c r="D655" s="1">
        <f>MONTH(Tabela6[[#This Row],[DATA]])</f>
        <v>3</v>
      </c>
    </row>
    <row r="656" spans="1:4" x14ac:dyDescent="0.35">
      <c r="A656" s="1">
        <v>27591</v>
      </c>
      <c r="B656" s="2">
        <v>46098</v>
      </c>
      <c r="C656" s="1" t="s">
        <v>5</v>
      </c>
      <c r="D656" s="1">
        <f>MONTH(Tabela6[[#This Row],[DATA]])</f>
        <v>3</v>
      </c>
    </row>
    <row r="657" spans="1:4" x14ac:dyDescent="0.35">
      <c r="A657" s="1">
        <v>27592</v>
      </c>
      <c r="B657" s="2">
        <v>46098</v>
      </c>
      <c r="C657" s="1" t="s">
        <v>5</v>
      </c>
      <c r="D657" s="1">
        <f>MONTH(Tabela6[[#This Row],[DATA]])</f>
        <v>3</v>
      </c>
    </row>
    <row r="658" spans="1:4" x14ac:dyDescent="0.35">
      <c r="A658" s="1">
        <v>27593</v>
      </c>
      <c r="B658" s="2">
        <v>46098</v>
      </c>
      <c r="C658" s="1" t="s">
        <v>5</v>
      </c>
      <c r="D658" s="1">
        <f>MONTH(Tabela6[[#This Row],[DATA]])</f>
        <v>3</v>
      </c>
    </row>
    <row r="659" spans="1:4" x14ac:dyDescent="0.35">
      <c r="A659" s="1">
        <v>27594</v>
      </c>
      <c r="B659" s="2">
        <v>46098</v>
      </c>
      <c r="C659" s="1" t="s">
        <v>5</v>
      </c>
      <c r="D659" s="1">
        <f>MONTH(Tabela6[[#This Row],[DATA]])</f>
        <v>3</v>
      </c>
    </row>
    <row r="660" spans="1:4" x14ac:dyDescent="0.35">
      <c r="A660" s="1">
        <v>27595</v>
      </c>
      <c r="B660" s="2">
        <v>46098</v>
      </c>
      <c r="C660" s="1" t="s">
        <v>5</v>
      </c>
      <c r="D660" s="1">
        <f>MONTH(Tabela6[[#This Row],[DATA]])</f>
        <v>3</v>
      </c>
    </row>
    <row r="661" spans="1:4" x14ac:dyDescent="0.35">
      <c r="A661" s="1">
        <v>27596</v>
      </c>
      <c r="B661" s="2">
        <v>46098</v>
      </c>
      <c r="C661" s="1" t="s">
        <v>5</v>
      </c>
      <c r="D661" s="1">
        <f>MONTH(Tabela6[[#This Row],[DATA]])</f>
        <v>3</v>
      </c>
    </row>
    <row r="662" spans="1:4" x14ac:dyDescent="0.35">
      <c r="A662" s="1">
        <v>27597</v>
      </c>
      <c r="B662" s="2">
        <v>46098</v>
      </c>
      <c r="C662" s="1" t="s">
        <v>21</v>
      </c>
      <c r="D662" s="1">
        <f>MONTH(Tabela6[[#This Row],[DATA]])</f>
        <v>3</v>
      </c>
    </row>
    <row r="663" spans="1:4" x14ac:dyDescent="0.35">
      <c r="A663" s="1">
        <v>27600</v>
      </c>
      <c r="B663" s="2">
        <v>46098</v>
      </c>
      <c r="C663" s="1" t="s">
        <v>21</v>
      </c>
      <c r="D663" s="1">
        <f>MONTH(Tabela6[[#This Row],[DATA]])</f>
        <v>3</v>
      </c>
    </row>
    <row r="664" spans="1:4" x14ac:dyDescent="0.35">
      <c r="A664" s="1">
        <v>27601</v>
      </c>
      <c r="B664" s="2">
        <v>46098</v>
      </c>
      <c r="C664" s="1" t="s">
        <v>21</v>
      </c>
      <c r="D664" s="1">
        <f>MONTH(Tabela6[[#This Row],[DATA]])</f>
        <v>3</v>
      </c>
    </row>
    <row r="665" spans="1:4" x14ac:dyDescent="0.35">
      <c r="A665" s="1">
        <v>27602</v>
      </c>
      <c r="B665" s="2">
        <v>46098</v>
      </c>
      <c r="C665" s="1" t="s">
        <v>21</v>
      </c>
      <c r="D665" s="1">
        <f>MONTH(Tabela6[[#This Row],[DATA]])</f>
        <v>3</v>
      </c>
    </row>
    <row r="666" spans="1:4" x14ac:dyDescent="0.35">
      <c r="A666" s="1">
        <v>27603</v>
      </c>
      <c r="B666" s="2">
        <v>46098</v>
      </c>
      <c r="C666" s="1" t="s">
        <v>21</v>
      </c>
      <c r="D666" s="1">
        <f>MONTH(Tabela6[[#This Row],[DATA]])</f>
        <v>3</v>
      </c>
    </row>
    <row r="667" spans="1:4" x14ac:dyDescent="0.35">
      <c r="A667" s="1">
        <v>27604</v>
      </c>
      <c r="B667" s="2">
        <v>46098</v>
      </c>
      <c r="C667" s="1" t="s">
        <v>9</v>
      </c>
      <c r="D667" s="1">
        <f>MONTH(Tabela6[[#This Row],[DATA]])</f>
        <v>3</v>
      </c>
    </row>
    <row r="668" spans="1:4" x14ac:dyDescent="0.35">
      <c r="A668" s="1">
        <v>27605</v>
      </c>
      <c r="B668" s="2">
        <v>46098</v>
      </c>
      <c r="C668" s="1" t="s">
        <v>9</v>
      </c>
      <c r="D668" s="1">
        <f>MONTH(Tabela6[[#This Row],[DATA]])</f>
        <v>3</v>
      </c>
    </row>
    <row r="669" spans="1:4" x14ac:dyDescent="0.35">
      <c r="A669" s="1">
        <v>27606</v>
      </c>
      <c r="B669" s="2">
        <v>46098</v>
      </c>
      <c r="C669" s="1" t="s">
        <v>9</v>
      </c>
      <c r="D669" s="1">
        <f>MONTH(Tabela6[[#This Row],[DATA]])</f>
        <v>3</v>
      </c>
    </row>
    <row r="670" spans="1:4" x14ac:dyDescent="0.35">
      <c r="A670" s="1">
        <v>27607</v>
      </c>
      <c r="B670" s="2">
        <v>46098</v>
      </c>
      <c r="C670" s="1" t="s">
        <v>22</v>
      </c>
      <c r="D670" s="1">
        <f>MONTH(Tabela6[[#This Row],[DATA]])</f>
        <v>3</v>
      </c>
    </row>
    <row r="671" spans="1:4" x14ac:dyDescent="0.35">
      <c r="A671" s="1">
        <v>27608</v>
      </c>
      <c r="B671" s="2">
        <v>46098</v>
      </c>
      <c r="C671" s="1" t="s">
        <v>22</v>
      </c>
      <c r="D671" s="1">
        <f>MONTH(Tabela6[[#This Row],[DATA]])</f>
        <v>3</v>
      </c>
    </row>
    <row r="672" spans="1:4" x14ac:dyDescent="0.35">
      <c r="A672" s="1">
        <v>27609</v>
      </c>
      <c r="B672" s="2">
        <v>46098</v>
      </c>
      <c r="C672" s="1" t="s">
        <v>22</v>
      </c>
      <c r="D672" s="1">
        <f>MONTH(Tabela6[[#This Row],[DATA]])</f>
        <v>3</v>
      </c>
    </row>
    <row r="673" spans="1:4" x14ac:dyDescent="0.35">
      <c r="A673" s="1">
        <v>27610</v>
      </c>
      <c r="B673" s="2">
        <v>46098</v>
      </c>
      <c r="C673" s="1" t="s">
        <v>22</v>
      </c>
      <c r="D673" s="1">
        <f>MONTH(Tabela6[[#This Row],[DATA]])</f>
        <v>3</v>
      </c>
    </row>
    <row r="674" spans="1:4" x14ac:dyDescent="0.35">
      <c r="A674" s="1">
        <v>27611</v>
      </c>
      <c r="B674" s="2">
        <v>46098</v>
      </c>
      <c r="C674" s="1" t="s">
        <v>22</v>
      </c>
      <c r="D674" s="1">
        <f>MONTH(Tabela6[[#This Row],[DATA]])</f>
        <v>3</v>
      </c>
    </row>
    <row r="675" spans="1:4" x14ac:dyDescent="0.35">
      <c r="A675" s="1">
        <v>27612</v>
      </c>
      <c r="B675" s="2">
        <v>46098</v>
      </c>
      <c r="C675" s="1" t="s">
        <v>22</v>
      </c>
      <c r="D675" s="1">
        <f>MONTH(Tabela6[[#This Row],[DATA]])</f>
        <v>3</v>
      </c>
    </row>
    <row r="676" spans="1:4" x14ac:dyDescent="0.35">
      <c r="A676" s="1">
        <v>27613</v>
      </c>
      <c r="B676" s="2">
        <v>46098</v>
      </c>
      <c r="C676" s="1" t="s">
        <v>22</v>
      </c>
      <c r="D676" s="1">
        <f>MONTH(Tabela6[[#This Row],[DATA]])</f>
        <v>3</v>
      </c>
    </row>
    <row r="677" spans="1:4" x14ac:dyDescent="0.35">
      <c r="A677" s="1">
        <v>27614</v>
      </c>
      <c r="B677" s="2">
        <v>46098</v>
      </c>
      <c r="C677" s="1" t="s">
        <v>22</v>
      </c>
      <c r="D677" s="1">
        <f>MONTH(Tabela6[[#This Row],[DATA]])</f>
        <v>3</v>
      </c>
    </row>
    <row r="678" spans="1:4" x14ac:dyDescent="0.35">
      <c r="A678" s="1">
        <v>27615</v>
      </c>
      <c r="B678" s="2">
        <v>46098</v>
      </c>
      <c r="C678" s="1" t="s">
        <v>22</v>
      </c>
      <c r="D678" s="1">
        <f>MONTH(Tabela6[[#This Row],[DATA]])</f>
        <v>3</v>
      </c>
    </row>
    <row r="679" spans="1:4" x14ac:dyDescent="0.35">
      <c r="A679" s="1">
        <v>27616</v>
      </c>
      <c r="B679" s="2">
        <v>46098</v>
      </c>
      <c r="C679" s="1" t="s">
        <v>22</v>
      </c>
      <c r="D679" s="1">
        <f>MONTH(Tabela6[[#This Row],[DATA]])</f>
        <v>3</v>
      </c>
    </row>
    <row r="680" spans="1:4" x14ac:dyDescent="0.35">
      <c r="A680" s="1">
        <v>27617</v>
      </c>
      <c r="B680" s="2">
        <v>46098</v>
      </c>
      <c r="C680" s="1" t="s">
        <v>22</v>
      </c>
      <c r="D680" s="1">
        <f>MONTH(Tabela6[[#This Row],[DATA]])</f>
        <v>3</v>
      </c>
    </row>
    <row r="681" spans="1:4" x14ac:dyDescent="0.35">
      <c r="A681" s="1">
        <v>27618</v>
      </c>
      <c r="B681" s="2">
        <v>46098</v>
      </c>
      <c r="C681" s="1" t="s">
        <v>22</v>
      </c>
      <c r="D681" s="1">
        <f>MONTH(Tabela6[[#This Row],[DATA]])</f>
        <v>3</v>
      </c>
    </row>
    <row r="682" spans="1:4" x14ac:dyDescent="0.35">
      <c r="A682" s="1">
        <v>27619</v>
      </c>
      <c r="B682" s="2">
        <v>46098</v>
      </c>
      <c r="C682" s="1" t="s">
        <v>22</v>
      </c>
      <c r="D682" s="1">
        <f>MONTH(Tabela6[[#This Row],[DATA]])</f>
        <v>3</v>
      </c>
    </row>
    <row r="683" spans="1:4" x14ac:dyDescent="0.35">
      <c r="A683" s="1">
        <v>27620</v>
      </c>
      <c r="B683" s="2">
        <v>46098</v>
      </c>
      <c r="C683" s="1" t="s">
        <v>22</v>
      </c>
      <c r="D683" s="1">
        <f>MONTH(Tabela6[[#This Row],[DATA]])</f>
        <v>3</v>
      </c>
    </row>
    <row r="684" spans="1:4" x14ac:dyDescent="0.35">
      <c r="A684" s="1">
        <v>27621</v>
      </c>
      <c r="B684" s="2">
        <v>46099</v>
      </c>
      <c r="C684" s="1" t="s">
        <v>22</v>
      </c>
      <c r="D684" s="1">
        <f>MONTH(Tabela6[[#This Row],[DATA]])</f>
        <v>3</v>
      </c>
    </row>
    <row r="685" spans="1:4" x14ac:dyDescent="0.35">
      <c r="A685" s="1">
        <v>27622</v>
      </c>
      <c r="B685" s="2">
        <v>46099</v>
      </c>
      <c r="C685" s="1" t="s">
        <v>22</v>
      </c>
      <c r="D685" s="1">
        <f>MONTH(Tabela6[[#This Row],[DATA]])</f>
        <v>3</v>
      </c>
    </row>
    <row r="686" spans="1:4" x14ac:dyDescent="0.35">
      <c r="A686" s="1">
        <v>27623</v>
      </c>
      <c r="B686" s="2">
        <v>46099</v>
      </c>
      <c r="C686" s="1" t="s">
        <v>22</v>
      </c>
      <c r="D686" s="1">
        <f>MONTH(Tabela6[[#This Row],[DATA]])</f>
        <v>3</v>
      </c>
    </row>
    <row r="687" spans="1:4" x14ac:dyDescent="0.35">
      <c r="A687" s="1">
        <v>27624</v>
      </c>
      <c r="B687" s="2">
        <v>46099</v>
      </c>
      <c r="C687" s="1" t="s">
        <v>22</v>
      </c>
      <c r="D687" s="1">
        <f>MONTH(Tabela6[[#This Row],[DATA]])</f>
        <v>3</v>
      </c>
    </row>
    <row r="688" spans="1:4" x14ac:dyDescent="0.35">
      <c r="A688" s="1">
        <v>27625</v>
      </c>
      <c r="B688" s="2">
        <v>46099</v>
      </c>
      <c r="C688" s="1" t="s">
        <v>22</v>
      </c>
      <c r="D688" s="1">
        <f>MONTH(Tabela6[[#This Row],[DATA]])</f>
        <v>3</v>
      </c>
    </row>
    <row r="689" spans="1:4" x14ac:dyDescent="0.35">
      <c r="A689" s="1">
        <v>27626</v>
      </c>
      <c r="B689" s="2">
        <v>46099</v>
      </c>
      <c r="C689" s="1" t="s">
        <v>22</v>
      </c>
      <c r="D689" s="1">
        <f>MONTH(Tabela6[[#This Row],[DATA]])</f>
        <v>3</v>
      </c>
    </row>
    <row r="690" spans="1:4" x14ac:dyDescent="0.35">
      <c r="A690" s="1">
        <v>27627</v>
      </c>
      <c r="B690" s="2">
        <v>46099</v>
      </c>
      <c r="C690" s="1" t="s">
        <v>22</v>
      </c>
      <c r="D690" s="1">
        <f>MONTH(Tabela6[[#This Row],[DATA]])</f>
        <v>3</v>
      </c>
    </row>
    <row r="691" spans="1:4" x14ac:dyDescent="0.35">
      <c r="A691" s="1">
        <v>27628</v>
      </c>
      <c r="B691" s="2">
        <v>46099</v>
      </c>
      <c r="C691" s="1" t="s">
        <v>22</v>
      </c>
      <c r="D691" s="1">
        <f>MONTH(Tabela6[[#This Row],[DATA]])</f>
        <v>3</v>
      </c>
    </row>
    <row r="692" spans="1:4" x14ac:dyDescent="0.35">
      <c r="A692" s="1">
        <v>27629</v>
      </c>
      <c r="B692" s="2">
        <v>46099</v>
      </c>
      <c r="C692" s="1" t="s">
        <v>22</v>
      </c>
      <c r="D692" s="1">
        <f>MONTH(Tabela6[[#This Row],[DATA]])</f>
        <v>3</v>
      </c>
    </row>
    <row r="693" spans="1:4" x14ac:dyDescent="0.35">
      <c r="A693" s="1">
        <v>27630</v>
      </c>
      <c r="B693" s="2">
        <v>46099</v>
      </c>
      <c r="C693" s="1" t="s">
        <v>22</v>
      </c>
      <c r="D693" s="1">
        <f>MONTH(Tabela6[[#This Row],[DATA]])</f>
        <v>3</v>
      </c>
    </row>
    <row r="694" spans="1:4" x14ac:dyDescent="0.35">
      <c r="A694" s="1">
        <v>27631</v>
      </c>
      <c r="B694" s="2">
        <v>46099</v>
      </c>
      <c r="C694" s="1" t="s">
        <v>22</v>
      </c>
      <c r="D694" s="1">
        <f>MONTH(Tabela6[[#This Row],[DATA]])</f>
        <v>3</v>
      </c>
    </row>
    <row r="695" spans="1:4" x14ac:dyDescent="0.35">
      <c r="A695" s="1">
        <v>27632</v>
      </c>
      <c r="B695" s="2">
        <v>46099</v>
      </c>
      <c r="C695" s="1" t="s">
        <v>22</v>
      </c>
      <c r="D695" s="1">
        <f>MONTH(Tabela6[[#This Row],[DATA]])</f>
        <v>3</v>
      </c>
    </row>
    <row r="696" spans="1:4" x14ac:dyDescent="0.35">
      <c r="A696" s="1">
        <v>27633</v>
      </c>
      <c r="B696" s="2">
        <v>46099</v>
      </c>
      <c r="C696" s="1" t="s">
        <v>22</v>
      </c>
      <c r="D696" s="1">
        <f>MONTH(Tabela6[[#This Row],[DATA]])</f>
        <v>3</v>
      </c>
    </row>
    <row r="697" spans="1:4" x14ac:dyDescent="0.35">
      <c r="A697" s="1">
        <v>27634</v>
      </c>
      <c r="B697" s="2">
        <v>46099</v>
      </c>
      <c r="C697" s="1" t="s">
        <v>22</v>
      </c>
      <c r="D697" s="1">
        <f>MONTH(Tabela6[[#This Row],[DATA]])</f>
        <v>3</v>
      </c>
    </row>
    <row r="698" spans="1:4" x14ac:dyDescent="0.35">
      <c r="A698" s="1">
        <v>27635</v>
      </c>
      <c r="B698" s="2">
        <v>46099</v>
      </c>
      <c r="C698" s="1" t="s">
        <v>22</v>
      </c>
      <c r="D698" s="1">
        <f>MONTH(Tabela6[[#This Row],[DATA]])</f>
        <v>3</v>
      </c>
    </row>
    <row r="699" spans="1:4" x14ac:dyDescent="0.35">
      <c r="A699" s="1">
        <v>27636</v>
      </c>
      <c r="B699" s="2">
        <v>46099</v>
      </c>
      <c r="C699" s="1" t="s">
        <v>22</v>
      </c>
      <c r="D699" s="1">
        <f>MONTH(Tabela6[[#This Row],[DATA]])</f>
        <v>3</v>
      </c>
    </row>
    <row r="700" spans="1:4" x14ac:dyDescent="0.35">
      <c r="A700" s="1">
        <v>27637</v>
      </c>
      <c r="B700" s="2">
        <v>46099</v>
      </c>
      <c r="C700" s="1" t="s">
        <v>22</v>
      </c>
      <c r="D700" s="1">
        <f>MONTH(Tabela6[[#This Row],[DATA]])</f>
        <v>3</v>
      </c>
    </row>
    <row r="701" spans="1:4" x14ac:dyDescent="0.35">
      <c r="A701" s="1">
        <v>27638</v>
      </c>
      <c r="B701" s="2">
        <v>46099</v>
      </c>
      <c r="C701" s="1" t="s">
        <v>22</v>
      </c>
      <c r="D701" s="1">
        <f>MONTH(Tabela6[[#This Row],[DATA]])</f>
        <v>3</v>
      </c>
    </row>
    <row r="702" spans="1:4" x14ac:dyDescent="0.35">
      <c r="A702" s="1">
        <v>27639</v>
      </c>
      <c r="B702" s="2">
        <v>46099</v>
      </c>
      <c r="C702" s="1" t="s">
        <v>22</v>
      </c>
      <c r="D702" s="1">
        <f>MONTH(Tabela6[[#This Row],[DATA]])</f>
        <v>3</v>
      </c>
    </row>
    <row r="703" spans="1:4" x14ac:dyDescent="0.35">
      <c r="A703" s="1">
        <v>27640</v>
      </c>
      <c r="B703" s="2">
        <v>46099</v>
      </c>
      <c r="C703" s="1" t="s">
        <v>22</v>
      </c>
      <c r="D703" s="1">
        <f>MONTH(Tabela6[[#This Row],[DATA]])</f>
        <v>3</v>
      </c>
    </row>
    <row r="704" spans="1:4" x14ac:dyDescent="0.35">
      <c r="A704" s="1">
        <v>27641</v>
      </c>
      <c r="B704" s="2">
        <v>46099</v>
      </c>
      <c r="C704" s="1" t="s">
        <v>22</v>
      </c>
      <c r="D704" s="1">
        <f>MONTH(Tabela6[[#This Row],[DATA]])</f>
        <v>3</v>
      </c>
    </row>
    <row r="705" spans="1:4" x14ac:dyDescent="0.35">
      <c r="A705" s="1">
        <v>27642</v>
      </c>
      <c r="B705" s="2">
        <v>46099</v>
      </c>
      <c r="C705" s="1" t="s">
        <v>22</v>
      </c>
      <c r="D705" s="1">
        <f>MONTH(Tabela6[[#This Row],[DATA]])</f>
        <v>3</v>
      </c>
    </row>
    <row r="706" spans="1:4" x14ac:dyDescent="0.35">
      <c r="A706" s="1">
        <v>27648</v>
      </c>
      <c r="B706" s="2">
        <v>46099</v>
      </c>
      <c r="C706" s="1" t="s">
        <v>22</v>
      </c>
      <c r="D706" s="1">
        <f>MONTH(Tabela6[[#This Row],[DATA]])</f>
        <v>3</v>
      </c>
    </row>
    <row r="707" spans="1:4" x14ac:dyDescent="0.35">
      <c r="A707" s="1">
        <v>27649</v>
      </c>
      <c r="B707" s="2">
        <v>46099</v>
      </c>
      <c r="C707" s="1" t="s">
        <v>22</v>
      </c>
      <c r="D707" s="1">
        <f>MONTH(Tabela6[[#This Row],[DATA]])</f>
        <v>3</v>
      </c>
    </row>
    <row r="708" spans="1:4" x14ac:dyDescent="0.35">
      <c r="A708" s="1">
        <v>27650</v>
      </c>
      <c r="B708" s="2">
        <v>46099</v>
      </c>
      <c r="C708" s="1" t="s">
        <v>22</v>
      </c>
      <c r="D708" s="1">
        <f>MONTH(Tabela6[[#This Row],[DATA]])</f>
        <v>3</v>
      </c>
    </row>
    <row r="709" spans="1:4" x14ac:dyDescent="0.35">
      <c r="A709" s="1">
        <v>27651</v>
      </c>
      <c r="B709" s="2">
        <v>46099</v>
      </c>
      <c r="C709" s="1" t="s">
        <v>21</v>
      </c>
      <c r="D709" s="1">
        <f>MONTH(Tabela6[[#This Row],[DATA]])</f>
        <v>3</v>
      </c>
    </row>
    <row r="710" spans="1:4" x14ac:dyDescent="0.35">
      <c r="A710" s="1">
        <v>27652</v>
      </c>
      <c r="B710" s="2">
        <v>46099</v>
      </c>
      <c r="C710" s="1" t="s">
        <v>21</v>
      </c>
      <c r="D710" s="1">
        <f>MONTH(Tabela6[[#This Row],[DATA]])</f>
        <v>3</v>
      </c>
    </row>
    <row r="711" spans="1:4" x14ac:dyDescent="0.35">
      <c r="A711" s="1">
        <v>27653</v>
      </c>
      <c r="B711" s="2">
        <v>46099</v>
      </c>
      <c r="C711" s="1" t="s">
        <v>28</v>
      </c>
      <c r="D711" s="1">
        <f>MONTH(Tabela6[[#This Row],[DATA]])</f>
        <v>3</v>
      </c>
    </row>
    <row r="712" spans="1:4" x14ac:dyDescent="0.35">
      <c r="A712" s="1">
        <v>27654</v>
      </c>
      <c r="B712" s="2">
        <v>46099</v>
      </c>
      <c r="C712" s="1" t="s">
        <v>28</v>
      </c>
      <c r="D712" s="1">
        <f>MONTH(Tabela6[[#This Row],[DATA]])</f>
        <v>3</v>
      </c>
    </row>
    <row r="713" spans="1:4" x14ac:dyDescent="0.35">
      <c r="A713" s="1">
        <v>27655</v>
      </c>
      <c r="B713" s="2">
        <v>46099</v>
      </c>
      <c r="C713" s="1" t="s">
        <v>28</v>
      </c>
      <c r="D713" s="1">
        <f>MONTH(Tabela6[[#This Row],[DATA]])</f>
        <v>3</v>
      </c>
    </row>
    <row r="714" spans="1:4" x14ac:dyDescent="0.35">
      <c r="A714" s="1">
        <v>27656</v>
      </c>
      <c r="B714" s="2">
        <v>46099</v>
      </c>
      <c r="C714" s="1" t="s">
        <v>28</v>
      </c>
      <c r="D714" s="1">
        <f>MONTH(Tabela6[[#This Row],[DATA]])</f>
        <v>3</v>
      </c>
    </row>
    <row r="715" spans="1:4" x14ac:dyDescent="0.35">
      <c r="A715" s="1">
        <v>27657</v>
      </c>
      <c r="B715" s="2">
        <v>46099</v>
      </c>
      <c r="C715" s="1" t="s">
        <v>9</v>
      </c>
      <c r="D715" s="1">
        <f>MONTH(Tabela6[[#This Row],[DATA]])</f>
        <v>3</v>
      </c>
    </row>
    <row r="716" spans="1:4" x14ac:dyDescent="0.35">
      <c r="A716" s="1">
        <v>27658</v>
      </c>
      <c r="B716" s="2">
        <v>46099</v>
      </c>
      <c r="C716" s="1" t="s">
        <v>9</v>
      </c>
      <c r="D716" s="1">
        <f>MONTH(Tabela6[[#This Row],[DATA]])</f>
        <v>3</v>
      </c>
    </row>
    <row r="717" spans="1:4" x14ac:dyDescent="0.35">
      <c r="A717" s="1">
        <v>27659</v>
      </c>
      <c r="B717" s="2">
        <v>46099</v>
      </c>
      <c r="C717" s="1" t="s">
        <v>9</v>
      </c>
      <c r="D717" s="1">
        <f>MONTH(Tabela6[[#This Row],[DATA]])</f>
        <v>3</v>
      </c>
    </row>
    <row r="718" spans="1:4" x14ac:dyDescent="0.35">
      <c r="A718" s="1">
        <v>27660</v>
      </c>
      <c r="B718" s="2">
        <v>46099</v>
      </c>
      <c r="C718" s="1" t="s">
        <v>9</v>
      </c>
      <c r="D718" s="1">
        <f>MONTH(Tabela6[[#This Row],[DATA]])</f>
        <v>3</v>
      </c>
    </row>
    <row r="719" spans="1:4" x14ac:dyDescent="0.35">
      <c r="A719" s="1">
        <v>27661</v>
      </c>
      <c r="B719" s="2">
        <v>46099</v>
      </c>
      <c r="C719" s="1" t="s">
        <v>9</v>
      </c>
      <c r="D719" s="1">
        <f>MONTH(Tabela6[[#This Row],[DATA]])</f>
        <v>3</v>
      </c>
    </row>
    <row r="720" spans="1:4" x14ac:dyDescent="0.35">
      <c r="A720" s="1">
        <v>27666</v>
      </c>
      <c r="B720" s="2">
        <v>46100</v>
      </c>
      <c r="C720" s="1" t="s">
        <v>5</v>
      </c>
      <c r="D720" s="1">
        <f>MONTH(Tabela6[[#This Row],[DATA]])</f>
        <v>3</v>
      </c>
    </row>
    <row r="721" spans="1:4" x14ac:dyDescent="0.35">
      <c r="A721" s="1">
        <v>27667</v>
      </c>
      <c r="B721" s="2">
        <v>46101</v>
      </c>
      <c r="C721" s="1" t="s">
        <v>33</v>
      </c>
      <c r="D721" s="1">
        <f>MONTH(Tabela6[[#This Row],[DATA]])</f>
        <v>3</v>
      </c>
    </row>
    <row r="722" spans="1:4" x14ac:dyDescent="0.35">
      <c r="A722" s="1">
        <v>27668</v>
      </c>
      <c r="B722" s="2">
        <v>46101</v>
      </c>
      <c r="C722" s="1" t="s">
        <v>33</v>
      </c>
      <c r="D722" s="1">
        <f>MONTH(Tabela6[[#This Row],[DATA]])</f>
        <v>3</v>
      </c>
    </row>
    <row r="723" spans="1:4" x14ac:dyDescent="0.35">
      <c r="A723" s="1">
        <v>27669</v>
      </c>
      <c r="B723" s="2">
        <v>46101</v>
      </c>
      <c r="C723" s="1" t="s">
        <v>33</v>
      </c>
      <c r="D723" s="1">
        <f>MONTH(Tabela6[[#This Row],[DATA]])</f>
        <v>3</v>
      </c>
    </row>
    <row r="724" spans="1:4" x14ac:dyDescent="0.35">
      <c r="A724" s="1">
        <v>27670</v>
      </c>
      <c r="B724" s="2">
        <v>46101</v>
      </c>
      <c r="C724" s="1" t="s">
        <v>33</v>
      </c>
      <c r="D724" s="1">
        <f>MONTH(Tabela6[[#This Row],[DATA]])</f>
        <v>3</v>
      </c>
    </row>
    <row r="725" spans="1:4" x14ac:dyDescent="0.35">
      <c r="A725" s="1">
        <v>27671</v>
      </c>
      <c r="B725" s="2">
        <v>46101</v>
      </c>
      <c r="C725" s="1" t="s">
        <v>33</v>
      </c>
      <c r="D725" s="1">
        <f>MONTH(Tabela6[[#This Row],[DATA]])</f>
        <v>3</v>
      </c>
    </row>
    <row r="726" spans="1:4" x14ac:dyDescent="0.35">
      <c r="A726" s="1">
        <v>27672</v>
      </c>
      <c r="B726" s="2">
        <v>46101</v>
      </c>
      <c r="C726" s="1" t="s">
        <v>33</v>
      </c>
      <c r="D726" s="1">
        <f>MONTH(Tabela6[[#This Row],[DATA]])</f>
        <v>3</v>
      </c>
    </row>
    <row r="727" spans="1:4" x14ac:dyDescent="0.35">
      <c r="A727" s="1">
        <v>27673</v>
      </c>
      <c r="B727" s="2">
        <v>46101</v>
      </c>
      <c r="C727" s="1" t="s">
        <v>33</v>
      </c>
      <c r="D727" s="1">
        <f>MONTH(Tabela6[[#This Row],[DATA]])</f>
        <v>3</v>
      </c>
    </row>
    <row r="728" spans="1:4" x14ac:dyDescent="0.35">
      <c r="A728" s="1">
        <v>27674</v>
      </c>
      <c r="B728" s="2">
        <v>46101</v>
      </c>
      <c r="C728" s="1" t="s">
        <v>33</v>
      </c>
      <c r="D728" s="1">
        <f>MONTH(Tabela6[[#This Row],[DATA]])</f>
        <v>3</v>
      </c>
    </row>
    <row r="729" spans="1:4" x14ac:dyDescent="0.35">
      <c r="A729" s="1">
        <v>27675</v>
      </c>
      <c r="B729" s="2">
        <v>46101</v>
      </c>
      <c r="C729" s="1" t="s">
        <v>33</v>
      </c>
      <c r="D729" s="1">
        <f>MONTH(Tabela6[[#This Row],[DATA]])</f>
        <v>3</v>
      </c>
    </row>
    <row r="730" spans="1:4" x14ac:dyDescent="0.35">
      <c r="A730" s="1">
        <v>27676</v>
      </c>
      <c r="B730" s="2">
        <v>46101</v>
      </c>
      <c r="C730" s="1" t="s">
        <v>33</v>
      </c>
      <c r="D730" s="1">
        <f>MONTH(Tabela6[[#This Row],[DATA]])</f>
        <v>3</v>
      </c>
    </row>
    <row r="731" spans="1:4" x14ac:dyDescent="0.35">
      <c r="A731" s="1">
        <v>27679</v>
      </c>
      <c r="B731" s="2">
        <v>46104</v>
      </c>
      <c r="C731" s="1" t="s">
        <v>5</v>
      </c>
      <c r="D731" s="1">
        <f>MONTH(Tabela6[[#This Row],[DATA]])</f>
        <v>3</v>
      </c>
    </row>
    <row r="732" spans="1:4" x14ac:dyDescent="0.35">
      <c r="A732" s="1">
        <v>27680</v>
      </c>
      <c r="B732" s="2">
        <v>46104</v>
      </c>
      <c r="C732" s="1" t="s">
        <v>32</v>
      </c>
      <c r="D732" s="1">
        <f>MONTH(Tabela6[[#This Row],[DATA]])</f>
        <v>3</v>
      </c>
    </row>
    <row r="733" spans="1:4" x14ac:dyDescent="0.35">
      <c r="A733" s="1">
        <v>27681</v>
      </c>
      <c r="B733" s="2">
        <v>46104</v>
      </c>
      <c r="C733" s="1" t="s">
        <v>32</v>
      </c>
      <c r="D733" s="1">
        <f>MONTH(Tabela6[[#This Row],[DATA]])</f>
        <v>3</v>
      </c>
    </row>
    <row r="734" spans="1:4" x14ac:dyDescent="0.35">
      <c r="A734" s="1">
        <v>27682</v>
      </c>
      <c r="B734" s="2">
        <v>46104</v>
      </c>
      <c r="C734" s="1" t="s">
        <v>32</v>
      </c>
      <c r="D734" s="1">
        <f>MONTH(Tabela6[[#This Row],[DATA]])</f>
        <v>3</v>
      </c>
    </row>
    <row r="735" spans="1:4" x14ac:dyDescent="0.35">
      <c r="A735" s="1">
        <v>27683</v>
      </c>
      <c r="B735" s="2">
        <v>46104</v>
      </c>
      <c r="C735" s="1" t="s">
        <v>32</v>
      </c>
      <c r="D735" s="1">
        <f>MONTH(Tabela6[[#This Row],[DATA]])</f>
        <v>3</v>
      </c>
    </row>
    <row r="736" spans="1:4" x14ac:dyDescent="0.35">
      <c r="A736" s="1">
        <v>27684</v>
      </c>
      <c r="B736" s="2">
        <v>46104</v>
      </c>
      <c r="C736" s="1" t="s">
        <v>32</v>
      </c>
      <c r="D736" s="1">
        <f>MONTH(Tabela6[[#This Row],[DATA]])</f>
        <v>3</v>
      </c>
    </row>
    <row r="737" spans="1:4" x14ac:dyDescent="0.35">
      <c r="A737" s="1">
        <v>27685</v>
      </c>
      <c r="B737" s="2">
        <v>46104</v>
      </c>
      <c r="C737" s="1" t="s">
        <v>32</v>
      </c>
      <c r="D737" s="1">
        <f>MONTH(Tabela6[[#This Row],[DATA]])</f>
        <v>3</v>
      </c>
    </row>
    <row r="738" spans="1:4" x14ac:dyDescent="0.35">
      <c r="A738" s="1">
        <v>27686</v>
      </c>
      <c r="B738" s="2">
        <v>46104</v>
      </c>
      <c r="C738" s="1" t="s">
        <v>32</v>
      </c>
      <c r="D738" s="1">
        <f>MONTH(Tabela6[[#This Row],[DATA]])</f>
        <v>3</v>
      </c>
    </row>
    <row r="739" spans="1:4" x14ac:dyDescent="0.35">
      <c r="A739" s="1">
        <v>27687</v>
      </c>
      <c r="B739" s="2">
        <v>46104</v>
      </c>
      <c r="C739" s="1" t="s">
        <v>32</v>
      </c>
      <c r="D739" s="1">
        <f>MONTH(Tabela6[[#This Row],[DATA]])</f>
        <v>3</v>
      </c>
    </row>
    <row r="740" spans="1:4" x14ac:dyDescent="0.35">
      <c r="A740" s="1">
        <v>27688</v>
      </c>
      <c r="B740" s="2">
        <v>46104</v>
      </c>
      <c r="C740" s="1" t="s">
        <v>32</v>
      </c>
      <c r="D740" s="1">
        <f>MONTH(Tabela6[[#This Row],[DATA]])</f>
        <v>3</v>
      </c>
    </row>
    <row r="741" spans="1:4" x14ac:dyDescent="0.35">
      <c r="A741" s="1">
        <v>27689</v>
      </c>
      <c r="B741" s="2">
        <v>46104</v>
      </c>
      <c r="C741" s="1" t="s">
        <v>32</v>
      </c>
      <c r="D741" s="1">
        <f>MONTH(Tabela6[[#This Row],[DATA]])</f>
        <v>3</v>
      </c>
    </row>
    <row r="742" spans="1:4" x14ac:dyDescent="0.35">
      <c r="A742" s="1">
        <v>27690</v>
      </c>
      <c r="B742" s="2">
        <v>46104</v>
      </c>
      <c r="C742" s="1" t="s">
        <v>32</v>
      </c>
      <c r="D742" s="1">
        <f>MONTH(Tabela6[[#This Row],[DATA]])</f>
        <v>3</v>
      </c>
    </row>
    <row r="743" spans="1:4" x14ac:dyDescent="0.35">
      <c r="A743" s="1">
        <v>27691</v>
      </c>
      <c r="B743" s="2">
        <v>46104</v>
      </c>
      <c r="C743" s="1" t="s">
        <v>5</v>
      </c>
      <c r="D743" s="1">
        <f>MONTH(Tabela6[[#This Row],[DATA]])</f>
        <v>3</v>
      </c>
    </row>
    <row r="744" spans="1:4" x14ac:dyDescent="0.35">
      <c r="A744" s="1">
        <v>27692</v>
      </c>
      <c r="B744" s="2">
        <v>46104</v>
      </c>
      <c r="C744" s="1" t="s">
        <v>5</v>
      </c>
      <c r="D744" s="1">
        <f>MONTH(Tabela6[[#This Row],[DATA]])</f>
        <v>3</v>
      </c>
    </row>
    <row r="745" spans="1:4" x14ac:dyDescent="0.35">
      <c r="A745" s="1">
        <v>27693</v>
      </c>
      <c r="B745" s="2">
        <v>46104</v>
      </c>
      <c r="C745" s="1" t="s">
        <v>5</v>
      </c>
      <c r="D745" s="1">
        <f>MONTH(Tabela6[[#This Row],[DATA]])</f>
        <v>3</v>
      </c>
    </row>
    <row r="746" spans="1:4" x14ac:dyDescent="0.35">
      <c r="A746" s="1">
        <v>27694</v>
      </c>
      <c r="B746" s="2">
        <v>46104</v>
      </c>
      <c r="C746" s="1" t="s">
        <v>5</v>
      </c>
      <c r="D746" s="1">
        <f>MONTH(Tabela6[[#This Row],[DATA]])</f>
        <v>3</v>
      </c>
    </row>
    <row r="747" spans="1:4" x14ac:dyDescent="0.35">
      <c r="A747" s="1">
        <v>27695</v>
      </c>
      <c r="B747" s="2">
        <v>46104</v>
      </c>
      <c r="C747" s="1" t="s">
        <v>33</v>
      </c>
      <c r="D747" s="1">
        <f>MONTH(Tabela6[[#This Row],[DATA]])</f>
        <v>3</v>
      </c>
    </row>
    <row r="748" spans="1:4" x14ac:dyDescent="0.35">
      <c r="A748" s="1">
        <v>27696</v>
      </c>
      <c r="B748" s="2">
        <v>46104</v>
      </c>
      <c r="C748" s="1" t="s">
        <v>33</v>
      </c>
      <c r="D748" s="1">
        <f>MONTH(Tabela6[[#This Row],[DATA]])</f>
        <v>3</v>
      </c>
    </row>
    <row r="749" spans="1:4" x14ac:dyDescent="0.35">
      <c r="A749" s="1">
        <v>27697</v>
      </c>
      <c r="B749" s="2">
        <v>46104</v>
      </c>
      <c r="C749" s="1" t="s">
        <v>33</v>
      </c>
      <c r="D749" s="1">
        <f>MONTH(Tabela6[[#This Row],[DATA]])</f>
        <v>3</v>
      </c>
    </row>
    <row r="750" spans="1:4" x14ac:dyDescent="0.35">
      <c r="A750" s="1">
        <v>27698</v>
      </c>
      <c r="B750" s="2">
        <v>46104</v>
      </c>
      <c r="C750" s="1" t="s">
        <v>33</v>
      </c>
      <c r="D750" s="1">
        <f>MONTH(Tabela6[[#This Row],[DATA]])</f>
        <v>3</v>
      </c>
    </row>
    <row r="751" spans="1:4" x14ac:dyDescent="0.35">
      <c r="A751" s="1">
        <v>27699</v>
      </c>
      <c r="B751" s="2">
        <v>46104</v>
      </c>
      <c r="C751" s="1" t="s">
        <v>33</v>
      </c>
      <c r="D751" s="1">
        <f>MONTH(Tabela6[[#This Row],[DATA]])</f>
        <v>3</v>
      </c>
    </row>
    <row r="752" spans="1:4" x14ac:dyDescent="0.35">
      <c r="A752" s="1">
        <v>27700</v>
      </c>
      <c r="B752" s="2">
        <v>46104</v>
      </c>
      <c r="C752" s="1" t="s">
        <v>33</v>
      </c>
      <c r="D752" s="1">
        <f>MONTH(Tabela6[[#This Row],[DATA]])</f>
        <v>3</v>
      </c>
    </row>
    <row r="753" spans="1:4" x14ac:dyDescent="0.35">
      <c r="A753" s="1">
        <v>27701</v>
      </c>
      <c r="B753" s="2">
        <v>46104</v>
      </c>
      <c r="C753" s="1" t="s">
        <v>33</v>
      </c>
      <c r="D753" s="1">
        <f>MONTH(Tabela6[[#This Row],[DATA]])</f>
        <v>3</v>
      </c>
    </row>
    <row r="754" spans="1:4" x14ac:dyDescent="0.35">
      <c r="A754" s="1">
        <v>27702</v>
      </c>
      <c r="B754" s="2">
        <v>46104</v>
      </c>
      <c r="C754" s="1" t="s">
        <v>33</v>
      </c>
      <c r="D754" s="1">
        <f>MONTH(Tabela6[[#This Row],[DATA]])</f>
        <v>3</v>
      </c>
    </row>
    <row r="755" spans="1:4" x14ac:dyDescent="0.35">
      <c r="A755" s="1">
        <v>27703</v>
      </c>
      <c r="B755" s="2">
        <v>46104</v>
      </c>
      <c r="C755" s="1" t="s">
        <v>33</v>
      </c>
      <c r="D755" s="1">
        <f>MONTH(Tabela6[[#This Row],[DATA]])</f>
        <v>3</v>
      </c>
    </row>
    <row r="756" spans="1:4" x14ac:dyDescent="0.35">
      <c r="A756" s="1">
        <v>27704</v>
      </c>
      <c r="B756" s="2">
        <v>46104</v>
      </c>
      <c r="C756" s="1" t="s">
        <v>33</v>
      </c>
      <c r="D756" s="1">
        <f>MONTH(Tabela6[[#This Row],[DATA]])</f>
        <v>3</v>
      </c>
    </row>
    <row r="757" spans="1:4" x14ac:dyDescent="0.35">
      <c r="A757" s="1">
        <v>27710</v>
      </c>
      <c r="B757" s="2">
        <v>46104</v>
      </c>
      <c r="C757" s="1" t="s">
        <v>9</v>
      </c>
      <c r="D757" s="1">
        <f>MONTH(Tabela6[[#This Row],[DATA]])</f>
        <v>3</v>
      </c>
    </row>
    <row r="758" spans="1:4" x14ac:dyDescent="0.35">
      <c r="A758" s="1">
        <v>27711</v>
      </c>
      <c r="B758" s="2">
        <v>46104</v>
      </c>
      <c r="C758" s="1" t="s">
        <v>9</v>
      </c>
      <c r="D758" s="1">
        <f>MONTH(Tabela6[[#This Row],[DATA]])</f>
        <v>3</v>
      </c>
    </row>
    <row r="759" spans="1:4" x14ac:dyDescent="0.35">
      <c r="A759" s="1">
        <v>27712</v>
      </c>
      <c r="B759" s="2">
        <v>46104</v>
      </c>
      <c r="C759" s="1" t="s">
        <v>9</v>
      </c>
      <c r="D759" s="1">
        <f>MONTH(Tabela6[[#This Row],[DATA]])</f>
        <v>3</v>
      </c>
    </row>
    <row r="760" spans="1:4" x14ac:dyDescent="0.35">
      <c r="A760" s="1">
        <v>27713</v>
      </c>
      <c r="B760" s="2">
        <v>46104</v>
      </c>
      <c r="C760" s="1" t="s">
        <v>9</v>
      </c>
      <c r="D760" s="1">
        <f>MONTH(Tabela6[[#This Row],[DATA]])</f>
        <v>3</v>
      </c>
    </row>
    <row r="761" spans="1:4" x14ac:dyDescent="0.35">
      <c r="A761" s="1">
        <v>27714</v>
      </c>
      <c r="B761" s="2">
        <v>46104</v>
      </c>
      <c r="C761" s="1" t="s">
        <v>9</v>
      </c>
      <c r="D761" s="1">
        <f>MONTH(Tabela6[[#This Row],[DATA]])</f>
        <v>3</v>
      </c>
    </row>
    <row r="762" spans="1:4" x14ac:dyDescent="0.35">
      <c r="A762" s="1">
        <v>27715</v>
      </c>
      <c r="B762" s="2">
        <v>46104</v>
      </c>
      <c r="C762" s="1" t="s">
        <v>9</v>
      </c>
      <c r="D762" s="1">
        <f>MONTH(Tabela6[[#This Row],[DATA]])</f>
        <v>3</v>
      </c>
    </row>
    <row r="763" spans="1:4" x14ac:dyDescent="0.35">
      <c r="A763" s="1">
        <v>27716</v>
      </c>
      <c r="B763" s="2">
        <v>46104</v>
      </c>
      <c r="C763" s="1" t="s">
        <v>9</v>
      </c>
      <c r="D763" s="1">
        <f>MONTH(Tabela6[[#This Row],[DATA]])</f>
        <v>3</v>
      </c>
    </row>
    <row r="764" spans="1:4" x14ac:dyDescent="0.35">
      <c r="A764" s="1">
        <v>27717</v>
      </c>
      <c r="B764" s="2">
        <v>46104</v>
      </c>
      <c r="C764" s="1" t="s">
        <v>9</v>
      </c>
      <c r="D764" s="1">
        <f>MONTH(Tabela6[[#This Row],[DATA]])</f>
        <v>3</v>
      </c>
    </row>
    <row r="765" spans="1:4" x14ac:dyDescent="0.35">
      <c r="A765" s="1">
        <v>27718</v>
      </c>
      <c r="B765" s="2">
        <v>46104</v>
      </c>
      <c r="C765" s="1" t="s">
        <v>9</v>
      </c>
      <c r="D765" s="1">
        <f>MONTH(Tabela6[[#This Row],[DATA]])</f>
        <v>3</v>
      </c>
    </row>
    <row r="766" spans="1:4" x14ac:dyDescent="0.35">
      <c r="A766" s="1">
        <v>27719</v>
      </c>
      <c r="B766" s="2">
        <v>46104</v>
      </c>
      <c r="C766" s="1" t="s">
        <v>9</v>
      </c>
      <c r="D766" s="1">
        <f>MONTH(Tabela6[[#This Row],[DATA]])</f>
        <v>3</v>
      </c>
    </row>
    <row r="767" spans="1:4" x14ac:dyDescent="0.35">
      <c r="A767" s="1">
        <v>27720</v>
      </c>
      <c r="B767" s="2">
        <v>46104</v>
      </c>
      <c r="C767" s="1" t="s">
        <v>9</v>
      </c>
      <c r="D767" s="1">
        <f>MONTH(Tabela6[[#This Row],[DATA]])</f>
        <v>3</v>
      </c>
    </row>
    <row r="768" spans="1:4" x14ac:dyDescent="0.35">
      <c r="A768" s="1">
        <v>27721</v>
      </c>
      <c r="B768" s="2">
        <v>46104</v>
      </c>
      <c r="C768" s="1" t="s">
        <v>9</v>
      </c>
      <c r="D768" s="1">
        <f>MONTH(Tabela6[[#This Row],[DATA]])</f>
        <v>3</v>
      </c>
    </row>
    <row r="769" spans="1:4" x14ac:dyDescent="0.35">
      <c r="A769" s="1">
        <v>27722</v>
      </c>
      <c r="B769" s="2">
        <v>46104</v>
      </c>
      <c r="C769" s="1" t="s">
        <v>9</v>
      </c>
      <c r="D769" s="1">
        <f>MONTH(Tabela6[[#This Row],[DATA]])</f>
        <v>3</v>
      </c>
    </row>
    <row r="770" spans="1:4" x14ac:dyDescent="0.35">
      <c r="A770" s="1">
        <v>27723</v>
      </c>
      <c r="B770" s="2">
        <v>46104</v>
      </c>
      <c r="C770" s="1" t="s">
        <v>9</v>
      </c>
      <c r="D770" s="1">
        <f>MONTH(Tabela6[[#This Row],[DATA]])</f>
        <v>3</v>
      </c>
    </row>
    <row r="771" spans="1:4" x14ac:dyDescent="0.35">
      <c r="A771" s="1">
        <v>27724</v>
      </c>
      <c r="B771" s="2">
        <v>46104</v>
      </c>
      <c r="C771" s="1" t="s">
        <v>9</v>
      </c>
      <c r="D771" s="1">
        <f>MONTH(Tabela6[[#This Row],[DATA]])</f>
        <v>3</v>
      </c>
    </row>
    <row r="772" spans="1:4" x14ac:dyDescent="0.35">
      <c r="A772" s="1">
        <v>27725</v>
      </c>
      <c r="B772" s="2">
        <v>46104</v>
      </c>
      <c r="C772" s="1" t="s">
        <v>9</v>
      </c>
      <c r="D772" s="1">
        <f>MONTH(Tabela6[[#This Row],[DATA]])</f>
        <v>3</v>
      </c>
    </row>
    <row r="773" spans="1:4" x14ac:dyDescent="0.35">
      <c r="A773" s="1">
        <v>27726</v>
      </c>
      <c r="B773" s="2">
        <v>46104</v>
      </c>
      <c r="C773" s="1" t="s">
        <v>9</v>
      </c>
      <c r="D773" s="1">
        <f>MONTH(Tabela6[[#This Row],[DATA]])</f>
        <v>3</v>
      </c>
    </row>
    <row r="774" spans="1:4" x14ac:dyDescent="0.35">
      <c r="A774" s="1">
        <v>27727</v>
      </c>
      <c r="B774" s="2">
        <v>46105</v>
      </c>
      <c r="C774" s="1" t="s">
        <v>5</v>
      </c>
      <c r="D774" s="1">
        <f>MONTH(Tabela6[[#This Row],[DATA]])</f>
        <v>3</v>
      </c>
    </row>
    <row r="775" spans="1:4" x14ac:dyDescent="0.35">
      <c r="A775" s="1">
        <v>27728</v>
      </c>
      <c r="B775" s="2">
        <v>46105</v>
      </c>
      <c r="C775" s="1" t="s">
        <v>5</v>
      </c>
      <c r="D775" s="1">
        <f>MONTH(Tabela6[[#This Row],[DATA]])</f>
        <v>3</v>
      </c>
    </row>
    <row r="776" spans="1:4" x14ac:dyDescent="0.35">
      <c r="A776" s="1">
        <v>27729</v>
      </c>
      <c r="B776" s="2">
        <v>46105</v>
      </c>
      <c r="C776" s="1" t="s">
        <v>9</v>
      </c>
      <c r="D776" s="1">
        <f>MONTH(Tabela6[[#This Row],[DATA]])</f>
        <v>3</v>
      </c>
    </row>
    <row r="777" spans="1:4" x14ac:dyDescent="0.35">
      <c r="A777" s="1">
        <v>27730</v>
      </c>
      <c r="B777" s="2">
        <v>46105</v>
      </c>
      <c r="C777" s="1" t="s">
        <v>9</v>
      </c>
      <c r="D777" s="1">
        <f>MONTH(Tabela6[[#This Row],[DATA]])</f>
        <v>3</v>
      </c>
    </row>
    <row r="778" spans="1:4" x14ac:dyDescent="0.35">
      <c r="A778" s="1">
        <v>27731</v>
      </c>
      <c r="B778" s="2">
        <v>46105</v>
      </c>
      <c r="C778" s="1" t="s">
        <v>9</v>
      </c>
      <c r="D778" s="1">
        <f>MONTH(Tabela6[[#This Row],[DATA]])</f>
        <v>3</v>
      </c>
    </row>
    <row r="779" spans="1:4" x14ac:dyDescent="0.35">
      <c r="A779" s="1">
        <v>27732</v>
      </c>
      <c r="B779" s="2">
        <v>46105</v>
      </c>
      <c r="C779" s="1" t="s">
        <v>9</v>
      </c>
      <c r="D779" s="1">
        <f>MONTH(Tabela6[[#This Row],[DATA]])</f>
        <v>3</v>
      </c>
    </row>
    <row r="780" spans="1:4" x14ac:dyDescent="0.35">
      <c r="A780" s="1">
        <v>27733</v>
      </c>
      <c r="B780" s="2">
        <v>46105</v>
      </c>
      <c r="C780" s="1" t="s">
        <v>9</v>
      </c>
      <c r="D780" s="1">
        <f>MONTH(Tabela6[[#This Row],[DATA]])</f>
        <v>3</v>
      </c>
    </row>
    <row r="781" spans="1:4" x14ac:dyDescent="0.35">
      <c r="A781" s="1">
        <v>27738</v>
      </c>
      <c r="B781" s="2">
        <v>46105</v>
      </c>
      <c r="C781" s="1" t="s">
        <v>33</v>
      </c>
      <c r="D781" s="1">
        <f>MONTH(Tabela6[[#This Row],[DATA]])</f>
        <v>3</v>
      </c>
    </row>
    <row r="782" spans="1:4" x14ac:dyDescent="0.35">
      <c r="A782" s="1">
        <v>27739</v>
      </c>
      <c r="B782" s="2">
        <v>46105</v>
      </c>
      <c r="C782" s="1" t="s">
        <v>33</v>
      </c>
      <c r="D782" s="1">
        <f>MONTH(Tabela6[[#This Row],[DATA]])</f>
        <v>3</v>
      </c>
    </row>
    <row r="783" spans="1:4" x14ac:dyDescent="0.35">
      <c r="A783" s="1">
        <v>27741</v>
      </c>
      <c r="B783" s="2">
        <v>46105</v>
      </c>
      <c r="C783" s="1" t="s">
        <v>33</v>
      </c>
      <c r="D783" s="1">
        <f>MONTH(Tabela6[[#This Row],[DATA]])</f>
        <v>3</v>
      </c>
    </row>
    <row r="784" spans="1:4" x14ac:dyDescent="0.35">
      <c r="A784" s="1">
        <v>27743</v>
      </c>
      <c r="B784" s="2">
        <v>46105</v>
      </c>
      <c r="C784" s="1" t="s">
        <v>33</v>
      </c>
      <c r="D784" s="1">
        <f>MONTH(Tabela6[[#This Row],[DATA]])</f>
        <v>3</v>
      </c>
    </row>
    <row r="785" spans="1:4" x14ac:dyDescent="0.35">
      <c r="A785" s="1">
        <v>27744</v>
      </c>
      <c r="B785" s="2">
        <v>46105</v>
      </c>
      <c r="C785" s="1" t="s">
        <v>33</v>
      </c>
      <c r="D785" s="1">
        <f>MONTH(Tabela6[[#This Row],[DATA]])</f>
        <v>3</v>
      </c>
    </row>
    <row r="786" spans="1:4" x14ac:dyDescent="0.35">
      <c r="A786" s="1">
        <v>27747</v>
      </c>
      <c r="B786" s="2">
        <v>46105</v>
      </c>
      <c r="C786" s="1" t="s">
        <v>9</v>
      </c>
      <c r="D786" s="1">
        <f>MONTH(Tabela6[[#This Row],[DATA]])</f>
        <v>3</v>
      </c>
    </row>
    <row r="787" spans="1:4" x14ac:dyDescent="0.35">
      <c r="A787" s="1">
        <v>27748</v>
      </c>
      <c r="B787" s="2">
        <v>46105</v>
      </c>
      <c r="C787" s="1" t="s">
        <v>9</v>
      </c>
      <c r="D787" s="1">
        <f>MONTH(Tabela6[[#This Row],[DATA]])</f>
        <v>3</v>
      </c>
    </row>
    <row r="788" spans="1:4" x14ac:dyDescent="0.35">
      <c r="A788" s="1">
        <v>27749</v>
      </c>
      <c r="B788" s="2">
        <v>46105</v>
      </c>
      <c r="C788" s="1" t="s">
        <v>9</v>
      </c>
      <c r="D788" s="1">
        <f>MONTH(Tabela6[[#This Row],[DATA]])</f>
        <v>3</v>
      </c>
    </row>
    <row r="789" spans="1:4" x14ac:dyDescent="0.35">
      <c r="A789" s="1">
        <v>27764</v>
      </c>
      <c r="B789" s="2">
        <v>46106</v>
      </c>
      <c r="C789" s="1" t="s">
        <v>28</v>
      </c>
      <c r="D789" s="1">
        <f>MONTH(Tabela6[[#This Row],[DATA]])</f>
        <v>3</v>
      </c>
    </row>
    <row r="790" spans="1:4" x14ac:dyDescent="0.35">
      <c r="A790" s="1">
        <v>27765</v>
      </c>
      <c r="B790" s="2">
        <v>46107</v>
      </c>
      <c r="C790" s="1" t="s">
        <v>33</v>
      </c>
      <c r="D790" s="1">
        <f>MONTH(Tabela6[[#This Row],[DATA]])</f>
        <v>3</v>
      </c>
    </row>
    <row r="791" spans="1:4" x14ac:dyDescent="0.35">
      <c r="A791" s="1">
        <v>27766</v>
      </c>
      <c r="B791" s="2">
        <v>46107</v>
      </c>
      <c r="C791" s="1" t="s">
        <v>33</v>
      </c>
      <c r="D791" s="1">
        <f>MONTH(Tabela6[[#This Row],[DATA]])</f>
        <v>3</v>
      </c>
    </row>
    <row r="792" spans="1:4" x14ac:dyDescent="0.35">
      <c r="A792" s="1">
        <v>27767</v>
      </c>
      <c r="B792" s="2">
        <v>46107</v>
      </c>
      <c r="C792" s="1" t="s">
        <v>33</v>
      </c>
      <c r="D792" s="1">
        <f>MONTH(Tabela6[[#This Row],[DATA]])</f>
        <v>3</v>
      </c>
    </row>
    <row r="793" spans="1:4" x14ac:dyDescent="0.35">
      <c r="A793" s="1">
        <v>27768</v>
      </c>
      <c r="B793" s="2">
        <v>46107</v>
      </c>
      <c r="C793" s="1" t="s">
        <v>33</v>
      </c>
      <c r="D793" s="1">
        <f>MONTH(Tabela6[[#This Row],[DATA]])</f>
        <v>3</v>
      </c>
    </row>
    <row r="794" spans="1:4" x14ac:dyDescent="0.35">
      <c r="A794" s="1">
        <v>27769</v>
      </c>
      <c r="B794" s="2">
        <v>46107</v>
      </c>
      <c r="C794" s="1" t="s">
        <v>33</v>
      </c>
      <c r="D794" s="1">
        <f>MONTH(Tabela6[[#This Row],[DATA]])</f>
        <v>3</v>
      </c>
    </row>
    <row r="795" spans="1:4" x14ac:dyDescent="0.35">
      <c r="A795" s="1">
        <v>27779</v>
      </c>
      <c r="B795" s="2">
        <v>46108</v>
      </c>
      <c r="C795" s="1" t="s">
        <v>28</v>
      </c>
      <c r="D795" s="1">
        <f>MONTH(Tabela6[[#This Row],[DATA]])</f>
        <v>3</v>
      </c>
    </row>
    <row r="796" spans="1:4" x14ac:dyDescent="0.35">
      <c r="A796" s="1">
        <v>27780</v>
      </c>
      <c r="B796" s="2">
        <v>46108</v>
      </c>
      <c r="C796" s="1" t="s">
        <v>28</v>
      </c>
      <c r="D796" s="1">
        <f>MONTH(Tabela6[[#This Row],[DATA]])</f>
        <v>3</v>
      </c>
    </row>
    <row r="797" spans="1:4" x14ac:dyDescent="0.35">
      <c r="A797" s="1">
        <v>27781</v>
      </c>
      <c r="B797" s="2">
        <v>46108</v>
      </c>
      <c r="C797" s="1" t="s">
        <v>28</v>
      </c>
      <c r="D797" s="1">
        <f>MONTH(Tabela6[[#This Row],[DATA]])</f>
        <v>3</v>
      </c>
    </row>
    <row r="798" spans="1:4" x14ac:dyDescent="0.35">
      <c r="A798" s="1">
        <v>27782</v>
      </c>
      <c r="B798" s="2">
        <v>46108</v>
      </c>
      <c r="C798" s="1" t="s">
        <v>28</v>
      </c>
      <c r="D798" s="1">
        <f>MONTH(Tabela6[[#This Row],[DATA]])</f>
        <v>3</v>
      </c>
    </row>
    <row r="799" spans="1:4" x14ac:dyDescent="0.35">
      <c r="A799" s="1">
        <v>27795</v>
      </c>
      <c r="B799" s="2">
        <v>46111</v>
      </c>
      <c r="C799" s="1" t="s">
        <v>5</v>
      </c>
      <c r="D799" s="1">
        <f>MONTH(Tabela6[[#This Row],[DATA]])</f>
        <v>3</v>
      </c>
    </row>
    <row r="800" spans="1:4" x14ac:dyDescent="0.35">
      <c r="A800" s="1">
        <v>27796</v>
      </c>
      <c r="B800" s="2">
        <v>46111</v>
      </c>
      <c r="C800" s="1" t="s">
        <v>5</v>
      </c>
      <c r="D800" s="1">
        <f>MONTH(Tabela6[[#This Row],[DATA]])</f>
        <v>3</v>
      </c>
    </row>
    <row r="801" spans="1:4" x14ac:dyDescent="0.35">
      <c r="A801" s="1">
        <v>27797</v>
      </c>
      <c r="B801" s="2">
        <v>46111</v>
      </c>
      <c r="C801" s="1" t="s">
        <v>5</v>
      </c>
      <c r="D801" s="1">
        <f>MONTH(Tabela6[[#This Row],[DATA]])</f>
        <v>3</v>
      </c>
    </row>
    <row r="802" spans="1:4" x14ac:dyDescent="0.35">
      <c r="A802" s="1">
        <v>27798</v>
      </c>
      <c r="B802" s="2">
        <v>46111</v>
      </c>
      <c r="C802" s="1" t="s">
        <v>5</v>
      </c>
      <c r="D802" s="1">
        <f>MONTH(Tabela6[[#This Row],[DATA]])</f>
        <v>3</v>
      </c>
    </row>
    <row r="803" spans="1:4" x14ac:dyDescent="0.35">
      <c r="A803" s="1">
        <v>27799</v>
      </c>
      <c r="B803" s="2">
        <v>46111</v>
      </c>
      <c r="C803" s="1" t="s">
        <v>5</v>
      </c>
      <c r="D803" s="1">
        <f>MONTH(Tabela6[[#This Row],[DATA]])</f>
        <v>3</v>
      </c>
    </row>
    <row r="804" spans="1:4" x14ac:dyDescent="0.35">
      <c r="A804" s="1">
        <v>27800</v>
      </c>
      <c r="B804" s="2">
        <v>46111</v>
      </c>
      <c r="C804" s="1" t="s">
        <v>9</v>
      </c>
      <c r="D804" s="1">
        <f>MONTH(Tabela6[[#This Row],[DATA]])</f>
        <v>3</v>
      </c>
    </row>
    <row r="805" spans="1:4" x14ac:dyDescent="0.35">
      <c r="A805" s="1">
        <v>27801</v>
      </c>
      <c r="B805" s="2">
        <v>46111</v>
      </c>
      <c r="C805" s="1" t="s">
        <v>9</v>
      </c>
      <c r="D805" s="1">
        <f>MONTH(Tabela6[[#This Row],[DATA]])</f>
        <v>3</v>
      </c>
    </row>
    <row r="806" spans="1:4" x14ac:dyDescent="0.35">
      <c r="A806" s="1">
        <v>27802</v>
      </c>
      <c r="B806" s="2">
        <v>46111</v>
      </c>
      <c r="C806" s="1" t="s">
        <v>9</v>
      </c>
      <c r="D806" s="1">
        <f>MONTH(Tabela6[[#This Row],[DATA]])</f>
        <v>3</v>
      </c>
    </row>
    <row r="807" spans="1:4" x14ac:dyDescent="0.35">
      <c r="A807" s="1">
        <v>27803</v>
      </c>
      <c r="B807" s="2">
        <v>46111</v>
      </c>
      <c r="C807" s="1" t="s">
        <v>9</v>
      </c>
      <c r="D807" s="1">
        <f>MONTH(Tabela6[[#This Row],[DATA]])</f>
        <v>3</v>
      </c>
    </row>
    <row r="808" spans="1:4" x14ac:dyDescent="0.35">
      <c r="A808" s="1">
        <v>27804</v>
      </c>
      <c r="B808" s="2">
        <v>46111</v>
      </c>
      <c r="C808" s="1" t="s">
        <v>9</v>
      </c>
      <c r="D808" s="1">
        <f>MONTH(Tabela6[[#This Row],[DATA]])</f>
        <v>3</v>
      </c>
    </row>
    <row r="809" spans="1:4" x14ac:dyDescent="0.35">
      <c r="A809" s="1">
        <v>27805</v>
      </c>
      <c r="B809" s="2">
        <v>46111</v>
      </c>
      <c r="C809" s="1" t="s">
        <v>9</v>
      </c>
      <c r="D809" s="1">
        <f>MONTH(Tabela6[[#This Row],[DATA]])</f>
        <v>3</v>
      </c>
    </row>
    <row r="810" spans="1:4" x14ac:dyDescent="0.35">
      <c r="A810" s="1">
        <v>27806</v>
      </c>
      <c r="B810" s="2">
        <v>46111</v>
      </c>
      <c r="C810" s="1" t="s">
        <v>9</v>
      </c>
      <c r="D810" s="1">
        <f>MONTH(Tabela6[[#This Row],[DATA]])</f>
        <v>3</v>
      </c>
    </row>
    <row r="811" spans="1:4" x14ac:dyDescent="0.35">
      <c r="A811" s="1">
        <v>27807</v>
      </c>
      <c r="B811" s="2">
        <v>46111</v>
      </c>
      <c r="C811" s="1" t="s">
        <v>9</v>
      </c>
      <c r="D811" s="1">
        <f>MONTH(Tabela6[[#This Row],[DATA]])</f>
        <v>3</v>
      </c>
    </row>
    <row r="812" spans="1:4" x14ac:dyDescent="0.35">
      <c r="A812" s="1">
        <v>27808</v>
      </c>
      <c r="B812" s="2">
        <v>46111</v>
      </c>
      <c r="C812" s="1" t="s">
        <v>9</v>
      </c>
      <c r="D812" s="1">
        <f>MONTH(Tabela6[[#This Row],[DATA]])</f>
        <v>3</v>
      </c>
    </row>
    <row r="813" spans="1:4" x14ac:dyDescent="0.35">
      <c r="A813" s="1">
        <v>27809</v>
      </c>
      <c r="B813" s="2">
        <v>46111</v>
      </c>
      <c r="C813" s="1" t="s">
        <v>9</v>
      </c>
      <c r="D813" s="1">
        <f>MONTH(Tabela6[[#This Row],[DATA]])</f>
        <v>3</v>
      </c>
    </row>
    <row r="814" spans="1:4" x14ac:dyDescent="0.35">
      <c r="A814" s="1">
        <v>27810</v>
      </c>
      <c r="B814" s="2">
        <v>46111</v>
      </c>
      <c r="C814" s="1" t="s">
        <v>9</v>
      </c>
      <c r="D814" s="1">
        <f>MONTH(Tabela6[[#This Row],[DATA]])</f>
        <v>3</v>
      </c>
    </row>
    <row r="815" spans="1:4" x14ac:dyDescent="0.35">
      <c r="A815" s="1">
        <v>27811</v>
      </c>
      <c r="B815" s="2">
        <v>46111</v>
      </c>
      <c r="C815" s="1" t="s">
        <v>9</v>
      </c>
      <c r="D815" s="1">
        <f>MONTH(Tabela6[[#This Row],[DATA]])</f>
        <v>3</v>
      </c>
    </row>
    <row r="816" spans="1:4" x14ac:dyDescent="0.35">
      <c r="A816" s="1">
        <v>27812</v>
      </c>
      <c r="B816" s="2">
        <v>46112</v>
      </c>
      <c r="C816" s="1" t="s">
        <v>28</v>
      </c>
      <c r="D816" s="1">
        <f>MONTH(Tabela6[[#This Row],[DATA]])</f>
        <v>3</v>
      </c>
    </row>
    <row r="817" spans="1:4" x14ac:dyDescent="0.35">
      <c r="A817" s="1">
        <v>27813</v>
      </c>
      <c r="B817" s="2">
        <v>46112</v>
      </c>
      <c r="C817" s="1" t="s">
        <v>28</v>
      </c>
      <c r="D817" s="1">
        <f>MONTH(Tabela6[[#This Row],[DATA]])</f>
        <v>3</v>
      </c>
    </row>
    <row r="818" spans="1:4" x14ac:dyDescent="0.35">
      <c r="A818" s="1">
        <v>27815</v>
      </c>
      <c r="B818" s="2">
        <v>46112</v>
      </c>
      <c r="C818" s="1" t="s">
        <v>28</v>
      </c>
      <c r="D818" s="1">
        <f>MONTH(Tabela6[[#This Row],[DATA]])</f>
        <v>3</v>
      </c>
    </row>
    <row r="819" spans="1:4" x14ac:dyDescent="0.35">
      <c r="A819" s="1">
        <v>27816</v>
      </c>
      <c r="B819" s="2">
        <v>46112</v>
      </c>
      <c r="C819" s="1" t="s">
        <v>28</v>
      </c>
      <c r="D819" s="1">
        <f>MONTH(Tabela6[[#This Row],[DATA]])</f>
        <v>3</v>
      </c>
    </row>
    <row r="820" spans="1:4" x14ac:dyDescent="0.35">
      <c r="A820" s="1">
        <v>27817</v>
      </c>
      <c r="B820" s="2">
        <v>46112</v>
      </c>
      <c r="C820" s="1" t="s">
        <v>28</v>
      </c>
      <c r="D820" s="1">
        <f>MONTH(Tabela6[[#This Row],[DATA]])</f>
        <v>3</v>
      </c>
    </row>
    <row r="821" spans="1:4" x14ac:dyDescent="0.35">
      <c r="A821" s="1">
        <v>27820</v>
      </c>
      <c r="B821" s="2">
        <v>46113</v>
      </c>
      <c r="C821" s="1" t="s">
        <v>28</v>
      </c>
      <c r="D821" s="1">
        <f>MONTH(Tabela6[[#This Row],[DATA]])</f>
        <v>4</v>
      </c>
    </row>
    <row r="822" spans="1:4" x14ac:dyDescent="0.35">
      <c r="A822" s="1">
        <v>27821</v>
      </c>
      <c r="B822" s="2">
        <v>46113</v>
      </c>
      <c r="C822" s="1" t="s">
        <v>28</v>
      </c>
      <c r="D822" s="1">
        <f>MONTH(Tabela6[[#This Row],[DATA]])</f>
        <v>4</v>
      </c>
    </row>
    <row r="823" spans="1:4" x14ac:dyDescent="0.35">
      <c r="A823" s="1">
        <v>27822</v>
      </c>
      <c r="B823" s="2">
        <v>46113</v>
      </c>
      <c r="C823" s="1" t="s">
        <v>28</v>
      </c>
      <c r="D823" s="1">
        <f>MONTH(Tabela6[[#This Row],[DATA]])</f>
        <v>4</v>
      </c>
    </row>
    <row r="824" spans="1:4" x14ac:dyDescent="0.35">
      <c r="A824" s="1">
        <v>27830</v>
      </c>
      <c r="B824" s="2">
        <v>46114</v>
      </c>
      <c r="C824" s="1" t="s">
        <v>28</v>
      </c>
      <c r="D824" s="1">
        <f>MONTH(Tabela6[[#This Row],[DATA]])</f>
        <v>4</v>
      </c>
    </row>
    <row r="825" spans="1:4" x14ac:dyDescent="0.35">
      <c r="A825" s="1">
        <v>27831</v>
      </c>
      <c r="B825" s="2">
        <v>46114</v>
      </c>
      <c r="C825" s="1" t="s">
        <v>28</v>
      </c>
      <c r="D825" s="1">
        <f>MONTH(Tabela6[[#This Row],[DATA]])</f>
        <v>4</v>
      </c>
    </row>
    <row r="826" spans="1:4" x14ac:dyDescent="0.35">
      <c r="A826" s="1">
        <v>27841</v>
      </c>
      <c r="B826" s="2">
        <v>46118</v>
      </c>
      <c r="C826" s="1" t="s">
        <v>5</v>
      </c>
      <c r="D826" s="1">
        <f>MONTH(Tabela6[[#This Row],[DATA]])</f>
        <v>4</v>
      </c>
    </row>
    <row r="827" spans="1:4" x14ac:dyDescent="0.35">
      <c r="A827" s="1">
        <v>27843</v>
      </c>
      <c r="B827" s="2">
        <v>46118</v>
      </c>
      <c r="C827" s="1" t="s">
        <v>5</v>
      </c>
      <c r="D827" s="1">
        <f>MONTH(Tabela6[[#This Row],[DATA]])</f>
        <v>4</v>
      </c>
    </row>
    <row r="828" spans="1:4" x14ac:dyDescent="0.35">
      <c r="A828" s="1">
        <v>27845</v>
      </c>
      <c r="B828" s="2">
        <v>46118</v>
      </c>
      <c r="C828" s="1" t="s">
        <v>5</v>
      </c>
      <c r="D828" s="1">
        <f>MONTH(Tabela6[[#This Row],[DATA]])</f>
        <v>4</v>
      </c>
    </row>
    <row r="829" spans="1:4" x14ac:dyDescent="0.35">
      <c r="A829" s="1">
        <v>27846</v>
      </c>
      <c r="B829" s="2">
        <v>46118</v>
      </c>
      <c r="C829" s="1" t="s">
        <v>5</v>
      </c>
      <c r="D829" s="1">
        <f>MONTH(Tabela6[[#This Row],[DATA]])</f>
        <v>4</v>
      </c>
    </row>
    <row r="830" spans="1:4" x14ac:dyDescent="0.35">
      <c r="A830" s="1">
        <v>27853</v>
      </c>
      <c r="B830" s="2">
        <v>46118</v>
      </c>
      <c r="C830" s="1" t="s">
        <v>28</v>
      </c>
      <c r="D830" s="1">
        <f>MONTH(Tabela6[[#This Row],[DATA]])</f>
        <v>4</v>
      </c>
    </row>
    <row r="831" spans="1:4" x14ac:dyDescent="0.35">
      <c r="A831" s="1">
        <v>27854</v>
      </c>
      <c r="B831" s="2">
        <v>46118</v>
      </c>
      <c r="C831" s="1" t="s">
        <v>28</v>
      </c>
      <c r="D831" s="1">
        <f>MONTH(Tabela6[[#This Row],[DATA]])</f>
        <v>4</v>
      </c>
    </row>
    <row r="832" spans="1:4" x14ac:dyDescent="0.35">
      <c r="A832" s="1">
        <v>27865</v>
      </c>
      <c r="B832" s="2">
        <v>46119</v>
      </c>
      <c r="C832" s="1" t="s">
        <v>33</v>
      </c>
      <c r="D832" s="1">
        <f>MONTH(Tabela6[[#This Row],[DATA]])</f>
        <v>4</v>
      </c>
    </row>
    <row r="833" spans="1:4" x14ac:dyDescent="0.35">
      <c r="A833" s="1">
        <v>27866</v>
      </c>
      <c r="B833" s="2">
        <v>46119</v>
      </c>
      <c r="C833" s="1" t="s">
        <v>33</v>
      </c>
      <c r="D833" s="1">
        <f>MONTH(Tabela6[[#This Row],[DATA]])</f>
        <v>4</v>
      </c>
    </row>
    <row r="834" spans="1:4" x14ac:dyDescent="0.35">
      <c r="A834" s="1">
        <v>27867</v>
      </c>
      <c r="B834" s="2">
        <v>46119</v>
      </c>
      <c r="C834" s="1" t="s">
        <v>33</v>
      </c>
      <c r="D834" s="1">
        <f>MONTH(Tabela6[[#This Row],[DATA]])</f>
        <v>4</v>
      </c>
    </row>
    <row r="835" spans="1:4" x14ac:dyDescent="0.35">
      <c r="A835" s="1">
        <v>27868</v>
      </c>
      <c r="B835" s="2">
        <v>46119</v>
      </c>
      <c r="C835" s="1" t="s">
        <v>33</v>
      </c>
      <c r="D835" s="1">
        <f>MONTH(Tabela6[[#This Row],[DATA]])</f>
        <v>4</v>
      </c>
    </row>
    <row r="836" spans="1:4" x14ac:dyDescent="0.35">
      <c r="A836" s="1">
        <v>27869</v>
      </c>
      <c r="B836" s="2">
        <v>46119</v>
      </c>
      <c r="C836" s="1" t="s">
        <v>33</v>
      </c>
      <c r="D836" s="1">
        <f>MONTH(Tabela6[[#This Row],[DATA]])</f>
        <v>4</v>
      </c>
    </row>
    <row r="837" spans="1:4" x14ac:dyDescent="0.35">
      <c r="A837" s="1">
        <v>27870</v>
      </c>
      <c r="B837" s="2">
        <v>46119</v>
      </c>
      <c r="C837" s="1" t="s">
        <v>33</v>
      </c>
      <c r="D837" s="1">
        <f>MONTH(Tabela6[[#This Row],[DATA]])</f>
        <v>4</v>
      </c>
    </row>
    <row r="838" spans="1:4" x14ac:dyDescent="0.35">
      <c r="A838" s="1">
        <v>27871</v>
      </c>
      <c r="B838" s="2">
        <v>46120</v>
      </c>
      <c r="C838" s="1" t="s">
        <v>5</v>
      </c>
      <c r="D838" s="1">
        <f>MONTH(Tabela6[[#This Row],[DATA]])</f>
        <v>4</v>
      </c>
    </row>
    <row r="839" spans="1:4" x14ac:dyDescent="0.35">
      <c r="A839" s="1">
        <v>27872</v>
      </c>
      <c r="B839" s="2">
        <v>46120</v>
      </c>
      <c r="C839" s="1" t="s">
        <v>5</v>
      </c>
      <c r="D839" s="1">
        <f>MONTH(Tabela6[[#This Row],[DATA]])</f>
        <v>4</v>
      </c>
    </row>
    <row r="840" spans="1:4" x14ac:dyDescent="0.35">
      <c r="A840" s="1">
        <v>27873</v>
      </c>
      <c r="B840" s="2">
        <v>46120</v>
      </c>
      <c r="C840" s="1" t="s">
        <v>5</v>
      </c>
      <c r="D840" s="1">
        <f>MONTH(Tabela6[[#This Row],[DATA]])</f>
        <v>4</v>
      </c>
    </row>
    <row r="841" spans="1:4" x14ac:dyDescent="0.35">
      <c r="A841" s="1">
        <v>27874</v>
      </c>
      <c r="B841" s="2">
        <v>46120</v>
      </c>
      <c r="C841" s="1" t="s">
        <v>5</v>
      </c>
      <c r="D841" s="1">
        <f>MONTH(Tabela6[[#This Row],[DATA]])</f>
        <v>4</v>
      </c>
    </row>
    <row r="842" spans="1:4" x14ac:dyDescent="0.35">
      <c r="A842" s="1">
        <v>27875</v>
      </c>
      <c r="B842" s="2">
        <v>46120</v>
      </c>
      <c r="C842" s="1" t="s">
        <v>24</v>
      </c>
      <c r="D842" s="1">
        <f>MONTH(Tabela6[[#This Row],[DATA]])</f>
        <v>4</v>
      </c>
    </row>
    <row r="843" spans="1:4" x14ac:dyDescent="0.35">
      <c r="A843" s="1">
        <v>27876</v>
      </c>
      <c r="B843" s="2">
        <v>46120</v>
      </c>
      <c r="C843" s="1" t="s">
        <v>24</v>
      </c>
      <c r="D843" s="1">
        <f>MONTH(Tabela6[[#This Row],[DATA]])</f>
        <v>4</v>
      </c>
    </row>
    <row r="844" spans="1:4" x14ac:dyDescent="0.35">
      <c r="A844" s="1">
        <v>27878</v>
      </c>
      <c r="B844" s="2">
        <v>46120</v>
      </c>
      <c r="C844" s="1" t="s">
        <v>24</v>
      </c>
      <c r="D844" s="1">
        <f>MONTH(Tabela6[[#This Row],[DATA]])</f>
        <v>4</v>
      </c>
    </row>
    <row r="845" spans="1:4" x14ac:dyDescent="0.35">
      <c r="A845" s="1">
        <v>27879</v>
      </c>
      <c r="B845" s="2">
        <v>46120</v>
      </c>
      <c r="C845" s="1" t="s">
        <v>24</v>
      </c>
      <c r="D845" s="1">
        <f>MONTH(Tabela6[[#This Row],[DATA]])</f>
        <v>4</v>
      </c>
    </row>
    <row r="846" spans="1:4" x14ac:dyDescent="0.35">
      <c r="A846" s="1">
        <v>27880</v>
      </c>
      <c r="B846" s="2">
        <v>46120</v>
      </c>
      <c r="C846" s="1" t="s">
        <v>24</v>
      </c>
      <c r="D846" s="1">
        <f>MONTH(Tabela6[[#This Row],[DATA]])</f>
        <v>4</v>
      </c>
    </row>
    <row r="847" spans="1:4" x14ac:dyDescent="0.35">
      <c r="A847" s="1">
        <v>27881</v>
      </c>
      <c r="B847" s="2">
        <v>46120</v>
      </c>
      <c r="C847" s="1" t="s">
        <v>24</v>
      </c>
      <c r="D847" s="1">
        <f>MONTH(Tabela6[[#This Row],[DATA]])</f>
        <v>4</v>
      </c>
    </row>
    <row r="848" spans="1:4" x14ac:dyDescent="0.35">
      <c r="A848" s="1">
        <v>27882</v>
      </c>
      <c r="B848" s="2">
        <v>46120</v>
      </c>
      <c r="C848" s="1" t="s">
        <v>24</v>
      </c>
      <c r="D848" s="1">
        <f>MONTH(Tabela6[[#This Row],[DATA]])</f>
        <v>4</v>
      </c>
    </row>
    <row r="849" spans="1:4" x14ac:dyDescent="0.35">
      <c r="A849" s="1">
        <v>27883</v>
      </c>
      <c r="B849" s="2">
        <v>46120</v>
      </c>
      <c r="C849" s="1" t="s">
        <v>24</v>
      </c>
      <c r="D849" s="1">
        <f>MONTH(Tabela6[[#This Row],[DATA]])</f>
        <v>4</v>
      </c>
    </row>
    <row r="850" spans="1:4" x14ac:dyDescent="0.35">
      <c r="A850" s="1">
        <v>27884</v>
      </c>
      <c r="B850" s="2">
        <v>46120</v>
      </c>
      <c r="C850" s="1" t="s">
        <v>24</v>
      </c>
      <c r="D850" s="1">
        <f>MONTH(Tabela6[[#This Row],[DATA]])</f>
        <v>4</v>
      </c>
    </row>
    <row r="851" spans="1:4" x14ac:dyDescent="0.35">
      <c r="A851" s="1">
        <v>27885</v>
      </c>
      <c r="B851" s="2">
        <v>46120</v>
      </c>
      <c r="C851" s="1" t="s">
        <v>33</v>
      </c>
      <c r="D851" s="1">
        <f>MONTH(Tabela6[[#This Row],[DATA]])</f>
        <v>4</v>
      </c>
    </row>
    <row r="852" spans="1:4" x14ac:dyDescent="0.35">
      <c r="A852" s="1">
        <v>27886</v>
      </c>
      <c r="B852" s="2">
        <v>46120</v>
      </c>
      <c r="C852" s="1" t="s">
        <v>33</v>
      </c>
      <c r="D852" s="1">
        <f>MONTH(Tabela6[[#This Row],[DATA]])</f>
        <v>4</v>
      </c>
    </row>
    <row r="853" spans="1:4" x14ac:dyDescent="0.35">
      <c r="A853" s="1">
        <v>27887</v>
      </c>
      <c r="B853" s="2">
        <v>46120</v>
      </c>
      <c r="C853" s="1" t="s">
        <v>33</v>
      </c>
      <c r="D853" s="1">
        <f>MONTH(Tabela6[[#This Row],[DATA]])</f>
        <v>4</v>
      </c>
    </row>
    <row r="854" spans="1:4" x14ac:dyDescent="0.35">
      <c r="A854" s="1">
        <v>27888</v>
      </c>
      <c r="B854" s="2">
        <v>46120</v>
      </c>
      <c r="C854" s="1" t="s">
        <v>33</v>
      </c>
      <c r="D854" s="1">
        <f>MONTH(Tabela6[[#This Row],[DATA]])</f>
        <v>4</v>
      </c>
    </row>
    <row r="855" spans="1:4" x14ac:dyDescent="0.35">
      <c r="A855" s="1">
        <v>27889</v>
      </c>
      <c r="B855" s="2">
        <v>46120</v>
      </c>
      <c r="C855" s="1" t="s">
        <v>33</v>
      </c>
      <c r="D855" s="1">
        <f>MONTH(Tabela6[[#This Row],[DATA]])</f>
        <v>4</v>
      </c>
    </row>
    <row r="856" spans="1:4" x14ac:dyDescent="0.35">
      <c r="A856" s="1">
        <v>27890</v>
      </c>
      <c r="B856" s="2">
        <v>46120</v>
      </c>
      <c r="C856" s="1" t="s">
        <v>28</v>
      </c>
      <c r="D856" s="1">
        <f>MONTH(Tabela6[[#This Row],[DATA]])</f>
        <v>4</v>
      </c>
    </row>
    <row r="857" spans="1:4" x14ac:dyDescent="0.35">
      <c r="A857" s="1">
        <v>27891</v>
      </c>
      <c r="B857" s="2">
        <v>46120</v>
      </c>
      <c r="C857" s="1" t="s">
        <v>28</v>
      </c>
      <c r="D857" s="1">
        <f>MONTH(Tabela6[[#This Row],[DATA]])</f>
        <v>4</v>
      </c>
    </row>
    <row r="858" spans="1:4" x14ac:dyDescent="0.35">
      <c r="A858" s="1">
        <v>27892</v>
      </c>
      <c r="B858" s="2">
        <v>46120</v>
      </c>
      <c r="C858" s="1" t="s">
        <v>28</v>
      </c>
      <c r="D858" s="1">
        <f>MONTH(Tabela6[[#This Row],[DATA]])</f>
        <v>4</v>
      </c>
    </row>
    <row r="859" spans="1:4" x14ac:dyDescent="0.35">
      <c r="A859" s="1">
        <v>27893</v>
      </c>
      <c r="B859" s="2">
        <v>46121</v>
      </c>
      <c r="C859" s="1" t="s">
        <v>33</v>
      </c>
      <c r="D859" s="1">
        <f>MONTH(Tabela6[[#This Row],[DATA]])</f>
        <v>4</v>
      </c>
    </row>
    <row r="860" spans="1:4" x14ac:dyDescent="0.35">
      <c r="A860" s="1">
        <v>27894</v>
      </c>
      <c r="B860" s="2">
        <v>46121</v>
      </c>
      <c r="C860" s="1" t="s">
        <v>33</v>
      </c>
      <c r="D860" s="1">
        <f>MONTH(Tabela6[[#This Row],[DATA]])</f>
        <v>4</v>
      </c>
    </row>
    <row r="861" spans="1:4" x14ac:dyDescent="0.35">
      <c r="A861" s="1">
        <v>27895</v>
      </c>
      <c r="B861" s="2">
        <v>46121</v>
      </c>
      <c r="C861" s="1" t="s">
        <v>33</v>
      </c>
      <c r="D861" s="1">
        <f>MONTH(Tabela6[[#This Row],[DATA]])</f>
        <v>4</v>
      </c>
    </row>
    <row r="862" spans="1:4" x14ac:dyDescent="0.35">
      <c r="A862" s="1">
        <v>27896</v>
      </c>
      <c r="B862" s="2">
        <v>46121</v>
      </c>
      <c r="C862" s="1" t="s">
        <v>33</v>
      </c>
      <c r="D862" s="1">
        <f>MONTH(Tabela6[[#This Row],[DATA]])</f>
        <v>4</v>
      </c>
    </row>
    <row r="863" spans="1:4" x14ac:dyDescent="0.35">
      <c r="A863" s="1">
        <v>27897</v>
      </c>
      <c r="B863" s="2">
        <v>46121</v>
      </c>
      <c r="C863" s="1" t="s">
        <v>33</v>
      </c>
      <c r="D863" s="1">
        <f>MONTH(Tabela6[[#This Row],[DATA]])</f>
        <v>4</v>
      </c>
    </row>
    <row r="864" spans="1:4" x14ac:dyDescent="0.35">
      <c r="A864" s="1">
        <v>27901</v>
      </c>
      <c r="B864" s="2">
        <v>46121</v>
      </c>
      <c r="C864" s="1" t="s">
        <v>5</v>
      </c>
      <c r="D864" s="1">
        <f>MONTH(Tabela6[[#This Row],[DATA]])</f>
        <v>4</v>
      </c>
    </row>
    <row r="865" spans="1:4" x14ac:dyDescent="0.35">
      <c r="A865" s="1">
        <v>27902</v>
      </c>
      <c r="B865" s="2">
        <v>46121</v>
      </c>
      <c r="C865" s="1" t="s">
        <v>5</v>
      </c>
      <c r="D865" s="1">
        <f>MONTH(Tabela6[[#This Row],[DATA]])</f>
        <v>4</v>
      </c>
    </row>
    <row r="866" spans="1:4" x14ac:dyDescent="0.35">
      <c r="A866" s="1">
        <v>27903</v>
      </c>
      <c r="B866" s="2">
        <v>46121</v>
      </c>
      <c r="C866" s="1" t="s">
        <v>5</v>
      </c>
      <c r="D866" s="1">
        <f>MONTH(Tabela6[[#This Row],[DATA]])</f>
        <v>4</v>
      </c>
    </row>
    <row r="867" spans="1:4" x14ac:dyDescent="0.35">
      <c r="A867" s="1">
        <v>27908</v>
      </c>
      <c r="B867" s="2">
        <v>46125</v>
      </c>
      <c r="C867" s="1" t="s">
        <v>5</v>
      </c>
      <c r="D867" s="1">
        <f>MONTH(Tabela6[[#This Row],[DATA]])</f>
        <v>4</v>
      </c>
    </row>
    <row r="868" spans="1:4" x14ac:dyDescent="0.35">
      <c r="A868" s="1">
        <v>27909</v>
      </c>
      <c r="B868" s="2">
        <v>46125</v>
      </c>
      <c r="C868" s="1" t="s">
        <v>5</v>
      </c>
      <c r="D868" s="1">
        <f>MONTH(Tabela6[[#This Row],[DATA]])</f>
        <v>4</v>
      </c>
    </row>
    <row r="869" spans="1:4" x14ac:dyDescent="0.35">
      <c r="A869" s="1">
        <v>27910</v>
      </c>
      <c r="B869" s="2">
        <v>46125</v>
      </c>
      <c r="C869" s="1" t="s">
        <v>5</v>
      </c>
      <c r="D869" s="1">
        <f>MONTH(Tabela6[[#This Row],[DATA]])</f>
        <v>4</v>
      </c>
    </row>
    <row r="870" spans="1:4" x14ac:dyDescent="0.35">
      <c r="A870" s="1">
        <v>27911</v>
      </c>
      <c r="B870" s="2">
        <v>46125</v>
      </c>
      <c r="C870" s="1" t="s">
        <v>5</v>
      </c>
      <c r="D870" s="1">
        <f>MONTH(Tabela6[[#This Row],[DATA]])</f>
        <v>4</v>
      </c>
    </row>
    <row r="871" spans="1:4" x14ac:dyDescent="0.35">
      <c r="A871" s="1">
        <v>27912</v>
      </c>
      <c r="B871" s="2">
        <v>46125</v>
      </c>
      <c r="C871" s="1" t="s">
        <v>5</v>
      </c>
      <c r="D871" s="1">
        <f>MONTH(Tabela6[[#This Row],[DATA]])</f>
        <v>4</v>
      </c>
    </row>
    <row r="872" spans="1:4" x14ac:dyDescent="0.35">
      <c r="A872" s="1">
        <v>27915</v>
      </c>
      <c r="B872" s="2">
        <v>46126</v>
      </c>
      <c r="C872" s="1" t="s">
        <v>24</v>
      </c>
      <c r="D872" s="1">
        <f>MONTH(Tabela6[[#This Row],[DATA]])</f>
        <v>4</v>
      </c>
    </row>
    <row r="873" spans="1:4" x14ac:dyDescent="0.35">
      <c r="A873" s="1">
        <v>27916</v>
      </c>
      <c r="B873" s="2">
        <v>46126</v>
      </c>
      <c r="C873" s="1" t="s">
        <v>24</v>
      </c>
      <c r="D873" s="1">
        <f>MONTH(Tabela6[[#This Row],[DATA]])</f>
        <v>4</v>
      </c>
    </row>
    <row r="874" spans="1:4" x14ac:dyDescent="0.35">
      <c r="A874" s="1">
        <v>27917</v>
      </c>
      <c r="B874" s="2">
        <v>46126</v>
      </c>
      <c r="C874" s="1" t="s">
        <v>24</v>
      </c>
      <c r="D874" s="1">
        <f>MONTH(Tabela6[[#This Row],[DATA]])</f>
        <v>4</v>
      </c>
    </row>
    <row r="875" spans="1:4" x14ac:dyDescent="0.35">
      <c r="A875" s="1">
        <v>27918</v>
      </c>
      <c r="B875" s="2">
        <v>46126</v>
      </c>
      <c r="C875" s="1" t="s">
        <v>24</v>
      </c>
      <c r="D875" s="1">
        <f>MONTH(Tabela6[[#This Row],[DATA]])</f>
        <v>4</v>
      </c>
    </row>
    <row r="876" spans="1:4" x14ac:dyDescent="0.35">
      <c r="A876" s="1">
        <v>27919</v>
      </c>
      <c r="B876" s="2">
        <v>46126</v>
      </c>
      <c r="C876" s="1" t="s">
        <v>24</v>
      </c>
      <c r="D876" s="1">
        <f>MONTH(Tabela6[[#This Row],[DATA]])</f>
        <v>4</v>
      </c>
    </row>
    <row r="877" spans="1:4" x14ac:dyDescent="0.35">
      <c r="A877" s="1">
        <v>27920</v>
      </c>
      <c r="B877" s="2">
        <v>46126</v>
      </c>
      <c r="C877" s="1" t="s">
        <v>24</v>
      </c>
      <c r="D877" s="1">
        <f>MONTH(Tabela6[[#This Row],[DATA]])</f>
        <v>4</v>
      </c>
    </row>
    <row r="878" spans="1:4" x14ac:dyDescent="0.35">
      <c r="A878" s="1">
        <v>27921</v>
      </c>
      <c r="B878" s="2">
        <v>46126</v>
      </c>
      <c r="C878" s="1" t="s">
        <v>24</v>
      </c>
      <c r="D878" s="1">
        <f>MONTH(Tabela6[[#This Row],[DATA]])</f>
        <v>4</v>
      </c>
    </row>
    <row r="879" spans="1:4" x14ac:dyDescent="0.35">
      <c r="A879" s="1">
        <v>27922</v>
      </c>
      <c r="B879" s="2">
        <v>46126</v>
      </c>
      <c r="C879" s="1" t="s">
        <v>24</v>
      </c>
      <c r="D879" s="1">
        <f>MONTH(Tabela6[[#This Row],[DATA]])</f>
        <v>4</v>
      </c>
    </row>
    <row r="880" spans="1:4" x14ac:dyDescent="0.35">
      <c r="A880" s="1">
        <v>27923</v>
      </c>
      <c r="B880" s="2">
        <v>46126</v>
      </c>
      <c r="C880" s="1" t="s">
        <v>24</v>
      </c>
      <c r="D880" s="1">
        <f>MONTH(Tabela6[[#This Row],[DATA]])</f>
        <v>4</v>
      </c>
    </row>
    <row r="881" spans="1:4" x14ac:dyDescent="0.35">
      <c r="A881" s="1">
        <v>27924</v>
      </c>
      <c r="B881" s="2">
        <v>46126</v>
      </c>
      <c r="C881" s="1" t="s">
        <v>24</v>
      </c>
      <c r="D881" s="1">
        <f>MONTH(Tabela6[[#This Row],[DATA]])</f>
        <v>4</v>
      </c>
    </row>
    <row r="882" spans="1:4" x14ac:dyDescent="0.35">
      <c r="A882" s="1">
        <v>27925</v>
      </c>
      <c r="B882" s="2">
        <v>46126</v>
      </c>
      <c r="C882" s="1" t="s">
        <v>24</v>
      </c>
      <c r="D882" s="1">
        <f>MONTH(Tabela6[[#This Row],[DATA]])</f>
        <v>4</v>
      </c>
    </row>
    <row r="883" spans="1:4" x14ac:dyDescent="0.35">
      <c r="A883" s="1">
        <v>27926</v>
      </c>
      <c r="B883" s="2">
        <v>46126</v>
      </c>
      <c r="C883" s="1" t="s">
        <v>24</v>
      </c>
      <c r="D883" s="1">
        <f>MONTH(Tabela6[[#This Row],[DATA]])</f>
        <v>4</v>
      </c>
    </row>
    <row r="884" spans="1:4" x14ac:dyDescent="0.35">
      <c r="A884" s="1">
        <v>27927</v>
      </c>
      <c r="B884" s="2">
        <v>46126</v>
      </c>
      <c r="C884" s="1" t="s">
        <v>24</v>
      </c>
      <c r="D884" s="1">
        <f>MONTH(Tabela6[[#This Row],[DATA]])</f>
        <v>4</v>
      </c>
    </row>
    <row r="885" spans="1:4" x14ac:dyDescent="0.35">
      <c r="A885" s="1">
        <v>27928</v>
      </c>
      <c r="B885" s="2">
        <v>46126</v>
      </c>
      <c r="C885" s="1" t="s">
        <v>24</v>
      </c>
      <c r="D885" s="1">
        <f>MONTH(Tabela6[[#This Row],[DATA]])</f>
        <v>4</v>
      </c>
    </row>
    <row r="886" spans="1:4" x14ac:dyDescent="0.35">
      <c r="A886" s="1">
        <v>27929</v>
      </c>
      <c r="B886" s="2">
        <v>46126</v>
      </c>
      <c r="C886" s="1" t="s">
        <v>24</v>
      </c>
      <c r="D886" s="1">
        <f>MONTH(Tabela6[[#This Row],[DATA]])</f>
        <v>4</v>
      </c>
    </row>
    <row r="887" spans="1:4" x14ac:dyDescent="0.35">
      <c r="A887" s="1">
        <v>27930</v>
      </c>
      <c r="B887" s="2">
        <v>46126</v>
      </c>
      <c r="C887" s="1" t="s">
        <v>24</v>
      </c>
      <c r="D887" s="1">
        <f>MONTH(Tabela6[[#This Row],[DATA]])</f>
        <v>4</v>
      </c>
    </row>
    <row r="888" spans="1:4" x14ac:dyDescent="0.35">
      <c r="A888" s="1">
        <v>27931</v>
      </c>
      <c r="B888" s="2">
        <v>46126</v>
      </c>
      <c r="C888" s="1" t="s">
        <v>24</v>
      </c>
      <c r="D888" s="1">
        <f>MONTH(Tabela6[[#This Row],[DATA]])</f>
        <v>4</v>
      </c>
    </row>
    <row r="889" spans="1:4" x14ac:dyDescent="0.35">
      <c r="A889" s="1">
        <v>27932</v>
      </c>
      <c r="B889" s="2">
        <v>46126</v>
      </c>
      <c r="C889" s="1" t="s">
        <v>21</v>
      </c>
      <c r="D889" s="1">
        <f>MONTH(Tabela6[[#This Row],[DATA]])</f>
        <v>4</v>
      </c>
    </row>
    <row r="890" spans="1:4" x14ac:dyDescent="0.35">
      <c r="A890" s="1">
        <v>27933</v>
      </c>
      <c r="B890" s="2">
        <v>46126</v>
      </c>
      <c r="C890" s="1" t="s">
        <v>21</v>
      </c>
      <c r="D890" s="1">
        <f>MONTH(Tabela6[[#This Row],[DATA]])</f>
        <v>4</v>
      </c>
    </row>
    <row r="891" spans="1:4" x14ac:dyDescent="0.35">
      <c r="A891" s="1">
        <v>27934</v>
      </c>
      <c r="B891" s="2">
        <v>46126</v>
      </c>
      <c r="C891" s="1" t="s">
        <v>21</v>
      </c>
      <c r="D891" s="1">
        <f>MONTH(Tabela6[[#This Row],[DATA]])</f>
        <v>4</v>
      </c>
    </row>
    <row r="892" spans="1:4" x14ac:dyDescent="0.35">
      <c r="A892" s="1">
        <v>27935</v>
      </c>
      <c r="B892" s="2">
        <v>46126</v>
      </c>
      <c r="C892" s="1" t="s">
        <v>21</v>
      </c>
      <c r="D892" s="1">
        <f>MONTH(Tabela6[[#This Row],[DATA]])</f>
        <v>4</v>
      </c>
    </row>
    <row r="893" spans="1:4" x14ac:dyDescent="0.35">
      <c r="A893" s="1">
        <v>27936</v>
      </c>
      <c r="B893" s="2">
        <v>46126</v>
      </c>
      <c r="C893" s="1" t="s">
        <v>21</v>
      </c>
      <c r="D893" s="1">
        <f>MONTH(Tabela6[[#This Row],[DATA]])</f>
        <v>4</v>
      </c>
    </row>
    <row r="894" spans="1:4" x14ac:dyDescent="0.35">
      <c r="A894" s="1">
        <v>27937</v>
      </c>
      <c r="B894" s="2">
        <v>46126</v>
      </c>
      <c r="C894" s="1" t="s">
        <v>21</v>
      </c>
      <c r="D894" s="1">
        <f>MONTH(Tabela6[[#This Row],[DATA]])</f>
        <v>4</v>
      </c>
    </row>
    <row r="895" spans="1:4" x14ac:dyDescent="0.35">
      <c r="A895" s="1">
        <v>27938</v>
      </c>
      <c r="B895" s="2">
        <v>46126</v>
      </c>
      <c r="C895" s="1" t="s">
        <v>21</v>
      </c>
      <c r="D895" s="1">
        <f>MONTH(Tabela6[[#This Row],[DATA]])</f>
        <v>4</v>
      </c>
    </row>
    <row r="896" spans="1:4" x14ac:dyDescent="0.35">
      <c r="A896" s="1">
        <v>27939</v>
      </c>
      <c r="B896" s="2">
        <v>46126</v>
      </c>
      <c r="C896" s="1" t="s">
        <v>21</v>
      </c>
      <c r="D896" s="1">
        <f>MONTH(Tabela6[[#This Row],[DATA]])</f>
        <v>4</v>
      </c>
    </row>
    <row r="897" spans="1:4" x14ac:dyDescent="0.35">
      <c r="A897" s="1">
        <v>27940</v>
      </c>
      <c r="B897" s="2">
        <v>46126</v>
      </c>
      <c r="C897" s="1" t="s">
        <v>21</v>
      </c>
      <c r="D897" s="1">
        <f>MONTH(Tabela6[[#This Row],[DATA]])</f>
        <v>4</v>
      </c>
    </row>
    <row r="898" spans="1:4" x14ac:dyDescent="0.35">
      <c r="A898" s="1">
        <v>27941</v>
      </c>
      <c r="B898" s="2">
        <v>46126</v>
      </c>
      <c r="C898" s="1" t="s">
        <v>21</v>
      </c>
      <c r="D898" s="1">
        <f>MONTH(Tabela6[[#This Row],[DATA]])</f>
        <v>4</v>
      </c>
    </row>
    <row r="899" spans="1:4" x14ac:dyDescent="0.35">
      <c r="A899" s="1">
        <v>27942</v>
      </c>
      <c r="B899" s="2">
        <v>46126</v>
      </c>
      <c r="C899" s="1" t="s">
        <v>21</v>
      </c>
      <c r="D899" s="1">
        <f>MONTH(Tabela6[[#This Row],[DATA]])</f>
        <v>4</v>
      </c>
    </row>
    <row r="900" spans="1:4" x14ac:dyDescent="0.35">
      <c r="A900" s="1">
        <v>27943</v>
      </c>
      <c r="B900" s="2">
        <v>46126</v>
      </c>
      <c r="C900" s="1" t="s">
        <v>21</v>
      </c>
      <c r="D900" s="1">
        <f>MONTH(Tabela6[[#This Row],[DATA]])</f>
        <v>4</v>
      </c>
    </row>
    <row r="901" spans="1:4" x14ac:dyDescent="0.35">
      <c r="A901" s="1">
        <v>27944</v>
      </c>
      <c r="B901" s="2">
        <v>46126</v>
      </c>
      <c r="C901" s="1" t="s">
        <v>21</v>
      </c>
      <c r="D901" s="1">
        <f>MONTH(Tabela6[[#This Row],[DATA]])</f>
        <v>4</v>
      </c>
    </row>
    <row r="902" spans="1:4" x14ac:dyDescent="0.35">
      <c r="A902" s="1">
        <v>27945</v>
      </c>
      <c r="B902" s="2">
        <v>46127</v>
      </c>
      <c r="C902" s="1" t="s">
        <v>21</v>
      </c>
      <c r="D902" s="1">
        <f>MONTH(Tabela6[[#This Row],[DATA]])</f>
        <v>4</v>
      </c>
    </row>
    <row r="903" spans="1:4" x14ac:dyDescent="0.35">
      <c r="A903" s="1">
        <v>27946</v>
      </c>
      <c r="B903" s="2">
        <v>46127</v>
      </c>
      <c r="C903" s="1" t="s">
        <v>21</v>
      </c>
      <c r="D903" s="1">
        <f>MONTH(Tabela6[[#This Row],[DATA]])</f>
        <v>4</v>
      </c>
    </row>
    <row r="904" spans="1:4" x14ac:dyDescent="0.35">
      <c r="A904" s="1">
        <v>27947</v>
      </c>
      <c r="B904" s="2">
        <v>46127</v>
      </c>
      <c r="C904" s="1" t="s">
        <v>5</v>
      </c>
      <c r="D904" s="1">
        <f>MONTH(Tabela6[[#This Row],[DATA]])</f>
        <v>4</v>
      </c>
    </row>
    <row r="905" spans="1:4" x14ac:dyDescent="0.35">
      <c r="A905" s="1">
        <v>27948</v>
      </c>
      <c r="B905" s="2">
        <v>46127</v>
      </c>
      <c r="C905" s="1" t="s">
        <v>5</v>
      </c>
      <c r="D905" s="1">
        <f>MONTH(Tabela6[[#This Row],[DATA]])</f>
        <v>4</v>
      </c>
    </row>
    <row r="906" spans="1:4" x14ac:dyDescent="0.35">
      <c r="A906" s="1">
        <v>27949</v>
      </c>
      <c r="B906" s="2">
        <v>46127</v>
      </c>
      <c r="C906" s="1" t="s">
        <v>5</v>
      </c>
      <c r="D906" s="1">
        <f>MONTH(Tabela6[[#This Row],[DATA]])</f>
        <v>4</v>
      </c>
    </row>
    <row r="907" spans="1:4" x14ac:dyDescent="0.35">
      <c r="A907" s="1">
        <v>27950</v>
      </c>
      <c r="B907" s="2">
        <v>46127</v>
      </c>
      <c r="C907" s="1" t="s">
        <v>5</v>
      </c>
      <c r="D907" s="1">
        <f>MONTH(Tabela6[[#This Row],[DATA]])</f>
        <v>4</v>
      </c>
    </row>
    <row r="908" spans="1:4" x14ac:dyDescent="0.35">
      <c r="A908" s="1">
        <v>27951</v>
      </c>
      <c r="B908" s="2">
        <v>46127</v>
      </c>
      <c r="C908" s="1" t="s">
        <v>5</v>
      </c>
      <c r="D908" s="1">
        <f>MONTH(Tabela6[[#This Row],[DATA]])</f>
        <v>4</v>
      </c>
    </row>
    <row r="909" spans="1:4" x14ac:dyDescent="0.35">
      <c r="A909" s="1">
        <v>27952</v>
      </c>
      <c r="B909" s="2">
        <v>46127</v>
      </c>
      <c r="C909" s="1" t="s">
        <v>21</v>
      </c>
      <c r="D909" s="1">
        <f>MONTH(Tabela6[[#This Row],[DATA]])</f>
        <v>4</v>
      </c>
    </row>
    <row r="910" spans="1:4" x14ac:dyDescent="0.35">
      <c r="A910" s="1">
        <v>27953</v>
      </c>
      <c r="B910" s="2">
        <v>46127</v>
      </c>
      <c r="C910" s="1" t="s">
        <v>21</v>
      </c>
      <c r="D910" s="1">
        <f>MONTH(Tabela6[[#This Row],[DATA]])</f>
        <v>4</v>
      </c>
    </row>
    <row r="911" spans="1:4" x14ac:dyDescent="0.35">
      <c r="A911" s="1">
        <v>27954</v>
      </c>
      <c r="B911" s="2">
        <v>46127</v>
      </c>
      <c r="C911" s="1" t="s">
        <v>21</v>
      </c>
      <c r="D911" s="1">
        <f>MONTH(Tabela6[[#This Row],[DATA]])</f>
        <v>4</v>
      </c>
    </row>
    <row r="912" spans="1:4" x14ac:dyDescent="0.35">
      <c r="A912" s="1">
        <v>27955</v>
      </c>
      <c r="B912" s="2">
        <v>46127</v>
      </c>
      <c r="C912" s="1" t="s">
        <v>21</v>
      </c>
      <c r="D912" s="1">
        <f>MONTH(Tabela6[[#This Row],[DATA]])</f>
        <v>4</v>
      </c>
    </row>
    <row r="913" spans="1:4" x14ac:dyDescent="0.35">
      <c r="A913" s="1">
        <v>27961</v>
      </c>
      <c r="B913" s="2">
        <v>46128</v>
      </c>
      <c r="C913" s="1" t="s">
        <v>24</v>
      </c>
      <c r="D913" s="1">
        <f>MONTH(Tabela6[[#This Row],[DATA]])</f>
        <v>4</v>
      </c>
    </row>
    <row r="914" spans="1:4" x14ac:dyDescent="0.35">
      <c r="A914" s="1">
        <v>27962</v>
      </c>
      <c r="B914" s="2">
        <v>46128</v>
      </c>
      <c r="C914" s="1" t="s">
        <v>24</v>
      </c>
      <c r="D914" s="1">
        <f>MONTH(Tabela6[[#This Row],[DATA]])</f>
        <v>4</v>
      </c>
    </row>
    <row r="915" spans="1:4" x14ac:dyDescent="0.35">
      <c r="A915" s="1">
        <v>27963</v>
      </c>
      <c r="B915" s="2">
        <v>46128</v>
      </c>
      <c r="C915" s="1" t="s">
        <v>24</v>
      </c>
      <c r="D915" s="1">
        <f>MONTH(Tabela6[[#This Row],[DATA]])</f>
        <v>4</v>
      </c>
    </row>
    <row r="916" spans="1:4" x14ac:dyDescent="0.35">
      <c r="A916" s="1">
        <v>27964</v>
      </c>
      <c r="B916" s="2">
        <v>46128</v>
      </c>
      <c r="C916" s="1" t="s">
        <v>24</v>
      </c>
      <c r="D916" s="1">
        <f>MONTH(Tabela6[[#This Row],[DATA]])</f>
        <v>4</v>
      </c>
    </row>
    <row r="917" spans="1:4" x14ac:dyDescent="0.35">
      <c r="A917" s="1">
        <v>27965</v>
      </c>
      <c r="B917" s="2">
        <v>46128</v>
      </c>
      <c r="C917" s="1" t="s">
        <v>24</v>
      </c>
      <c r="D917" s="1">
        <f>MONTH(Tabela6[[#This Row],[DATA]])</f>
        <v>4</v>
      </c>
    </row>
    <row r="918" spans="1:4" x14ac:dyDescent="0.35">
      <c r="A918" s="1">
        <v>27966</v>
      </c>
      <c r="B918" s="2">
        <v>46128</v>
      </c>
      <c r="C918" s="1" t="s">
        <v>24</v>
      </c>
      <c r="D918" s="1">
        <f>MONTH(Tabela6[[#This Row],[DATA]])</f>
        <v>4</v>
      </c>
    </row>
    <row r="919" spans="1:4" x14ac:dyDescent="0.35">
      <c r="A919" s="1">
        <v>27967</v>
      </c>
      <c r="B919" s="2">
        <v>46128</v>
      </c>
      <c r="C919" s="1" t="s">
        <v>24</v>
      </c>
      <c r="D919" s="1">
        <f>MONTH(Tabela6[[#This Row],[DATA]])</f>
        <v>4</v>
      </c>
    </row>
    <row r="920" spans="1:4" x14ac:dyDescent="0.35">
      <c r="A920" s="1">
        <v>27968</v>
      </c>
      <c r="B920" s="2">
        <v>46128</v>
      </c>
      <c r="C920" s="1" t="s">
        <v>24</v>
      </c>
      <c r="D920" s="1">
        <f>MONTH(Tabela6[[#This Row],[DATA]])</f>
        <v>4</v>
      </c>
    </row>
    <row r="921" spans="1:4" x14ac:dyDescent="0.35">
      <c r="A921" s="1">
        <v>27969</v>
      </c>
      <c r="B921" s="2">
        <v>46128</v>
      </c>
      <c r="C921" s="1" t="s">
        <v>21</v>
      </c>
      <c r="D921" s="1">
        <f>MONTH(Tabela6[[#This Row],[DATA]])</f>
        <v>4</v>
      </c>
    </row>
    <row r="922" spans="1:4" x14ac:dyDescent="0.35">
      <c r="A922" s="1">
        <v>27972</v>
      </c>
      <c r="B922" s="2">
        <v>46129</v>
      </c>
      <c r="C922" s="1" t="s">
        <v>24</v>
      </c>
      <c r="D922" s="1">
        <f>MONTH(Tabela6[[#This Row],[DATA]])</f>
        <v>4</v>
      </c>
    </row>
    <row r="923" spans="1:4" x14ac:dyDescent="0.35">
      <c r="A923" s="1">
        <v>27973</v>
      </c>
      <c r="B923" s="2">
        <v>46129</v>
      </c>
      <c r="C923" s="1" t="s">
        <v>24</v>
      </c>
      <c r="D923" s="1">
        <f>MONTH(Tabela6[[#This Row],[DATA]])</f>
        <v>4</v>
      </c>
    </row>
    <row r="924" spans="1:4" x14ac:dyDescent="0.35">
      <c r="A924" s="1">
        <v>27974</v>
      </c>
      <c r="B924" s="2">
        <v>46129</v>
      </c>
      <c r="C924" s="1" t="s">
        <v>24</v>
      </c>
      <c r="D924" s="1">
        <f>MONTH(Tabela6[[#This Row],[DATA]])</f>
        <v>4</v>
      </c>
    </row>
    <row r="925" spans="1:4" x14ac:dyDescent="0.35">
      <c r="A925" s="1">
        <v>27975</v>
      </c>
      <c r="B925" s="2">
        <v>46129</v>
      </c>
      <c r="C925" s="1" t="s">
        <v>24</v>
      </c>
      <c r="D925" s="1">
        <f>MONTH(Tabela6[[#This Row],[DATA]])</f>
        <v>4</v>
      </c>
    </row>
    <row r="926" spans="1:4" x14ac:dyDescent="0.35">
      <c r="A926" s="1">
        <v>27976</v>
      </c>
      <c r="B926" s="2">
        <v>46129</v>
      </c>
      <c r="C926" s="1" t="s">
        <v>24</v>
      </c>
      <c r="D926" s="1">
        <f>MONTH(Tabela6[[#This Row],[DATA]])</f>
        <v>4</v>
      </c>
    </row>
    <row r="927" spans="1:4" x14ac:dyDescent="0.35">
      <c r="A927" s="1">
        <v>27977</v>
      </c>
      <c r="B927" s="2">
        <v>46129</v>
      </c>
      <c r="C927" s="1" t="s">
        <v>24</v>
      </c>
      <c r="D927" s="1">
        <f>MONTH(Tabela6[[#This Row],[DATA]])</f>
        <v>4</v>
      </c>
    </row>
    <row r="928" spans="1:4" x14ac:dyDescent="0.35">
      <c r="A928" s="1">
        <v>27981</v>
      </c>
      <c r="B928" s="2">
        <v>46129</v>
      </c>
      <c r="C928" s="1" t="s">
        <v>21</v>
      </c>
      <c r="D928" s="1">
        <f>MONTH(Tabela6[[#This Row],[DATA]])</f>
        <v>4</v>
      </c>
    </row>
    <row r="929" spans="1:4" x14ac:dyDescent="0.35">
      <c r="A929" s="1">
        <v>27982</v>
      </c>
      <c r="B929" s="2">
        <v>46129</v>
      </c>
      <c r="C929" s="1" t="s">
        <v>21</v>
      </c>
      <c r="D929" s="1">
        <f>MONTH(Tabela6[[#This Row],[DATA]])</f>
        <v>4</v>
      </c>
    </row>
    <row r="930" spans="1:4" x14ac:dyDescent="0.35">
      <c r="A930" s="1">
        <v>27983</v>
      </c>
      <c r="B930" s="2">
        <v>46129</v>
      </c>
      <c r="C930" s="1" t="s">
        <v>21</v>
      </c>
      <c r="D930" s="1">
        <f>MONTH(Tabela6[[#This Row],[DATA]])</f>
        <v>4</v>
      </c>
    </row>
    <row r="931" spans="1:4" x14ac:dyDescent="0.35">
      <c r="A931" s="1">
        <v>27984</v>
      </c>
      <c r="B931" s="2">
        <v>46129</v>
      </c>
      <c r="C931" s="1" t="s">
        <v>21</v>
      </c>
      <c r="D931" s="1">
        <f>MONTH(Tabela6[[#This Row],[DATA]])</f>
        <v>4</v>
      </c>
    </row>
    <row r="932" spans="1:4" x14ac:dyDescent="0.35">
      <c r="A932" s="1">
        <v>27985</v>
      </c>
      <c r="B932" s="2">
        <v>46129</v>
      </c>
      <c r="C932" s="1" t="s">
        <v>32</v>
      </c>
      <c r="D932" s="1">
        <f>MONTH(Tabela6[[#This Row],[DATA]])</f>
        <v>4</v>
      </c>
    </row>
    <row r="933" spans="1:4" x14ac:dyDescent="0.35">
      <c r="A933" s="1">
        <v>27986</v>
      </c>
      <c r="B933" s="2">
        <v>46129</v>
      </c>
      <c r="C933" s="1" t="s">
        <v>32</v>
      </c>
      <c r="D933" s="1">
        <f>MONTH(Tabela6[[#This Row],[DATA]])</f>
        <v>4</v>
      </c>
    </row>
    <row r="934" spans="1:4" x14ac:dyDescent="0.35">
      <c r="A934" s="1">
        <v>27987</v>
      </c>
      <c r="B934" s="2">
        <v>46129</v>
      </c>
      <c r="C934" s="1" t="s">
        <v>21</v>
      </c>
      <c r="D934" s="1">
        <f>MONTH(Tabela6[[#This Row],[DATA]])</f>
        <v>4</v>
      </c>
    </row>
    <row r="935" spans="1:4" x14ac:dyDescent="0.35">
      <c r="A935" s="1">
        <v>27988</v>
      </c>
      <c r="B935" s="2">
        <v>46129</v>
      </c>
      <c r="C935" s="1" t="s">
        <v>32</v>
      </c>
      <c r="D935" s="1">
        <f>MONTH(Tabela6[[#This Row],[DATA]])</f>
        <v>4</v>
      </c>
    </row>
    <row r="936" spans="1:4" x14ac:dyDescent="0.35">
      <c r="A936" s="1">
        <v>27989</v>
      </c>
      <c r="B936" s="2">
        <v>46129</v>
      </c>
      <c r="C936" s="1" t="s">
        <v>21</v>
      </c>
      <c r="D936" s="1">
        <f>MONTH(Tabela6[[#This Row],[DATA]])</f>
        <v>4</v>
      </c>
    </row>
    <row r="937" spans="1:4" x14ac:dyDescent="0.35">
      <c r="A937" s="1">
        <v>27990</v>
      </c>
      <c r="B937" s="2">
        <v>46129</v>
      </c>
      <c r="C937" s="1" t="s">
        <v>32</v>
      </c>
      <c r="D937" s="1">
        <f>MONTH(Tabela6[[#This Row],[DATA]])</f>
        <v>4</v>
      </c>
    </row>
    <row r="938" spans="1:4" x14ac:dyDescent="0.35">
      <c r="A938" s="1">
        <v>27991</v>
      </c>
      <c r="B938" s="2">
        <v>46129</v>
      </c>
      <c r="C938" s="1" t="s">
        <v>32</v>
      </c>
      <c r="D938" s="1">
        <f>MONTH(Tabela6[[#This Row],[DATA]])</f>
        <v>4</v>
      </c>
    </row>
    <row r="939" spans="1:4" x14ac:dyDescent="0.35">
      <c r="A939" s="1">
        <v>27992</v>
      </c>
      <c r="B939" s="2">
        <v>46129</v>
      </c>
      <c r="C939" s="1" t="s">
        <v>32</v>
      </c>
      <c r="D939" s="1">
        <f>MONTH(Tabela6[[#This Row],[DATA]])</f>
        <v>4</v>
      </c>
    </row>
    <row r="940" spans="1:4" x14ac:dyDescent="0.35">
      <c r="A940" s="1">
        <v>27993</v>
      </c>
      <c r="B940" s="2">
        <v>46129</v>
      </c>
      <c r="C940" s="1" t="s">
        <v>32</v>
      </c>
      <c r="D940" s="1">
        <f>MONTH(Tabela6[[#This Row],[DATA]])</f>
        <v>4</v>
      </c>
    </row>
    <row r="941" spans="1:4" x14ac:dyDescent="0.35">
      <c r="A941" s="1">
        <v>27994</v>
      </c>
      <c r="B941" s="2">
        <v>46129</v>
      </c>
      <c r="C941" s="1" t="s">
        <v>21</v>
      </c>
      <c r="D941" s="1">
        <f>MONTH(Tabela6[[#This Row],[DATA]])</f>
        <v>4</v>
      </c>
    </row>
    <row r="942" spans="1:4" x14ac:dyDescent="0.35">
      <c r="A942" s="1">
        <v>27995</v>
      </c>
      <c r="B942" s="2">
        <v>46129</v>
      </c>
      <c r="C942" s="1" t="s">
        <v>32</v>
      </c>
      <c r="D942" s="1">
        <f>MONTH(Tabela6[[#This Row],[DATA]])</f>
        <v>4</v>
      </c>
    </row>
    <row r="943" spans="1:4" x14ac:dyDescent="0.35">
      <c r="A943" s="1">
        <v>27996</v>
      </c>
      <c r="B943" s="2">
        <v>46129</v>
      </c>
      <c r="C943" s="1" t="s">
        <v>32</v>
      </c>
      <c r="D943" s="1">
        <f>MONTH(Tabela6[[#This Row],[DATA]])</f>
        <v>4</v>
      </c>
    </row>
    <row r="944" spans="1:4" x14ac:dyDescent="0.35">
      <c r="A944" s="1">
        <v>27997</v>
      </c>
      <c r="B944" s="2">
        <v>46129</v>
      </c>
      <c r="C944" s="1" t="s">
        <v>32</v>
      </c>
      <c r="D944" s="1">
        <f>MONTH(Tabela6[[#This Row],[DATA]])</f>
        <v>4</v>
      </c>
    </row>
    <row r="945" spans="1:4" x14ac:dyDescent="0.35">
      <c r="A945" s="1">
        <v>27998</v>
      </c>
      <c r="B945" s="2">
        <v>46129</v>
      </c>
      <c r="C945" s="1" t="s">
        <v>32</v>
      </c>
      <c r="D945" s="1">
        <f>MONTH(Tabela6[[#This Row],[DATA]])</f>
        <v>4</v>
      </c>
    </row>
    <row r="946" spans="1:4" x14ac:dyDescent="0.35">
      <c r="A946" s="1">
        <v>27999</v>
      </c>
      <c r="B946" s="2">
        <v>46129</v>
      </c>
      <c r="C946" s="1" t="s">
        <v>32</v>
      </c>
      <c r="D946" s="1">
        <f>MONTH(Tabela6[[#This Row],[DATA]])</f>
        <v>4</v>
      </c>
    </row>
    <row r="947" spans="1:4" x14ac:dyDescent="0.35">
      <c r="A947" s="1">
        <v>28001</v>
      </c>
      <c r="B947" s="2">
        <v>46129</v>
      </c>
      <c r="C947" s="1" t="s">
        <v>28</v>
      </c>
      <c r="D947" s="1">
        <f>MONTH(Tabela6[[#This Row],[DATA]])</f>
        <v>4</v>
      </c>
    </row>
    <row r="948" spans="1:4" x14ac:dyDescent="0.35">
      <c r="A948" s="1">
        <v>28002</v>
      </c>
      <c r="B948" s="2">
        <v>46129</v>
      </c>
      <c r="C948" s="1" t="s">
        <v>28</v>
      </c>
      <c r="D948" s="1">
        <f>MONTH(Tabela6[[#This Row],[DATA]])</f>
        <v>4</v>
      </c>
    </row>
    <row r="949" spans="1:4" x14ac:dyDescent="0.35">
      <c r="A949" s="1">
        <v>28003</v>
      </c>
      <c r="B949" s="2">
        <v>46129</v>
      </c>
      <c r="C949" s="1" t="s">
        <v>28</v>
      </c>
      <c r="D949" s="1">
        <f>MONTH(Tabela6[[#This Row],[DATA]])</f>
        <v>4</v>
      </c>
    </row>
    <row r="950" spans="1:4" x14ac:dyDescent="0.35">
      <c r="A950" s="1">
        <v>28004</v>
      </c>
      <c r="B950" s="2">
        <v>46129</v>
      </c>
      <c r="C950" s="1" t="s">
        <v>5</v>
      </c>
      <c r="D950" s="1">
        <f>MONTH(Tabela6[[#This Row],[DATA]])</f>
        <v>4</v>
      </c>
    </row>
    <row r="951" spans="1:4" x14ac:dyDescent="0.35">
      <c r="A951" s="1">
        <v>28005</v>
      </c>
      <c r="B951" s="2">
        <v>46129</v>
      </c>
      <c r="C951" s="1" t="s">
        <v>5</v>
      </c>
      <c r="D951" s="1">
        <f>MONTH(Tabela6[[#This Row],[DATA]])</f>
        <v>4</v>
      </c>
    </row>
    <row r="952" spans="1:4" x14ac:dyDescent="0.35">
      <c r="A952" s="1">
        <v>28006</v>
      </c>
      <c r="B952" s="2">
        <v>46129</v>
      </c>
      <c r="C952" s="1" t="s">
        <v>5</v>
      </c>
      <c r="D952" s="1">
        <f>MONTH(Tabela6[[#This Row],[DATA]])</f>
        <v>4</v>
      </c>
    </row>
    <row r="953" spans="1:4" x14ac:dyDescent="0.35">
      <c r="A953" s="1">
        <v>28008</v>
      </c>
      <c r="B953" s="2">
        <v>46129</v>
      </c>
      <c r="C953" s="1" t="s">
        <v>5</v>
      </c>
      <c r="D953" s="1">
        <f>MONTH(Tabela6[[#This Row],[DATA]])</f>
        <v>4</v>
      </c>
    </row>
    <row r="954" spans="1:4" x14ac:dyDescent="0.35">
      <c r="A954" s="1">
        <v>28012</v>
      </c>
      <c r="B954" s="2">
        <v>46129</v>
      </c>
      <c r="C954" s="1" t="s">
        <v>5</v>
      </c>
      <c r="D954" s="1">
        <f>MONTH(Tabela6[[#This Row],[DATA]])</f>
        <v>4</v>
      </c>
    </row>
    <row r="955" spans="1:4" x14ac:dyDescent="0.35">
      <c r="A955" s="1">
        <v>28019</v>
      </c>
      <c r="B955" s="2">
        <v>46129</v>
      </c>
      <c r="C955" s="1" t="s">
        <v>5</v>
      </c>
      <c r="D955" s="1">
        <f>MONTH(Tabela6[[#This Row],[DATA]])</f>
        <v>4</v>
      </c>
    </row>
    <row r="956" spans="1:4" x14ac:dyDescent="0.35">
      <c r="A956" s="1">
        <v>28020</v>
      </c>
      <c r="B956" s="2">
        <v>46132</v>
      </c>
      <c r="C956" s="1" t="s">
        <v>33</v>
      </c>
      <c r="D956" s="1">
        <f>MONTH(Tabela6[[#This Row],[DATA]])</f>
        <v>4</v>
      </c>
    </row>
    <row r="957" spans="1:4" x14ac:dyDescent="0.35">
      <c r="A957" s="1">
        <v>28021</v>
      </c>
      <c r="B957" s="2">
        <v>46132</v>
      </c>
      <c r="C957" s="1" t="s">
        <v>33</v>
      </c>
      <c r="D957" s="1">
        <f>MONTH(Tabela6[[#This Row],[DATA]])</f>
        <v>4</v>
      </c>
    </row>
    <row r="958" spans="1:4" x14ac:dyDescent="0.35">
      <c r="A958" s="1">
        <v>28022</v>
      </c>
      <c r="B958" s="2">
        <v>46132</v>
      </c>
      <c r="C958" s="1" t="s">
        <v>33</v>
      </c>
      <c r="D958" s="1">
        <f>MONTH(Tabela6[[#This Row],[DATA]])</f>
        <v>4</v>
      </c>
    </row>
    <row r="959" spans="1:4" x14ac:dyDescent="0.35">
      <c r="A959" s="1">
        <v>28023</v>
      </c>
      <c r="B959" s="2">
        <v>46132</v>
      </c>
      <c r="C959" s="1" t="s">
        <v>28</v>
      </c>
      <c r="D959" s="1">
        <f>MONTH(Tabela6[[#This Row],[DATA]])</f>
        <v>4</v>
      </c>
    </row>
    <row r="960" spans="1:4" x14ac:dyDescent="0.35">
      <c r="A960" s="1">
        <v>28024</v>
      </c>
      <c r="B960" s="2">
        <v>46132</v>
      </c>
      <c r="C960" s="1" t="s">
        <v>28</v>
      </c>
      <c r="D960" s="1">
        <f>MONTH(Tabela6[[#This Row],[DATA]])</f>
        <v>4</v>
      </c>
    </row>
    <row r="961" spans="1:4" x14ac:dyDescent="0.35">
      <c r="A961" s="1">
        <v>28025</v>
      </c>
      <c r="B961" s="2">
        <v>46132</v>
      </c>
      <c r="C961" s="1" t="s">
        <v>28</v>
      </c>
      <c r="D961" s="1">
        <f>MONTH(Tabela6[[#This Row],[DATA]])</f>
        <v>4</v>
      </c>
    </row>
    <row r="962" spans="1:4" x14ac:dyDescent="0.35">
      <c r="A962" s="1">
        <v>28026</v>
      </c>
      <c r="B962" s="2">
        <v>46132</v>
      </c>
      <c r="C962" s="1" t="s">
        <v>28</v>
      </c>
      <c r="D962" s="1">
        <f>MONTH(Tabela6[[#This Row],[DATA]])</f>
        <v>4</v>
      </c>
    </row>
    <row r="963" spans="1:4" x14ac:dyDescent="0.35">
      <c r="A963" s="1">
        <v>28027</v>
      </c>
      <c r="B963" s="2">
        <v>46132</v>
      </c>
      <c r="C963" s="1" t="s">
        <v>28</v>
      </c>
      <c r="D963" s="1">
        <f>MONTH(Tabela6[[#This Row],[DATA]])</f>
        <v>4</v>
      </c>
    </row>
    <row r="964" spans="1:4" x14ac:dyDescent="0.35">
      <c r="A964" s="1">
        <v>28028</v>
      </c>
      <c r="B964" s="2">
        <v>46132</v>
      </c>
      <c r="C964" s="1" t="s">
        <v>28</v>
      </c>
      <c r="D964" s="1">
        <f>MONTH(Tabela6[[#This Row],[DATA]])</f>
        <v>4</v>
      </c>
    </row>
    <row r="965" spans="1:4" x14ac:dyDescent="0.35">
      <c r="A965" s="1">
        <v>28029</v>
      </c>
      <c r="B965" s="2">
        <v>46132</v>
      </c>
      <c r="C965" s="1" t="s">
        <v>28</v>
      </c>
      <c r="D965" s="1">
        <f>MONTH(Tabela6[[#This Row],[DATA]])</f>
        <v>4</v>
      </c>
    </row>
    <row r="966" spans="1:4" x14ac:dyDescent="0.35">
      <c r="A966" s="1">
        <v>28030</v>
      </c>
      <c r="B966" s="2">
        <v>46132</v>
      </c>
      <c r="C966" s="1" t="s">
        <v>28</v>
      </c>
      <c r="D966" s="1">
        <f>MONTH(Tabela6[[#This Row],[DATA]])</f>
        <v>4</v>
      </c>
    </row>
    <row r="967" spans="1:4" x14ac:dyDescent="0.35">
      <c r="A967" s="1">
        <v>28031</v>
      </c>
      <c r="B967" s="2">
        <v>46132</v>
      </c>
      <c r="C967" s="1" t="s">
        <v>28</v>
      </c>
      <c r="D967" s="1">
        <f>MONTH(Tabela6[[#This Row],[DATA]])</f>
        <v>4</v>
      </c>
    </row>
    <row r="968" spans="1:4" x14ac:dyDescent="0.35">
      <c r="A968" s="1">
        <v>28036</v>
      </c>
      <c r="B968" s="2">
        <v>46134</v>
      </c>
      <c r="C968" s="1" t="s">
        <v>5</v>
      </c>
      <c r="D968" s="1">
        <f>MONTH(Tabela6[[#This Row],[DATA]])</f>
        <v>4</v>
      </c>
    </row>
    <row r="969" spans="1:4" x14ac:dyDescent="0.35">
      <c r="A969" s="1">
        <v>28037</v>
      </c>
      <c r="B969" s="2">
        <v>46134</v>
      </c>
      <c r="C969" s="1" t="s">
        <v>5</v>
      </c>
      <c r="D969" s="1">
        <f>MONTH(Tabela6[[#This Row],[DATA]])</f>
        <v>4</v>
      </c>
    </row>
    <row r="970" spans="1:4" x14ac:dyDescent="0.35">
      <c r="A970" s="1">
        <v>28038</v>
      </c>
      <c r="B970" s="2">
        <v>46134</v>
      </c>
      <c r="C970" s="1" t="s">
        <v>5</v>
      </c>
      <c r="D970" s="1">
        <f>MONTH(Tabela6[[#This Row],[DATA]])</f>
        <v>4</v>
      </c>
    </row>
    <row r="971" spans="1:4" x14ac:dyDescent="0.35">
      <c r="A971" s="1">
        <v>28039</v>
      </c>
      <c r="B971" s="2">
        <v>46134</v>
      </c>
      <c r="C971" s="1" t="s">
        <v>5</v>
      </c>
      <c r="D971" s="1">
        <f>MONTH(Tabela6[[#This Row],[DATA]])</f>
        <v>4</v>
      </c>
    </row>
    <row r="972" spans="1:4" x14ac:dyDescent="0.35">
      <c r="A972" s="1">
        <v>28040</v>
      </c>
      <c r="B972" s="2">
        <v>46134</v>
      </c>
      <c r="C972" s="1" t="s">
        <v>5</v>
      </c>
      <c r="D972" s="1">
        <f>MONTH(Tabela6[[#This Row],[DATA]])</f>
        <v>4</v>
      </c>
    </row>
    <row r="973" spans="1:4" x14ac:dyDescent="0.35">
      <c r="A973" s="1">
        <v>28041</v>
      </c>
      <c r="B973" s="2">
        <v>46134</v>
      </c>
      <c r="C973" s="1" t="s">
        <v>5</v>
      </c>
      <c r="D973" s="1">
        <f>MONTH(Tabela6[[#This Row],[DATA]])</f>
        <v>4</v>
      </c>
    </row>
    <row r="974" spans="1:4" x14ac:dyDescent="0.35">
      <c r="A974" s="1">
        <v>28042</v>
      </c>
      <c r="B974" s="2">
        <v>46134</v>
      </c>
      <c r="C974" s="1" t="s">
        <v>21</v>
      </c>
      <c r="D974" s="1">
        <f>MONTH(Tabela6[[#This Row],[DATA]])</f>
        <v>4</v>
      </c>
    </row>
    <row r="975" spans="1:4" x14ac:dyDescent="0.35">
      <c r="A975" s="1">
        <v>28043</v>
      </c>
      <c r="B975" s="2">
        <v>46134</v>
      </c>
      <c r="C975" s="1" t="s">
        <v>21</v>
      </c>
      <c r="D975" s="1">
        <f>MONTH(Tabela6[[#This Row],[DATA]])</f>
        <v>4</v>
      </c>
    </row>
    <row r="976" spans="1:4" x14ac:dyDescent="0.35">
      <c r="A976" s="1">
        <v>28044</v>
      </c>
      <c r="B976" s="2">
        <v>46134</v>
      </c>
      <c r="C976" s="1" t="s">
        <v>21</v>
      </c>
      <c r="D976" s="1">
        <f>MONTH(Tabela6[[#This Row],[DATA]])</f>
        <v>4</v>
      </c>
    </row>
    <row r="977" spans="1:4" x14ac:dyDescent="0.35">
      <c r="A977" s="1">
        <v>28046</v>
      </c>
      <c r="B977" s="2">
        <v>46134</v>
      </c>
      <c r="C977" s="1" t="s">
        <v>33</v>
      </c>
      <c r="D977" s="1">
        <f>MONTH(Tabela6[[#This Row],[DATA]])</f>
        <v>4</v>
      </c>
    </row>
    <row r="978" spans="1:4" x14ac:dyDescent="0.35">
      <c r="A978" s="1">
        <v>28047</v>
      </c>
      <c r="B978" s="2">
        <v>46134</v>
      </c>
      <c r="C978" s="1" t="s">
        <v>33</v>
      </c>
      <c r="D978" s="1">
        <f>MONTH(Tabela6[[#This Row],[DATA]])</f>
        <v>4</v>
      </c>
    </row>
    <row r="979" spans="1:4" x14ac:dyDescent="0.35">
      <c r="A979" s="1">
        <v>28048</v>
      </c>
      <c r="B979" s="2">
        <v>46134</v>
      </c>
      <c r="C979" s="1" t="s">
        <v>33</v>
      </c>
      <c r="D979" s="1">
        <f>MONTH(Tabela6[[#This Row],[DATA]])</f>
        <v>4</v>
      </c>
    </row>
    <row r="980" spans="1:4" x14ac:dyDescent="0.35">
      <c r="A980" s="1">
        <v>28049</v>
      </c>
      <c r="B980" s="2">
        <v>46134</v>
      </c>
      <c r="C980" s="1" t="s">
        <v>33</v>
      </c>
      <c r="D980" s="1">
        <f>MONTH(Tabela6[[#This Row],[DATA]])</f>
        <v>4</v>
      </c>
    </row>
    <row r="981" spans="1:4" x14ac:dyDescent="0.35">
      <c r="A981" s="1">
        <v>28050</v>
      </c>
      <c r="B981" s="2">
        <v>46134</v>
      </c>
      <c r="C981" s="1" t="s">
        <v>33</v>
      </c>
      <c r="D981" s="1">
        <f>MONTH(Tabela6[[#This Row],[DATA]])</f>
        <v>4</v>
      </c>
    </row>
    <row r="982" spans="1:4" x14ac:dyDescent="0.35">
      <c r="A982" s="1">
        <v>28051</v>
      </c>
      <c r="B982" s="2">
        <v>46134</v>
      </c>
      <c r="C982" s="1" t="s">
        <v>21</v>
      </c>
      <c r="D982" s="1">
        <f>MONTH(Tabela6[[#This Row],[DATA]])</f>
        <v>4</v>
      </c>
    </row>
    <row r="983" spans="1:4" x14ac:dyDescent="0.35">
      <c r="A983" s="1">
        <v>28052</v>
      </c>
      <c r="B983" s="2">
        <v>46134</v>
      </c>
      <c r="C983" s="1" t="s">
        <v>21</v>
      </c>
      <c r="D983" s="1">
        <f>MONTH(Tabela6[[#This Row],[DATA]])</f>
        <v>4</v>
      </c>
    </row>
    <row r="984" spans="1:4" x14ac:dyDescent="0.35">
      <c r="A984" s="1">
        <v>28053</v>
      </c>
      <c r="B984" s="2">
        <v>46134</v>
      </c>
      <c r="C984" s="1" t="s">
        <v>21</v>
      </c>
      <c r="D984" s="1">
        <f>MONTH(Tabela6[[#This Row],[DATA]])</f>
        <v>4</v>
      </c>
    </row>
    <row r="985" spans="1:4" x14ac:dyDescent="0.35">
      <c r="A985" s="1">
        <v>28054</v>
      </c>
      <c r="B985" s="2">
        <v>46135</v>
      </c>
      <c r="C985" s="1" t="s">
        <v>33</v>
      </c>
      <c r="D985" s="1">
        <f>MONTH(Tabela6[[#This Row],[DATA]])</f>
        <v>4</v>
      </c>
    </row>
    <row r="986" spans="1:4" x14ac:dyDescent="0.35">
      <c r="A986" s="1">
        <v>28055</v>
      </c>
      <c r="B986" s="2">
        <v>46135</v>
      </c>
      <c r="C986" s="1" t="s">
        <v>33</v>
      </c>
      <c r="D986" s="1">
        <f>MONTH(Tabela6[[#This Row],[DATA]])</f>
        <v>4</v>
      </c>
    </row>
    <row r="987" spans="1:4" x14ac:dyDescent="0.35">
      <c r="A987" s="1">
        <v>28056</v>
      </c>
      <c r="B987" s="2">
        <v>46135</v>
      </c>
      <c r="C987" s="1" t="s">
        <v>33</v>
      </c>
      <c r="D987" s="1">
        <f>MONTH(Tabela6[[#This Row],[DATA]])</f>
        <v>4</v>
      </c>
    </row>
    <row r="988" spans="1:4" x14ac:dyDescent="0.35">
      <c r="A988" s="1">
        <v>28057</v>
      </c>
      <c r="B988" s="2">
        <v>46135</v>
      </c>
      <c r="C988" s="1" t="s">
        <v>33</v>
      </c>
      <c r="D988" s="1">
        <f>MONTH(Tabela6[[#This Row],[DATA]])</f>
        <v>4</v>
      </c>
    </row>
    <row r="989" spans="1:4" x14ac:dyDescent="0.35">
      <c r="A989" s="1">
        <v>28058</v>
      </c>
      <c r="B989" s="2">
        <v>46135</v>
      </c>
      <c r="C989" s="1" t="s">
        <v>33</v>
      </c>
      <c r="D989" s="1">
        <f>MONTH(Tabela6[[#This Row],[DATA]])</f>
        <v>4</v>
      </c>
    </row>
    <row r="990" spans="1:4" x14ac:dyDescent="0.35">
      <c r="A990" s="1">
        <v>28059</v>
      </c>
      <c r="B990" s="2">
        <v>46135</v>
      </c>
      <c r="C990" s="1" t="s">
        <v>21</v>
      </c>
      <c r="D990" s="1">
        <f>MONTH(Tabela6[[#This Row],[DATA]])</f>
        <v>4</v>
      </c>
    </row>
    <row r="991" spans="1:4" x14ac:dyDescent="0.35">
      <c r="A991" s="1">
        <v>28060</v>
      </c>
      <c r="B991" s="2">
        <v>46135</v>
      </c>
      <c r="C991" s="1" t="s">
        <v>21</v>
      </c>
      <c r="D991" s="1">
        <f>MONTH(Tabela6[[#This Row],[DATA]])</f>
        <v>4</v>
      </c>
    </row>
    <row r="992" spans="1:4" x14ac:dyDescent="0.35">
      <c r="A992" s="1">
        <v>28061</v>
      </c>
      <c r="B992" s="2">
        <v>46135</v>
      </c>
      <c r="C992" s="1" t="s">
        <v>21</v>
      </c>
      <c r="D992" s="1">
        <f>MONTH(Tabela6[[#This Row],[DATA]])</f>
        <v>4</v>
      </c>
    </row>
    <row r="993" spans="1:4" x14ac:dyDescent="0.35">
      <c r="A993" s="1">
        <v>28062</v>
      </c>
      <c r="B993" s="2">
        <v>46135</v>
      </c>
      <c r="C993" s="1" t="s">
        <v>21</v>
      </c>
      <c r="D993" s="1">
        <f>MONTH(Tabela6[[#This Row],[DATA]])</f>
        <v>4</v>
      </c>
    </row>
    <row r="994" spans="1:4" x14ac:dyDescent="0.35">
      <c r="A994" s="1">
        <v>28063</v>
      </c>
      <c r="B994" s="2">
        <v>46135</v>
      </c>
      <c r="C994" s="1" t="s">
        <v>24</v>
      </c>
      <c r="D994" s="1">
        <f>MONTH(Tabela6[[#This Row],[DATA]])</f>
        <v>4</v>
      </c>
    </row>
    <row r="995" spans="1:4" x14ac:dyDescent="0.35">
      <c r="A995" s="1">
        <v>28064</v>
      </c>
      <c r="B995" s="2">
        <v>46135</v>
      </c>
      <c r="C995" s="1" t="s">
        <v>24</v>
      </c>
      <c r="D995" s="1">
        <f>MONTH(Tabela6[[#This Row],[DATA]])</f>
        <v>4</v>
      </c>
    </row>
    <row r="996" spans="1:4" x14ac:dyDescent="0.35">
      <c r="A996" s="1">
        <v>28065</v>
      </c>
      <c r="B996" s="2">
        <v>46135</v>
      </c>
      <c r="C996" s="1" t="s">
        <v>24</v>
      </c>
      <c r="D996" s="1">
        <f>MONTH(Tabela6[[#This Row],[DATA]])</f>
        <v>4</v>
      </c>
    </row>
    <row r="997" spans="1:4" x14ac:dyDescent="0.35">
      <c r="A997" s="1">
        <v>28066</v>
      </c>
      <c r="B997" s="2">
        <v>46135</v>
      </c>
      <c r="C997" s="1" t="s">
        <v>24</v>
      </c>
      <c r="D997" s="1">
        <f>MONTH(Tabela6[[#This Row],[DATA]])</f>
        <v>4</v>
      </c>
    </row>
    <row r="998" spans="1:4" x14ac:dyDescent="0.35">
      <c r="A998" s="1">
        <v>28069</v>
      </c>
      <c r="B998" s="2">
        <v>46136</v>
      </c>
      <c r="C998" s="1" t="s">
        <v>33</v>
      </c>
      <c r="D998" s="1">
        <f>MONTH(Tabela6[[#This Row],[DATA]])</f>
        <v>4</v>
      </c>
    </row>
    <row r="999" spans="1:4" x14ac:dyDescent="0.35">
      <c r="A999" s="1">
        <v>28070</v>
      </c>
      <c r="B999" s="2">
        <v>46136</v>
      </c>
      <c r="C999" s="1" t="s">
        <v>33</v>
      </c>
      <c r="D999" s="1">
        <f>MONTH(Tabela6[[#This Row],[DATA]])</f>
        <v>4</v>
      </c>
    </row>
    <row r="1000" spans="1:4" x14ac:dyDescent="0.35">
      <c r="A1000" s="1">
        <v>28071</v>
      </c>
      <c r="B1000" s="2">
        <v>46136</v>
      </c>
      <c r="C1000" s="1" t="s">
        <v>33</v>
      </c>
      <c r="D1000" s="1">
        <f>MONTH(Tabela6[[#This Row],[DATA]])</f>
        <v>4</v>
      </c>
    </row>
    <row r="1001" spans="1:4" x14ac:dyDescent="0.35">
      <c r="A1001" s="1">
        <v>28073</v>
      </c>
      <c r="B1001" s="2">
        <v>46136</v>
      </c>
      <c r="C1001" s="1" t="s">
        <v>5</v>
      </c>
      <c r="D1001" s="1">
        <f>MONTH(Tabela6[[#This Row],[DATA]])</f>
        <v>4</v>
      </c>
    </row>
    <row r="1002" spans="1:4" x14ac:dyDescent="0.35">
      <c r="A1002" s="1">
        <v>28074</v>
      </c>
      <c r="B1002" s="2">
        <v>46136</v>
      </c>
      <c r="C1002" s="1" t="s">
        <v>5</v>
      </c>
      <c r="D1002" s="1">
        <f>MONTH(Tabela6[[#This Row],[DATA]])</f>
        <v>4</v>
      </c>
    </row>
    <row r="1003" spans="1:4" x14ac:dyDescent="0.35">
      <c r="A1003" s="1">
        <v>28075</v>
      </c>
      <c r="B1003" s="2">
        <v>46136</v>
      </c>
      <c r="C1003" s="1" t="s">
        <v>5</v>
      </c>
      <c r="D1003" s="1">
        <f>MONTH(Tabela6[[#This Row],[DATA]])</f>
        <v>4</v>
      </c>
    </row>
    <row r="1004" spans="1:4" x14ac:dyDescent="0.35">
      <c r="A1004" s="1">
        <v>28076</v>
      </c>
      <c r="B1004" s="2">
        <v>46136</v>
      </c>
      <c r="C1004" s="1" t="s">
        <v>5</v>
      </c>
      <c r="D1004" s="1">
        <f>MONTH(Tabela6[[#This Row],[DATA]])</f>
        <v>4</v>
      </c>
    </row>
    <row r="1005" spans="1:4" x14ac:dyDescent="0.35">
      <c r="A1005" s="1">
        <v>28077</v>
      </c>
      <c r="B1005" s="2">
        <v>46136</v>
      </c>
      <c r="C1005" s="1" t="s">
        <v>5</v>
      </c>
      <c r="D1005" s="1">
        <f>MONTH(Tabela6[[#This Row],[DATA]])</f>
        <v>4</v>
      </c>
    </row>
    <row r="1006" spans="1:4" x14ac:dyDescent="0.35">
      <c r="A1006" s="1">
        <v>28078</v>
      </c>
      <c r="B1006" s="2">
        <v>46136</v>
      </c>
      <c r="C1006" s="1" t="s">
        <v>5</v>
      </c>
      <c r="D1006" s="1">
        <f>MONTH(Tabela6[[#This Row],[DATA]])</f>
        <v>4</v>
      </c>
    </row>
    <row r="1007" spans="1:4" x14ac:dyDescent="0.35">
      <c r="A1007" s="1">
        <v>28082</v>
      </c>
      <c r="B1007" s="2">
        <v>46139</v>
      </c>
      <c r="C1007" s="1" t="s">
        <v>24</v>
      </c>
      <c r="D1007" s="1">
        <f>MONTH(Tabela6[[#This Row],[DATA]])</f>
        <v>4</v>
      </c>
    </row>
    <row r="1008" spans="1:4" x14ac:dyDescent="0.35">
      <c r="A1008" s="1">
        <v>28083</v>
      </c>
      <c r="B1008" s="2">
        <v>46139</v>
      </c>
      <c r="C1008" s="1" t="s">
        <v>24</v>
      </c>
      <c r="D1008" s="1">
        <f>MONTH(Tabela6[[#This Row],[DATA]])</f>
        <v>4</v>
      </c>
    </row>
    <row r="1009" spans="1:4" x14ac:dyDescent="0.35">
      <c r="A1009" s="1">
        <v>28084</v>
      </c>
      <c r="B1009" s="2">
        <v>46139</v>
      </c>
      <c r="C1009" s="1" t="s">
        <v>24</v>
      </c>
      <c r="D1009" s="1">
        <f>MONTH(Tabela6[[#This Row],[DATA]])</f>
        <v>4</v>
      </c>
    </row>
    <row r="1010" spans="1:4" x14ac:dyDescent="0.35">
      <c r="A1010" s="1">
        <v>28085</v>
      </c>
      <c r="B1010" s="2">
        <v>46139</v>
      </c>
      <c r="C1010" s="1" t="s">
        <v>24</v>
      </c>
      <c r="D1010" s="1">
        <f>MONTH(Tabela6[[#This Row],[DATA]])</f>
        <v>4</v>
      </c>
    </row>
    <row r="1011" spans="1:4" x14ac:dyDescent="0.35">
      <c r="A1011" s="1">
        <v>28086</v>
      </c>
      <c r="B1011" s="2">
        <v>46139</v>
      </c>
      <c r="C1011" s="1" t="s">
        <v>24</v>
      </c>
      <c r="D1011" s="1">
        <f>MONTH(Tabela6[[#This Row],[DATA]])</f>
        <v>4</v>
      </c>
    </row>
    <row r="1012" spans="1:4" x14ac:dyDescent="0.35">
      <c r="A1012" s="1">
        <v>28087</v>
      </c>
      <c r="B1012" s="2">
        <v>46139</v>
      </c>
      <c r="C1012" s="1" t="s">
        <v>24</v>
      </c>
      <c r="D1012" s="1">
        <f>MONTH(Tabela6[[#This Row],[DATA]])</f>
        <v>4</v>
      </c>
    </row>
    <row r="1013" spans="1:4" x14ac:dyDescent="0.35">
      <c r="A1013" s="1">
        <v>28088</v>
      </c>
      <c r="B1013" s="2">
        <v>46139</v>
      </c>
      <c r="C1013" s="1" t="s">
        <v>24</v>
      </c>
      <c r="D1013" s="1">
        <f>MONTH(Tabela6[[#This Row],[DATA]])</f>
        <v>4</v>
      </c>
    </row>
    <row r="1014" spans="1:4" x14ac:dyDescent="0.35">
      <c r="A1014" s="1">
        <v>28089</v>
      </c>
      <c r="B1014" s="2">
        <v>46139</v>
      </c>
      <c r="C1014" s="1" t="s">
        <v>24</v>
      </c>
      <c r="D1014" s="1">
        <f>MONTH(Tabela6[[#This Row],[DATA]])</f>
        <v>4</v>
      </c>
    </row>
    <row r="1015" spans="1:4" x14ac:dyDescent="0.35">
      <c r="A1015" s="1">
        <v>28090</v>
      </c>
      <c r="B1015" s="2">
        <v>46139</v>
      </c>
      <c r="C1015" s="1" t="s">
        <v>24</v>
      </c>
      <c r="D1015" s="1">
        <f>MONTH(Tabela6[[#This Row],[DATA]])</f>
        <v>4</v>
      </c>
    </row>
    <row r="1016" spans="1:4" x14ac:dyDescent="0.35">
      <c r="A1016" s="1">
        <v>28091</v>
      </c>
      <c r="B1016" s="2">
        <v>46139</v>
      </c>
      <c r="C1016" s="1" t="s">
        <v>9</v>
      </c>
      <c r="D1016" s="1">
        <f>MONTH(Tabela6[[#This Row],[DATA]])</f>
        <v>4</v>
      </c>
    </row>
    <row r="1017" spans="1:4" x14ac:dyDescent="0.35">
      <c r="A1017" s="1">
        <v>28092</v>
      </c>
      <c r="B1017" s="2">
        <v>46139</v>
      </c>
      <c r="C1017" s="1" t="s">
        <v>9</v>
      </c>
      <c r="D1017" s="1">
        <f>MONTH(Tabela6[[#This Row],[DATA]])</f>
        <v>4</v>
      </c>
    </row>
    <row r="1018" spans="1:4" x14ac:dyDescent="0.35">
      <c r="A1018" s="1">
        <v>28093</v>
      </c>
      <c r="B1018" s="2">
        <v>46139</v>
      </c>
      <c r="C1018" s="1" t="s">
        <v>9</v>
      </c>
      <c r="D1018" s="1">
        <f>MONTH(Tabela6[[#This Row],[DATA]])</f>
        <v>4</v>
      </c>
    </row>
    <row r="1019" spans="1:4" x14ac:dyDescent="0.35">
      <c r="A1019" s="1">
        <v>28094</v>
      </c>
      <c r="B1019" s="2">
        <v>46139</v>
      </c>
      <c r="C1019" s="1" t="s">
        <v>9</v>
      </c>
      <c r="D1019" s="1">
        <f>MONTH(Tabela6[[#This Row],[DATA]])</f>
        <v>4</v>
      </c>
    </row>
    <row r="1020" spans="1:4" x14ac:dyDescent="0.35">
      <c r="A1020" s="1">
        <v>28097</v>
      </c>
      <c r="B1020" s="2">
        <v>46140</v>
      </c>
      <c r="C1020" s="1" t="s">
        <v>33</v>
      </c>
      <c r="D1020" s="1">
        <f>MONTH(Tabela6[[#This Row],[DATA]])</f>
        <v>4</v>
      </c>
    </row>
    <row r="1021" spans="1:4" x14ac:dyDescent="0.35">
      <c r="A1021" s="1">
        <v>28098</v>
      </c>
      <c r="B1021" s="2">
        <v>46140</v>
      </c>
      <c r="C1021" s="1" t="s">
        <v>33</v>
      </c>
      <c r="D1021" s="1">
        <f>MONTH(Tabela6[[#This Row],[DATA]])</f>
        <v>4</v>
      </c>
    </row>
    <row r="1022" spans="1:4" x14ac:dyDescent="0.35">
      <c r="A1022" s="1">
        <v>28099</v>
      </c>
      <c r="B1022" s="2">
        <v>46140</v>
      </c>
      <c r="C1022" s="1" t="s">
        <v>33</v>
      </c>
      <c r="D1022" s="1">
        <f>MONTH(Tabela6[[#This Row],[DATA]])</f>
        <v>4</v>
      </c>
    </row>
    <row r="1023" spans="1:4" x14ac:dyDescent="0.35">
      <c r="A1023" s="1">
        <v>28100</v>
      </c>
      <c r="B1023" s="2">
        <v>46140</v>
      </c>
      <c r="C1023" s="1" t="s">
        <v>33</v>
      </c>
      <c r="D1023" s="1">
        <f>MONTH(Tabela6[[#This Row],[DATA]])</f>
        <v>4</v>
      </c>
    </row>
    <row r="1024" spans="1:4" x14ac:dyDescent="0.35">
      <c r="A1024" s="1">
        <v>28101</v>
      </c>
      <c r="B1024" s="2">
        <v>46140</v>
      </c>
      <c r="C1024" s="1" t="s">
        <v>9</v>
      </c>
      <c r="D1024" s="1">
        <f>MONTH(Tabela6[[#This Row],[DATA]])</f>
        <v>4</v>
      </c>
    </row>
    <row r="1025" spans="1:4" x14ac:dyDescent="0.35">
      <c r="A1025" s="1">
        <v>28102</v>
      </c>
      <c r="B1025" s="2">
        <v>46140</v>
      </c>
      <c r="C1025" s="1" t="s">
        <v>9</v>
      </c>
      <c r="D1025" s="1">
        <f>MONTH(Tabela6[[#This Row],[DATA]])</f>
        <v>4</v>
      </c>
    </row>
    <row r="1026" spans="1:4" x14ac:dyDescent="0.35">
      <c r="A1026" s="1">
        <v>28103</v>
      </c>
      <c r="B1026" s="2">
        <v>46140</v>
      </c>
      <c r="C1026" s="1" t="s">
        <v>9</v>
      </c>
      <c r="D1026" s="1">
        <f>MONTH(Tabela6[[#This Row],[DATA]])</f>
        <v>4</v>
      </c>
    </row>
    <row r="1027" spans="1:4" x14ac:dyDescent="0.35">
      <c r="A1027" s="1">
        <v>28104</v>
      </c>
      <c r="B1027" s="2">
        <v>46140</v>
      </c>
      <c r="C1027" s="1" t="s">
        <v>9</v>
      </c>
      <c r="D1027" s="1">
        <f>MONTH(Tabela6[[#This Row],[DATA]])</f>
        <v>4</v>
      </c>
    </row>
    <row r="1028" spans="1:4" x14ac:dyDescent="0.35">
      <c r="A1028" s="1">
        <v>28105</v>
      </c>
      <c r="B1028" s="2">
        <v>46140</v>
      </c>
      <c r="C1028" s="1" t="s">
        <v>9</v>
      </c>
      <c r="D1028" s="1">
        <f>MONTH(Tabela6[[#This Row],[DATA]])</f>
        <v>4</v>
      </c>
    </row>
    <row r="1029" spans="1:4" x14ac:dyDescent="0.35">
      <c r="A1029" s="1">
        <v>28106</v>
      </c>
      <c r="B1029" s="2">
        <v>46140</v>
      </c>
      <c r="C1029" s="1" t="s">
        <v>9</v>
      </c>
      <c r="D1029" s="1">
        <f>MONTH(Tabela6[[#This Row],[DATA]])</f>
        <v>4</v>
      </c>
    </row>
    <row r="1030" spans="1:4" x14ac:dyDescent="0.35">
      <c r="A1030" s="1">
        <v>28110</v>
      </c>
      <c r="B1030" s="2">
        <v>46141</v>
      </c>
      <c r="C1030" s="1" t="s">
        <v>24</v>
      </c>
      <c r="D1030" s="1">
        <f>MONTH(Tabela6[[#This Row],[DATA]])</f>
        <v>4</v>
      </c>
    </row>
    <row r="1031" spans="1:4" x14ac:dyDescent="0.35">
      <c r="A1031" s="1">
        <v>28111</v>
      </c>
      <c r="B1031" s="2">
        <v>46141</v>
      </c>
      <c r="C1031" s="1" t="s">
        <v>24</v>
      </c>
      <c r="D1031" s="1">
        <f>MONTH(Tabela6[[#This Row],[DATA]])</f>
        <v>4</v>
      </c>
    </row>
    <row r="1032" spans="1:4" x14ac:dyDescent="0.35">
      <c r="A1032" s="1">
        <v>28112</v>
      </c>
      <c r="B1032" s="2">
        <v>46141</v>
      </c>
      <c r="C1032" s="1" t="s">
        <v>24</v>
      </c>
      <c r="D1032" s="1">
        <f>MONTH(Tabela6[[#This Row],[DATA]])</f>
        <v>4</v>
      </c>
    </row>
    <row r="1033" spans="1:4" x14ac:dyDescent="0.35">
      <c r="A1033" s="1">
        <v>28113</v>
      </c>
      <c r="B1033" s="2">
        <v>46141</v>
      </c>
      <c r="C1033" s="1" t="s">
        <v>24</v>
      </c>
      <c r="D1033" s="1">
        <f>MONTH(Tabela6[[#This Row],[DATA]])</f>
        <v>4</v>
      </c>
    </row>
    <row r="1034" spans="1:4" x14ac:dyDescent="0.35">
      <c r="A1034" s="1">
        <v>28114</v>
      </c>
      <c r="B1034" s="2">
        <v>46141</v>
      </c>
      <c r="C1034" s="1" t="s">
        <v>24</v>
      </c>
      <c r="D1034" s="1">
        <f>MONTH(Tabela6[[#This Row],[DATA]])</f>
        <v>4</v>
      </c>
    </row>
    <row r="1035" spans="1:4" x14ac:dyDescent="0.35">
      <c r="A1035" s="1">
        <v>28115</v>
      </c>
      <c r="B1035" s="2">
        <v>46141</v>
      </c>
      <c r="C1035" s="1" t="s">
        <v>24</v>
      </c>
      <c r="D1035" s="1">
        <f>MONTH(Tabela6[[#This Row],[DATA]])</f>
        <v>4</v>
      </c>
    </row>
    <row r="1036" spans="1:4" x14ac:dyDescent="0.35">
      <c r="A1036" s="1">
        <v>28116</v>
      </c>
      <c r="B1036" s="2">
        <v>46141</v>
      </c>
      <c r="C1036" s="1" t="s">
        <v>24</v>
      </c>
      <c r="D1036" s="1">
        <f>MONTH(Tabela6[[#This Row],[DATA]])</f>
        <v>4</v>
      </c>
    </row>
    <row r="1037" spans="1:4" x14ac:dyDescent="0.35">
      <c r="A1037" s="1">
        <v>28117</v>
      </c>
      <c r="B1037" s="2">
        <v>46141</v>
      </c>
      <c r="C1037" s="1" t="s">
        <v>24</v>
      </c>
      <c r="D1037" s="1">
        <f>MONTH(Tabela6[[#This Row],[DATA]])</f>
        <v>4</v>
      </c>
    </row>
    <row r="1038" spans="1:4" x14ac:dyDescent="0.35">
      <c r="A1038" s="1">
        <v>28118</v>
      </c>
      <c r="B1038" s="2">
        <v>46141</v>
      </c>
      <c r="C1038" s="1" t="s">
        <v>24</v>
      </c>
      <c r="D1038" s="1">
        <f>MONTH(Tabela6[[#This Row],[DATA]])</f>
        <v>4</v>
      </c>
    </row>
    <row r="1039" spans="1:4" x14ac:dyDescent="0.35">
      <c r="A1039" s="1">
        <v>28119</v>
      </c>
      <c r="B1039" s="2">
        <v>46141</v>
      </c>
      <c r="C1039" s="1" t="s">
        <v>24</v>
      </c>
      <c r="D1039" s="1">
        <f>MONTH(Tabela6[[#This Row],[DATA]])</f>
        <v>4</v>
      </c>
    </row>
    <row r="1040" spans="1:4" x14ac:dyDescent="0.35">
      <c r="A1040" s="1">
        <v>28120</v>
      </c>
      <c r="B1040" s="2">
        <v>46141</v>
      </c>
      <c r="C1040" s="1" t="s">
        <v>24</v>
      </c>
      <c r="D1040" s="1">
        <f>MONTH(Tabela6[[#This Row],[DATA]])</f>
        <v>4</v>
      </c>
    </row>
    <row r="1041" spans="1:4" x14ac:dyDescent="0.35">
      <c r="A1041" s="1">
        <v>28121</v>
      </c>
      <c r="B1041" s="2">
        <v>46141</v>
      </c>
      <c r="C1041" s="1" t="s">
        <v>24</v>
      </c>
      <c r="D1041" s="1">
        <f>MONTH(Tabela6[[#This Row],[DATA]])</f>
        <v>4</v>
      </c>
    </row>
    <row r="1042" spans="1:4" x14ac:dyDescent="0.35">
      <c r="A1042" s="1">
        <v>28123</v>
      </c>
      <c r="B1042" s="2">
        <v>46146</v>
      </c>
      <c r="C1042" s="1" t="s">
        <v>33</v>
      </c>
      <c r="D1042" s="1">
        <f>MONTH(Tabela6[[#This Row],[DATA]])</f>
        <v>5</v>
      </c>
    </row>
    <row r="1043" spans="1:4" x14ac:dyDescent="0.35">
      <c r="A1043" s="1">
        <v>28124</v>
      </c>
      <c r="B1043" s="2">
        <v>46146</v>
      </c>
      <c r="C1043" s="1" t="s">
        <v>33</v>
      </c>
      <c r="D1043" s="1">
        <f>MONTH(Tabela6[[#This Row],[DATA]])</f>
        <v>5</v>
      </c>
    </row>
    <row r="1044" spans="1:4" x14ac:dyDescent="0.35">
      <c r="A1044" s="1">
        <v>28125</v>
      </c>
      <c r="B1044" s="2">
        <v>46146</v>
      </c>
      <c r="C1044" s="1" t="s">
        <v>33</v>
      </c>
      <c r="D1044" s="1">
        <f>MONTH(Tabela6[[#This Row],[DATA]])</f>
        <v>5</v>
      </c>
    </row>
    <row r="1045" spans="1:4" x14ac:dyDescent="0.35">
      <c r="A1045" s="1">
        <v>28126</v>
      </c>
      <c r="B1045" s="2">
        <v>46146</v>
      </c>
      <c r="C1045" s="1" t="s">
        <v>33</v>
      </c>
      <c r="D1045" s="1">
        <f>MONTH(Tabela6[[#This Row],[DATA]])</f>
        <v>5</v>
      </c>
    </row>
    <row r="1046" spans="1:4" x14ac:dyDescent="0.35">
      <c r="A1046" s="1">
        <v>28127</v>
      </c>
      <c r="B1046" s="2">
        <v>46146</v>
      </c>
      <c r="C1046" s="1" t="s">
        <v>33</v>
      </c>
      <c r="D1046" s="1">
        <f>MONTH(Tabela6[[#This Row],[DATA]])</f>
        <v>5</v>
      </c>
    </row>
    <row r="1047" spans="1:4" x14ac:dyDescent="0.35">
      <c r="A1047" s="1">
        <v>28130</v>
      </c>
      <c r="B1047" s="2">
        <v>46146</v>
      </c>
      <c r="C1047" s="1" t="s">
        <v>9</v>
      </c>
      <c r="D1047" s="1">
        <f>MONTH(Tabela6[[#This Row],[DATA]])</f>
        <v>5</v>
      </c>
    </row>
    <row r="1048" spans="1:4" x14ac:dyDescent="0.35">
      <c r="A1048" s="1">
        <v>28131</v>
      </c>
      <c r="B1048" s="2">
        <v>46146</v>
      </c>
      <c r="C1048" s="1" t="s">
        <v>9</v>
      </c>
      <c r="D1048" s="1">
        <f>MONTH(Tabela6[[#This Row],[DATA]])</f>
        <v>5</v>
      </c>
    </row>
    <row r="1049" spans="1:4" x14ac:dyDescent="0.35">
      <c r="A1049" s="1">
        <v>28132</v>
      </c>
      <c r="B1049" s="2">
        <v>46146</v>
      </c>
      <c r="C1049" s="1" t="s">
        <v>9</v>
      </c>
      <c r="D1049" s="1">
        <f>MONTH(Tabela6[[#This Row],[DATA]])</f>
        <v>5</v>
      </c>
    </row>
    <row r="1050" spans="1:4" x14ac:dyDescent="0.35">
      <c r="A1050" s="1">
        <v>28133</v>
      </c>
      <c r="B1050" s="2">
        <v>46146</v>
      </c>
      <c r="C1050" s="1" t="s">
        <v>9</v>
      </c>
      <c r="D1050" s="1">
        <f>MONTH(Tabela6[[#This Row],[DATA]])</f>
        <v>5</v>
      </c>
    </row>
    <row r="1051" spans="1:4" x14ac:dyDescent="0.35">
      <c r="A1051" s="1">
        <v>28134</v>
      </c>
      <c r="B1051" s="2">
        <v>46146</v>
      </c>
      <c r="C1051" s="1" t="s">
        <v>9</v>
      </c>
      <c r="D1051" s="1">
        <f>MONTH(Tabela6[[#This Row],[DATA]])</f>
        <v>5</v>
      </c>
    </row>
    <row r="1052" spans="1:4" x14ac:dyDescent="0.35">
      <c r="A1052" s="1">
        <v>28135</v>
      </c>
      <c r="B1052" s="2">
        <v>46146</v>
      </c>
      <c r="C1052" s="1" t="s">
        <v>9</v>
      </c>
      <c r="D1052" s="1">
        <f>MONTH(Tabela6[[#This Row],[DATA]])</f>
        <v>5</v>
      </c>
    </row>
    <row r="1053" spans="1:4" x14ac:dyDescent="0.35">
      <c r="A1053" s="1">
        <v>28136</v>
      </c>
      <c r="B1053" s="2">
        <v>46146</v>
      </c>
      <c r="C1053" s="1" t="s">
        <v>9</v>
      </c>
      <c r="D1053" s="1">
        <f>MONTH(Tabela6[[#This Row],[DATA]])</f>
        <v>5</v>
      </c>
    </row>
    <row r="1054" spans="1:4" x14ac:dyDescent="0.35">
      <c r="A1054" s="1">
        <v>28137</v>
      </c>
      <c r="B1054" s="2">
        <v>46146</v>
      </c>
      <c r="C1054" s="1" t="s">
        <v>5</v>
      </c>
      <c r="D1054" s="1">
        <f>MONTH(Tabela6[[#This Row],[DATA]])</f>
        <v>5</v>
      </c>
    </row>
    <row r="1055" spans="1:4" x14ac:dyDescent="0.35">
      <c r="A1055" s="1">
        <v>28138</v>
      </c>
      <c r="B1055" s="2">
        <v>46146</v>
      </c>
      <c r="C1055" s="1" t="s">
        <v>5</v>
      </c>
      <c r="D1055" s="1">
        <f>MONTH(Tabela6[[#This Row],[DATA]])</f>
        <v>5</v>
      </c>
    </row>
    <row r="1056" spans="1:4" x14ac:dyDescent="0.35">
      <c r="A1056" s="1">
        <v>28140</v>
      </c>
      <c r="B1056" s="2">
        <v>46147</v>
      </c>
      <c r="C1056" s="1" t="s">
        <v>24</v>
      </c>
      <c r="D1056" s="1">
        <f>MONTH(Tabela6[[#This Row],[DATA]])</f>
        <v>5</v>
      </c>
    </row>
    <row r="1057" spans="1:4" x14ac:dyDescent="0.35">
      <c r="A1057" s="1">
        <v>28141</v>
      </c>
      <c r="B1057" s="2">
        <v>46147</v>
      </c>
      <c r="C1057" s="1" t="s">
        <v>24</v>
      </c>
      <c r="D1057" s="1">
        <f>MONTH(Tabela6[[#This Row],[DATA]])</f>
        <v>5</v>
      </c>
    </row>
    <row r="1058" spans="1:4" x14ac:dyDescent="0.35">
      <c r="A1058" s="1">
        <v>28142</v>
      </c>
      <c r="B1058" s="2">
        <v>46147</v>
      </c>
      <c r="C1058" s="1" t="s">
        <v>24</v>
      </c>
      <c r="D1058" s="1">
        <f>MONTH(Tabela6[[#This Row],[DATA]])</f>
        <v>5</v>
      </c>
    </row>
    <row r="1059" spans="1:4" x14ac:dyDescent="0.35">
      <c r="A1059" s="1">
        <v>28143</v>
      </c>
      <c r="B1059" s="2">
        <v>46147</v>
      </c>
      <c r="C1059" s="1" t="s">
        <v>24</v>
      </c>
      <c r="D1059" s="1">
        <f>MONTH(Tabela6[[#This Row],[DATA]])</f>
        <v>5</v>
      </c>
    </row>
    <row r="1060" spans="1:4" x14ac:dyDescent="0.35">
      <c r="A1060" s="1">
        <v>28144</v>
      </c>
      <c r="B1060" s="2">
        <v>46147</v>
      </c>
      <c r="C1060" s="1" t="s">
        <v>24</v>
      </c>
      <c r="D1060" s="1">
        <f>MONTH(Tabela6[[#This Row],[DATA]])</f>
        <v>5</v>
      </c>
    </row>
    <row r="1061" spans="1:4" x14ac:dyDescent="0.35">
      <c r="A1061" s="1">
        <v>28145</v>
      </c>
      <c r="B1061" s="2">
        <v>46147</v>
      </c>
      <c r="C1061" s="1" t="s">
        <v>24</v>
      </c>
      <c r="D1061" s="1">
        <f>MONTH(Tabela6[[#This Row],[DATA]])</f>
        <v>5</v>
      </c>
    </row>
    <row r="1062" spans="1:4" x14ac:dyDescent="0.35">
      <c r="A1062" s="1">
        <v>28146</v>
      </c>
      <c r="B1062" s="2">
        <v>46147</v>
      </c>
      <c r="C1062" s="1" t="s">
        <v>24</v>
      </c>
      <c r="D1062" s="1">
        <f>MONTH(Tabela6[[#This Row],[DATA]])</f>
        <v>5</v>
      </c>
    </row>
    <row r="1063" spans="1:4" x14ac:dyDescent="0.35">
      <c r="A1063" s="1">
        <v>28147</v>
      </c>
      <c r="B1063" s="2">
        <v>46147</v>
      </c>
      <c r="C1063" s="1" t="s">
        <v>24</v>
      </c>
      <c r="D1063" s="1">
        <f>MONTH(Tabela6[[#This Row],[DATA]])</f>
        <v>5</v>
      </c>
    </row>
    <row r="1064" spans="1:4" x14ac:dyDescent="0.35">
      <c r="A1064" s="1">
        <v>28148</v>
      </c>
      <c r="B1064" s="2">
        <v>46147</v>
      </c>
      <c r="C1064" s="1" t="s">
        <v>24</v>
      </c>
      <c r="D1064" s="1">
        <f>MONTH(Tabela6[[#This Row],[DATA]])</f>
        <v>5</v>
      </c>
    </row>
    <row r="1065" spans="1:4" x14ac:dyDescent="0.35">
      <c r="A1065" s="1">
        <v>28149</v>
      </c>
      <c r="B1065" s="2">
        <v>46147</v>
      </c>
      <c r="C1065" s="1" t="s">
        <v>33</v>
      </c>
      <c r="D1065" s="1">
        <f>MONTH(Tabela6[[#This Row],[DATA]])</f>
        <v>5</v>
      </c>
    </row>
    <row r="1066" spans="1:4" x14ac:dyDescent="0.35">
      <c r="A1066" s="1">
        <v>28150</v>
      </c>
      <c r="B1066" s="2">
        <v>46147</v>
      </c>
      <c r="C1066" s="1" t="s">
        <v>33</v>
      </c>
      <c r="D1066" s="1">
        <f>MONTH(Tabela6[[#This Row],[DATA]])</f>
        <v>5</v>
      </c>
    </row>
    <row r="1067" spans="1:4" x14ac:dyDescent="0.35">
      <c r="A1067" s="1">
        <v>28151</v>
      </c>
      <c r="B1067" s="2">
        <v>46147</v>
      </c>
      <c r="C1067" s="1" t="s">
        <v>33</v>
      </c>
      <c r="D1067" s="1">
        <f>MONTH(Tabela6[[#This Row],[DATA]])</f>
        <v>5</v>
      </c>
    </row>
    <row r="1068" spans="1:4" x14ac:dyDescent="0.35">
      <c r="A1068" s="1">
        <v>28152</v>
      </c>
      <c r="B1068" s="2">
        <v>46147</v>
      </c>
      <c r="C1068" s="1" t="s">
        <v>33</v>
      </c>
      <c r="D1068" s="1">
        <f>MONTH(Tabela6[[#This Row],[DATA]])</f>
        <v>5</v>
      </c>
    </row>
    <row r="1069" spans="1:4" x14ac:dyDescent="0.35">
      <c r="A1069" s="1">
        <v>28153</v>
      </c>
      <c r="B1069" s="2">
        <v>46147</v>
      </c>
      <c r="C1069" s="1" t="s">
        <v>32</v>
      </c>
      <c r="D1069" s="1">
        <f>MONTH(Tabela6[[#This Row],[DATA]])</f>
        <v>5</v>
      </c>
    </row>
    <row r="1070" spans="1:4" x14ac:dyDescent="0.35">
      <c r="A1070" s="1">
        <v>28154</v>
      </c>
      <c r="B1070" s="2">
        <v>46148</v>
      </c>
      <c r="C1070" s="1" t="s">
        <v>24</v>
      </c>
      <c r="D1070" s="1">
        <f>MONTH(Tabela6[[#This Row],[DATA]])</f>
        <v>5</v>
      </c>
    </row>
    <row r="1071" spans="1:4" x14ac:dyDescent="0.35">
      <c r="A1071" s="1">
        <v>28155</v>
      </c>
      <c r="B1071" s="2">
        <v>46148</v>
      </c>
      <c r="C1071" s="1" t="s">
        <v>24</v>
      </c>
      <c r="D1071" s="1">
        <f>MONTH(Tabela6[[#This Row],[DATA]])</f>
        <v>5</v>
      </c>
    </row>
    <row r="1072" spans="1:4" x14ac:dyDescent="0.35">
      <c r="A1072" s="1">
        <v>28156</v>
      </c>
      <c r="B1072" s="2">
        <v>46148</v>
      </c>
      <c r="C1072" s="1" t="s">
        <v>24</v>
      </c>
      <c r="D1072" s="1">
        <f>MONTH(Tabela6[[#This Row],[DATA]])</f>
        <v>5</v>
      </c>
    </row>
    <row r="1073" spans="1:4" x14ac:dyDescent="0.35">
      <c r="A1073" s="1">
        <v>28157</v>
      </c>
      <c r="B1073" s="2">
        <v>46148</v>
      </c>
      <c r="C1073" s="1" t="s">
        <v>33</v>
      </c>
      <c r="D1073" s="1">
        <f>MONTH(Tabela6[[#This Row],[DATA]])</f>
        <v>5</v>
      </c>
    </row>
    <row r="1074" spans="1:4" x14ac:dyDescent="0.35">
      <c r="A1074" s="1">
        <v>28158</v>
      </c>
      <c r="B1074" s="2">
        <v>46148</v>
      </c>
      <c r="C1074" s="1" t="s">
        <v>33</v>
      </c>
      <c r="D1074" s="1">
        <f>MONTH(Tabela6[[#This Row],[DATA]])</f>
        <v>5</v>
      </c>
    </row>
    <row r="1075" spans="1:4" x14ac:dyDescent="0.35">
      <c r="A1075" s="1">
        <v>28159</v>
      </c>
      <c r="B1075" s="2">
        <v>46148</v>
      </c>
      <c r="C1075" s="1" t="s">
        <v>33</v>
      </c>
      <c r="D1075" s="1">
        <f>MONTH(Tabela6[[#This Row],[DATA]])</f>
        <v>5</v>
      </c>
    </row>
    <row r="1076" spans="1:4" x14ac:dyDescent="0.35">
      <c r="A1076" s="1">
        <v>28160</v>
      </c>
      <c r="B1076" s="2">
        <v>46148</v>
      </c>
      <c r="C1076" s="1" t="s">
        <v>33</v>
      </c>
      <c r="D1076" s="1">
        <f>MONTH(Tabela6[[#This Row],[DATA]])</f>
        <v>5</v>
      </c>
    </row>
    <row r="1077" spans="1:4" x14ac:dyDescent="0.35">
      <c r="A1077" s="1">
        <v>28161</v>
      </c>
      <c r="B1077" s="2">
        <v>46148</v>
      </c>
      <c r="C1077" s="1" t="s">
        <v>33</v>
      </c>
      <c r="D1077" s="1">
        <f>MONTH(Tabela6[[#This Row],[DATA]])</f>
        <v>5</v>
      </c>
    </row>
    <row r="1078" spans="1:4" x14ac:dyDescent="0.35">
      <c r="A1078" s="1">
        <v>28162</v>
      </c>
      <c r="B1078" s="2">
        <v>46148</v>
      </c>
      <c r="C1078" s="1" t="s">
        <v>28</v>
      </c>
      <c r="D1078" s="1">
        <f>MONTH(Tabela6[[#This Row],[DATA]])</f>
        <v>5</v>
      </c>
    </row>
    <row r="1079" spans="1:4" x14ac:dyDescent="0.35">
      <c r="A1079" s="1">
        <v>28163</v>
      </c>
      <c r="B1079" s="2">
        <v>46148</v>
      </c>
      <c r="C1079" s="1" t="s">
        <v>28</v>
      </c>
      <c r="D1079" s="1">
        <f>MONTH(Tabela6[[#This Row],[DATA]])</f>
        <v>5</v>
      </c>
    </row>
    <row r="1080" spans="1:4" x14ac:dyDescent="0.35">
      <c r="A1080" s="1">
        <v>28164</v>
      </c>
      <c r="B1080" s="2">
        <v>46148</v>
      </c>
      <c r="C1080" s="1" t="s">
        <v>28</v>
      </c>
      <c r="D1080" s="1">
        <f>MONTH(Tabela6[[#This Row],[DATA]])</f>
        <v>5</v>
      </c>
    </row>
    <row r="1081" spans="1:4" x14ac:dyDescent="0.35">
      <c r="A1081" s="1">
        <v>28167</v>
      </c>
      <c r="B1081" s="2">
        <v>46148</v>
      </c>
      <c r="C1081" s="1" t="s">
        <v>32</v>
      </c>
      <c r="D1081" s="1">
        <f>MONTH(Tabela6[[#This Row],[DATA]])</f>
        <v>5</v>
      </c>
    </row>
    <row r="1082" spans="1:4" x14ac:dyDescent="0.35">
      <c r="A1082" s="1">
        <v>28168</v>
      </c>
      <c r="B1082" s="2">
        <v>46148</v>
      </c>
      <c r="C1082" s="1" t="s">
        <v>32</v>
      </c>
      <c r="D1082" s="1">
        <f>MONTH(Tabela6[[#This Row],[DATA]])</f>
        <v>5</v>
      </c>
    </row>
    <row r="1083" spans="1:4" x14ac:dyDescent="0.35">
      <c r="A1083" s="1">
        <v>28169</v>
      </c>
      <c r="B1083" s="2">
        <v>46148</v>
      </c>
      <c r="C1083" s="1" t="s">
        <v>9</v>
      </c>
      <c r="D1083" s="1">
        <f>MONTH(Tabela6[[#This Row],[DATA]])</f>
        <v>5</v>
      </c>
    </row>
    <row r="1084" spans="1:4" x14ac:dyDescent="0.35">
      <c r="A1084" s="1">
        <v>28170</v>
      </c>
      <c r="B1084" s="2">
        <v>46148</v>
      </c>
      <c r="C1084" s="1" t="s">
        <v>9</v>
      </c>
      <c r="D1084" s="1">
        <f>MONTH(Tabela6[[#This Row],[DATA]])</f>
        <v>5</v>
      </c>
    </row>
    <row r="1085" spans="1:4" x14ac:dyDescent="0.35">
      <c r="A1085" s="1">
        <v>28171</v>
      </c>
      <c r="B1085" s="2">
        <v>46148</v>
      </c>
      <c r="C1085" s="1" t="s">
        <v>9</v>
      </c>
      <c r="D1085" s="1">
        <f>MONTH(Tabela6[[#This Row],[DATA]])</f>
        <v>5</v>
      </c>
    </row>
    <row r="1086" spans="1:4" x14ac:dyDescent="0.35">
      <c r="A1086" s="1">
        <v>28172</v>
      </c>
      <c r="B1086" s="2">
        <v>46148</v>
      </c>
      <c r="C1086" s="1" t="s">
        <v>9</v>
      </c>
      <c r="D1086" s="1">
        <f>MONTH(Tabela6[[#This Row],[DATA]])</f>
        <v>5</v>
      </c>
    </row>
    <row r="1087" spans="1:4" x14ac:dyDescent="0.35">
      <c r="A1087" s="1">
        <v>28173</v>
      </c>
      <c r="B1087" s="2">
        <v>46148</v>
      </c>
      <c r="C1087" s="1" t="s">
        <v>9</v>
      </c>
      <c r="D1087" s="1">
        <f>MONTH(Tabela6[[#This Row],[DATA]])</f>
        <v>5</v>
      </c>
    </row>
    <row r="1088" spans="1:4" x14ac:dyDescent="0.35">
      <c r="A1088" s="1">
        <v>28174</v>
      </c>
      <c r="B1088" s="2">
        <v>46148</v>
      </c>
      <c r="C1088" s="1" t="s">
        <v>9</v>
      </c>
      <c r="D1088" s="1">
        <f>MONTH(Tabela6[[#This Row],[DATA]])</f>
        <v>5</v>
      </c>
    </row>
    <row r="1089" spans="1:4" x14ac:dyDescent="0.35">
      <c r="A1089" s="1">
        <v>28175</v>
      </c>
      <c r="B1089" s="2">
        <v>46148</v>
      </c>
      <c r="C1089" s="1" t="s">
        <v>9</v>
      </c>
      <c r="D1089" s="1">
        <f>MONTH(Tabela6[[#This Row],[DATA]])</f>
        <v>5</v>
      </c>
    </row>
    <row r="1090" spans="1:4" x14ac:dyDescent="0.35">
      <c r="A1090" s="1">
        <v>28176</v>
      </c>
      <c r="B1090" s="2">
        <v>46148</v>
      </c>
      <c r="C1090" s="1" t="s">
        <v>9</v>
      </c>
      <c r="D1090" s="1">
        <f>MONTH(Tabela6[[#This Row],[DATA]])</f>
        <v>5</v>
      </c>
    </row>
    <row r="1091" spans="1:4" x14ac:dyDescent="0.35">
      <c r="A1091" s="1">
        <v>28177</v>
      </c>
      <c r="B1091" s="2">
        <v>46148</v>
      </c>
      <c r="C1091" s="1" t="s">
        <v>9</v>
      </c>
      <c r="D1091" s="1">
        <f>MONTH(Tabela6[[#This Row],[DATA]])</f>
        <v>5</v>
      </c>
    </row>
    <row r="1092" spans="1:4" x14ac:dyDescent="0.35">
      <c r="A1092" s="1">
        <v>28178</v>
      </c>
      <c r="B1092" s="2">
        <v>46148</v>
      </c>
      <c r="C1092" s="1" t="s">
        <v>28</v>
      </c>
      <c r="D1092" s="1">
        <f>MONTH(Tabela6[[#This Row],[DATA]])</f>
        <v>5</v>
      </c>
    </row>
    <row r="1093" spans="1:4" x14ac:dyDescent="0.35">
      <c r="A1093" s="1">
        <v>28179</v>
      </c>
      <c r="B1093" s="2">
        <v>46149</v>
      </c>
      <c r="C1093" s="1" t="s">
        <v>24</v>
      </c>
      <c r="D1093" s="1">
        <f>MONTH(Tabela6[[#This Row],[DATA]])</f>
        <v>5</v>
      </c>
    </row>
    <row r="1094" spans="1:4" x14ac:dyDescent="0.35">
      <c r="A1094" s="1">
        <v>28180</v>
      </c>
      <c r="B1094" s="2">
        <v>46149</v>
      </c>
      <c r="C1094" s="1" t="s">
        <v>24</v>
      </c>
      <c r="D1094" s="1">
        <f>MONTH(Tabela6[[#This Row],[DATA]])</f>
        <v>5</v>
      </c>
    </row>
    <row r="1095" spans="1:4" x14ac:dyDescent="0.35">
      <c r="A1095" s="1">
        <v>28181</v>
      </c>
      <c r="B1095" s="2">
        <v>46149</v>
      </c>
      <c r="C1095" s="1" t="s">
        <v>24</v>
      </c>
      <c r="D1095" s="1">
        <f>MONTH(Tabela6[[#This Row],[DATA]])</f>
        <v>5</v>
      </c>
    </row>
    <row r="1096" spans="1:4" x14ac:dyDescent="0.35">
      <c r="A1096" s="1">
        <v>28182</v>
      </c>
      <c r="B1096" s="2">
        <v>46149</v>
      </c>
      <c r="C1096" s="1" t="s">
        <v>24</v>
      </c>
      <c r="D1096" s="1">
        <f>MONTH(Tabela6[[#This Row],[DATA]])</f>
        <v>5</v>
      </c>
    </row>
    <row r="1097" spans="1:4" x14ac:dyDescent="0.35">
      <c r="A1097" s="1">
        <v>28183</v>
      </c>
      <c r="B1097" s="2">
        <v>46149</v>
      </c>
      <c r="C1097" s="1" t="s">
        <v>24</v>
      </c>
      <c r="D1097" s="1">
        <f>MONTH(Tabela6[[#This Row],[DATA]])</f>
        <v>5</v>
      </c>
    </row>
    <row r="1098" spans="1:4" x14ac:dyDescent="0.35">
      <c r="A1098" s="1">
        <v>28184</v>
      </c>
      <c r="B1098" s="2">
        <v>46149</v>
      </c>
      <c r="C1098" s="1" t="s">
        <v>24</v>
      </c>
      <c r="D1098" s="1">
        <f>MONTH(Tabela6[[#This Row],[DATA]])</f>
        <v>5</v>
      </c>
    </row>
    <row r="1099" spans="1:4" x14ac:dyDescent="0.35">
      <c r="A1099" s="1">
        <v>28185</v>
      </c>
      <c r="B1099" s="2">
        <v>46149</v>
      </c>
      <c r="C1099" s="1" t="s">
        <v>33</v>
      </c>
      <c r="D1099" s="1">
        <f>MONTH(Tabela6[[#This Row],[DATA]])</f>
        <v>5</v>
      </c>
    </row>
    <row r="1100" spans="1:4" x14ac:dyDescent="0.35">
      <c r="A1100" s="1">
        <v>28186</v>
      </c>
      <c r="B1100" s="2">
        <v>46149</v>
      </c>
      <c r="C1100" s="1" t="s">
        <v>33</v>
      </c>
      <c r="D1100" s="1">
        <f>MONTH(Tabela6[[#This Row],[DATA]])</f>
        <v>5</v>
      </c>
    </row>
    <row r="1101" spans="1:4" x14ac:dyDescent="0.35">
      <c r="A1101" s="1">
        <v>28187</v>
      </c>
      <c r="B1101" s="2">
        <v>46149</v>
      </c>
      <c r="C1101" s="1" t="s">
        <v>33</v>
      </c>
      <c r="D1101" s="1">
        <f>MONTH(Tabela6[[#This Row],[DATA]])</f>
        <v>5</v>
      </c>
    </row>
    <row r="1102" spans="1:4" x14ac:dyDescent="0.35">
      <c r="A1102" s="1">
        <v>28188</v>
      </c>
      <c r="B1102" s="2">
        <v>46149</v>
      </c>
      <c r="C1102" s="1" t="s">
        <v>32</v>
      </c>
      <c r="D1102" s="1">
        <f>MONTH(Tabela6[[#This Row],[DATA]])</f>
        <v>5</v>
      </c>
    </row>
    <row r="1103" spans="1:4" x14ac:dyDescent="0.35">
      <c r="A1103" s="1">
        <v>28189</v>
      </c>
      <c r="B1103" s="2">
        <v>46149</v>
      </c>
      <c r="C1103" s="1" t="s">
        <v>32</v>
      </c>
      <c r="D1103" s="1">
        <f>MONTH(Tabela6[[#This Row],[DATA]])</f>
        <v>5</v>
      </c>
    </row>
    <row r="1104" spans="1:4" x14ac:dyDescent="0.35">
      <c r="A1104" s="1">
        <v>28190</v>
      </c>
      <c r="B1104" s="2">
        <v>46149</v>
      </c>
      <c r="C1104" s="1" t="s">
        <v>33</v>
      </c>
      <c r="D1104" s="1">
        <f>MONTH(Tabela6[[#This Row],[DATA]])</f>
        <v>5</v>
      </c>
    </row>
    <row r="1105" spans="1:4" x14ac:dyDescent="0.35">
      <c r="A1105" s="1">
        <v>28191</v>
      </c>
      <c r="B1105" s="2">
        <v>46149</v>
      </c>
      <c r="C1105" s="1" t="s">
        <v>33</v>
      </c>
      <c r="D1105" s="1">
        <f>MONTH(Tabela6[[#This Row],[DATA]])</f>
        <v>5</v>
      </c>
    </row>
    <row r="1106" spans="1:4" x14ac:dyDescent="0.35">
      <c r="A1106" s="1">
        <v>28192</v>
      </c>
      <c r="B1106" s="2">
        <v>46149</v>
      </c>
      <c r="C1106" s="1" t="s">
        <v>33</v>
      </c>
      <c r="D1106" s="1">
        <f>MONTH(Tabela6[[#This Row],[DATA]])</f>
        <v>5</v>
      </c>
    </row>
    <row r="1107" spans="1:4" x14ac:dyDescent="0.35">
      <c r="A1107" s="1">
        <v>28194</v>
      </c>
      <c r="B1107" s="2">
        <v>46149</v>
      </c>
      <c r="C1107" s="1" t="s">
        <v>5</v>
      </c>
      <c r="D1107" s="1">
        <f>MONTH(Tabela6[[#This Row],[DATA]])</f>
        <v>5</v>
      </c>
    </row>
    <row r="1108" spans="1:4" x14ac:dyDescent="0.35">
      <c r="A1108" s="1">
        <v>28195</v>
      </c>
      <c r="B1108" s="2">
        <v>46149</v>
      </c>
      <c r="C1108" s="1" t="s">
        <v>5</v>
      </c>
      <c r="D1108" s="1">
        <f>MONTH(Tabela6[[#This Row],[DATA]])</f>
        <v>5</v>
      </c>
    </row>
    <row r="1109" spans="1:4" x14ac:dyDescent="0.35">
      <c r="A1109" s="1">
        <v>28196</v>
      </c>
      <c r="B1109" s="2">
        <v>46149</v>
      </c>
      <c r="C1109" s="1" t="s">
        <v>9</v>
      </c>
      <c r="D1109" s="1">
        <f>MONTH(Tabela6[[#This Row],[DATA]])</f>
        <v>5</v>
      </c>
    </row>
    <row r="1110" spans="1:4" x14ac:dyDescent="0.35">
      <c r="A1110" s="1">
        <v>28197</v>
      </c>
      <c r="B1110" s="2">
        <v>46149</v>
      </c>
      <c r="C1110" s="1" t="s">
        <v>9</v>
      </c>
      <c r="D1110" s="1">
        <f>MONTH(Tabela6[[#This Row],[DATA]])</f>
        <v>5</v>
      </c>
    </row>
    <row r="1111" spans="1:4" x14ac:dyDescent="0.35">
      <c r="A1111" s="1">
        <v>28198</v>
      </c>
      <c r="B1111" s="2">
        <v>46149</v>
      </c>
      <c r="C1111" s="1" t="s">
        <v>9</v>
      </c>
      <c r="D1111" s="1">
        <f>MONTH(Tabela6[[#This Row],[DATA]])</f>
        <v>5</v>
      </c>
    </row>
    <row r="1112" spans="1:4" x14ac:dyDescent="0.35">
      <c r="A1112" s="1">
        <v>28199</v>
      </c>
      <c r="B1112" s="2">
        <v>46149</v>
      </c>
      <c r="C1112" s="1" t="s">
        <v>9</v>
      </c>
      <c r="D1112" s="1">
        <f>MONTH(Tabela6[[#This Row],[DATA]])</f>
        <v>5</v>
      </c>
    </row>
    <row r="1113" spans="1:4" x14ac:dyDescent="0.35">
      <c r="A1113" s="1">
        <v>28200</v>
      </c>
      <c r="B1113" s="2">
        <v>46149</v>
      </c>
      <c r="C1113" s="1" t="s">
        <v>9</v>
      </c>
      <c r="D1113" s="1">
        <f>MONTH(Tabela6[[#This Row],[DATA]])</f>
        <v>5</v>
      </c>
    </row>
    <row r="1114" spans="1:4" x14ac:dyDescent="0.35">
      <c r="A1114" s="1">
        <v>28201</v>
      </c>
      <c r="B1114" s="2">
        <v>46149</v>
      </c>
      <c r="C1114" s="1" t="s">
        <v>9</v>
      </c>
      <c r="D1114" s="1">
        <f>MONTH(Tabela6[[#This Row],[DATA]])</f>
        <v>5</v>
      </c>
    </row>
    <row r="1115" spans="1:4" x14ac:dyDescent="0.35">
      <c r="A1115" s="1">
        <v>28202</v>
      </c>
      <c r="B1115" s="2">
        <v>46149</v>
      </c>
      <c r="C1115" s="1" t="s">
        <v>9</v>
      </c>
      <c r="D1115" s="1">
        <f>MONTH(Tabela6[[#This Row],[DATA]])</f>
        <v>5</v>
      </c>
    </row>
    <row r="1116" spans="1:4" x14ac:dyDescent="0.35">
      <c r="A1116" s="1">
        <v>204</v>
      </c>
      <c r="B1116" s="2">
        <v>46150</v>
      </c>
      <c r="C1116" s="1" t="s">
        <v>22</v>
      </c>
      <c r="D1116" s="1">
        <f>MONTH(Tabela6[[#This Row],[DATA]])</f>
        <v>5</v>
      </c>
    </row>
    <row r="1117" spans="1:4" x14ac:dyDescent="0.35">
      <c r="A1117" s="1">
        <v>205</v>
      </c>
      <c r="B1117" s="2">
        <v>46150</v>
      </c>
      <c r="C1117" s="1" t="s">
        <v>22</v>
      </c>
      <c r="D1117" s="1">
        <f>MONTH(Tabela6[[#This Row],[DATA]])</f>
        <v>5</v>
      </c>
    </row>
    <row r="1118" spans="1:4" x14ac:dyDescent="0.35">
      <c r="A1118" s="1">
        <v>206</v>
      </c>
      <c r="B1118" s="2">
        <v>46150</v>
      </c>
      <c r="C1118" s="1" t="s">
        <v>22</v>
      </c>
      <c r="D1118" s="1">
        <f>MONTH(Tabela6[[#This Row],[DATA]])</f>
        <v>5</v>
      </c>
    </row>
    <row r="1119" spans="1:4" x14ac:dyDescent="0.35">
      <c r="A1119" s="1">
        <v>207</v>
      </c>
      <c r="B1119" s="2">
        <v>46150</v>
      </c>
      <c r="C1119" s="1" t="s">
        <v>22</v>
      </c>
      <c r="D1119" s="1">
        <f>MONTH(Tabela6[[#This Row],[DATA]])</f>
        <v>5</v>
      </c>
    </row>
    <row r="1120" spans="1:4" x14ac:dyDescent="0.35">
      <c r="A1120" s="1">
        <v>208</v>
      </c>
      <c r="B1120" s="2">
        <v>46150</v>
      </c>
      <c r="C1120" s="1" t="s">
        <v>22</v>
      </c>
      <c r="D1120" s="1">
        <f>MONTH(Tabela6[[#This Row],[DATA]])</f>
        <v>5</v>
      </c>
    </row>
    <row r="1121" spans="1:4" x14ac:dyDescent="0.35">
      <c r="A1121" s="1">
        <v>209</v>
      </c>
      <c r="B1121" s="2">
        <v>46150</v>
      </c>
      <c r="C1121" s="1" t="s">
        <v>22</v>
      </c>
      <c r="D1121" s="1">
        <f>MONTH(Tabela6[[#This Row],[DATA]])</f>
        <v>5</v>
      </c>
    </row>
    <row r="1122" spans="1:4" x14ac:dyDescent="0.35">
      <c r="A1122" s="1">
        <v>210</v>
      </c>
      <c r="B1122" s="2">
        <v>46150</v>
      </c>
      <c r="C1122" s="1" t="s">
        <v>22</v>
      </c>
      <c r="D1122" s="1">
        <f>MONTH(Tabela6[[#This Row],[DATA]])</f>
        <v>5</v>
      </c>
    </row>
    <row r="1123" spans="1:4" x14ac:dyDescent="0.35">
      <c r="A1123" s="1">
        <v>211</v>
      </c>
      <c r="B1123" s="2">
        <v>46150</v>
      </c>
      <c r="C1123" s="1" t="s">
        <v>22</v>
      </c>
      <c r="D1123" s="1">
        <f>MONTH(Tabela6[[#This Row],[DATA]])</f>
        <v>5</v>
      </c>
    </row>
    <row r="1124" spans="1:4" x14ac:dyDescent="0.35">
      <c r="A1124" s="1">
        <v>212</v>
      </c>
      <c r="B1124" s="2">
        <v>46150</v>
      </c>
      <c r="C1124" s="1" t="s">
        <v>22</v>
      </c>
      <c r="D1124" s="1">
        <f>MONTH(Tabela6[[#This Row],[DATA]])</f>
        <v>5</v>
      </c>
    </row>
    <row r="1125" spans="1:4" x14ac:dyDescent="0.35">
      <c r="A1125" s="1">
        <v>213</v>
      </c>
      <c r="B1125" s="2">
        <v>46150</v>
      </c>
      <c r="C1125" s="1" t="s">
        <v>22</v>
      </c>
      <c r="D1125" s="1">
        <f>MONTH(Tabela6[[#This Row],[DATA]])</f>
        <v>5</v>
      </c>
    </row>
    <row r="1126" spans="1:4" x14ac:dyDescent="0.35">
      <c r="A1126" s="1">
        <v>214</v>
      </c>
      <c r="B1126" s="2">
        <v>46150</v>
      </c>
      <c r="C1126" s="1" t="s">
        <v>22</v>
      </c>
      <c r="D1126" s="1">
        <f>MONTH(Tabela6[[#This Row],[DATA]])</f>
        <v>5</v>
      </c>
    </row>
    <row r="1127" spans="1:4" x14ac:dyDescent="0.35">
      <c r="A1127" s="1">
        <v>215</v>
      </c>
      <c r="B1127" s="2">
        <v>46150</v>
      </c>
      <c r="C1127" s="1" t="s">
        <v>22</v>
      </c>
      <c r="D1127" s="1">
        <f>MONTH(Tabela6[[#This Row],[DATA]])</f>
        <v>5</v>
      </c>
    </row>
    <row r="1128" spans="1:4" x14ac:dyDescent="0.35">
      <c r="A1128" s="1">
        <v>216</v>
      </c>
      <c r="B1128" s="2">
        <v>46150</v>
      </c>
      <c r="C1128" s="1" t="s">
        <v>22</v>
      </c>
      <c r="D1128" s="1">
        <f>MONTH(Tabela6[[#This Row],[DATA]])</f>
        <v>5</v>
      </c>
    </row>
    <row r="1129" spans="1:4" x14ac:dyDescent="0.35">
      <c r="A1129" s="1">
        <v>217</v>
      </c>
      <c r="B1129" s="2">
        <v>46150</v>
      </c>
      <c r="C1129" s="1" t="s">
        <v>22</v>
      </c>
      <c r="D1129" s="1">
        <f>MONTH(Tabela6[[#This Row],[DATA]])</f>
        <v>5</v>
      </c>
    </row>
    <row r="1130" spans="1:4" x14ac:dyDescent="0.35">
      <c r="A1130" s="1">
        <v>218</v>
      </c>
      <c r="B1130" s="2">
        <v>46150</v>
      </c>
      <c r="C1130" s="1" t="s">
        <v>22</v>
      </c>
      <c r="D1130" s="1">
        <f>MONTH(Tabela6[[#This Row],[DATA]])</f>
        <v>5</v>
      </c>
    </row>
    <row r="1131" spans="1:4" x14ac:dyDescent="0.35">
      <c r="A1131" s="1">
        <v>219</v>
      </c>
      <c r="B1131" s="2">
        <v>46150</v>
      </c>
      <c r="C1131" s="1" t="s">
        <v>22</v>
      </c>
      <c r="D1131" s="1">
        <f>MONTH(Tabela6[[#This Row],[DATA]])</f>
        <v>5</v>
      </c>
    </row>
    <row r="1132" spans="1:4" x14ac:dyDescent="0.35">
      <c r="A1132" s="1">
        <v>220</v>
      </c>
      <c r="B1132" s="2">
        <v>46150</v>
      </c>
      <c r="C1132" s="1" t="s">
        <v>22</v>
      </c>
      <c r="D1132" s="1">
        <f>MONTH(Tabela6[[#This Row],[DATA]])</f>
        <v>5</v>
      </c>
    </row>
    <row r="1133" spans="1:4" x14ac:dyDescent="0.35">
      <c r="A1133" s="1">
        <v>221</v>
      </c>
      <c r="B1133" s="2">
        <v>46150</v>
      </c>
      <c r="C1133" s="1" t="s">
        <v>22</v>
      </c>
      <c r="D1133" s="1">
        <f>MONTH(Tabela6[[#This Row],[DATA]])</f>
        <v>5</v>
      </c>
    </row>
    <row r="1134" spans="1:4" x14ac:dyDescent="0.35">
      <c r="A1134" s="1">
        <v>222</v>
      </c>
      <c r="B1134" s="2">
        <v>46150</v>
      </c>
      <c r="C1134" s="1" t="s">
        <v>22</v>
      </c>
      <c r="D1134" s="1">
        <f>MONTH(Tabela6[[#This Row],[DATA]])</f>
        <v>5</v>
      </c>
    </row>
    <row r="1135" spans="1:4" x14ac:dyDescent="0.35">
      <c r="A1135" s="1">
        <v>223</v>
      </c>
      <c r="B1135" s="2">
        <v>46150</v>
      </c>
      <c r="C1135" s="1" t="s">
        <v>22</v>
      </c>
      <c r="D1135" s="1">
        <f>MONTH(Tabela6[[#This Row],[DATA]])</f>
        <v>5</v>
      </c>
    </row>
    <row r="1136" spans="1:4" x14ac:dyDescent="0.35">
      <c r="A1136" s="1">
        <v>224</v>
      </c>
      <c r="B1136" s="2">
        <v>46150</v>
      </c>
      <c r="C1136" s="1" t="s">
        <v>22</v>
      </c>
      <c r="D1136" s="1">
        <f>MONTH(Tabela6[[#This Row],[DATA]])</f>
        <v>5</v>
      </c>
    </row>
    <row r="1137" spans="1:4" x14ac:dyDescent="0.35">
      <c r="A1137" s="1">
        <v>225</v>
      </c>
      <c r="B1137" s="2">
        <v>46150</v>
      </c>
      <c r="C1137" s="1" t="s">
        <v>22</v>
      </c>
      <c r="D1137" s="1">
        <f>MONTH(Tabela6[[#This Row],[DATA]])</f>
        <v>5</v>
      </c>
    </row>
    <row r="1138" spans="1:4" x14ac:dyDescent="0.35">
      <c r="A1138" s="1">
        <v>226</v>
      </c>
      <c r="B1138" s="2">
        <v>46150</v>
      </c>
      <c r="C1138" s="1" t="s">
        <v>22</v>
      </c>
      <c r="D1138" s="1">
        <f>MONTH(Tabela6[[#This Row],[DATA]])</f>
        <v>5</v>
      </c>
    </row>
    <row r="1139" spans="1:4" x14ac:dyDescent="0.35">
      <c r="A1139" s="1">
        <v>227</v>
      </c>
      <c r="B1139" s="2">
        <v>46150</v>
      </c>
      <c r="C1139" s="1" t="s">
        <v>22</v>
      </c>
      <c r="D1139" s="1">
        <f>MONTH(Tabela6[[#This Row],[DATA]])</f>
        <v>5</v>
      </c>
    </row>
    <row r="1140" spans="1:4" x14ac:dyDescent="0.35">
      <c r="A1140" s="1">
        <v>228</v>
      </c>
      <c r="B1140" s="2">
        <v>46150</v>
      </c>
      <c r="C1140" s="1" t="s">
        <v>22</v>
      </c>
      <c r="D1140" s="1">
        <f>MONTH(Tabela6[[#This Row],[DATA]])</f>
        <v>5</v>
      </c>
    </row>
    <row r="1141" spans="1:4" x14ac:dyDescent="0.35">
      <c r="A1141" s="1">
        <v>230</v>
      </c>
      <c r="B1141" s="2">
        <v>46150</v>
      </c>
      <c r="C1141" s="1" t="s">
        <v>9</v>
      </c>
      <c r="D1141" s="1">
        <f>MONTH(Tabela6[[#This Row],[DATA]])</f>
        <v>5</v>
      </c>
    </row>
    <row r="1142" spans="1:4" x14ac:dyDescent="0.35">
      <c r="A1142" s="1">
        <v>231</v>
      </c>
      <c r="B1142" s="2">
        <v>46150</v>
      </c>
      <c r="C1142" s="1" t="s">
        <v>9</v>
      </c>
      <c r="D1142" s="1">
        <f>MONTH(Tabela6[[#This Row],[DATA]])</f>
        <v>5</v>
      </c>
    </row>
    <row r="1143" spans="1:4" x14ac:dyDescent="0.35">
      <c r="A1143" s="1">
        <v>232</v>
      </c>
      <c r="B1143" s="2">
        <v>46150</v>
      </c>
      <c r="C1143" s="1" t="s">
        <v>9</v>
      </c>
      <c r="D1143" s="1">
        <f>MONTH(Tabela6[[#This Row],[DATA]])</f>
        <v>5</v>
      </c>
    </row>
    <row r="1144" spans="1:4" x14ac:dyDescent="0.35">
      <c r="A1144" s="1">
        <v>233</v>
      </c>
      <c r="B1144" s="2">
        <v>46150</v>
      </c>
      <c r="C1144" s="1" t="s">
        <v>9</v>
      </c>
      <c r="D1144" s="1">
        <f>MONTH(Tabela6[[#This Row],[DATA]])</f>
        <v>5</v>
      </c>
    </row>
    <row r="1145" spans="1:4" x14ac:dyDescent="0.35">
      <c r="A1145" s="1">
        <v>234</v>
      </c>
      <c r="B1145" s="2">
        <v>46150</v>
      </c>
      <c r="C1145" s="1" t="s">
        <v>9</v>
      </c>
      <c r="D1145" s="1">
        <f>MONTH(Tabela6[[#This Row],[DATA]])</f>
        <v>5</v>
      </c>
    </row>
    <row r="1146" spans="1:4" x14ac:dyDescent="0.35">
      <c r="A1146" s="1">
        <v>235</v>
      </c>
      <c r="B1146" s="2">
        <v>46150</v>
      </c>
      <c r="C1146" s="1" t="s">
        <v>9</v>
      </c>
      <c r="D1146" s="1">
        <f>MONTH(Tabela6[[#This Row],[DATA]])</f>
        <v>5</v>
      </c>
    </row>
    <row r="1147" spans="1:4" x14ac:dyDescent="0.35">
      <c r="A1147" s="1">
        <v>236</v>
      </c>
      <c r="B1147" s="2">
        <v>46150</v>
      </c>
      <c r="C1147" s="1" t="s">
        <v>9</v>
      </c>
      <c r="D1147" s="1">
        <f>MONTH(Tabela6[[#This Row],[DATA]])</f>
        <v>5</v>
      </c>
    </row>
    <row r="1148" spans="1:4" x14ac:dyDescent="0.35">
      <c r="A1148" s="1">
        <v>237</v>
      </c>
      <c r="B1148" s="2">
        <v>46150</v>
      </c>
      <c r="C1148" s="1" t="s">
        <v>9</v>
      </c>
      <c r="D1148" s="1">
        <f>MONTH(Tabela6[[#This Row],[DATA]])</f>
        <v>5</v>
      </c>
    </row>
    <row r="1149" spans="1:4" x14ac:dyDescent="0.35">
      <c r="A1149" s="1">
        <v>240</v>
      </c>
      <c r="B1149" s="2">
        <v>46153</v>
      </c>
      <c r="C1149" s="1" t="s">
        <v>53</v>
      </c>
      <c r="D1149" s="1">
        <f>MONTH(Tabela6[[#This Row],[DATA]])</f>
        <v>5</v>
      </c>
    </row>
    <row r="1150" spans="1:4" x14ac:dyDescent="0.35">
      <c r="A1150" s="1">
        <v>241</v>
      </c>
      <c r="B1150" s="2">
        <v>46153</v>
      </c>
      <c r="C1150" s="1" t="s">
        <v>53</v>
      </c>
      <c r="D1150" s="1">
        <f>MONTH(Tabela6[[#This Row],[DATA]])</f>
        <v>5</v>
      </c>
    </row>
    <row r="1151" spans="1:4" x14ac:dyDescent="0.35">
      <c r="A1151" s="1">
        <v>253</v>
      </c>
      <c r="B1151" s="2">
        <v>46153</v>
      </c>
      <c r="C1151" s="1" t="s">
        <v>9</v>
      </c>
      <c r="D1151" s="1">
        <f>MONTH(Tabela6[[#This Row],[DATA]])</f>
        <v>5</v>
      </c>
    </row>
    <row r="1152" spans="1:4" x14ac:dyDescent="0.35">
      <c r="A1152" s="1">
        <v>255</v>
      </c>
      <c r="B1152" s="2">
        <v>46153</v>
      </c>
      <c r="C1152" s="1" t="s">
        <v>9</v>
      </c>
      <c r="D1152" s="1">
        <f>MONTH(Tabela6[[#This Row],[DATA]])</f>
        <v>5</v>
      </c>
    </row>
    <row r="1153" spans="1:4" x14ac:dyDescent="0.35">
      <c r="A1153" s="1">
        <v>257</v>
      </c>
      <c r="B1153" s="2">
        <v>46153</v>
      </c>
      <c r="C1153" s="1" t="s">
        <v>9</v>
      </c>
      <c r="D1153" s="1">
        <f>MONTH(Tabela6[[#This Row],[DATA]])</f>
        <v>5</v>
      </c>
    </row>
    <row r="1154" spans="1:4" x14ac:dyDescent="0.35">
      <c r="A1154" s="1">
        <v>258</v>
      </c>
      <c r="B1154" s="2">
        <v>46153</v>
      </c>
      <c r="C1154" s="1" t="s">
        <v>9</v>
      </c>
      <c r="D1154" s="1">
        <f>MONTH(Tabela6[[#This Row],[DATA]])</f>
        <v>5</v>
      </c>
    </row>
    <row r="1155" spans="1:4" x14ac:dyDescent="0.35">
      <c r="A1155" s="1">
        <v>260</v>
      </c>
      <c r="B1155" s="2">
        <v>46153</v>
      </c>
      <c r="C1155" s="1" t="s">
        <v>9</v>
      </c>
      <c r="D1155" s="1">
        <f>MONTH(Tabela6[[#This Row],[DATA]])</f>
        <v>5</v>
      </c>
    </row>
    <row r="1156" spans="1:4" x14ac:dyDescent="0.35">
      <c r="A1156" s="1">
        <v>285</v>
      </c>
      <c r="B1156" s="2">
        <v>46154</v>
      </c>
      <c r="C1156" s="1" t="s">
        <v>53</v>
      </c>
      <c r="D1156" s="1">
        <f>MONTH(Tabela6[[#This Row],[DATA]])</f>
        <v>5</v>
      </c>
    </row>
    <row r="1157" spans="1:4" x14ac:dyDescent="0.35">
      <c r="A1157" s="1">
        <v>314</v>
      </c>
      <c r="B1157" s="2">
        <v>46155</v>
      </c>
      <c r="C1157" s="1" t="s">
        <v>9</v>
      </c>
      <c r="D1157" s="1">
        <f>MONTH(Tabela6[[#This Row],[DATA]])</f>
        <v>5</v>
      </c>
    </row>
    <row r="1158" spans="1:4" x14ac:dyDescent="0.35">
      <c r="A1158" s="1">
        <v>315</v>
      </c>
      <c r="B1158" s="2">
        <v>46155</v>
      </c>
      <c r="C1158" s="1" t="s">
        <v>9</v>
      </c>
      <c r="D1158" s="1">
        <f>MONTH(Tabela6[[#This Row],[DATA]])</f>
        <v>5</v>
      </c>
    </row>
    <row r="1159" spans="1:4" x14ac:dyDescent="0.35">
      <c r="A1159" s="1">
        <v>316</v>
      </c>
      <c r="B1159" s="2">
        <v>46155</v>
      </c>
      <c r="C1159" s="1" t="s">
        <v>9</v>
      </c>
      <c r="D1159" s="1">
        <f>MONTH(Tabela6[[#This Row],[DATA]])</f>
        <v>5</v>
      </c>
    </row>
    <row r="1160" spans="1:4" x14ac:dyDescent="0.35">
      <c r="A1160" s="1">
        <v>317</v>
      </c>
      <c r="B1160" s="2">
        <v>46155</v>
      </c>
      <c r="C1160" s="1" t="s">
        <v>9</v>
      </c>
      <c r="D1160" s="1">
        <f>MONTH(Tabela6[[#This Row],[DATA]])</f>
        <v>5</v>
      </c>
    </row>
    <row r="1161" spans="1:4" x14ac:dyDescent="0.35">
      <c r="A1161" s="1">
        <v>318</v>
      </c>
      <c r="B1161" s="2">
        <v>46155</v>
      </c>
      <c r="C1161" s="1" t="s">
        <v>9</v>
      </c>
      <c r="D1161" s="1">
        <f>MONTH(Tabela6[[#This Row],[DATA]])</f>
        <v>5</v>
      </c>
    </row>
    <row r="1162" spans="1:4" x14ac:dyDescent="0.35">
      <c r="A1162" s="1">
        <v>353</v>
      </c>
      <c r="B1162" s="2">
        <v>46155</v>
      </c>
      <c r="C1162" s="1" t="s">
        <v>9</v>
      </c>
      <c r="D1162" s="1">
        <f>MONTH(Tabela6[[#This Row],[DATA]])</f>
        <v>5</v>
      </c>
    </row>
    <row r="1163" spans="1:4" x14ac:dyDescent="0.35">
      <c r="A1163" s="1">
        <v>354</v>
      </c>
      <c r="B1163" s="2">
        <v>46155</v>
      </c>
      <c r="C1163" s="1" t="s">
        <v>9</v>
      </c>
      <c r="D1163" s="1">
        <f>MONTH(Tabela6[[#This Row],[DATA]])</f>
        <v>5</v>
      </c>
    </row>
    <row r="1164" spans="1:4" x14ac:dyDescent="0.35">
      <c r="A1164" s="1">
        <v>355</v>
      </c>
      <c r="B1164" s="2">
        <v>46155</v>
      </c>
      <c r="C1164" s="1" t="s">
        <v>9</v>
      </c>
      <c r="D1164" s="1">
        <f>MONTH(Tabela6[[#This Row],[DATA]])</f>
        <v>5</v>
      </c>
    </row>
    <row r="1165" spans="1:4" x14ac:dyDescent="0.35">
      <c r="A1165" s="1">
        <v>356</v>
      </c>
      <c r="B1165" s="2">
        <v>46155</v>
      </c>
      <c r="C1165" s="1" t="s">
        <v>22</v>
      </c>
      <c r="D1165" s="1">
        <f>MONTH(Tabela6[[#This Row],[DATA]])</f>
        <v>5</v>
      </c>
    </row>
    <row r="1166" spans="1:4" x14ac:dyDescent="0.35">
      <c r="A1166" s="1">
        <v>357</v>
      </c>
      <c r="B1166" s="2">
        <v>46155</v>
      </c>
      <c r="C1166" s="1" t="s">
        <v>22</v>
      </c>
      <c r="D1166" s="1">
        <f>MONTH(Tabela6[[#This Row],[DATA]])</f>
        <v>5</v>
      </c>
    </row>
    <row r="1167" spans="1:4" x14ac:dyDescent="0.35">
      <c r="A1167" s="1">
        <v>358</v>
      </c>
      <c r="B1167" s="2">
        <v>46155</v>
      </c>
      <c r="C1167" s="1" t="s">
        <v>22</v>
      </c>
      <c r="D1167" s="1">
        <f>MONTH(Tabela6[[#This Row],[DATA]])</f>
        <v>5</v>
      </c>
    </row>
    <row r="1168" spans="1:4" x14ac:dyDescent="0.35">
      <c r="A1168" s="1">
        <v>359</v>
      </c>
      <c r="B1168" s="2">
        <v>46155</v>
      </c>
      <c r="C1168" s="1" t="s">
        <v>22</v>
      </c>
      <c r="D1168" s="1">
        <f>MONTH(Tabela6[[#This Row],[DATA]])</f>
        <v>5</v>
      </c>
    </row>
    <row r="1169" spans="1:4" x14ac:dyDescent="0.35">
      <c r="A1169" s="1">
        <v>398</v>
      </c>
      <c r="B1169" s="2">
        <v>46157</v>
      </c>
      <c r="C1169" s="1" t="s">
        <v>9</v>
      </c>
      <c r="D1169" s="1">
        <f>MONTH(Tabela6[[#This Row],[DATA]])</f>
        <v>5</v>
      </c>
    </row>
    <row r="1170" spans="1:4" x14ac:dyDescent="0.35">
      <c r="A1170" s="1">
        <v>399</v>
      </c>
      <c r="B1170" s="2">
        <v>46157</v>
      </c>
      <c r="C1170" s="1" t="s">
        <v>9</v>
      </c>
      <c r="D1170" s="1">
        <f>MONTH(Tabela6[[#This Row],[DATA]])</f>
        <v>5</v>
      </c>
    </row>
    <row r="1171" spans="1:4" x14ac:dyDescent="0.35">
      <c r="A1171" s="1">
        <v>400</v>
      </c>
      <c r="B1171" s="2">
        <v>46157</v>
      </c>
      <c r="C1171" s="1" t="s">
        <v>9</v>
      </c>
      <c r="D1171" s="1">
        <f>MONTH(Tabela6[[#This Row],[DATA]])</f>
        <v>5</v>
      </c>
    </row>
    <row r="1172" spans="1:4" x14ac:dyDescent="0.35">
      <c r="A1172" s="1">
        <v>401</v>
      </c>
      <c r="B1172" s="2">
        <v>46157</v>
      </c>
      <c r="C1172" s="1" t="s">
        <v>9</v>
      </c>
      <c r="D1172" s="1">
        <f>MONTH(Tabela6[[#This Row],[DATA]])</f>
        <v>5</v>
      </c>
    </row>
    <row r="1173" spans="1:4" x14ac:dyDescent="0.35">
      <c r="A1173" s="1">
        <v>402</v>
      </c>
      <c r="B1173" s="2">
        <v>46157</v>
      </c>
      <c r="C1173" s="1" t="s">
        <v>9</v>
      </c>
      <c r="D1173" s="1">
        <f>MONTH(Tabela6[[#This Row],[DATA]])</f>
        <v>5</v>
      </c>
    </row>
    <row r="1174" spans="1:4" x14ac:dyDescent="0.35">
      <c r="A1174" s="1">
        <v>403</v>
      </c>
      <c r="B1174" s="2">
        <v>46157</v>
      </c>
      <c r="C1174" s="1" t="s">
        <v>9</v>
      </c>
      <c r="D1174" s="1">
        <f>MONTH(Tabela6[[#This Row],[DATA]])</f>
        <v>5</v>
      </c>
    </row>
    <row r="1175" spans="1:4" x14ac:dyDescent="0.35">
      <c r="A1175" s="1">
        <v>404</v>
      </c>
      <c r="B1175" s="2">
        <v>46157</v>
      </c>
      <c r="C1175" s="1" t="s">
        <v>9</v>
      </c>
      <c r="D1175" s="1">
        <f>MONTH(Tabela6[[#This Row],[DATA]])</f>
        <v>5</v>
      </c>
    </row>
    <row r="1176" spans="1:4" x14ac:dyDescent="0.35">
      <c r="A1176" s="1">
        <v>421</v>
      </c>
      <c r="B1176" s="2">
        <v>46157</v>
      </c>
      <c r="C1176" s="1" t="s">
        <v>24</v>
      </c>
      <c r="D1176" s="1">
        <f>MONTH(Tabela6[[#This Row],[DATA]])</f>
        <v>5</v>
      </c>
    </row>
    <row r="1177" spans="1:4" x14ac:dyDescent="0.35">
      <c r="A1177" s="1">
        <v>422</v>
      </c>
      <c r="B1177" s="2">
        <v>46157</v>
      </c>
      <c r="C1177" s="1" t="s">
        <v>24</v>
      </c>
      <c r="D1177" s="1">
        <f>MONTH(Tabela6[[#This Row],[DATA]])</f>
        <v>5</v>
      </c>
    </row>
    <row r="1178" spans="1:4" x14ac:dyDescent="0.35">
      <c r="A1178" s="1">
        <v>423</v>
      </c>
      <c r="B1178" s="2">
        <v>46157</v>
      </c>
      <c r="C1178" s="1" t="s">
        <v>24</v>
      </c>
      <c r="D1178" s="1">
        <f>MONTH(Tabela6[[#This Row],[DATA]])</f>
        <v>5</v>
      </c>
    </row>
    <row r="1179" spans="1:4" x14ac:dyDescent="0.35">
      <c r="A1179" s="1">
        <v>424</v>
      </c>
      <c r="B1179" s="2">
        <v>46157</v>
      </c>
      <c r="C1179" s="1" t="s">
        <v>24</v>
      </c>
      <c r="D1179" s="1">
        <f>MONTH(Tabela6[[#This Row],[DATA]])</f>
        <v>5</v>
      </c>
    </row>
    <row r="1180" spans="1:4" x14ac:dyDescent="0.35">
      <c r="A1180" s="1">
        <v>425</v>
      </c>
      <c r="B1180" s="2">
        <v>46157</v>
      </c>
      <c r="C1180" s="1" t="s">
        <v>24</v>
      </c>
      <c r="D1180" s="1">
        <f>MONTH(Tabela6[[#This Row],[DATA]])</f>
        <v>5</v>
      </c>
    </row>
    <row r="1181" spans="1:4" x14ac:dyDescent="0.35">
      <c r="A1181" s="1">
        <v>426</v>
      </c>
      <c r="B1181" s="2">
        <v>46157</v>
      </c>
      <c r="C1181" s="1" t="s">
        <v>24</v>
      </c>
      <c r="D1181" s="1">
        <f>MONTH(Tabela6[[#This Row],[DATA]])</f>
        <v>5</v>
      </c>
    </row>
    <row r="1182" spans="1:4" x14ac:dyDescent="0.35">
      <c r="A1182" s="1">
        <v>427</v>
      </c>
      <c r="B1182" s="2">
        <v>46157</v>
      </c>
      <c r="C1182" s="1" t="s">
        <v>24</v>
      </c>
      <c r="D1182" s="1">
        <f>MONTH(Tabela6[[#This Row],[DATA]])</f>
        <v>5</v>
      </c>
    </row>
    <row r="1183" spans="1:4" x14ac:dyDescent="0.35">
      <c r="A1183" s="1">
        <v>428</v>
      </c>
      <c r="B1183" s="2">
        <v>46157</v>
      </c>
      <c r="C1183" s="1" t="s">
        <v>24</v>
      </c>
      <c r="D1183" s="1">
        <f>MONTH(Tabela6[[#This Row],[DATA]])</f>
        <v>5</v>
      </c>
    </row>
    <row r="1184" spans="1:4" x14ac:dyDescent="0.35">
      <c r="A1184" s="1">
        <v>429</v>
      </c>
      <c r="B1184" s="2">
        <v>46157</v>
      </c>
      <c r="C1184" s="1" t="s">
        <v>24</v>
      </c>
      <c r="D1184" s="1">
        <f>MONTH(Tabela6[[#This Row],[DATA]])</f>
        <v>5</v>
      </c>
    </row>
    <row r="1185" spans="1:4" x14ac:dyDescent="0.35">
      <c r="A1185" s="1">
        <v>430</v>
      </c>
      <c r="B1185" s="2">
        <v>46157</v>
      </c>
      <c r="C1185" s="1" t="s">
        <v>24</v>
      </c>
      <c r="D1185" s="1">
        <f>MONTH(Tabela6[[#This Row],[DATA]])</f>
        <v>5</v>
      </c>
    </row>
    <row r="1186" spans="1:4" x14ac:dyDescent="0.35">
      <c r="A1186" s="1">
        <v>431</v>
      </c>
      <c r="B1186" s="2">
        <v>46157</v>
      </c>
      <c r="C1186" s="1" t="s">
        <v>24</v>
      </c>
      <c r="D1186" s="1">
        <f>MONTH(Tabela6[[#This Row],[DATA]])</f>
        <v>5</v>
      </c>
    </row>
    <row r="1187" spans="1:4" x14ac:dyDescent="0.35">
      <c r="A1187" s="1">
        <v>432</v>
      </c>
      <c r="B1187" s="2">
        <v>46157</v>
      </c>
      <c r="C1187" s="1" t="s">
        <v>24</v>
      </c>
      <c r="D1187" s="1">
        <f>MONTH(Tabela6[[#This Row],[DATA]])</f>
        <v>5</v>
      </c>
    </row>
    <row r="1188" spans="1:4" x14ac:dyDescent="0.35">
      <c r="A1188" s="1">
        <v>433</v>
      </c>
      <c r="B1188" s="2">
        <v>46157</v>
      </c>
      <c r="C1188" s="1" t="s">
        <v>24</v>
      </c>
      <c r="D1188" s="1">
        <f>MONTH(Tabela6[[#This Row],[DATA]])</f>
        <v>5</v>
      </c>
    </row>
    <row r="1189" spans="1:4" x14ac:dyDescent="0.35">
      <c r="A1189" s="1">
        <v>435</v>
      </c>
      <c r="B1189" s="2">
        <v>46157</v>
      </c>
      <c r="C1189" s="1" t="s">
        <v>24</v>
      </c>
      <c r="D1189" s="1">
        <f>MONTH(Tabela6[[#This Row],[DATA]])</f>
        <v>5</v>
      </c>
    </row>
    <row r="1190" spans="1:4" x14ac:dyDescent="0.35">
      <c r="A1190" s="1">
        <v>436</v>
      </c>
      <c r="B1190" s="2">
        <v>46157</v>
      </c>
      <c r="C1190" s="1" t="s">
        <v>24</v>
      </c>
      <c r="D1190" s="1">
        <f>MONTH(Tabela6[[#This Row],[DATA]])</f>
        <v>5</v>
      </c>
    </row>
    <row r="1191" spans="1:4" x14ac:dyDescent="0.35">
      <c r="A1191" s="1">
        <v>437</v>
      </c>
      <c r="B1191" s="2">
        <v>46157</v>
      </c>
      <c r="C1191" s="1" t="s">
        <v>24</v>
      </c>
      <c r="D1191" s="1">
        <f>MONTH(Tabela6[[#This Row],[DATA]])</f>
        <v>5</v>
      </c>
    </row>
    <row r="1192" spans="1:4" x14ac:dyDescent="0.35">
      <c r="A1192" s="1">
        <v>439</v>
      </c>
      <c r="B1192" s="2">
        <v>46157</v>
      </c>
      <c r="C1192" s="1" t="s">
        <v>24</v>
      </c>
      <c r="D1192" s="1">
        <f>MONTH(Tabela6[[#This Row],[DATA]])</f>
        <v>5</v>
      </c>
    </row>
    <row r="1193" spans="1:4" x14ac:dyDescent="0.35">
      <c r="A1193" s="1">
        <v>440</v>
      </c>
      <c r="B1193" s="2">
        <v>46157</v>
      </c>
      <c r="C1193" s="1" t="s">
        <v>24</v>
      </c>
      <c r="D1193" s="1">
        <f>MONTH(Tabela6[[#This Row],[DATA]])</f>
        <v>5</v>
      </c>
    </row>
    <row r="1194" spans="1:4" x14ac:dyDescent="0.35">
      <c r="A1194" s="1">
        <v>442</v>
      </c>
      <c r="B1194" s="2">
        <v>46157</v>
      </c>
      <c r="C1194" s="1" t="s">
        <v>24</v>
      </c>
      <c r="D1194" s="1">
        <f>MONTH(Tabela6[[#This Row],[DATA]])</f>
        <v>5</v>
      </c>
    </row>
    <row r="1195" spans="1:4" x14ac:dyDescent="0.35">
      <c r="A1195" s="1">
        <v>443</v>
      </c>
      <c r="B1195" s="2">
        <v>46157</v>
      </c>
      <c r="C1195" s="1" t="s">
        <v>24</v>
      </c>
      <c r="D1195" s="1">
        <f>MONTH(Tabela6[[#This Row],[DATA]])</f>
        <v>5</v>
      </c>
    </row>
    <row r="1196" spans="1:4" x14ac:dyDescent="0.35">
      <c r="A1196" s="1">
        <v>444</v>
      </c>
      <c r="B1196" s="2">
        <v>46157</v>
      </c>
      <c r="C1196" s="1" t="s">
        <v>24</v>
      </c>
      <c r="D1196" s="1">
        <f>MONTH(Tabela6[[#This Row],[DATA]])</f>
        <v>5</v>
      </c>
    </row>
    <row r="1197" spans="1:4" x14ac:dyDescent="0.35">
      <c r="A1197" s="1">
        <v>445</v>
      </c>
      <c r="B1197" s="2">
        <v>46157</v>
      </c>
      <c r="C1197" s="1" t="s">
        <v>24</v>
      </c>
      <c r="D1197" s="1">
        <f>MONTH(Tabela6[[#This Row],[DATA]])</f>
        <v>5</v>
      </c>
    </row>
    <row r="1198" spans="1:4" x14ac:dyDescent="0.35">
      <c r="A1198" s="1">
        <v>446</v>
      </c>
      <c r="B1198" s="2">
        <v>46157</v>
      </c>
      <c r="C1198" s="1" t="s">
        <v>24</v>
      </c>
      <c r="D1198" s="1">
        <f>MONTH(Tabela6[[#This Row],[DATA]])</f>
        <v>5</v>
      </c>
    </row>
    <row r="1199" spans="1:4" x14ac:dyDescent="0.35">
      <c r="A1199" s="1">
        <v>448</v>
      </c>
      <c r="B1199" s="2">
        <v>46157</v>
      </c>
      <c r="C1199" s="1" t="s">
        <v>24</v>
      </c>
      <c r="D1199" s="1">
        <f>MONTH(Tabela6[[#This Row],[DATA]])</f>
        <v>5</v>
      </c>
    </row>
    <row r="1200" spans="1:4" x14ac:dyDescent="0.35">
      <c r="A1200" s="1">
        <v>449</v>
      </c>
      <c r="B1200" s="2">
        <v>46157</v>
      </c>
      <c r="C1200" s="1" t="s">
        <v>24</v>
      </c>
      <c r="D1200" s="1">
        <f>MONTH(Tabela6[[#This Row],[DATA]])</f>
        <v>5</v>
      </c>
    </row>
    <row r="1201" spans="1:4" x14ac:dyDescent="0.35">
      <c r="A1201" s="1">
        <v>450</v>
      </c>
      <c r="B1201" s="2">
        <v>46157</v>
      </c>
      <c r="C1201" s="1" t="s">
        <v>24</v>
      </c>
      <c r="D1201" s="1">
        <f>MONTH(Tabela6[[#This Row],[DATA]])</f>
        <v>5</v>
      </c>
    </row>
    <row r="1202" spans="1:4" x14ac:dyDescent="0.35">
      <c r="A1202" s="1">
        <v>451</v>
      </c>
      <c r="B1202" s="2">
        <v>46157</v>
      </c>
      <c r="C1202" s="1" t="s">
        <v>24</v>
      </c>
      <c r="D1202" s="1">
        <f>MONTH(Tabela6[[#This Row],[DATA]])</f>
        <v>5</v>
      </c>
    </row>
    <row r="1203" spans="1:4" x14ac:dyDescent="0.35">
      <c r="A1203" s="1">
        <v>453</v>
      </c>
      <c r="B1203" s="2">
        <v>46157</v>
      </c>
      <c r="C1203" s="1" t="s">
        <v>24</v>
      </c>
      <c r="D1203" s="1">
        <f>MONTH(Tabela6[[#This Row],[DATA]])</f>
        <v>5</v>
      </c>
    </row>
    <row r="1204" spans="1:4" x14ac:dyDescent="0.35">
      <c r="A1204" s="1">
        <v>454</v>
      </c>
      <c r="B1204" s="2">
        <v>46157</v>
      </c>
      <c r="C1204" s="1" t="s">
        <v>24</v>
      </c>
      <c r="D1204" s="1">
        <f>MONTH(Tabela6[[#This Row],[DATA]])</f>
        <v>5</v>
      </c>
    </row>
    <row r="1205" spans="1:4" x14ac:dyDescent="0.35">
      <c r="A1205" s="1">
        <v>455</v>
      </c>
      <c r="B1205" s="2">
        <v>46157</v>
      </c>
      <c r="C1205" s="1" t="s">
        <v>24</v>
      </c>
      <c r="D1205" s="1">
        <f>MONTH(Tabela6[[#This Row],[DATA]])</f>
        <v>5</v>
      </c>
    </row>
    <row r="1206" spans="1:4" x14ac:dyDescent="0.35">
      <c r="A1206" s="1">
        <v>456</v>
      </c>
      <c r="B1206" s="2">
        <v>46157</v>
      </c>
      <c r="C1206" s="1" t="s">
        <v>24</v>
      </c>
      <c r="D1206" s="1">
        <f>MONTH(Tabela6[[#This Row],[DATA]])</f>
        <v>5</v>
      </c>
    </row>
    <row r="1207" spans="1:4" x14ac:dyDescent="0.35">
      <c r="A1207" s="1">
        <v>457</v>
      </c>
      <c r="B1207" s="2">
        <v>46157</v>
      </c>
      <c r="C1207" s="1" t="s">
        <v>24</v>
      </c>
      <c r="D1207" s="1">
        <f>MONTH(Tabela6[[#This Row],[DATA]])</f>
        <v>5</v>
      </c>
    </row>
    <row r="1208" spans="1:4" x14ac:dyDescent="0.35">
      <c r="A1208" s="1">
        <v>458</v>
      </c>
      <c r="B1208" s="2">
        <v>46157</v>
      </c>
      <c r="C1208" s="1" t="s">
        <v>24</v>
      </c>
      <c r="D1208" s="1">
        <f>MONTH(Tabela6[[#This Row],[DATA]])</f>
        <v>5</v>
      </c>
    </row>
    <row r="1209" spans="1:4" x14ac:dyDescent="0.35">
      <c r="A1209" s="1">
        <v>459</v>
      </c>
      <c r="B1209" s="2">
        <v>46157</v>
      </c>
      <c r="C1209" s="1" t="s">
        <v>24</v>
      </c>
      <c r="D1209" s="1">
        <f>MONTH(Tabela6[[#This Row],[DATA]])</f>
        <v>5</v>
      </c>
    </row>
    <row r="1210" spans="1:4" x14ac:dyDescent="0.35">
      <c r="A1210" s="1">
        <v>460</v>
      </c>
      <c r="B1210" s="2">
        <v>46157</v>
      </c>
      <c r="C1210" s="1" t="s">
        <v>24</v>
      </c>
      <c r="D1210" s="1">
        <f>MONTH(Tabela6[[#This Row],[DATA]])</f>
        <v>5</v>
      </c>
    </row>
    <row r="1211" spans="1:4" x14ac:dyDescent="0.35">
      <c r="A1211" s="1">
        <v>461</v>
      </c>
      <c r="B1211" s="2">
        <v>46157</v>
      </c>
      <c r="C1211" s="1" t="s">
        <v>24</v>
      </c>
      <c r="D1211" s="1">
        <f>MONTH(Tabela6[[#This Row],[DATA]])</f>
        <v>5</v>
      </c>
    </row>
    <row r="1212" spans="1:4" x14ac:dyDescent="0.35">
      <c r="A1212" s="1">
        <v>462</v>
      </c>
      <c r="B1212" s="2">
        <v>46157</v>
      </c>
      <c r="C1212" s="1" t="s">
        <v>24</v>
      </c>
      <c r="D1212" s="1">
        <f>MONTH(Tabela6[[#This Row],[DATA]])</f>
        <v>5</v>
      </c>
    </row>
    <row r="1213" spans="1:4" x14ac:dyDescent="0.35">
      <c r="A1213" s="1">
        <v>463</v>
      </c>
      <c r="B1213" s="2">
        <v>46157</v>
      </c>
      <c r="C1213" s="1" t="s">
        <v>24</v>
      </c>
      <c r="D1213" s="1">
        <f>MONTH(Tabela6[[#This Row],[DATA]])</f>
        <v>5</v>
      </c>
    </row>
    <row r="1214" spans="1:4" x14ac:dyDescent="0.35">
      <c r="A1214" s="1">
        <v>464</v>
      </c>
      <c r="B1214" s="2">
        <v>46157</v>
      </c>
      <c r="C1214" s="1" t="s">
        <v>24</v>
      </c>
      <c r="D1214" s="1">
        <f>MONTH(Tabela6[[#This Row],[DATA]])</f>
        <v>5</v>
      </c>
    </row>
    <row r="1215" spans="1:4" x14ac:dyDescent="0.35">
      <c r="A1215" s="1">
        <v>465</v>
      </c>
      <c r="B1215" s="2">
        <v>46157</v>
      </c>
      <c r="C1215" s="1" t="s">
        <v>24</v>
      </c>
      <c r="D1215" s="1">
        <f>MONTH(Tabela6[[#This Row],[DATA]])</f>
        <v>5</v>
      </c>
    </row>
    <row r="1216" spans="1:4" x14ac:dyDescent="0.35">
      <c r="A1216" s="1">
        <v>466</v>
      </c>
      <c r="B1216" s="2">
        <v>46157</v>
      </c>
      <c r="C1216" s="1" t="s">
        <v>24</v>
      </c>
      <c r="D1216" s="1">
        <f>MONTH(Tabela6[[#This Row],[DATA]])</f>
        <v>5</v>
      </c>
    </row>
    <row r="1217" spans="1:4" x14ac:dyDescent="0.35">
      <c r="A1217" s="1">
        <v>477</v>
      </c>
      <c r="B1217" s="2">
        <v>46160</v>
      </c>
      <c r="C1217" s="1" t="s">
        <v>9</v>
      </c>
      <c r="D1217" s="1">
        <f>MONTH(Tabela6[[#This Row],[DATA]])</f>
        <v>5</v>
      </c>
    </row>
    <row r="1218" spans="1:4" x14ac:dyDescent="0.35">
      <c r="A1218" s="1">
        <v>478</v>
      </c>
      <c r="B1218" s="2">
        <v>46160</v>
      </c>
      <c r="C1218" s="1" t="s">
        <v>9</v>
      </c>
      <c r="D1218" s="1">
        <f>MONTH(Tabela6[[#This Row],[DATA]])</f>
        <v>5</v>
      </c>
    </row>
    <row r="1219" spans="1:4" x14ac:dyDescent="0.35">
      <c r="A1219" s="1">
        <v>479</v>
      </c>
      <c r="B1219" s="2">
        <v>46160</v>
      </c>
      <c r="C1219" s="1" t="s">
        <v>9</v>
      </c>
      <c r="D1219" s="1">
        <f>MONTH(Tabela6[[#This Row],[DATA]])</f>
        <v>5</v>
      </c>
    </row>
    <row r="1220" spans="1:4" x14ac:dyDescent="0.35">
      <c r="A1220" s="1">
        <v>480</v>
      </c>
      <c r="B1220" s="2">
        <v>46160</v>
      </c>
      <c r="C1220" s="1" t="s">
        <v>9</v>
      </c>
      <c r="D1220" s="1">
        <f>MONTH(Tabela6[[#This Row],[DATA]])</f>
        <v>5</v>
      </c>
    </row>
    <row r="1221" spans="1:4" x14ac:dyDescent="0.35">
      <c r="A1221" s="1">
        <v>481</v>
      </c>
      <c r="B1221" s="2">
        <v>46160</v>
      </c>
      <c r="C1221" s="1" t="s">
        <v>9</v>
      </c>
      <c r="D1221" s="1">
        <f>MONTH(Tabela6[[#This Row],[DATA]])</f>
        <v>5</v>
      </c>
    </row>
    <row r="1222" spans="1:4" x14ac:dyDescent="0.35">
      <c r="A1222" s="1">
        <v>482</v>
      </c>
      <c r="B1222" s="2">
        <v>46160</v>
      </c>
      <c r="C1222" s="1" t="s">
        <v>9</v>
      </c>
      <c r="D1222" s="1">
        <f>MONTH(Tabela6[[#This Row],[DATA]])</f>
        <v>5</v>
      </c>
    </row>
    <row r="1223" spans="1:4" x14ac:dyDescent="0.35">
      <c r="A1223" s="1">
        <v>489</v>
      </c>
      <c r="B1223" s="2">
        <v>46160</v>
      </c>
      <c r="C1223" s="1" t="s">
        <v>24</v>
      </c>
      <c r="D1223" s="1">
        <f>MONTH(Tabela6[[#This Row],[DATA]])</f>
        <v>5</v>
      </c>
    </row>
    <row r="1224" spans="1:4" x14ac:dyDescent="0.35">
      <c r="A1224" s="1">
        <v>490</v>
      </c>
      <c r="B1224" s="2">
        <v>46160</v>
      </c>
      <c r="C1224" s="1" t="s">
        <v>24</v>
      </c>
      <c r="D1224" s="1">
        <f>MONTH(Tabela6[[#This Row],[DATA]])</f>
        <v>5</v>
      </c>
    </row>
    <row r="1225" spans="1:4" x14ac:dyDescent="0.35">
      <c r="A1225" s="1">
        <v>491</v>
      </c>
      <c r="B1225" s="2">
        <v>46160</v>
      </c>
      <c r="C1225" s="1" t="s">
        <v>24</v>
      </c>
      <c r="D1225" s="1">
        <f>MONTH(Tabela6[[#This Row],[DATA]])</f>
        <v>5</v>
      </c>
    </row>
    <row r="1226" spans="1:4" x14ac:dyDescent="0.35">
      <c r="A1226" s="1">
        <v>492</v>
      </c>
      <c r="B1226" s="2">
        <v>46160</v>
      </c>
      <c r="C1226" s="1" t="s">
        <v>24</v>
      </c>
      <c r="D1226" s="1">
        <f>MONTH(Tabela6[[#This Row],[DATA]])</f>
        <v>5</v>
      </c>
    </row>
    <row r="1227" spans="1:4" x14ac:dyDescent="0.35">
      <c r="A1227" s="1">
        <v>493</v>
      </c>
      <c r="B1227" s="2">
        <v>46160</v>
      </c>
      <c r="C1227" s="1" t="s">
        <v>24</v>
      </c>
      <c r="D1227" s="1">
        <f>MONTH(Tabela6[[#This Row],[DATA]])</f>
        <v>5</v>
      </c>
    </row>
    <row r="1228" spans="1:4" x14ac:dyDescent="0.35">
      <c r="A1228" s="1">
        <v>494</v>
      </c>
      <c r="B1228" s="2">
        <v>46160</v>
      </c>
      <c r="C1228" s="1" t="s">
        <v>24</v>
      </c>
      <c r="D1228" s="1">
        <f>MONTH(Tabela6[[#This Row],[DATA]])</f>
        <v>5</v>
      </c>
    </row>
    <row r="1229" spans="1:4" x14ac:dyDescent="0.35">
      <c r="A1229" s="1">
        <v>497</v>
      </c>
      <c r="B1229" s="2">
        <v>46161</v>
      </c>
      <c r="C1229" s="1" t="s">
        <v>33</v>
      </c>
      <c r="D1229" s="1">
        <f>MONTH(Tabela6[[#This Row],[DATA]])</f>
        <v>5</v>
      </c>
    </row>
    <row r="1230" spans="1:4" x14ac:dyDescent="0.35">
      <c r="A1230" s="1">
        <v>499</v>
      </c>
      <c r="B1230" s="2">
        <v>46161</v>
      </c>
      <c r="C1230" s="1" t="s">
        <v>33</v>
      </c>
      <c r="D1230" s="1">
        <f>MONTH(Tabela6[[#This Row],[DATA]])</f>
        <v>5</v>
      </c>
    </row>
    <row r="1231" spans="1:4" x14ac:dyDescent="0.35">
      <c r="A1231" s="1">
        <v>509</v>
      </c>
      <c r="B1231" s="2">
        <v>46161.43472222222</v>
      </c>
      <c r="C1231" s="1" t="s">
        <v>56</v>
      </c>
      <c r="D1231" s="1">
        <f>MONTH(Tabela6[[#This Row],[DATA]])</f>
        <v>5</v>
      </c>
    </row>
    <row r="1232" spans="1:4" x14ac:dyDescent="0.35">
      <c r="A1232" s="1">
        <v>510</v>
      </c>
      <c r="B1232" s="2">
        <v>46161.43472222222</v>
      </c>
      <c r="C1232" s="1" t="s">
        <v>56</v>
      </c>
      <c r="D1232" s="1">
        <f>MONTH(Tabela6[[#This Row],[DATA]])</f>
        <v>5</v>
      </c>
    </row>
    <row r="1233" spans="1:4" x14ac:dyDescent="0.35">
      <c r="A1233" s="1">
        <v>511</v>
      </c>
      <c r="B1233" s="2">
        <v>46161.435416666667</v>
      </c>
      <c r="C1233" s="1" t="s">
        <v>56</v>
      </c>
      <c r="D1233" s="1">
        <f>MONTH(Tabela6[[#This Row],[DATA]])</f>
        <v>5</v>
      </c>
    </row>
    <row r="1234" spans="1:4" x14ac:dyDescent="0.35">
      <c r="A1234" s="1">
        <v>532</v>
      </c>
      <c r="B1234" s="2">
        <v>46161.594444444447</v>
      </c>
      <c r="C1234" s="1" t="s">
        <v>24</v>
      </c>
      <c r="D1234" s="1">
        <f>MONTH(Tabela6[[#This Row],[DATA]])</f>
        <v>5</v>
      </c>
    </row>
    <row r="1235" spans="1:4" x14ac:dyDescent="0.35">
      <c r="A1235" s="1">
        <v>533</v>
      </c>
      <c r="B1235" s="2">
        <v>46161.595833333333</v>
      </c>
      <c r="C1235" s="1" t="s">
        <v>24</v>
      </c>
      <c r="D1235" s="1">
        <f>MONTH(Tabela6[[#This Row],[DATA]])</f>
        <v>5</v>
      </c>
    </row>
    <row r="1236" spans="1:4" x14ac:dyDescent="0.35">
      <c r="A1236" s="1">
        <v>534</v>
      </c>
      <c r="B1236" s="2">
        <v>46161.597916666666</v>
      </c>
      <c r="C1236" s="1" t="s">
        <v>24</v>
      </c>
      <c r="D1236" s="1">
        <f>MONTH(Tabela6[[#This Row],[DATA]])</f>
        <v>5</v>
      </c>
    </row>
    <row r="1237" spans="1:4" x14ac:dyDescent="0.35">
      <c r="A1237" s="1">
        <v>535</v>
      </c>
      <c r="B1237" s="2">
        <v>46161.599999999999</v>
      </c>
      <c r="C1237" s="1" t="s">
        <v>24</v>
      </c>
      <c r="D1237" s="1">
        <f>MONTH(Tabela6[[#This Row],[DATA]])</f>
        <v>5</v>
      </c>
    </row>
    <row r="1238" spans="1:4" x14ac:dyDescent="0.35">
      <c r="A1238" s="1">
        <v>536</v>
      </c>
      <c r="B1238" s="2">
        <v>46161.602777777778</v>
      </c>
      <c r="C1238" s="1" t="s">
        <v>24</v>
      </c>
      <c r="D1238" s="1">
        <f>MONTH(Tabela6[[#This Row],[DATA]])</f>
        <v>5</v>
      </c>
    </row>
    <row r="1239" spans="1:4" x14ac:dyDescent="0.35">
      <c r="A1239" s="1">
        <v>537</v>
      </c>
      <c r="B1239" s="2">
        <v>46161.604861111111</v>
      </c>
      <c r="C1239" s="1" t="s">
        <v>24</v>
      </c>
      <c r="D1239" s="1">
        <f>MONTH(Tabela6[[#This Row],[DATA]])</f>
        <v>5</v>
      </c>
    </row>
    <row r="1240" spans="1:4" x14ac:dyDescent="0.35">
      <c r="A1240" s="1">
        <v>538</v>
      </c>
      <c r="B1240" s="2">
        <v>46161.606249999997</v>
      </c>
      <c r="C1240" s="1" t="s">
        <v>24</v>
      </c>
      <c r="D1240" s="1">
        <f>MONTH(Tabela6[[#This Row],[DATA]])</f>
        <v>5</v>
      </c>
    </row>
    <row r="1241" spans="1:4" x14ac:dyDescent="0.35">
      <c r="A1241" s="1">
        <v>539</v>
      </c>
      <c r="B1241" s="2">
        <v>46161.609027777777</v>
      </c>
      <c r="C1241" s="1" t="s">
        <v>24</v>
      </c>
      <c r="D1241" s="1">
        <f>MONTH(Tabela6[[#This Row],[DATA]])</f>
        <v>5</v>
      </c>
    </row>
    <row r="1242" spans="1:4" x14ac:dyDescent="0.35">
      <c r="A1242" s="1">
        <v>540</v>
      </c>
      <c r="B1242" s="2">
        <v>46161.611111111109</v>
      </c>
      <c r="C1242" s="1" t="s">
        <v>24</v>
      </c>
      <c r="D1242" s="1">
        <f>MONTH(Tabela6[[#This Row],[DATA]])</f>
        <v>5</v>
      </c>
    </row>
    <row r="1243" spans="1:4" x14ac:dyDescent="0.35">
      <c r="A1243" s="1">
        <v>541</v>
      </c>
      <c r="B1243" s="2">
        <v>46161.613888888889</v>
      </c>
      <c r="C1243" s="1" t="s">
        <v>24</v>
      </c>
      <c r="D1243" s="1">
        <f>MONTH(Tabela6[[#This Row],[DATA]])</f>
        <v>5</v>
      </c>
    </row>
    <row r="1244" spans="1:4" x14ac:dyDescent="0.35">
      <c r="A1244" s="1">
        <v>542</v>
      </c>
      <c r="B1244" s="2">
        <v>46161.615277777775</v>
      </c>
      <c r="C1244" s="1" t="s">
        <v>24</v>
      </c>
      <c r="D1244" s="1">
        <f>MONTH(Tabela6[[#This Row],[DATA]])</f>
        <v>5</v>
      </c>
    </row>
    <row r="1245" spans="1:4" x14ac:dyDescent="0.35">
      <c r="A1245" s="1">
        <v>543</v>
      </c>
      <c r="B1245" s="2">
        <v>46161.618055555555</v>
      </c>
      <c r="C1245" s="1" t="s">
        <v>24</v>
      </c>
      <c r="D1245" s="1">
        <f>MONTH(Tabela6[[#This Row],[DATA]])</f>
        <v>5</v>
      </c>
    </row>
    <row r="1246" spans="1:4" x14ac:dyDescent="0.35">
      <c r="A1246" s="1">
        <v>544</v>
      </c>
      <c r="B1246" s="2">
        <v>46161.619444444441</v>
      </c>
      <c r="C1246" s="1" t="s">
        <v>24</v>
      </c>
      <c r="D1246" s="1">
        <f>MONTH(Tabela6[[#This Row],[DATA]])</f>
        <v>5</v>
      </c>
    </row>
    <row r="1247" spans="1:4" x14ac:dyDescent="0.35">
      <c r="A1247" s="1">
        <v>545</v>
      </c>
      <c r="B1247" s="2">
        <v>46161.620833333334</v>
      </c>
      <c r="C1247" s="1" t="s">
        <v>24</v>
      </c>
      <c r="D1247" s="1">
        <f>MONTH(Tabela6[[#This Row],[DATA]])</f>
        <v>5</v>
      </c>
    </row>
    <row r="1248" spans="1:4" x14ac:dyDescent="0.35">
      <c r="A1248" s="1">
        <v>546</v>
      </c>
      <c r="B1248" s="2">
        <v>46161.962500000001</v>
      </c>
      <c r="C1248" s="1" t="s">
        <v>9</v>
      </c>
      <c r="D1248" s="1">
        <f>MONTH(Tabela6[[#This Row],[DATA]])</f>
        <v>5</v>
      </c>
    </row>
    <row r="1249" spans="1:4" x14ac:dyDescent="0.35">
      <c r="A1249" s="1">
        <v>547</v>
      </c>
      <c r="B1249" s="2">
        <v>46161.963888888888</v>
      </c>
      <c r="C1249" s="1" t="s">
        <v>9</v>
      </c>
      <c r="D1249" s="1">
        <f>MONTH(Tabela6[[#This Row],[DATA]])</f>
        <v>5</v>
      </c>
    </row>
    <row r="1250" spans="1:4" x14ac:dyDescent="0.35">
      <c r="A1250" s="1">
        <v>548</v>
      </c>
      <c r="B1250" s="2">
        <v>46161.967361111114</v>
      </c>
      <c r="C1250" s="1" t="s">
        <v>9</v>
      </c>
      <c r="D1250" s="1">
        <f>MONTH(Tabela6[[#This Row],[DATA]])</f>
        <v>5</v>
      </c>
    </row>
    <row r="1251" spans="1:4" x14ac:dyDescent="0.35">
      <c r="A1251" s="1">
        <v>549</v>
      </c>
      <c r="B1251" s="2">
        <v>46161.96875</v>
      </c>
      <c r="C1251" s="1" t="s">
        <v>9</v>
      </c>
      <c r="D1251" s="1">
        <f>MONTH(Tabela6[[#This Row],[DATA]])</f>
        <v>5</v>
      </c>
    </row>
    <row r="1252" spans="1:4" x14ac:dyDescent="0.35">
      <c r="A1252" s="1">
        <v>579</v>
      </c>
      <c r="B1252" s="2">
        <v>46162.671527777777</v>
      </c>
      <c r="C1252" s="1" t="s">
        <v>24</v>
      </c>
      <c r="D1252" s="1">
        <f>MONTH(Tabela6[[#This Row],[DATA]])</f>
        <v>5</v>
      </c>
    </row>
    <row r="1253" spans="1:4" x14ac:dyDescent="0.35">
      <c r="A1253" s="1">
        <v>580</v>
      </c>
      <c r="B1253" s="2">
        <v>46162.67291666667</v>
      </c>
      <c r="C1253" s="1" t="s">
        <v>24</v>
      </c>
      <c r="D1253" s="1">
        <f>MONTH(Tabela6[[#This Row],[DATA]])</f>
        <v>5</v>
      </c>
    </row>
    <row r="1254" spans="1:4" x14ac:dyDescent="0.35">
      <c r="A1254" s="1">
        <v>581</v>
      </c>
      <c r="B1254" s="2">
        <v>46162.673611111109</v>
      </c>
      <c r="C1254" s="1" t="s">
        <v>24</v>
      </c>
      <c r="D1254" s="1">
        <f>MONTH(Tabela6[[#This Row],[DATA]])</f>
        <v>5</v>
      </c>
    </row>
    <row r="1255" spans="1:4" x14ac:dyDescent="0.35">
      <c r="A1255" s="1">
        <v>582</v>
      </c>
      <c r="B1255" s="2">
        <v>46162.675000000003</v>
      </c>
      <c r="C1255" s="1" t="s">
        <v>24</v>
      </c>
      <c r="D1255" s="1">
        <f>MONTH(Tabela6[[#This Row],[DATA]])</f>
        <v>5</v>
      </c>
    </row>
    <row r="1256" spans="1:4" x14ac:dyDescent="0.35">
      <c r="A1256" s="1">
        <v>583</v>
      </c>
      <c r="B1256" s="2">
        <v>46162.676388888889</v>
      </c>
      <c r="C1256" s="1" t="s">
        <v>24</v>
      </c>
      <c r="D1256" s="1">
        <f>MONTH(Tabela6[[#This Row],[DATA]])</f>
        <v>5</v>
      </c>
    </row>
    <row r="1257" spans="1:4" x14ac:dyDescent="0.35">
      <c r="A1257" s="1">
        <v>584</v>
      </c>
      <c r="B1257" s="2">
        <v>46162.677083333336</v>
      </c>
      <c r="C1257" s="1" t="s">
        <v>24</v>
      </c>
      <c r="D1257" s="1">
        <f>MONTH(Tabela6[[#This Row],[DATA]])</f>
        <v>5</v>
      </c>
    </row>
    <row r="1258" spans="1:4" x14ac:dyDescent="0.35">
      <c r="A1258" s="1">
        <v>585</v>
      </c>
      <c r="B1258" s="2">
        <v>46162.678472222222</v>
      </c>
      <c r="C1258" s="1" t="s">
        <v>24</v>
      </c>
      <c r="D1258" s="1">
        <f>MONTH(Tabela6[[#This Row],[DATA]])</f>
        <v>5</v>
      </c>
    </row>
    <row r="1259" spans="1:4" x14ac:dyDescent="0.35">
      <c r="A1259" s="1">
        <v>586</v>
      </c>
      <c r="B1259" s="2">
        <v>46162.679166666669</v>
      </c>
      <c r="C1259" s="1" t="s">
        <v>24</v>
      </c>
      <c r="D1259" s="1">
        <f>MONTH(Tabela6[[#This Row],[DATA]])</f>
        <v>5</v>
      </c>
    </row>
    <row r="1260" spans="1:4" x14ac:dyDescent="0.35">
      <c r="A1260" s="1">
        <v>587</v>
      </c>
      <c r="B1260" s="2">
        <v>46162.680555555555</v>
      </c>
      <c r="C1260" s="1" t="s">
        <v>24</v>
      </c>
      <c r="D1260" s="1">
        <f>MONTH(Tabela6[[#This Row],[DATA]])</f>
        <v>5</v>
      </c>
    </row>
    <row r="1261" spans="1:4" x14ac:dyDescent="0.35">
      <c r="A1261" s="1">
        <v>588</v>
      </c>
      <c r="B1261" s="2">
        <v>46162.681250000001</v>
      </c>
      <c r="C1261" s="1" t="s">
        <v>24</v>
      </c>
      <c r="D1261" s="1">
        <f>MONTH(Tabela6[[#This Row],[DATA]])</f>
        <v>5</v>
      </c>
    </row>
    <row r="1262" spans="1:4" x14ac:dyDescent="0.35">
      <c r="A1262" s="1">
        <v>589</v>
      </c>
      <c r="B1262" s="2">
        <v>46162.681944444441</v>
      </c>
      <c r="C1262" s="1" t="s">
        <v>24</v>
      </c>
      <c r="D1262" s="1">
        <f>MONTH(Tabela6[[#This Row],[DATA]])</f>
        <v>5</v>
      </c>
    </row>
    <row r="1263" spans="1:4" x14ac:dyDescent="0.35">
      <c r="A1263" s="1">
        <v>590</v>
      </c>
      <c r="B1263" s="2">
        <v>46162.682638888888</v>
      </c>
      <c r="C1263" s="1" t="s">
        <v>24</v>
      </c>
      <c r="D1263" s="1">
        <f>MONTH(Tabela6[[#This Row],[DATA]])</f>
        <v>5</v>
      </c>
    </row>
    <row r="1264" spans="1:4" x14ac:dyDescent="0.35">
      <c r="A1264" s="1">
        <v>599</v>
      </c>
      <c r="B1264" s="2">
        <v>46163.395833333336</v>
      </c>
      <c r="C1264" s="1" t="s">
        <v>28</v>
      </c>
      <c r="D1264" s="1">
        <f>MONTH(Tabela6[[#This Row],[DATA]])</f>
        <v>5</v>
      </c>
    </row>
    <row r="1265" spans="1:4" x14ac:dyDescent="0.35">
      <c r="A1265" s="1">
        <v>600</v>
      </c>
      <c r="B1265" s="2">
        <v>46163.397916666669</v>
      </c>
      <c r="C1265" s="1" t="s">
        <v>28</v>
      </c>
      <c r="D1265" s="1">
        <f>MONTH(Tabela6[[#This Row],[DATA]])</f>
        <v>5</v>
      </c>
    </row>
    <row r="1266" spans="1:4" x14ac:dyDescent="0.35">
      <c r="A1266" s="1">
        <v>601</v>
      </c>
      <c r="B1266" s="2">
        <v>46163.404166666667</v>
      </c>
      <c r="C1266" s="1" t="s">
        <v>33</v>
      </c>
      <c r="D1266" s="1">
        <f>MONTH(Tabela6[[#This Row],[DATA]])</f>
        <v>5</v>
      </c>
    </row>
    <row r="1267" spans="1:4" x14ac:dyDescent="0.35">
      <c r="A1267" s="1">
        <v>603</v>
      </c>
      <c r="B1267" s="2">
        <v>46163.470138888886</v>
      </c>
      <c r="C1267" s="1" t="s">
        <v>33</v>
      </c>
      <c r="D1267" s="1">
        <f>MONTH(Tabela6[[#This Row],[DATA]])</f>
        <v>5</v>
      </c>
    </row>
    <row r="1268" spans="1:4" x14ac:dyDescent="0.35">
      <c r="A1268" s="1">
        <v>604</v>
      </c>
      <c r="B1268" s="2">
        <v>46163.470833333333</v>
      </c>
      <c r="C1268" s="1" t="s">
        <v>33</v>
      </c>
      <c r="D1268" s="1">
        <f>MONTH(Tabela6[[#This Row],[DATA]])</f>
        <v>5</v>
      </c>
    </row>
    <row r="1269" spans="1:4" x14ac:dyDescent="0.35">
      <c r="A1269" s="1">
        <v>605</v>
      </c>
      <c r="B1269" s="2">
        <v>46163.47152777778</v>
      </c>
      <c r="C1269" s="1" t="s">
        <v>33</v>
      </c>
      <c r="D1269" s="1">
        <f>MONTH(Tabela6[[#This Row],[DATA]])</f>
        <v>5</v>
      </c>
    </row>
    <row r="1270" spans="1:4" x14ac:dyDescent="0.35">
      <c r="A1270" s="1">
        <v>607</v>
      </c>
      <c r="B1270" s="2">
        <v>46163.52847222222</v>
      </c>
      <c r="C1270" s="1" t="s">
        <v>33</v>
      </c>
      <c r="D1270" s="1">
        <f>MONTH(Tabela6[[#This Row],[DATA]])</f>
        <v>5</v>
      </c>
    </row>
    <row r="1271" spans="1:4" x14ac:dyDescent="0.35">
      <c r="A1271" s="1">
        <v>608</v>
      </c>
      <c r="B1271" s="2">
        <v>46163.530555555553</v>
      </c>
      <c r="C1271" s="1" t="s">
        <v>33</v>
      </c>
      <c r="D1271" s="1">
        <f>MONTH(Tabela6[[#This Row],[DATA]])</f>
        <v>5</v>
      </c>
    </row>
    <row r="1272" spans="1:4" x14ac:dyDescent="0.35">
      <c r="A1272" s="1">
        <v>609</v>
      </c>
      <c r="B1272" s="2">
        <v>46163.53125</v>
      </c>
      <c r="C1272" s="1" t="s">
        <v>33</v>
      </c>
      <c r="D1272" s="1">
        <f>MONTH(Tabela6[[#This Row],[DATA]])</f>
        <v>5</v>
      </c>
    </row>
    <row r="1273" spans="1:4" x14ac:dyDescent="0.35">
      <c r="A1273" s="1">
        <v>612</v>
      </c>
      <c r="B1273" s="2">
        <v>46163.679861111108</v>
      </c>
      <c r="C1273" s="1" t="s">
        <v>22</v>
      </c>
      <c r="D1273" s="1">
        <f>MONTH(Tabela6[[#This Row],[DATA]])</f>
        <v>5</v>
      </c>
    </row>
    <row r="1274" spans="1:4" x14ac:dyDescent="0.35">
      <c r="A1274" s="1">
        <v>613</v>
      </c>
      <c r="B1274" s="2">
        <v>46163.679861111108</v>
      </c>
      <c r="C1274" s="1" t="s">
        <v>53</v>
      </c>
      <c r="D1274" s="1">
        <f>MONTH(Tabela6[[#This Row],[DATA]])</f>
        <v>5</v>
      </c>
    </row>
    <row r="1275" spans="1:4" x14ac:dyDescent="0.35">
      <c r="A1275" s="1">
        <v>614</v>
      </c>
      <c r="B1275" s="2">
        <v>46163.681250000001</v>
      </c>
      <c r="C1275" s="1" t="s">
        <v>53</v>
      </c>
      <c r="D1275" s="1">
        <f>MONTH(Tabela6[[#This Row],[DATA]])</f>
        <v>5</v>
      </c>
    </row>
    <row r="1276" spans="1:4" x14ac:dyDescent="0.35">
      <c r="A1276" s="1">
        <v>615</v>
      </c>
      <c r="B1276" s="2">
        <v>46163.682638888888</v>
      </c>
      <c r="C1276" s="1" t="s">
        <v>53</v>
      </c>
      <c r="D1276" s="1">
        <f>MONTH(Tabela6[[#This Row],[DATA]])</f>
        <v>5</v>
      </c>
    </row>
    <row r="1277" spans="1:4" x14ac:dyDescent="0.35">
      <c r="A1277" s="1">
        <v>621</v>
      </c>
      <c r="B1277" s="2">
        <v>46164.408333333333</v>
      </c>
      <c r="C1277" s="1" t="s">
        <v>67</v>
      </c>
      <c r="D1277" s="1">
        <f>MONTH(Tabela6[[#This Row],[DATA]])</f>
        <v>5</v>
      </c>
    </row>
    <row r="1278" spans="1:4" x14ac:dyDescent="0.35">
      <c r="A1278" s="1">
        <v>622</v>
      </c>
      <c r="B1278" s="2">
        <v>46164.412499999999</v>
      </c>
      <c r="C1278" s="1" t="s">
        <v>22</v>
      </c>
      <c r="D1278" s="1">
        <f>MONTH(Tabela6[[#This Row],[DATA]])</f>
        <v>5</v>
      </c>
    </row>
    <row r="1279" spans="1:4" x14ac:dyDescent="0.35">
      <c r="A1279" s="1">
        <v>623</v>
      </c>
      <c r="B1279" s="2">
        <v>46164.413194444445</v>
      </c>
      <c r="C1279" s="1" t="s">
        <v>22</v>
      </c>
      <c r="D1279" s="1">
        <f>MONTH(Tabela6[[#This Row],[DATA]])</f>
        <v>5</v>
      </c>
    </row>
    <row r="1280" spans="1:4" x14ac:dyDescent="0.35">
      <c r="A1280" s="1">
        <v>624</v>
      </c>
      <c r="B1280" s="2">
        <v>46164.42291666667</v>
      </c>
      <c r="C1280" s="1" t="s">
        <v>28</v>
      </c>
      <c r="D1280" s="1">
        <f>MONTH(Tabela6[[#This Row],[DATA]])</f>
        <v>5</v>
      </c>
    </row>
    <row r="1281" spans="1:4" x14ac:dyDescent="0.35">
      <c r="A1281" s="1">
        <v>625</v>
      </c>
      <c r="B1281" s="2">
        <v>46164.425694444442</v>
      </c>
      <c r="C1281" s="1" t="s">
        <v>28</v>
      </c>
      <c r="D1281" s="1">
        <f>MONTH(Tabela6[[#This Row],[DATA]])</f>
        <v>5</v>
      </c>
    </row>
    <row r="1282" spans="1:4" x14ac:dyDescent="0.35">
      <c r="A1282" s="1">
        <v>626</v>
      </c>
      <c r="B1282" s="2">
        <v>46164.47152777778</v>
      </c>
      <c r="C1282" s="1" t="s">
        <v>33</v>
      </c>
      <c r="D1282" s="1">
        <f>MONTH(Tabela6[[#This Row],[DATA]])</f>
        <v>5</v>
      </c>
    </row>
    <row r="1283" spans="1:4" x14ac:dyDescent="0.35">
      <c r="A1283" s="1">
        <v>627</v>
      </c>
      <c r="B1283" s="2">
        <v>46164.474999999999</v>
      </c>
      <c r="C1283" s="1" t="s">
        <v>33</v>
      </c>
      <c r="D1283" s="1">
        <f>MONTH(Tabela6[[#This Row],[DATA]])</f>
        <v>5</v>
      </c>
    </row>
    <row r="1284" spans="1:4" x14ac:dyDescent="0.35">
      <c r="A1284" s="1">
        <v>628</v>
      </c>
      <c r="B1284" s="2">
        <v>46164.478472222225</v>
      </c>
      <c r="C1284" s="1" t="s">
        <v>33</v>
      </c>
      <c r="D1284" s="1">
        <f>MONTH(Tabela6[[#This Row],[DATA]])</f>
        <v>5</v>
      </c>
    </row>
    <row r="1285" spans="1:4" x14ac:dyDescent="0.35">
      <c r="A1285" s="1">
        <v>629</v>
      </c>
      <c r="B1285" s="2">
        <v>46164.520138888889</v>
      </c>
      <c r="C1285" s="1" t="s">
        <v>33</v>
      </c>
      <c r="D1285" s="1">
        <f>MONTH(Tabela6[[#This Row],[DATA]])</f>
        <v>5</v>
      </c>
    </row>
    <row r="1286" spans="1:4" x14ac:dyDescent="0.35">
      <c r="A1286" s="1">
        <v>630</v>
      </c>
      <c r="B1286" s="2">
        <v>46164.520833333336</v>
      </c>
      <c r="C1286" s="1" t="s">
        <v>33</v>
      </c>
      <c r="D1286" s="1">
        <f>MONTH(Tabela6[[#This Row],[DATA]])</f>
        <v>5</v>
      </c>
    </row>
    <row r="1287" spans="1:4" x14ac:dyDescent="0.35">
      <c r="A1287" s="1">
        <v>655</v>
      </c>
      <c r="B1287" s="2">
        <v>46167.84375</v>
      </c>
      <c r="C1287" s="1" t="s">
        <v>28</v>
      </c>
      <c r="D1287" s="1">
        <f>MONTH(Tabela6[[#This Row],[DATA]])</f>
        <v>5</v>
      </c>
    </row>
    <row r="1288" spans="1:4" x14ac:dyDescent="0.35">
      <c r="A1288" s="1">
        <v>656</v>
      </c>
      <c r="B1288" s="2">
        <v>46167.847222222219</v>
      </c>
      <c r="C1288" s="1" t="s">
        <v>28</v>
      </c>
      <c r="D1288" s="1">
        <f>MONTH(Tabela6[[#This Row],[DATA]])</f>
        <v>5</v>
      </c>
    </row>
    <row r="1289" spans="1:4" x14ac:dyDescent="0.35">
      <c r="A1289" s="1">
        <v>657</v>
      </c>
      <c r="B1289" s="2">
        <v>46167.849305555559</v>
      </c>
      <c r="C1289" s="1" t="s">
        <v>28</v>
      </c>
      <c r="D1289" s="1">
        <f>MONTH(Tabela6[[#This Row],[DATA]])</f>
        <v>5</v>
      </c>
    </row>
    <row r="1290" spans="1:4" x14ac:dyDescent="0.35">
      <c r="A1290" s="1">
        <v>658</v>
      </c>
      <c r="B1290" s="2">
        <v>46167.910416666666</v>
      </c>
      <c r="C1290" s="1" t="s">
        <v>9</v>
      </c>
      <c r="D1290" s="1">
        <f>MONTH(Tabela6[[#This Row],[DATA]])</f>
        <v>5</v>
      </c>
    </row>
    <row r="1291" spans="1:4" x14ac:dyDescent="0.35">
      <c r="A1291" s="1">
        <v>659</v>
      </c>
      <c r="B1291" s="2">
        <v>46167.913194444445</v>
      </c>
      <c r="C1291" s="1" t="s">
        <v>9</v>
      </c>
      <c r="D1291" s="1">
        <f>MONTH(Tabela6[[#This Row],[DATA]])</f>
        <v>5</v>
      </c>
    </row>
    <row r="1292" spans="1:4" x14ac:dyDescent="0.35">
      <c r="A1292" s="1">
        <v>660</v>
      </c>
      <c r="B1292" s="2">
        <v>46167.914583333331</v>
      </c>
      <c r="C1292" s="1" t="s">
        <v>9</v>
      </c>
      <c r="D1292" s="1">
        <f>MONTH(Tabela6[[#This Row],[DATA]])</f>
        <v>5</v>
      </c>
    </row>
    <row r="1293" spans="1:4" x14ac:dyDescent="0.35">
      <c r="A1293" s="1">
        <v>661</v>
      </c>
      <c r="B1293" s="2">
        <v>46168.340277777781</v>
      </c>
      <c r="C1293" s="1" t="s">
        <v>33</v>
      </c>
      <c r="D1293" s="1">
        <f>MONTH(Tabela6[[#This Row],[DATA]])</f>
        <v>5</v>
      </c>
    </row>
    <row r="1294" spans="1:4" x14ac:dyDescent="0.35">
      <c r="A1294" s="1">
        <v>681</v>
      </c>
      <c r="B1294" s="2">
        <v>46168.821527777778</v>
      </c>
      <c r="C1294" s="1" t="s">
        <v>28</v>
      </c>
      <c r="D1294" s="1">
        <f>MONTH(Tabela6[[#This Row],[DATA]])</f>
        <v>5</v>
      </c>
    </row>
    <row r="1295" spans="1:4" x14ac:dyDescent="0.35">
      <c r="A1295" s="1">
        <v>682</v>
      </c>
      <c r="B1295" s="2">
        <v>46168.828472222223</v>
      </c>
      <c r="C1295" s="1" t="s">
        <v>28</v>
      </c>
      <c r="D1295" s="1">
        <f>MONTH(Tabela6[[#This Row],[DATA]])</f>
        <v>5</v>
      </c>
    </row>
    <row r="1296" spans="1:4" x14ac:dyDescent="0.35">
      <c r="A1296" s="1">
        <v>683</v>
      </c>
      <c r="B1296" s="2">
        <v>46168.832638888889</v>
      </c>
      <c r="C1296" s="1" t="s">
        <v>28</v>
      </c>
      <c r="D1296" s="1">
        <f>MONTH(Tabela6[[#This Row],[DATA]])</f>
        <v>5</v>
      </c>
    </row>
    <row r="1297" spans="1:4" x14ac:dyDescent="0.35">
      <c r="A1297" s="1">
        <v>684</v>
      </c>
      <c r="B1297" s="2">
        <v>46168.836111111108</v>
      </c>
      <c r="C1297" s="1" t="s">
        <v>28</v>
      </c>
      <c r="D1297" s="1">
        <f>MONTH(Tabela6[[#This Row],[DATA]])</f>
        <v>5</v>
      </c>
    </row>
    <row r="1298" spans="1:4" x14ac:dyDescent="0.35">
      <c r="A1298" s="1">
        <v>685</v>
      </c>
      <c r="B1298" s="2">
        <v>46168.842361111114</v>
      </c>
      <c r="C1298" s="1" t="s">
        <v>28</v>
      </c>
      <c r="D1298" s="1">
        <f>MONTH(Tabela6[[#This Row],[DATA]])</f>
        <v>5</v>
      </c>
    </row>
    <row r="1299" spans="1:4" x14ac:dyDescent="0.35">
      <c r="A1299" s="1">
        <v>703</v>
      </c>
      <c r="B1299" s="2">
        <v>46169.578472222223</v>
      </c>
      <c r="C1299" s="1" t="s">
        <v>59</v>
      </c>
      <c r="D1299" s="1">
        <f>MONTH(Tabela6[[#This Row],[DATA]])</f>
        <v>5</v>
      </c>
    </row>
    <row r="1300" spans="1:4" x14ac:dyDescent="0.35">
      <c r="A1300" s="1">
        <v>704</v>
      </c>
      <c r="B1300" s="2">
        <v>46169.622916666667</v>
      </c>
      <c r="C1300" s="1" t="s">
        <v>9</v>
      </c>
      <c r="D1300" s="1">
        <f>MONTH(Tabela6[[#This Row],[DATA]])</f>
        <v>5</v>
      </c>
    </row>
    <row r="1301" spans="1:4" x14ac:dyDescent="0.35">
      <c r="A1301" s="1">
        <v>705</v>
      </c>
      <c r="B1301" s="2">
        <v>46169.628472222219</v>
      </c>
      <c r="C1301" s="1" t="s">
        <v>9</v>
      </c>
      <c r="D1301" s="1">
        <f>MONTH(Tabela6[[#This Row],[DATA]])</f>
        <v>5</v>
      </c>
    </row>
    <row r="1302" spans="1:4" x14ac:dyDescent="0.35">
      <c r="A1302" s="1">
        <v>706</v>
      </c>
      <c r="B1302" s="2">
        <v>46169.631249999999</v>
      </c>
      <c r="C1302" s="1" t="s">
        <v>9</v>
      </c>
      <c r="D1302" s="1">
        <f>MONTH(Tabela6[[#This Row],[DATA]])</f>
        <v>5</v>
      </c>
    </row>
    <row r="1303" spans="1:4" x14ac:dyDescent="0.35">
      <c r="A1303" s="1">
        <v>723</v>
      </c>
      <c r="B1303" s="2">
        <v>46169.833333333336</v>
      </c>
      <c r="C1303" s="1" t="s">
        <v>28</v>
      </c>
      <c r="D1303" s="1">
        <f>MONTH(Tabela6[[#This Row],[DATA]])</f>
        <v>5</v>
      </c>
    </row>
    <row r="1304" spans="1:4" x14ac:dyDescent="0.35">
      <c r="A1304" s="1">
        <v>724</v>
      </c>
      <c r="B1304" s="2">
        <v>46169.836111111108</v>
      </c>
      <c r="C1304" s="1" t="s">
        <v>28</v>
      </c>
      <c r="D1304" s="1">
        <f>MONTH(Tabela6[[#This Row],[DATA]])</f>
        <v>5</v>
      </c>
    </row>
    <row r="1305" spans="1:4" x14ac:dyDescent="0.35">
      <c r="A1305" s="1">
        <v>725</v>
      </c>
      <c r="B1305" s="2">
        <v>46169.838888888888</v>
      </c>
      <c r="C1305" s="1" t="s">
        <v>28</v>
      </c>
      <c r="D1305" s="1">
        <f>MONTH(Tabela6[[#This Row],[DATA]])</f>
        <v>5</v>
      </c>
    </row>
    <row r="1306" spans="1:4" x14ac:dyDescent="0.35">
      <c r="A1306" s="1">
        <v>726</v>
      </c>
      <c r="B1306" s="2">
        <v>46170.357638888891</v>
      </c>
      <c r="C1306" s="1" t="s">
        <v>33</v>
      </c>
      <c r="D1306" s="1">
        <f>MONTH(Tabela6[[#This Row],[DATA]])</f>
        <v>5</v>
      </c>
    </row>
    <row r="1307" spans="1:4" x14ac:dyDescent="0.35">
      <c r="A1307" s="1">
        <v>733</v>
      </c>
      <c r="B1307" s="2">
        <v>46170.488194444442</v>
      </c>
      <c r="C1307" s="1" t="s">
        <v>67</v>
      </c>
      <c r="D1307" s="1">
        <f>MONTH(Tabela6[[#This Row],[DATA]])</f>
        <v>5</v>
      </c>
    </row>
    <row r="1308" spans="1:4" x14ac:dyDescent="0.35">
      <c r="A1308" s="1">
        <v>763</v>
      </c>
      <c r="B1308" s="2">
        <v>46170.960416666669</v>
      </c>
      <c r="C1308" s="1" t="s">
        <v>9</v>
      </c>
      <c r="D1308" s="1">
        <f>MONTH(Tabela6[[#This Row],[DATA]])</f>
        <v>5</v>
      </c>
    </row>
    <row r="1309" spans="1:4" x14ac:dyDescent="0.35">
      <c r="A1309" s="1">
        <v>784</v>
      </c>
      <c r="B1309" s="2">
        <v>46171.424305555556</v>
      </c>
      <c r="C1309" s="1" t="s">
        <v>22</v>
      </c>
      <c r="D1309" s="1">
        <f>MONTH(Tabela6[[#This Row],[DATA]])</f>
        <v>5</v>
      </c>
    </row>
    <row r="1310" spans="1:4" x14ac:dyDescent="0.35">
      <c r="A1310" s="1">
        <v>788</v>
      </c>
      <c r="B1310" s="2">
        <v>46171.445833333331</v>
      </c>
      <c r="C1310" s="1" t="s">
        <v>67</v>
      </c>
      <c r="D1310" s="1">
        <f>MONTH(Tabela6[[#This Row],[DATA]])</f>
        <v>5</v>
      </c>
    </row>
    <row r="1311" spans="1:4" x14ac:dyDescent="0.35">
      <c r="A1311" s="1">
        <v>803</v>
      </c>
      <c r="B1311" s="2">
        <v>46171.960416666669</v>
      </c>
      <c r="C1311" s="1" t="s">
        <v>9</v>
      </c>
      <c r="D1311" s="1">
        <f>MONTH(Tabela6[[#This Row],[DATA]])</f>
        <v>5</v>
      </c>
    </row>
    <row r="1312" spans="1:4" x14ac:dyDescent="0.35">
      <c r="A1312" s="1">
        <v>804</v>
      </c>
      <c r="B1312" s="2">
        <v>46171.961805555555</v>
      </c>
      <c r="C1312" s="1" t="s">
        <v>9</v>
      </c>
      <c r="D1312" s="1">
        <f>MONTH(Tabela6[[#This Row],[DATA]])</f>
        <v>5</v>
      </c>
    </row>
    <row r="1313" spans="1:4" x14ac:dyDescent="0.35">
      <c r="A1313" s="1">
        <v>805</v>
      </c>
      <c r="B1313" s="2">
        <v>46171.966666666667</v>
      </c>
      <c r="C1313" s="1" t="s">
        <v>9</v>
      </c>
      <c r="D1313" s="1">
        <f>MONTH(Tabela6[[#This Row],[DATA]])</f>
        <v>5</v>
      </c>
    </row>
    <row r="1314" spans="1:4" x14ac:dyDescent="0.35">
      <c r="A1314" s="1">
        <v>806</v>
      </c>
      <c r="B1314" s="2">
        <v>46171.97152777778</v>
      </c>
      <c r="C1314" s="1" t="s">
        <v>9</v>
      </c>
      <c r="D1314" s="1">
        <f>MONTH(Tabela6[[#This Row],[DATA]])</f>
        <v>5</v>
      </c>
    </row>
    <row r="1315" spans="1:4" x14ac:dyDescent="0.35">
      <c r="A1315" s="1">
        <v>807</v>
      </c>
      <c r="B1315" s="2">
        <v>46171.974305555559</v>
      </c>
      <c r="C1315" s="1" t="s">
        <v>9</v>
      </c>
      <c r="D1315" s="1">
        <f>MONTH(Tabela6[[#This Row],[DATA]])</f>
        <v>5</v>
      </c>
    </row>
    <row r="1316" spans="1:4" x14ac:dyDescent="0.35">
      <c r="A1316" s="1">
        <v>808</v>
      </c>
      <c r="B1316" s="2">
        <v>46171.977777777778</v>
      </c>
      <c r="C1316" s="1" t="s">
        <v>9</v>
      </c>
      <c r="D1316" s="1">
        <f>MONTH(Tabela6[[#This Row],[DATA]])</f>
        <v>5</v>
      </c>
    </row>
    <row r="1317" spans="1:4" x14ac:dyDescent="0.35">
      <c r="A1317" s="1">
        <v>809</v>
      </c>
      <c r="B1317" s="2">
        <v>46171.981944444444</v>
      </c>
      <c r="C1317" s="1" t="s">
        <v>9</v>
      </c>
      <c r="D1317" s="1">
        <f>MONTH(Tabela6[[#This Row],[DATA]])</f>
        <v>5</v>
      </c>
    </row>
    <row r="1318" spans="1:4" x14ac:dyDescent="0.35">
      <c r="A1318" s="1">
        <v>810</v>
      </c>
      <c r="B1318" s="2">
        <v>46171.984722222223</v>
      </c>
      <c r="C1318" s="1" t="s">
        <v>9</v>
      </c>
      <c r="D1318" s="1">
        <f>MONTH(Tabela6[[#This Row],[DATA]])</f>
        <v>5</v>
      </c>
    </row>
    <row r="1319" spans="1:4" x14ac:dyDescent="0.35">
      <c r="A1319" s="1">
        <v>811</v>
      </c>
      <c r="B1319" s="2">
        <v>46171.987500000003</v>
      </c>
      <c r="C1319" s="1" t="s">
        <v>9</v>
      </c>
      <c r="D1319" s="1">
        <f>MONTH(Tabela6[[#This Row],[DATA]])</f>
        <v>5</v>
      </c>
    </row>
    <row r="1320" spans="1:4" x14ac:dyDescent="0.35">
      <c r="A1320" s="1">
        <v>812</v>
      </c>
      <c r="B1320" s="2">
        <v>46171.990277777775</v>
      </c>
      <c r="C1320" s="1" t="s">
        <v>9</v>
      </c>
      <c r="D1320" s="1">
        <f>MONTH(Tabela6[[#This Row],[DATA]])</f>
        <v>5</v>
      </c>
    </row>
    <row r="1321" spans="1:4" x14ac:dyDescent="0.35">
      <c r="A1321" s="1">
        <v>816</v>
      </c>
      <c r="B1321" s="2">
        <v>46174.400694444441</v>
      </c>
      <c r="C1321" s="1" t="s">
        <v>33</v>
      </c>
      <c r="D1321" s="1">
        <f>MONTH(Tabela6[[#This Row],[DATA]])</f>
        <v>6</v>
      </c>
    </row>
    <row r="1322" spans="1:4" x14ac:dyDescent="0.35">
      <c r="A1322" s="1">
        <v>817</v>
      </c>
      <c r="B1322" s="2">
        <v>46174.48333333333</v>
      </c>
      <c r="C1322" s="1" t="s">
        <v>67</v>
      </c>
      <c r="D1322" s="1">
        <f>MONTH(Tabela6[[#This Row],[DATA]])</f>
        <v>6</v>
      </c>
    </row>
    <row r="1323" spans="1:4" x14ac:dyDescent="0.35">
      <c r="A1323" s="1">
        <v>819</v>
      </c>
      <c r="B1323" s="2">
        <v>46174.5</v>
      </c>
      <c r="C1323" s="1" t="s">
        <v>5</v>
      </c>
      <c r="D1323" s="1">
        <f>MONTH(Tabela6[[#This Row],[DATA]])</f>
        <v>6</v>
      </c>
    </row>
    <row r="1324" spans="1:4" x14ac:dyDescent="0.35">
      <c r="A1324" s="1">
        <v>820</v>
      </c>
      <c r="B1324" s="2">
        <v>46174.513888888891</v>
      </c>
      <c r="C1324" s="1" t="s">
        <v>5</v>
      </c>
      <c r="D1324" s="1">
        <f>MONTH(Tabela6[[#This Row],[DATA]])</f>
        <v>6</v>
      </c>
    </row>
    <row r="1325" spans="1:4" x14ac:dyDescent="0.35">
      <c r="A1325" s="1">
        <v>821</v>
      </c>
      <c r="B1325" s="2">
        <v>46174.521527777775</v>
      </c>
      <c r="C1325" s="1" t="s">
        <v>5</v>
      </c>
      <c r="D1325" s="1">
        <f>MONTH(Tabela6[[#This Row],[DATA]])</f>
        <v>6</v>
      </c>
    </row>
    <row r="1326" spans="1:4" x14ac:dyDescent="0.35">
      <c r="A1326" s="1">
        <v>822</v>
      </c>
      <c r="B1326" s="2">
        <v>46174.53402777778</v>
      </c>
      <c r="C1326" s="1" t="s">
        <v>5</v>
      </c>
      <c r="D1326" s="1">
        <f>MONTH(Tabela6[[#This Row],[DATA]])</f>
        <v>6</v>
      </c>
    </row>
    <row r="1327" spans="1:4" x14ac:dyDescent="0.35">
      <c r="A1327" s="1">
        <v>824</v>
      </c>
      <c r="B1327" s="2">
        <v>46174.631944444445</v>
      </c>
      <c r="C1327" s="1" t="s">
        <v>9</v>
      </c>
      <c r="D1327" s="1">
        <f>MONTH(Tabela6[[#This Row],[DATA]])</f>
        <v>6</v>
      </c>
    </row>
    <row r="1328" spans="1:4" x14ac:dyDescent="0.35">
      <c r="A1328" s="1">
        <v>825</v>
      </c>
      <c r="B1328" s="2">
        <v>46174.644444444442</v>
      </c>
      <c r="C1328" s="1" t="s">
        <v>9</v>
      </c>
      <c r="D1328" s="1">
        <f>MONTH(Tabela6[[#This Row],[DATA]])</f>
        <v>6</v>
      </c>
    </row>
    <row r="1329" spans="1:4" x14ac:dyDescent="0.35">
      <c r="A1329" s="1">
        <v>826</v>
      </c>
      <c r="B1329" s="2">
        <v>46174.645138888889</v>
      </c>
      <c r="C1329" s="1" t="s">
        <v>9</v>
      </c>
      <c r="D1329" s="1">
        <f>MONTH(Tabela6[[#This Row],[DATA]])</f>
        <v>6</v>
      </c>
    </row>
    <row r="1330" spans="1:4" x14ac:dyDescent="0.35">
      <c r="A1330" s="1">
        <v>828</v>
      </c>
      <c r="B1330" s="2">
        <v>46174.645833333336</v>
      </c>
      <c r="C1330" s="1" t="s">
        <v>9</v>
      </c>
      <c r="D1330" s="1">
        <f>MONTH(Tabela6[[#This Row],[DATA]])</f>
        <v>6</v>
      </c>
    </row>
    <row r="1331" spans="1:4" x14ac:dyDescent="0.35">
      <c r="A1331" s="1">
        <v>829</v>
      </c>
      <c r="B1331" s="2">
        <v>46174.646527777775</v>
      </c>
      <c r="C1331" s="1" t="s">
        <v>9</v>
      </c>
      <c r="D1331" s="1">
        <f>MONTH(Tabela6[[#This Row],[DATA]])</f>
        <v>6</v>
      </c>
    </row>
    <row r="1332" spans="1:4" x14ac:dyDescent="0.35">
      <c r="A1332" s="1">
        <v>855</v>
      </c>
      <c r="B1332" s="2">
        <v>46175.379166666666</v>
      </c>
      <c r="C1332" s="1" t="s">
        <v>5</v>
      </c>
      <c r="D1332" s="1">
        <f>MONTH(Tabela6[[#This Row],[DATA]])</f>
        <v>6</v>
      </c>
    </row>
    <row r="1333" spans="1:4" x14ac:dyDescent="0.35">
      <c r="A1333" s="1">
        <v>867</v>
      </c>
      <c r="B1333" s="2">
        <v>46175.447222222225</v>
      </c>
      <c r="C1333" s="1" t="s">
        <v>9</v>
      </c>
      <c r="D1333" s="1">
        <f>MONTH(Tabela6[[#This Row],[DATA]])</f>
        <v>6</v>
      </c>
    </row>
    <row r="1334" spans="1:4" x14ac:dyDescent="0.35">
      <c r="A1334" s="1">
        <v>868</v>
      </c>
      <c r="B1334" s="2">
        <v>46175.447916666664</v>
      </c>
      <c r="C1334" s="1" t="s">
        <v>9</v>
      </c>
      <c r="D1334" s="1">
        <f>MONTH(Tabela6[[#This Row],[DATA]])</f>
        <v>6</v>
      </c>
    </row>
    <row r="1335" spans="1:4" x14ac:dyDescent="0.35">
      <c r="A1335" s="1">
        <v>869</v>
      </c>
      <c r="B1335" s="2">
        <v>46175.448611111111</v>
      </c>
      <c r="C1335" s="1" t="s">
        <v>9</v>
      </c>
      <c r="D1335" s="1">
        <f>MONTH(Tabela6[[#This Row],[DATA]])</f>
        <v>6</v>
      </c>
    </row>
    <row r="1336" spans="1:4" x14ac:dyDescent="0.35">
      <c r="A1336" s="1">
        <v>870</v>
      </c>
      <c r="B1336" s="2">
        <v>46175.449305555558</v>
      </c>
      <c r="C1336" s="1" t="s">
        <v>9</v>
      </c>
      <c r="D1336" s="1">
        <f>MONTH(Tabela6[[#This Row],[DATA]])</f>
        <v>6</v>
      </c>
    </row>
    <row r="1337" spans="1:4" x14ac:dyDescent="0.35">
      <c r="A1337" s="1">
        <v>871</v>
      </c>
      <c r="B1337" s="2">
        <v>46175.450694444444</v>
      </c>
      <c r="C1337" s="1" t="s">
        <v>9</v>
      </c>
      <c r="D1337" s="1">
        <f>MONTH(Tabela6[[#This Row],[DATA]])</f>
        <v>6</v>
      </c>
    </row>
    <row r="1338" spans="1:4" x14ac:dyDescent="0.35">
      <c r="A1338" s="1">
        <v>873</v>
      </c>
      <c r="B1338" s="2">
        <v>46175.461805555555</v>
      </c>
      <c r="C1338" s="1" t="s">
        <v>9</v>
      </c>
      <c r="D1338" s="1">
        <f>MONTH(Tabela6[[#This Row],[DATA]])</f>
        <v>6</v>
      </c>
    </row>
    <row r="1339" spans="1:4" x14ac:dyDescent="0.35">
      <c r="A1339" s="1">
        <v>880</v>
      </c>
      <c r="B1339" s="2">
        <v>46175.618750000001</v>
      </c>
      <c r="C1339" s="1" t="s">
        <v>28</v>
      </c>
      <c r="D1339" s="1">
        <f>MONTH(Tabela6[[#This Row],[DATA]])</f>
        <v>6</v>
      </c>
    </row>
    <row r="1340" spans="1:4" x14ac:dyDescent="0.35">
      <c r="A1340" s="1">
        <v>883</v>
      </c>
      <c r="B1340" s="2">
        <v>46175.660416666666</v>
      </c>
      <c r="C1340" s="1" t="s">
        <v>28</v>
      </c>
      <c r="D1340" s="1">
        <f>MONTH(Tabela6[[#This Row],[DATA]])</f>
        <v>6</v>
      </c>
    </row>
    <row r="1341" spans="1:4" x14ac:dyDescent="0.35">
      <c r="A1341" s="1">
        <v>884</v>
      </c>
      <c r="B1341" s="2">
        <v>46175.663194444445</v>
      </c>
      <c r="C1341" s="1" t="s">
        <v>28</v>
      </c>
      <c r="D1341" s="1">
        <f>MONTH(Tabela6[[#This Row],[DATA]])</f>
        <v>6</v>
      </c>
    </row>
    <row r="1342" spans="1:4" x14ac:dyDescent="0.35">
      <c r="A1342" s="1">
        <v>885</v>
      </c>
      <c r="B1342" s="2">
        <v>46175.665972222225</v>
      </c>
      <c r="C1342" s="1" t="s">
        <v>28</v>
      </c>
      <c r="D1342" s="1">
        <f>MONTH(Tabela6[[#This Row],[DATA]])</f>
        <v>6</v>
      </c>
    </row>
    <row r="1343" spans="1:4" x14ac:dyDescent="0.35">
      <c r="A1343" s="1">
        <v>887</v>
      </c>
      <c r="B1343" s="2">
        <v>46175.668749999997</v>
      </c>
      <c r="C1343" s="1" t="s">
        <v>28</v>
      </c>
      <c r="D1343" s="1">
        <f>MONTH(Tabela6[[#This Row],[DATA]])</f>
        <v>6</v>
      </c>
    </row>
    <row r="1344" spans="1:4" x14ac:dyDescent="0.35">
      <c r="A1344" s="1">
        <v>889</v>
      </c>
      <c r="B1344" s="2">
        <v>46175.722222222219</v>
      </c>
      <c r="C1344" s="1" t="s">
        <v>5</v>
      </c>
      <c r="D1344" s="1">
        <f>MONTH(Tabela6[[#This Row],[DATA]])</f>
        <v>6</v>
      </c>
    </row>
    <row r="1345" spans="1:4" x14ac:dyDescent="0.35">
      <c r="A1345" s="1">
        <v>890</v>
      </c>
      <c r="B1345" s="2">
        <v>46175.725694444445</v>
      </c>
      <c r="C1345" s="1" t="s">
        <v>5</v>
      </c>
      <c r="D1345" s="1">
        <f>MONTH(Tabela6[[#This Row],[DATA]])</f>
        <v>6</v>
      </c>
    </row>
    <row r="1346" spans="1:4" x14ac:dyDescent="0.35">
      <c r="A1346" s="1">
        <v>891</v>
      </c>
      <c r="B1346" s="2">
        <v>46175.727083333331</v>
      </c>
      <c r="C1346" s="1" t="s">
        <v>5</v>
      </c>
      <c r="D1346" s="1">
        <f>MONTH(Tabela6[[#This Row],[DATA]])</f>
        <v>6</v>
      </c>
    </row>
    <row r="1347" spans="1:4" x14ac:dyDescent="0.35">
      <c r="A1347" s="1">
        <v>892</v>
      </c>
      <c r="B1347" s="2">
        <v>46175.730555555558</v>
      </c>
      <c r="C1347" s="1" t="s">
        <v>5</v>
      </c>
      <c r="D1347" s="1">
        <f>MONTH(Tabela6[[#This Row],[DATA]])</f>
        <v>6</v>
      </c>
    </row>
    <row r="1348" spans="1:4" x14ac:dyDescent="0.35">
      <c r="A1348" s="1">
        <v>906</v>
      </c>
      <c r="B1348" s="2">
        <v>46176.665277777778</v>
      </c>
      <c r="C1348" s="1" t="s">
        <v>33</v>
      </c>
      <c r="D1348" s="1">
        <f>MONTH(Tabela6[[#This Row],[DATA]])</f>
        <v>6</v>
      </c>
    </row>
    <row r="1349" spans="1:4" x14ac:dyDescent="0.35">
      <c r="A1349" s="1">
        <v>907</v>
      </c>
      <c r="B1349" s="2">
        <v>46176.666666666664</v>
      </c>
      <c r="C1349" s="1" t="s">
        <v>33</v>
      </c>
      <c r="D1349" s="1">
        <f>MONTH(Tabela6[[#This Row],[DATA]])</f>
        <v>6</v>
      </c>
    </row>
    <row r="1350" spans="1:4" x14ac:dyDescent="0.35">
      <c r="A1350" s="1">
        <v>908</v>
      </c>
      <c r="B1350" s="2">
        <v>46176.669444444444</v>
      </c>
      <c r="C1350" s="1" t="s">
        <v>33</v>
      </c>
      <c r="D1350" s="1">
        <f>MONTH(Tabela6[[#This Row],[DATA]])</f>
        <v>6</v>
      </c>
    </row>
    <row r="1351" spans="1:4" x14ac:dyDescent="0.35">
      <c r="A1351" s="1">
        <v>909</v>
      </c>
      <c r="B1351" s="2">
        <v>46176.811805555553</v>
      </c>
      <c r="C1351" s="1" t="s">
        <v>9</v>
      </c>
      <c r="D1351" s="1">
        <f>MONTH(Tabela6[[#This Row],[DATA]])</f>
        <v>6</v>
      </c>
    </row>
    <row r="1352" spans="1:4" x14ac:dyDescent="0.35">
      <c r="A1352" s="1">
        <v>910</v>
      </c>
      <c r="B1352" s="2">
        <v>46178.364583333336</v>
      </c>
      <c r="C1352" s="1" t="s">
        <v>9</v>
      </c>
      <c r="D1352" s="1">
        <f>MONTH(Tabela6[[#This Row],[DATA]])</f>
        <v>6</v>
      </c>
    </row>
    <row r="1353" spans="1:4" x14ac:dyDescent="0.35">
      <c r="A1353" s="1">
        <v>915</v>
      </c>
      <c r="B1353" s="2">
        <v>46178.613194444442</v>
      </c>
      <c r="C1353" s="1" t="s">
        <v>9</v>
      </c>
      <c r="D1353" s="1">
        <f>MONTH(Tabela6[[#This Row],[DATA]])</f>
        <v>6</v>
      </c>
    </row>
    <row r="1354" spans="1:4" x14ac:dyDescent="0.35">
      <c r="A1354" s="1">
        <v>916</v>
      </c>
      <c r="B1354" s="2">
        <v>46178.614583333336</v>
      </c>
      <c r="C1354" s="1" t="s">
        <v>9</v>
      </c>
      <c r="D1354" s="1">
        <f>MONTH(Tabela6[[#This Row],[DATA]])</f>
        <v>6</v>
      </c>
    </row>
    <row r="1355" spans="1:4" x14ac:dyDescent="0.35">
      <c r="A1355" s="1">
        <v>917</v>
      </c>
      <c r="B1355" s="2">
        <v>46178.615277777775</v>
      </c>
      <c r="C1355" s="1" t="s">
        <v>9</v>
      </c>
      <c r="D1355" s="1">
        <f>MONTH(Tabela6[[#This Row],[DATA]])</f>
        <v>6</v>
      </c>
    </row>
    <row r="1356" spans="1:4" x14ac:dyDescent="0.35">
      <c r="A1356" s="1">
        <v>918</v>
      </c>
      <c r="B1356" s="2">
        <v>46178.616666666669</v>
      </c>
      <c r="C1356" s="1" t="s">
        <v>9</v>
      </c>
      <c r="D1356" s="1">
        <f>MONTH(Tabela6[[#This Row],[DATA]])</f>
        <v>6</v>
      </c>
    </row>
    <row r="1357" spans="1:4" x14ac:dyDescent="0.35">
      <c r="A1357" s="1">
        <v>919</v>
      </c>
      <c r="B1357" s="2">
        <v>46178.617361111108</v>
      </c>
      <c r="C1357" s="1" t="s">
        <v>9</v>
      </c>
      <c r="D1357" s="1">
        <f>MONTH(Tabela6[[#This Row],[DATA]])</f>
        <v>6</v>
      </c>
    </row>
    <row r="1358" spans="1:4" x14ac:dyDescent="0.35">
      <c r="A1358" s="1">
        <v>920</v>
      </c>
      <c r="B1358" s="2">
        <v>46178.618750000001</v>
      </c>
      <c r="C1358" s="1" t="s">
        <v>9</v>
      </c>
      <c r="D1358" s="1">
        <f>MONTH(Tabela6[[#This Row],[DATA]])</f>
        <v>6</v>
      </c>
    </row>
    <row r="1359" spans="1:4" x14ac:dyDescent="0.35">
      <c r="A1359" s="1">
        <v>922</v>
      </c>
      <c r="B1359" s="2">
        <v>46178.619444444441</v>
      </c>
      <c r="C1359" s="1" t="s">
        <v>9</v>
      </c>
      <c r="D1359" s="1">
        <f>MONTH(Tabela6[[#This Row],[DATA]])</f>
        <v>6</v>
      </c>
    </row>
    <row r="1360" spans="1:4" x14ac:dyDescent="0.35">
      <c r="A1360" s="1">
        <v>923</v>
      </c>
      <c r="B1360" s="2">
        <v>46178.620833333334</v>
      </c>
      <c r="C1360" s="1" t="s">
        <v>9</v>
      </c>
      <c r="D1360" s="1">
        <f>MONTH(Tabela6[[#This Row],[DATA]])</f>
        <v>6</v>
      </c>
    </row>
    <row r="1361" spans="1:4" x14ac:dyDescent="0.35">
      <c r="A1361" s="1">
        <v>924</v>
      </c>
      <c r="B1361" s="2">
        <v>46178.62222222222</v>
      </c>
      <c r="C1361" s="1" t="s">
        <v>9</v>
      </c>
      <c r="D1361" s="1">
        <f>MONTH(Tabela6[[#This Row],[DATA]])</f>
        <v>6</v>
      </c>
    </row>
    <row r="1362" spans="1:4" x14ac:dyDescent="0.35">
      <c r="A1362" s="1">
        <v>925</v>
      </c>
      <c r="B1362" s="2">
        <v>46178.622916666667</v>
      </c>
      <c r="C1362" s="1" t="s">
        <v>9</v>
      </c>
      <c r="D1362" s="1">
        <f>MONTH(Tabela6[[#This Row],[DATA]])</f>
        <v>6</v>
      </c>
    </row>
    <row r="1363" spans="1:4" x14ac:dyDescent="0.35">
      <c r="A1363" s="1">
        <v>934</v>
      </c>
      <c r="B1363" s="2">
        <v>46178.717361111114</v>
      </c>
      <c r="C1363" s="1" t="s">
        <v>28</v>
      </c>
      <c r="D1363" s="1">
        <f>MONTH(Tabela6[[#This Row],[DATA]])</f>
        <v>6</v>
      </c>
    </row>
    <row r="1364" spans="1:4" x14ac:dyDescent="0.35">
      <c r="A1364" s="1">
        <v>935</v>
      </c>
      <c r="B1364" s="2">
        <v>46178.720833333333</v>
      </c>
      <c r="C1364" s="1" t="s">
        <v>28</v>
      </c>
      <c r="D1364" s="1">
        <f>MONTH(Tabela6[[#This Row],[DATA]])</f>
        <v>6</v>
      </c>
    </row>
    <row r="1365" spans="1:4" x14ac:dyDescent="0.35">
      <c r="A1365" s="1">
        <v>936</v>
      </c>
      <c r="B1365" s="2">
        <v>46178.723611111112</v>
      </c>
      <c r="C1365" s="1" t="s">
        <v>28</v>
      </c>
      <c r="D1365" s="1">
        <f>MONTH(Tabela6[[#This Row],[DATA]])</f>
        <v>6</v>
      </c>
    </row>
    <row r="1366" spans="1:4" x14ac:dyDescent="0.35">
      <c r="A1366" s="1">
        <v>937</v>
      </c>
      <c r="B1366" s="2">
        <v>46178.731249999997</v>
      </c>
      <c r="C1366" s="1" t="s">
        <v>28</v>
      </c>
      <c r="D1366" s="1">
        <f>MONTH(Tabela6[[#This Row],[DATA]])</f>
        <v>6</v>
      </c>
    </row>
    <row r="1367" spans="1:4" x14ac:dyDescent="0.35">
      <c r="A1367" s="1">
        <v>938</v>
      </c>
      <c r="B1367" s="2">
        <v>46178.734722222223</v>
      </c>
      <c r="C1367" s="1" t="s">
        <v>28</v>
      </c>
      <c r="D1367" s="1">
        <f>MONTH(Tabela6[[#This Row],[DATA]])</f>
        <v>6</v>
      </c>
    </row>
    <row r="1368" spans="1:4" x14ac:dyDescent="0.35">
      <c r="A1368" s="1">
        <v>941</v>
      </c>
      <c r="B1368" s="2">
        <v>46181.457638888889</v>
      </c>
      <c r="C1368" s="1" t="s">
        <v>67</v>
      </c>
      <c r="D1368" s="1">
        <f>MONTH(Tabela6[[#This Row],[DATA]])</f>
        <v>6</v>
      </c>
    </row>
    <row r="1369" spans="1:4" x14ac:dyDescent="0.35">
      <c r="A1369" s="1">
        <v>979</v>
      </c>
      <c r="B1369" s="2">
        <v>46181.677777777775</v>
      </c>
      <c r="C1369" s="1" t="s">
        <v>33</v>
      </c>
      <c r="D1369" s="1">
        <f>MONTH(Tabela6[[#This Row],[DATA]])</f>
        <v>6</v>
      </c>
    </row>
    <row r="1370" spans="1:4" x14ac:dyDescent="0.35">
      <c r="A1370" s="1">
        <v>992</v>
      </c>
      <c r="B1370" s="2">
        <v>46181.953472222223</v>
      </c>
      <c r="C1370" s="1" t="s">
        <v>9</v>
      </c>
      <c r="D1370" s="1">
        <f>MONTH(Tabela6[[#This Row],[DATA]])</f>
        <v>6</v>
      </c>
    </row>
    <row r="1371" spans="1:4" x14ac:dyDescent="0.35">
      <c r="A1371" s="1">
        <v>993</v>
      </c>
      <c r="B1371" s="2">
        <v>46181.954861111109</v>
      </c>
      <c r="C1371" s="1" t="s">
        <v>9</v>
      </c>
      <c r="D1371" s="1">
        <f>MONTH(Tabela6[[#This Row],[DATA]])</f>
        <v>6</v>
      </c>
    </row>
    <row r="1372" spans="1:4" x14ac:dyDescent="0.35">
      <c r="A1372" s="1">
        <v>994</v>
      </c>
      <c r="B1372" s="2">
        <v>46181.956250000003</v>
      </c>
      <c r="C1372" s="1" t="s">
        <v>9</v>
      </c>
      <c r="D1372" s="1">
        <f>MONTH(Tabela6[[#This Row],[DATA]])</f>
        <v>6</v>
      </c>
    </row>
    <row r="1373" spans="1:4" x14ac:dyDescent="0.35">
      <c r="A1373" s="1">
        <v>995</v>
      </c>
      <c r="B1373" s="2">
        <v>46181.957638888889</v>
      </c>
      <c r="C1373" s="1" t="s">
        <v>9</v>
      </c>
      <c r="D1373" s="1">
        <f>MONTH(Tabela6[[#This Row],[DATA]])</f>
        <v>6</v>
      </c>
    </row>
    <row r="1374" spans="1:4" x14ac:dyDescent="0.35">
      <c r="A1374" s="1">
        <v>996</v>
      </c>
      <c r="B1374" s="2">
        <v>46181.958333333336</v>
      </c>
      <c r="C1374" s="1" t="s">
        <v>9</v>
      </c>
      <c r="D1374" s="1">
        <f>MONTH(Tabela6[[#This Row],[DATA]])</f>
        <v>6</v>
      </c>
    </row>
    <row r="1375" spans="1:4" x14ac:dyDescent="0.35">
      <c r="A1375" s="1">
        <v>997</v>
      </c>
      <c r="B1375" s="2">
        <v>46181.959027777775</v>
      </c>
      <c r="C1375" s="1" t="s">
        <v>9</v>
      </c>
      <c r="D1375" s="1">
        <f>MONTH(Tabela6[[#This Row],[DATA]])</f>
        <v>6</v>
      </c>
    </row>
    <row r="1376" spans="1:4" x14ac:dyDescent="0.35">
      <c r="A1376" s="1">
        <v>998</v>
      </c>
      <c r="B1376" s="2">
        <v>46181.960416666669</v>
      </c>
      <c r="C1376" s="1" t="s">
        <v>9</v>
      </c>
      <c r="D1376" s="1">
        <f>MONTH(Tabela6[[#This Row],[DATA]])</f>
        <v>6</v>
      </c>
    </row>
    <row r="1377" spans="1:4" x14ac:dyDescent="0.35">
      <c r="A1377" s="1">
        <v>999</v>
      </c>
      <c r="B1377" s="2">
        <v>46181.961805555555</v>
      </c>
      <c r="C1377" s="1" t="s">
        <v>9</v>
      </c>
      <c r="D1377" s="1">
        <f>MONTH(Tabela6[[#This Row],[DATA]])</f>
        <v>6</v>
      </c>
    </row>
    <row r="1378" spans="1:4" x14ac:dyDescent="0.35">
      <c r="A1378" s="1">
        <v>1001</v>
      </c>
      <c r="B1378" s="2">
        <v>46182.351388888892</v>
      </c>
      <c r="C1378" s="1" t="s">
        <v>33</v>
      </c>
      <c r="D1378" s="1">
        <f>MONTH(Tabela6[[#This Row],[DATA]])</f>
        <v>6</v>
      </c>
    </row>
    <row r="1379" spans="1:4" x14ac:dyDescent="0.35">
      <c r="A1379" s="1">
        <v>1002</v>
      </c>
      <c r="B1379" s="2">
        <v>46182.359722222223</v>
      </c>
      <c r="C1379" s="1" t="s">
        <v>9</v>
      </c>
      <c r="D1379" s="1">
        <f>MONTH(Tabela6[[#This Row],[DATA]])</f>
        <v>6</v>
      </c>
    </row>
    <row r="1380" spans="1:4" x14ac:dyDescent="0.35">
      <c r="A1380" s="1">
        <v>1003</v>
      </c>
      <c r="B1380" s="2">
        <v>46182.365277777775</v>
      </c>
      <c r="C1380" s="1" t="s">
        <v>5</v>
      </c>
      <c r="D1380" s="1">
        <f>MONTH(Tabela6[[#This Row],[DATA]])</f>
        <v>6</v>
      </c>
    </row>
    <row r="1381" spans="1:4" x14ac:dyDescent="0.35">
      <c r="A1381" s="1">
        <v>1006</v>
      </c>
      <c r="B1381" s="2">
        <v>46182.404861111114</v>
      </c>
      <c r="C1381" s="1" t="s">
        <v>9</v>
      </c>
      <c r="D1381" s="1">
        <f>MONTH(Tabela6[[#This Row],[DATA]])</f>
        <v>6</v>
      </c>
    </row>
    <row r="1382" spans="1:4" x14ac:dyDescent="0.35">
      <c r="A1382" s="1">
        <v>1007</v>
      </c>
      <c r="B1382" s="2">
        <v>46182.40625</v>
      </c>
      <c r="C1382" s="1" t="s">
        <v>9</v>
      </c>
      <c r="D1382" s="1">
        <f>MONTH(Tabela6[[#This Row],[DATA]])</f>
        <v>6</v>
      </c>
    </row>
    <row r="1383" spans="1:4" x14ac:dyDescent="0.35">
      <c r="A1383" s="1">
        <v>1008</v>
      </c>
      <c r="B1383" s="2">
        <v>46182.406944444447</v>
      </c>
      <c r="C1383" s="1" t="s">
        <v>9</v>
      </c>
      <c r="D1383" s="1">
        <f>MONTH(Tabela6[[#This Row],[DATA]])</f>
        <v>6</v>
      </c>
    </row>
    <row r="1384" spans="1:4" x14ac:dyDescent="0.35">
      <c r="A1384" s="1">
        <v>1009</v>
      </c>
      <c r="B1384" s="2">
        <v>46182.415277777778</v>
      </c>
      <c r="C1384" s="1" t="s">
        <v>67</v>
      </c>
      <c r="D1384" s="1">
        <f>MONTH(Tabela6[[#This Row],[DATA]])</f>
        <v>6</v>
      </c>
    </row>
    <row r="1385" spans="1:4" x14ac:dyDescent="0.35">
      <c r="A1385" s="1">
        <v>1010</v>
      </c>
      <c r="B1385" s="2">
        <v>46182.417361111111</v>
      </c>
      <c r="C1385" s="1" t="s">
        <v>9</v>
      </c>
      <c r="D1385" s="1">
        <f>MONTH(Tabela6[[#This Row],[DATA]])</f>
        <v>6</v>
      </c>
    </row>
    <row r="1386" spans="1:4" x14ac:dyDescent="0.35">
      <c r="A1386" s="1">
        <v>1011</v>
      </c>
      <c r="B1386" s="2">
        <v>46182.419444444444</v>
      </c>
      <c r="C1386" s="1" t="s">
        <v>9</v>
      </c>
      <c r="D1386" s="1">
        <f>MONTH(Tabela6[[#This Row],[DATA]])</f>
        <v>6</v>
      </c>
    </row>
    <row r="1387" spans="1:4" x14ac:dyDescent="0.35">
      <c r="A1387" s="1">
        <v>1025</v>
      </c>
      <c r="B1387" s="2">
        <v>46182.9</v>
      </c>
      <c r="C1387" s="1" t="s">
        <v>9</v>
      </c>
      <c r="D1387" s="1">
        <f>MONTH(Tabela6[[#This Row],[DATA]])</f>
        <v>6</v>
      </c>
    </row>
    <row r="1388" spans="1:4" x14ac:dyDescent="0.35">
      <c r="A1388" s="1">
        <v>1026</v>
      </c>
      <c r="B1388" s="2">
        <v>46182.900694444441</v>
      </c>
      <c r="C1388" s="1" t="s">
        <v>9</v>
      </c>
      <c r="D1388" s="1">
        <f>MONTH(Tabela6[[#This Row],[DATA]])</f>
        <v>6</v>
      </c>
    </row>
    <row r="1389" spans="1:4" x14ac:dyDescent="0.35">
      <c r="A1389" s="1">
        <v>1027</v>
      </c>
      <c r="B1389" s="2">
        <v>46182.902777777781</v>
      </c>
      <c r="C1389" s="1" t="s">
        <v>9</v>
      </c>
      <c r="D1389" s="1">
        <f>MONTH(Tabela6[[#This Row],[DATA]])</f>
        <v>6</v>
      </c>
    </row>
    <row r="1390" spans="1:4" x14ac:dyDescent="0.35">
      <c r="A1390" s="1">
        <v>1028</v>
      </c>
      <c r="B1390" s="2">
        <v>46182.904166666667</v>
      </c>
      <c r="C1390" s="1" t="s">
        <v>9</v>
      </c>
      <c r="D1390" s="1">
        <f>MONTH(Tabela6[[#This Row],[DATA]])</f>
        <v>6</v>
      </c>
    </row>
    <row r="1391" spans="1:4" x14ac:dyDescent="0.35">
      <c r="A1391" s="1">
        <v>1029</v>
      </c>
      <c r="B1391" s="2">
        <v>46182.905555555553</v>
      </c>
      <c r="C1391" s="1" t="s">
        <v>9</v>
      </c>
      <c r="D1391" s="1">
        <f>MONTH(Tabela6[[#This Row],[DATA]])</f>
        <v>6</v>
      </c>
    </row>
    <row r="1392" spans="1:4" x14ac:dyDescent="0.35">
      <c r="A1392" s="1">
        <v>1032</v>
      </c>
      <c r="B1392" s="2">
        <v>46183.392361111109</v>
      </c>
      <c r="C1392" s="1" t="s">
        <v>33</v>
      </c>
      <c r="D1392" s="1">
        <f>MONTH(Tabela6[[#This Row],[DATA]])</f>
        <v>6</v>
      </c>
    </row>
    <row r="1393" spans="1:4" x14ac:dyDescent="0.35">
      <c r="A1393" s="1">
        <v>1033</v>
      </c>
      <c r="B1393" s="2">
        <v>46183.429166666669</v>
      </c>
      <c r="C1393" s="1" t="s">
        <v>67</v>
      </c>
      <c r="D1393" s="1">
        <f>MONTH(Tabela6[[#This Row],[DATA]])</f>
        <v>6</v>
      </c>
    </row>
    <row r="1394" spans="1:4" x14ac:dyDescent="0.35">
      <c r="A1394" s="1">
        <v>1057</v>
      </c>
      <c r="B1394" s="2">
        <v>46183.917361111111</v>
      </c>
      <c r="C1394" s="1" t="s">
        <v>9</v>
      </c>
      <c r="D1394" s="1">
        <f>MONTH(Tabela6[[#This Row],[DATA]])</f>
        <v>6</v>
      </c>
    </row>
    <row r="1395" spans="1:4" x14ac:dyDescent="0.35">
      <c r="A1395" s="1">
        <v>1058</v>
      </c>
      <c r="B1395" s="2">
        <v>46183.918749999997</v>
      </c>
      <c r="C1395" s="1" t="s">
        <v>9</v>
      </c>
      <c r="D1395" s="1">
        <f>MONTH(Tabela6[[#This Row],[DATA]])</f>
        <v>6</v>
      </c>
    </row>
    <row r="1396" spans="1:4" x14ac:dyDescent="0.35">
      <c r="A1396" s="1">
        <v>1059</v>
      </c>
      <c r="B1396" s="2">
        <v>46183.920138888891</v>
      </c>
      <c r="C1396" s="1" t="s">
        <v>9</v>
      </c>
      <c r="D1396" s="1">
        <f>MONTH(Tabela6[[#This Row],[DATA]])</f>
        <v>6</v>
      </c>
    </row>
    <row r="1397" spans="1:4" x14ac:dyDescent="0.35">
      <c r="A1397" s="1">
        <v>1060</v>
      </c>
      <c r="B1397" s="2">
        <v>46183.921527777777</v>
      </c>
      <c r="C1397" s="1" t="s">
        <v>9</v>
      </c>
      <c r="D1397" s="1">
        <f>MONTH(Tabela6[[#This Row],[DATA]])</f>
        <v>6</v>
      </c>
    </row>
    <row r="1398" spans="1:4" x14ac:dyDescent="0.35">
      <c r="A1398" s="1">
        <v>1061</v>
      </c>
      <c r="B1398" s="2">
        <v>46183.92291666667</v>
      </c>
      <c r="C1398" s="1" t="s">
        <v>9</v>
      </c>
      <c r="D1398" s="1">
        <f>MONTH(Tabela6[[#This Row],[DATA]])</f>
        <v>6</v>
      </c>
    </row>
    <row r="1399" spans="1:4" x14ac:dyDescent="0.35">
      <c r="A1399" s="1">
        <v>1062</v>
      </c>
      <c r="B1399" s="2">
        <v>46183.923611111109</v>
      </c>
      <c r="C1399" s="1" t="s">
        <v>9</v>
      </c>
      <c r="D1399" s="1">
        <f>MONTH(Tabela6[[#This Row],[DATA]])</f>
        <v>6</v>
      </c>
    </row>
    <row r="1400" spans="1:4" x14ac:dyDescent="0.35">
      <c r="A1400" s="1">
        <v>1063</v>
      </c>
      <c r="B1400" s="2">
        <v>46183.924305555556</v>
      </c>
      <c r="C1400" s="1" t="s">
        <v>9</v>
      </c>
      <c r="D1400" s="1">
        <f>MONTH(Tabela6[[#This Row],[DATA]])</f>
        <v>6</v>
      </c>
    </row>
    <row r="1401" spans="1:4" x14ac:dyDescent="0.35">
      <c r="A1401" s="1">
        <v>1069</v>
      </c>
      <c r="B1401" s="2">
        <v>46184.558333333334</v>
      </c>
      <c r="C1401" s="1" t="s">
        <v>3</v>
      </c>
      <c r="D1401" s="1">
        <f>MONTH(Tabela6[[#This Row],[DATA]])</f>
        <v>6</v>
      </c>
    </row>
    <row r="1402" spans="1:4" x14ac:dyDescent="0.35">
      <c r="A1402" s="1">
        <v>1073</v>
      </c>
      <c r="B1402" s="2">
        <v>46184.72152777778</v>
      </c>
      <c r="C1402" s="1" t="s">
        <v>33</v>
      </c>
      <c r="D1402" s="1">
        <f>MONTH(Tabela6[[#This Row],[DATA]])</f>
        <v>6</v>
      </c>
    </row>
    <row r="1403" spans="1:4" x14ac:dyDescent="0.35">
      <c r="A1403" s="1">
        <v>1074</v>
      </c>
      <c r="B1403" s="2">
        <v>46184.936111111114</v>
      </c>
      <c r="C1403" s="1" t="s">
        <v>9</v>
      </c>
      <c r="D1403" s="1">
        <f>MONTH(Tabela6[[#This Row],[DATA]])</f>
        <v>6</v>
      </c>
    </row>
    <row r="1404" spans="1:4" x14ac:dyDescent="0.35">
      <c r="A1404" s="1">
        <v>1075</v>
      </c>
      <c r="B1404" s="2">
        <v>46184.938194444447</v>
      </c>
      <c r="C1404" s="1" t="s">
        <v>9</v>
      </c>
      <c r="D1404" s="1">
        <f>MONTH(Tabela6[[#This Row],[DATA]])</f>
        <v>6</v>
      </c>
    </row>
    <row r="1405" spans="1:4" x14ac:dyDescent="0.35">
      <c r="A1405" s="1">
        <v>1076</v>
      </c>
      <c r="B1405" s="2">
        <v>46185.351388888892</v>
      </c>
      <c r="C1405" s="1" t="s">
        <v>3</v>
      </c>
      <c r="D1405" s="1">
        <f>MONTH(Tabela6[[#This Row],[DATA]])</f>
        <v>6</v>
      </c>
    </row>
    <row r="1406" spans="1:4" x14ac:dyDescent="0.35">
      <c r="A1406" s="1">
        <v>1077</v>
      </c>
      <c r="B1406" s="2">
        <v>46185.352777777778</v>
      </c>
      <c r="C1406" s="1" t="s">
        <v>21</v>
      </c>
      <c r="D1406" s="1">
        <f>MONTH(Tabela6[[#This Row],[DATA]])</f>
        <v>6</v>
      </c>
    </row>
    <row r="1407" spans="1:4" x14ac:dyDescent="0.35">
      <c r="A1407" s="1">
        <v>1078</v>
      </c>
      <c r="B1407" s="2">
        <v>46185.370138888888</v>
      </c>
      <c r="C1407" s="1" t="s">
        <v>21</v>
      </c>
      <c r="D1407" s="1">
        <f>MONTH(Tabela6[[#This Row],[DATA]])</f>
        <v>6</v>
      </c>
    </row>
    <row r="1408" spans="1:4" x14ac:dyDescent="0.35">
      <c r="A1408" s="1">
        <v>1079</v>
      </c>
      <c r="B1408" s="2">
        <v>46185.372916666667</v>
      </c>
      <c r="C1408" s="1" t="s">
        <v>22</v>
      </c>
      <c r="D1408" s="1">
        <f>MONTH(Tabela6[[#This Row],[DATA]])</f>
        <v>6</v>
      </c>
    </row>
    <row r="1409" spans="1:4" x14ac:dyDescent="0.35">
      <c r="A1409" s="1">
        <v>1080</v>
      </c>
      <c r="B1409" s="2">
        <v>46185.379166666666</v>
      </c>
      <c r="C1409" s="1" t="s">
        <v>5</v>
      </c>
      <c r="D1409" s="1">
        <f>MONTH(Tabela6[[#This Row],[DATA]])</f>
        <v>6</v>
      </c>
    </row>
    <row r="1410" spans="1:4" x14ac:dyDescent="0.35">
      <c r="A1410" s="1">
        <v>1081</v>
      </c>
      <c r="B1410" s="2">
        <v>46185.4</v>
      </c>
      <c r="C1410" s="1" t="s">
        <v>33</v>
      </c>
      <c r="D1410" s="1">
        <f>MONTH(Tabela6[[#This Row],[DATA]])</f>
        <v>6</v>
      </c>
    </row>
    <row r="1411" spans="1:4" x14ac:dyDescent="0.35">
      <c r="A1411" s="1">
        <v>1082</v>
      </c>
      <c r="B1411" s="2">
        <v>46185.423611111109</v>
      </c>
      <c r="C1411" s="1" t="s">
        <v>21</v>
      </c>
      <c r="D1411" s="1">
        <f>MONTH(Tabela6[[#This Row],[DATA]])</f>
        <v>6</v>
      </c>
    </row>
    <row r="1412" spans="1:4" x14ac:dyDescent="0.35">
      <c r="A1412" s="1">
        <v>1083</v>
      </c>
      <c r="B1412" s="2">
        <v>46185.425000000003</v>
      </c>
      <c r="C1412" s="1" t="s">
        <v>67</v>
      </c>
      <c r="D1412" s="1">
        <f>MONTH(Tabela6[[#This Row],[DATA]])</f>
        <v>6</v>
      </c>
    </row>
    <row r="1413" spans="1:4" x14ac:dyDescent="0.35">
      <c r="A1413" s="1">
        <v>1108</v>
      </c>
      <c r="B1413" s="2">
        <v>46188.345833333333</v>
      </c>
      <c r="C1413" s="1" t="s">
        <v>3</v>
      </c>
      <c r="D1413" s="1">
        <f>MONTH(Tabela6[[#This Row],[DATA]])</f>
        <v>6</v>
      </c>
    </row>
    <row r="1414" spans="1:4" x14ac:dyDescent="0.35">
      <c r="A1414" s="1">
        <v>1110</v>
      </c>
      <c r="B1414" s="2">
        <v>46188.445833333331</v>
      </c>
      <c r="C1414" s="1" t="s">
        <v>9</v>
      </c>
      <c r="D1414" s="1">
        <f>MONTH(Tabela6[[#This Row],[DATA]])</f>
        <v>6</v>
      </c>
    </row>
    <row r="1415" spans="1:4" x14ac:dyDescent="0.35">
      <c r="A1415" s="1">
        <v>1111</v>
      </c>
      <c r="B1415" s="2">
        <v>46188.446527777778</v>
      </c>
      <c r="C1415" s="1" t="s">
        <v>9</v>
      </c>
      <c r="D1415" s="1">
        <f>MONTH(Tabela6[[#This Row],[DATA]])</f>
        <v>6</v>
      </c>
    </row>
    <row r="1416" spans="1:4" x14ac:dyDescent="0.35">
      <c r="A1416" s="1">
        <v>1112</v>
      </c>
      <c r="B1416" s="2">
        <v>46188.447916666664</v>
      </c>
      <c r="C1416" s="1" t="s">
        <v>9</v>
      </c>
      <c r="D1416" s="1">
        <f>MONTH(Tabela6[[#This Row],[DATA]])</f>
        <v>6</v>
      </c>
    </row>
    <row r="1417" spans="1:4" x14ac:dyDescent="0.35">
      <c r="A1417" s="1">
        <v>1113</v>
      </c>
      <c r="B1417" s="2">
        <v>46188.449305555558</v>
      </c>
      <c r="C1417" s="1" t="s">
        <v>9</v>
      </c>
      <c r="D1417" s="1">
        <f>MONTH(Tabela6[[#This Row],[DATA]])</f>
        <v>6</v>
      </c>
    </row>
    <row r="1418" spans="1:4" x14ac:dyDescent="0.35">
      <c r="A1418" s="1">
        <v>1116</v>
      </c>
      <c r="B1418" s="2">
        <v>46188.45</v>
      </c>
      <c r="C1418" s="1" t="s">
        <v>9</v>
      </c>
      <c r="D1418" s="1">
        <f>MONTH(Tabela6[[#This Row],[DATA]])</f>
        <v>6</v>
      </c>
    </row>
    <row r="1419" spans="1:4" x14ac:dyDescent="0.35">
      <c r="A1419" s="1">
        <v>1118</v>
      </c>
      <c r="B1419" s="2">
        <v>46188.450694444444</v>
      </c>
      <c r="C1419" s="1" t="s">
        <v>9</v>
      </c>
      <c r="D1419" s="1">
        <f>MONTH(Tabela6[[#This Row],[DATA]])</f>
        <v>6</v>
      </c>
    </row>
    <row r="1420" spans="1:4" x14ac:dyDescent="0.35">
      <c r="A1420" s="1">
        <v>1120</v>
      </c>
      <c r="B1420" s="2">
        <v>46188.45208333333</v>
      </c>
      <c r="C1420" s="1" t="s">
        <v>9</v>
      </c>
      <c r="D1420" s="1">
        <f>MONTH(Tabela6[[#This Row],[DATA]])</f>
        <v>6</v>
      </c>
    </row>
    <row r="1421" spans="1:4" x14ac:dyDescent="0.35">
      <c r="A1421" s="1">
        <v>1124</v>
      </c>
      <c r="B1421" s="2">
        <v>46188.453472222223</v>
      </c>
      <c r="C1421" s="1" t="s">
        <v>9</v>
      </c>
      <c r="D1421" s="1">
        <f>MONTH(Tabela6[[#This Row],[DATA]])</f>
        <v>6</v>
      </c>
    </row>
    <row r="1422" spans="1:4" x14ac:dyDescent="0.35">
      <c r="A1422" s="1">
        <v>1125</v>
      </c>
      <c r="B1422" s="2">
        <v>46188.454861111109</v>
      </c>
      <c r="C1422" s="1" t="s">
        <v>9</v>
      </c>
      <c r="D1422" s="1">
        <f>MONTH(Tabela6[[#This Row],[DATA]])</f>
        <v>6</v>
      </c>
    </row>
    <row r="1423" spans="1:4" x14ac:dyDescent="0.35">
      <c r="A1423" s="1">
        <v>1126</v>
      </c>
      <c r="B1423" s="2">
        <v>46188.455555555556</v>
      </c>
      <c r="C1423" s="1" t="s">
        <v>9</v>
      </c>
      <c r="D1423" s="1">
        <f>MONTH(Tabela6[[#This Row],[DATA]])</f>
        <v>6</v>
      </c>
    </row>
    <row r="1424" spans="1:4" x14ac:dyDescent="0.35">
      <c r="A1424" s="1">
        <v>1127</v>
      </c>
      <c r="B1424" s="2">
        <v>46188.456250000003</v>
      </c>
      <c r="C1424" s="1" t="s">
        <v>9</v>
      </c>
      <c r="D1424" s="1">
        <f>MONTH(Tabela6[[#This Row],[DATA]])</f>
        <v>6</v>
      </c>
    </row>
    <row r="1425" spans="1:4" x14ac:dyDescent="0.35">
      <c r="A1425" s="1">
        <v>1138</v>
      </c>
      <c r="B1425" s="2">
        <v>46189.363194444442</v>
      </c>
      <c r="C1425" s="1" t="s">
        <v>3</v>
      </c>
      <c r="D1425" s="1">
        <f>MONTH(Tabela6[[#This Row],[DATA]])</f>
        <v>6</v>
      </c>
    </row>
    <row r="1426" spans="1:4" x14ac:dyDescent="0.35">
      <c r="A1426" s="1">
        <v>1140</v>
      </c>
      <c r="B1426" s="2">
        <v>46189.443749999999</v>
      </c>
      <c r="C1426" s="1" t="s">
        <v>5</v>
      </c>
      <c r="D1426" s="1">
        <f>MONTH(Tabela6[[#This Row],[DATA]])</f>
        <v>6</v>
      </c>
    </row>
    <row r="1427" spans="1:4" x14ac:dyDescent="0.35">
      <c r="A1427" s="1">
        <v>1148</v>
      </c>
      <c r="B1427" s="2">
        <v>46189.618750000001</v>
      </c>
      <c r="C1427" s="1" t="s">
        <v>59</v>
      </c>
      <c r="D1427" s="1">
        <f>MONTH(Tabela6[[#This Row],[DATA]])</f>
        <v>6</v>
      </c>
    </row>
    <row r="1428" spans="1:4" x14ac:dyDescent="0.35">
      <c r="A1428" s="1">
        <v>1149</v>
      </c>
      <c r="B1428" s="2">
        <v>46189.619444444441</v>
      </c>
      <c r="C1428" s="1" t="s">
        <v>59</v>
      </c>
      <c r="D1428" s="1">
        <f>MONTH(Tabela6[[#This Row],[DATA]])</f>
        <v>6</v>
      </c>
    </row>
    <row r="1429" spans="1:4" x14ac:dyDescent="0.35">
      <c r="A1429" s="1">
        <v>1150</v>
      </c>
      <c r="B1429" s="2">
        <v>46189.619444444441</v>
      </c>
      <c r="C1429" s="1" t="s">
        <v>59</v>
      </c>
      <c r="D1429" s="1">
        <f>MONTH(Tabela6[[#This Row],[DATA]])</f>
        <v>6</v>
      </c>
    </row>
    <row r="1430" spans="1:4" x14ac:dyDescent="0.35">
      <c r="A1430" s="1">
        <v>1151</v>
      </c>
      <c r="B1430" s="2">
        <v>46189.620138888888</v>
      </c>
      <c r="C1430" s="1" t="s">
        <v>59</v>
      </c>
      <c r="D1430" s="1">
        <f>MONTH(Tabela6[[#This Row],[DATA]])</f>
        <v>6</v>
      </c>
    </row>
    <row r="1431" spans="1:4" x14ac:dyDescent="0.35">
      <c r="A1431" s="1">
        <v>1152</v>
      </c>
      <c r="B1431" s="2">
        <v>46189.620833333334</v>
      </c>
      <c r="C1431" s="1" t="s">
        <v>59</v>
      </c>
      <c r="D1431" s="1">
        <f>MONTH(Tabela6[[#This Row],[DATA]])</f>
        <v>6</v>
      </c>
    </row>
    <row r="1432" spans="1:4" x14ac:dyDescent="0.35">
      <c r="A1432" s="1">
        <v>1153</v>
      </c>
      <c r="B1432" s="2">
        <v>46189.620833333334</v>
      </c>
      <c r="C1432" s="1" t="s">
        <v>59</v>
      </c>
      <c r="D1432" s="1">
        <f>MONTH(Tabela6[[#This Row],[DATA]])</f>
        <v>6</v>
      </c>
    </row>
    <row r="1433" spans="1:4" x14ac:dyDescent="0.35">
      <c r="A1433" s="1">
        <v>1154</v>
      </c>
      <c r="B1433" s="2">
        <v>46189.621527777781</v>
      </c>
      <c r="C1433" s="1" t="s">
        <v>59</v>
      </c>
      <c r="D1433" s="1">
        <f>MONTH(Tabela6[[#This Row],[DATA]])</f>
        <v>6</v>
      </c>
    </row>
    <row r="1434" spans="1:4" x14ac:dyDescent="0.35">
      <c r="A1434" s="1">
        <v>1155</v>
      </c>
      <c r="B1434" s="2">
        <v>46189.621527777781</v>
      </c>
      <c r="C1434" s="1" t="s">
        <v>59</v>
      </c>
      <c r="D1434" s="1">
        <f>MONTH(Tabela6[[#This Row],[DATA]])</f>
        <v>6</v>
      </c>
    </row>
    <row r="1435" spans="1:4" x14ac:dyDescent="0.35">
      <c r="A1435" s="1">
        <v>1156</v>
      </c>
      <c r="B1435" s="2">
        <v>46189.62222222222</v>
      </c>
      <c r="C1435" s="1" t="s">
        <v>59</v>
      </c>
      <c r="D1435" s="1">
        <f>MONTH(Tabela6[[#This Row],[DATA]])</f>
        <v>6</v>
      </c>
    </row>
    <row r="1436" spans="1:4" x14ac:dyDescent="0.35">
      <c r="A1436" s="1">
        <v>1157</v>
      </c>
      <c r="B1436" s="2">
        <v>46189.62222222222</v>
      </c>
      <c r="C1436" s="1" t="s">
        <v>59</v>
      </c>
      <c r="D1436" s="1">
        <f>MONTH(Tabela6[[#This Row],[DATA]])</f>
        <v>6</v>
      </c>
    </row>
    <row r="1437" spans="1:4" x14ac:dyDescent="0.35">
      <c r="A1437" s="1">
        <v>1158</v>
      </c>
      <c r="B1437" s="2">
        <v>46189.622916666667</v>
      </c>
      <c r="C1437" s="1" t="s">
        <v>59</v>
      </c>
      <c r="D1437" s="1">
        <f>MONTH(Tabela6[[#This Row],[DATA]])</f>
        <v>6</v>
      </c>
    </row>
    <row r="1438" spans="1:4" x14ac:dyDescent="0.35">
      <c r="A1438" s="1">
        <v>1165</v>
      </c>
      <c r="B1438" s="2">
        <v>46190.383333333331</v>
      </c>
      <c r="C1438" s="1" t="s">
        <v>5</v>
      </c>
      <c r="D1438" s="1">
        <f>MONTH(Tabela6[[#This Row],[DATA]])</f>
        <v>6</v>
      </c>
    </row>
    <row r="1439" spans="1:4" x14ac:dyDescent="0.35">
      <c r="A1439" s="1">
        <v>1173</v>
      </c>
      <c r="B1439" s="2">
        <v>46190.853472222225</v>
      </c>
      <c r="C1439" s="1" t="s">
        <v>28</v>
      </c>
      <c r="D1439" s="1">
        <f>MONTH(Tabela6[[#This Row],[DATA]])</f>
        <v>6</v>
      </c>
    </row>
    <row r="1440" spans="1:4" x14ac:dyDescent="0.35">
      <c r="A1440" s="1">
        <v>1174</v>
      </c>
      <c r="B1440" s="2">
        <v>46190.923611111109</v>
      </c>
      <c r="C1440" s="1" t="s">
        <v>9</v>
      </c>
      <c r="D1440" s="1">
        <f>MONTH(Tabela6[[#This Row],[DATA]])</f>
        <v>6</v>
      </c>
    </row>
    <row r="1441" spans="1:4" x14ac:dyDescent="0.35">
      <c r="A1441" s="1">
        <v>1175</v>
      </c>
      <c r="B1441" s="2">
        <v>46190.925000000003</v>
      </c>
      <c r="C1441" s="1" t="s">
        <v>9</v>
      </c>
      <c r="D1441" s="1">
        <f>MONTH(Tabela6[[#This Row],[DATA]])</f>
        <v>6</v>
      </c>
    </row>
    <row r="1442" spans="1:4" x14ac:dyDescent="0.35">
      <c r="A1442" s="1">
        <v>1176</v>
      </c>
      <c r="B1442" s="2">
        <v>46190.932638888888</v>
      </c>
      <c r="C1442" s="1" t="s">
        <v>9</v>
      </c>
      <c r="D1442" s="1">
        <f>MONTH(Tabela6[[#This Row],[DATA]])</f>
        <v>6</v>
      </c>
    </row>
    <row r="1443" spans="1:4" x14ac:dyDescent="0.35">
      <c r="A1443" s="1">
        <v>1177</v>
      </c>
      <c r="B1443" s="2">
        <v>46190.936805555553</v>
      </c>
      <c r="C1443" s="1" t="s">
        <v>9</v>
      </c>
      <c r="D1443" s="1">
        <f>MONTH(Tabela6[[#This Row],[DATA]])</f>
        <v>6</v>
      </c>
    </row>
    <row r="1444" spans="1:4" x14ac:dyDescent="0.35">
      <c r="A1444" s="1">
        <v>1178</v>
      </c>
      <c r="B1444" s="2">
        <v>46190.938194444447</v>
      </c>
      <c r="C1444" s="1" t="s">
        <v>9</v>
      </c>
      <c r="D1444" s="1">
        <f>MONTH(Tabela6[[#This Row],[DATA]])</f>
        <v>6</v>
      </c>
    </row>
    <row r="1445" spans="1:4" x14ac:dyDescent="0.35">
      <c r="A1445" s="1">
        <v>1179</v>
      </c>
      <c r="B1445" s="2">
        <v>46190.938888888886</v>
      </c>
      <c r="C1445" s="1" t="s">
        <v>9</v>
      </c>
      <c r="D1445" s="1">
        <f>MONTH(Tabela6[[#This Row],[DATA]])</f>
        <v>6</v>
      </c>
    </row>
    <row r="1446" spans="1:4" x14ac:dyDescent="0.35">
      <c r="A1446" s="1">
        <v>1181</v>
      </c>
      <c r="B1446" s="2">
        <v>46191.368750000001</v>
      </c>
      <c r="C1446" s="1" t="s">
        <v>21</v>
      </c>
      <c r="D1446" s="1">
        <f>MONTH(Tabela6[[#This Row],[DATA]])</f>
        <v>6</v>
      </c>
    </row>
    <row r="1447" spans="1:4" x14ac:dyDescent="0.35">
      <c r="A1447" s="1">
        <v>1192</v>
      </c>
      <c r="B1447" s="2">
        <v>46191.420138888891</v>
      </c>
      <c r="C1447" s="1" t="s">
        <v>22</v>
      </c>
      <c r="D1447" s="1">
        <f>MONTH(Tabela6[[#This Row],[DATA]])</f>
        <v>6</v>
      </c>
    </row>
    <row r="1448" spans="1:4" x14ac:dyDescent="0.35">
      <c r="A1448" s="1">
        <v>1227</v>
      </c>
      <c r="B1448" s="2">
        <v>46191.808333333334</v>
      </c>
      <c r="C1448" s="1" t="s">
        <v>28</v>
      </c>
      <c r="D1448" s="1">
        <f>MONTH(Tabela6[[#This Row],[DATA]])</f>
        <v>6</v>
      </c>
    </row>
    <row r="1449" spans="1:4" x14ac:dyDescent="0.35">
      <c r="A1449" s="1">
        <v>1228</v>
      </c>
      <c r="B1449" s="2">
        <v>46191.824305555558</v>
      </c>
      <c r="C1449" s="1" t="s">
        <v>5</v>
      </c>
      <c r="D1449" s="1">
        <f>MONTH(Tabela6[[#This Row],[DATA]])</f>
        <v>6</v>
      </c>
    </row>
    <row r="1450" spans="1:4" x14ac:dyDescent="0.35">
      <c r="A1450" s="1">
        <v>1229</v>
      </c>
      <c r="B1450" s="2">
        <v>46191.884027777778</v>
      </c>
      <c r="C1450" s="1" t="s">
        <v>9</v>
      </c>
      <c r="D1450" s="1">
        <f>MONTH(Tabela6[[#This Row],[DATA]])</f>
        <v>6</v>
      </c>
    </row>
    <row r="1451" spans="1:4" x14ac:dyDescent="0.35">
      <c r="A1451" s="1">
        <v>1230</v>
      </c>
      <c r="B1451" s="2">
        <v>46191.888194444444</v>
      </c>
      <c r="C1451" s="1" t="s">
        <v>9</v>
      </c>
      <c r="D1451" s="1">
        <f>MONTH(Tabela6[[#This Row],[DATA]])</f>
        <v>6</v>
      </c>
    </row>
    <row r="1452" spans="1:4" x14ac:dyDescent="0.35">
      <c r="A1452" s="1">
        <v>1231</v>
      </c>
      <c r="B1452" s="2">
        <v>46191.895833333336</v>
      </c>
      <c r="C1452" s="1" t="s">
        <v>9</v>
      </c>
      <c r="D1452" s="1">
        <f>MONTH(Tabela6[[#This Row],[DATA]])</f>
        <v>6</v>
      </c>
    </row>
    <row r="1453" spans="1:4" x14ac:dyDescent="0.35">
      <c r="A1453" s="1">
        <v>1232</v>
      </c>
      <c r="B1453" s="2">
        <v>46191.902083333334</v>
      </c>
      <c r="C1453" s="1" t="s">
        <v>9</v>
      </c>
      <c r="D1453" s="1">
        <f>MONTH(Tabela6[[#This Row],[DATA]])</f>
        <v>6</v>
      </c>
    </row>
    <row r="1454" spans="1:4" x14ac:dyDescent="0.35">
      <c r="A1454" s="1">
        <v>1233</v>
      </c>
      <c r="B1454" s="2">
        <v>46191.90625</v>
      </c>
      <c r="C1454" s="1" t="s">
        <v>9</v>
      </c>
      <c r="D1454" s="1">
        <f>MONTH(Tabela6[[#This Row],[DATA]])</f>
        <v>6</v>
      </c>
    </row>
    <row r="1455" spans="1:4" x14ac:dyDescent="0.35">
      <c r="A1455" s="1">
        <v>1234</v>
      </c>
      <c r="B1455" s="2">
        <v>46191.909722222219</v>
      </c>
      <c r="C1455" s="1" t="s">
        <v>9</v>
      </c>
      <c r="D1455" s="1">
        <f>MONTH(Tabela6[[#This Row],[DATA]])</f>
        <v>6</v>
      </c>
    </row>
    <row r="1456" spans="1:4" x14ac:dyDescent="0.35">
      <c r="A1456" s="1">
        <v>1242</v>
      </c>
      <c r="B1456" s="2">
        <v>46192.388194444444</v>
      </c>
      <c r="C1456" s="1" t="s">
        <v>28</v>
      </c>
      <c r="D1456" s="1">
        <f>MONTH(Tabela6[[#This Row],[DATA]])</f>
        <v>6</v>
      </c>
    </row>
    <row r="1457" spans="1:4" x14ac:dyDescent="0.35">
      <c r="A1457" s="1">
        <v>1243</v>
      </c>
      <c r="B1457" s="2">
        <v>46192.401388888888</v>
      </c>
      <c r="C1457" s="1" t="s">
        <v>9</v>
      </c>
      <c r="D1457" s="1">
        <f>MONTH(Tabela6[[#This Row],[DATA]])</f>
        <v>6</v>
      </c>
    </row>
    <row r="1458" spans="1:4" x14ac:dyDescent="0.35">
      <c r="A1458" s="1">
        <v>1247</v>
      </c>
      <c r="B1458" s="2">
        <v>46192.481944444444</v>
      </c>
      <c r="C1458" s="1" t="s">
        <v>5</v>
      </c>
      <c r="D1458" s="1">
        <f>MONTH(Tabela6[[#This Row],[DATA]])</f>
        <v>6</v>
      </c>
    </row>
    <row r="1459" spans="1:4" x14ac:dyDescent="0.35">
      <c r="A1459" s="1">
        <v>1255</v>
      </c>
      <c r="B1459" s="2">
        <v>46192.720138888886</v>
      </c>
      <c r="C1459" s="1" t="s">
        <v>9</v>
      </c>
      <c r="D1459" s="1">
        <f>MONTH(Tabela6[[#This Row],[DATA]])</f>
        <v>6</v>
      </c>
    </row>
    <row r="1460" spans="1:4" x14ac:dyDescent="0.35">
      <c r="A1460" s="1">
        <v>1256</v>
      </c>
      <c r="B1460" s="2">
        <v>46192.720833333333</v>
      </c>
      <c r="C1460" s="1" t="s">
        <v>9</v>
      </c>
      <c r="D1460" s="1">
        <f>MONTH(Tabela6[[#This Row],[DATA]])</f>
        <v>6</v>
      </c>
    </row>
    <row r="1461" spans="1:4" x14ac:dyDescent="0.35">
      <c r="A1461" s="1">
        <v>1257</v>
      </c>
      <c r="B1461" s="2">
        <v>46192.72152777778</v>
      </c>
      <c r="C1461" s="1" t="s">
        <v>9</v>
      </c>
      <c r="D1461" s="1">
        <f>MONTH(Tabela6[[#This Row],[DATA]])</f>
        <v>6</v>
      </c>
    </row>
    <row r="1462" spans="1:4" x14ac:dyDescent="0.35">
      <c r="A1462" s="1">
        <v>1258</v>
      </c>
      <c r="B1462" s="2">
        <v>46192.723611111112</v>
      </c>
      <c r="C1462" s="1" t="s">
        <v>9</v>
      </c>
      <c r="D1462" s="1">
        <f>MONTH(Tabela6[[#This Row],[DATA]])</f>
        <v>6</v>
      </c>
    </row>
    <row r="1463" spans="1:4" x14ac:dyDescent="0.35">
      <c r="A1463" s="1">
        <v>1259</v>
      </c>
      <c r="B1463" s="2">
        <v>46192.724305555559</v>
      </c>
      <c r="C1463" s="1" t="s">
        <v>9</v>
      </c>
      <c r="D1463" s="1">
        <f>MONTH(Tabela6[[#This Row],[DATA]])</f>
        <v>6</v>
      </c>
    </row>
    <row r="1464" spans="1:4" x14ac:dyDescent="0.35">
      <c r="A1464" s="1">
        <v>1260</v>
      </c>
      <c r="B1464" s="2">
        <v>46192.725694444445</v>
      </c>
      <c r="C1464" s="1" t="s">
        <v>9</v>
      </c>
      <c r="D1464" s="1">
        <f>MONTH(Tabela6[[#This Row],[DATA]])</f>
        <v>6</v>
      </c>
    </row>
    <row r="1465" spans="1:4" x14ac:dyDescent="0.35">
      <c r="A1465" s="1">
        <v>1261</v>
      </c>
      <c r="B1465" s="2">
        <v>46195.363888888889</v>
      </c>
      <c r="C1465" s="1" t="s">
        <v>3</v>
      </c>
      <c r="D1465" s="1">
        <f>MONTH(Tabela6[[#This Row],[DATA]])</f>
        <v>6</v>
      </c>
    </row>
    <row r="1466" spans="1:4" x14ac:dyDescent="0.35">
      <c r="A1466" s="1">
        <v>1265</v>
      </c>
      <c r="B1466" s="2">
        <v>46195.378472222219</v>
      </c>
      <c r="C1466" s="1" t="s">
        <v>28</v>
      </c>
      <c r="D1466" s="1">
        <f>MONTH(Tabela6[[#This Row],[DATA]])</f>
        <v>6</v>
      </c>
    </row>
    <row r="1467" spans="1:4" x14ac:dyDescent="0.35">
      <c r="A1467" s="1">
        <v>1268</v>
      </c>
      <c r="B1467" s="2">
        <v>46195.402777777781</v>
      </c>
      <c r="C1467" s="1" t="s">
        <v>9</v>
      </c>
      <c r="D1467" s="1">
        <f>MONTH(Tabela6[[#This Row],[DATA]])</f>
        <v>6</v>
      </c>
    </row>
    <row r="1468" spans="1:4" x14ac:dyDescent="0.35">
      <c r="A1468" s="1">
        <v>1276</v>
      </c>
      <c r="B1468" s="2">
        <v>46195.636805555558</v>
      </c>
      <c r="C1468" s="1" t="s">
        <v>22</v>
      </c>
      <c r="D1468" s="1">
        <f>MONTH(Tabela6[[#This Row],[DATA]])</f>
        <v>6</v>
      </c>
    </row>
    <row r="1469" spans="1:4" x14ac:dyDescent="0.35">
      <c r="A1469" s="1">
        <v>1294</v>
      </c>
      <c r="B1469" s="2">
        <v>46195.956944444442</v>
      </c>
      <c r="C1469" s="1" t="s">
        <v>9</v>
      </c>
      <c r="D1469" s="1">
        <f>MONTH(Tabela6[[#This Row],[DATA]])</f>
        <v>6</v>
      </c>
    </row>
    <row r="1470" spans="1:4" x14ac:dyDescent="0.35">
      <c r="A1470" s="1">
        <v>1295</v>
      </c>
      <c r="B1470" s="2">
        <v>46195.957638888889</v>
      </c>
      <c r="C1470" s="1" t="s">
        <v>9</v>
      </c>
      <c r="D1470" s="1">
        <f>MONTH(Tabela6[[#This Row],[DATA]])</f>
        <v>6</v>
      </c>
    </row>
    <row r="1471" spans="1:4" x14ac:dyDescent="0.35">
      <c r="A1471" s="1">
        <v>1296</v>
      </c>
      <c r="B1471" s="2">
        <v>46195.958333333336</v>
      </c>
      <c r="C1471" s="1" t="s">
        <v>9</v>
      </c>
      <c r="D1471" s="1">
        <f>MONTH(Tabela6[[#This Row],[DATA]])</f>
        <v>6</v>
      </c>
    </row>
    <row r="1472" spans="1:4" x14ac:dyDescent="0.35">
      <c r="A1472" s="1">
        <v>1297</v>
      </c>
      <c r="B1472" s="2">
        <v>46195.959027777775</v>
      </c>
      <c r="C1472" s="1" t="s">
        <v>9</v>
      </c>
      <c r="D1472" s="1">
        <f>MONTH(Tabela6[[#This Row],[DATA]])</f>
        <v>6</v>
      </c>
    </row>
    <row r="1473" spans="1:4" x14ac:dyDescent="0.35">
      <c r="A1473" s="1">
        <v>1304</v>
      </c>
      <c r="B1473" s="2">
        <v>46196.456944444442</v>
      </c>
      <c r="C1473" s="1" t="s">
        <v>9</v>
      </c>
      <c r="D1473" s="1">
        <f>MONTH(Tabela6[[#This Row],[DATA]])</f>
        <v>6</v>
      </c>
    </row>
    <row r="1474" spans="1:4" x14ac:dyDescent="0.35">
      <c r="A1474" s="1">
        <v>1305</v>
      </c>
      <c r="B1474" s="2">
        <v>46196.464583333334</v>
      </c>
      <c r="C1474" s="1" t="s">
        <v>9</v>
      </c>
      <c r="D1474" s="1">
        <f>MONTH(Tabela6[[#This Row],[DATA]])</f>
        <v>6</v>
      </c>
    </row>
    <row r="1475" spans="1:4" x14ac:dyDescent="0.35">
      <c r="A1475" s="1">
        <v>1306</v>
      </c>
      <c r="B1475" s="2">
        <v>46196.465277777781</v>
      </c>
      <c r="C1475" s="1" t="s">
        <v>9</v>
      </c>
      <c r="D1475" s="1">
        <f>MONTH(Tabela6[[#This Row],[DATA]])</f>
        <v>6</v>
      </c>
    </row>
    <row r="1476" spans="1:4" x14ac:dyDescent="0.35">
      <c r="A1476" s="1">
        <v>1307</v>
      </c>
      <c r="B1476" s="2">
        <v>46196.479861111111</v>
      </c>
      <c r="C1476" s="1" t="s">
        <v>21</v>
      </c>
      <c r="D1476" s="1">
        <f>MONTH(Tabela6[[#This Row],[DATA]])</f>
        <v>6</v>
      </c>
    </row>
    <row r="1477" spans="1:4" x14ac:dyDescent="0.35">
      <c r="A1477" s="1">
        <v>1308</v>
      </c>
      <c r="B1477" s="2">
        <v>46196.481944444444</v>
      </c>
      <c r="C1477" s="1" t="s">
        <v>21</v>
      </c>
      <c r="D1477" s="1">
        <f>MONTH(Tabela6[[#This Row],[DATA]])</f>
        <v>6</v>
      </c>
    </row>
    <row r="1478" spans="1:4" x14ac:dyDescent="0.35">
      <c r="A1478" s="1">
        <v>1313</v>
      </c>
      <c r="B1478" s="2">
        <v>46196.736111111109</v>
      </c>
      <c r="C1478" s="1" t="s">
        <v>5</v>
      </c>
      <c r="D1478" s="1">
        <f>MONTH(Tabela6[[#This Row],[DATA]])</f>
        <v>6</v>
      </c>
    </row>
    <row r="1479" spans="1:4" x14ac:dyDescent="0.35">
      <c r="A1479" s="1">
        <v>1326</v>
      </c>
      <c r="B1479" s="2">
        <v>46197.336805555555</v>
      </c>
      <c r="C1479" s="1" t="s">
        <v>63</v>
      </c>
      <c r="D1479" s="1">
        <f>MONTH(Tabela6[[#This Row],[DATA]])</f>
        <v>6</v>
      </c>
    </row>
    <row r="1480" spans="1:4" x14ac:dyDescent="0.35">
      <c r="A1480" s="1">
        <v>1333</v>
      </c>
      <c r="B1480" s="2">
        <v>46198.357638888891</v>
      </c>
      <c r="C1480" s="1" t="s">
        <v>3</v>
      </c>
      <c r="D1480" s="1">
        <f>MONTH(Tabela6[[#This Row],[DATA]])</f>
        <v>6</v>
      </c>
    </row>
    <row r="1481" spans="1:4" x14ac:dyDescent="0.35">
      <c r="A1481" s="1">
        <v>1334</v>
      </c>
      <c r="B1481" s="2">
        <v>46198.374305555553</v>
      </c>
      <c r="C1481" s="1" t="s">
        <v>28</v>
      </c>
      <c r="D1481" s="1">
        <f>MONTH(Tabela6[[#This Row],[DATA]])</f>
        <v>6</v>
      </c>
    </row>
    <row r="1482" spans="1:4" x14ac:dyDescent="0.35">
      <c r="A1482" s="1">
        <v>1336</v>
      </c>
      <c r="B1482" s="2">
        <v>46198.425694444442</v>
      </c>
      <c r="C1482" s="1" t="s">
        <v>5</v>
      </c>
      <c r="D1482" s="1">
        <f>MONTH(Tabela6[[#This Row],[DATA]])</f>
        <v>6</v>
      </c>
    </row>
    <row r="1483" spans="1:4" x14ac:dyDescent="0.35">
      <c r="A1483" s="1">
        <v>1337</v>
      </c>
      <c r="B1483" s="2">
        <v>46198.428472222222</v>
      </c>
      <c r="C1483" s="1" t="s">
        <v>5</v>
      </c>
      <c r="D1483" s="1">
        <f>MONTH(Tabela6[[#This Row],[DATA]])</f>
        <v>6</v>
      </c>
    </row>
    <row r="1484" spans="1:4" x14ac:dyDescent="0.35">
      <c r="A1484" s="1">
        <v>1344</v>
      </c>
      <c r="B1484" s="2">
        <v>46199.353472222225</v>
      </c>
      <c r="C1484" s="1" t="s">
        <v>3</v>
      </c>
      <c r="D1484" s="1">
        <f>MONTH(Tabela6[[#This Row],[DATA]])</f>
        <v>6</v>
      </c>
    </row>
    <row r="1485" spans="1:4" x14ac:dyDescent="0.35">
      <c r="A1485" s="1">
        <v>1350</v>
      </c>
      <c r="B1485" s="2">
        <v>46199.381249999999</v>
      </c>
      <c r="C1485" s="1" t="s">
        <v>28</v>
      </c>
      <c r="D1485" s="1">
        <f>MONTH(Tabela6[[#This Row],[DATA]])</f>
        <v>6</v>
      </c>
    </row>
    <row r="1486" spans="1:4" x14ac:dyDescent="0.35">
      <c r="A1486" s="1">
        <v>1351</v>
      </c>
      <c r="B1486" s="2">
        <v>46199.383333333331</v>
      </c>
      <c r="C1486" s="1" t="s">
        <v>28</v>
      </c>
      <c r="D1486" s="1">
        <f>MONTH(Tabela6[[#This Row],[DATA]])</f>
        <v>6</v>
      </c>
    </row>
    <row r="1487" spans="1:4" x14ac:dyDescent="0.35">
      <c r="A1487" s="1">
        <v>1352</v>
      </c>
      <c r="B1487" s="2">
        <v>46199.384722222225</v>
      </c>
      <c r="C1487" s="1" t="s">
        <v>28</v>
      </c>
      <c r="D1487" s="1">
        <f>MONTH(Tabela6[[#This Row],[DATA]])</f>
        <v>6</v>
      </c>
    </row>
    <row r="1488" spans="1:4" x14ac:dyDescent="0.35">
      <c r="A1488" s="1">
        <v>1355</v>
      </c>
      <c r="B1488" s="2">
        <v>46199.415277777778</v>
      </c>
      <c r="C1488" s="1" t="s">
        <v>5</v>
      </c>
      <c r="D1488" s="1">
        <f>MONTH(Tabela6[[#This Row],[DATA]])</f>
        <v>6</v>
      </c>
    </row>
    <row r="1489" spans="1:4" x14ac:dyDescent="0.35">
      <c r="A1489" s="1">
        <v>1364</v>
      </c>
      <c r="B1489" s="2">
        <v>46202.35833333333</v>
      </c>
      <c r="C1489" s="1" t="s">
        <v>28</v>
      </c>
      <c r="D1489" s="1">
        <f>MONTH(Tabela6[[#This Row],[DATA]])</f>
        <v>6</v>
      </c>
    </row>
    <row r="1490" spans="1:4" x14ac:dyDescent="0.35">
      <c r="A1490" s="1">
        <v>1365</v>
      </c>
      <c r="B1490" s="2">
        <v>46202.396527777775</v>
      </c>
      <c r="C1490" s="1" t="s">
        <v>22</v>
      </c>
      <c r="D1490" s="1">
        <f>MONTH(Tabela6[[#This Row],[DATA]])</f>
        <v>6</v>
      </c>
    </row>
    <row r="1491" spans="1:4" x14ac:dyDescent="0.35">
      <c r="A1491" s="1">
        <v>1367</v>
      </c>
      <c r="B1491" s="2">
        <v>46202.397916666669</v>
      </c>
      <c r="C1491" s="1" t="s">
        <v>21</v>
      </c>
      <c r="D1491" s="1">
        <f>MONTH(Tabela6[[#This Row],[DATA]])</f>
        <v>6</v>
      </c>
    </row>
    <row r="1492" spans="1:4" x14ac:dyDescent="0.35">
      <c r="A1492" s="1">
        <v>1368</v>
      </c>
      <c r="B1492" s="2">
        <v>46202.399305555555</v>
      </c>
      <c r="C1492" s="1" t="s">
        <v>21</v>
      </c>
      <c r="D1492" s="1">
        <f>MONTH(Tabela6[[#This Row],[DATA]])</f>
        <v>6</v>
      </c>
    </row>
    <row r="1493" spans="1:4" x14ac:dyDescent="0.35">
      <c r="A1493" s="1">
        <v>1378</v>
      </c>
      <c r="B1493" s="2">
        <v>46202.444444444445</v>
      </c>
      <c r="C1493" s="1" t="s">
        <v>9</v>
      </c>
      <c r="D1493" s="1">
        <f>MONTH(Tabela6[[#This Row],[DATA]])</f>
        <v>6</v>
      </c>
    </row>
    <row r="1494" spans="1:4" x14ac:dyDescent="0.35">
      <c r="A1494" s="1">
        <v>1379</v>
      </c>
      <c r="B1494" s="2">
        <v>46202.445138888892</v>
      </c>
      <c r="C1494" s="1" t="s">
        <v>9</v>
      </c>
      <c r="D1494" s="1">
        <f>MONTH(Tabela6[[#This Row],[DATA]])</f>
        <v>6</v>
      </c>
    </row>
    <row r="1495" spans="1:4" x14ac:dyDescent="0.35">
      <c r="A1495" s="1">
        <v>1380</v>
      </c>
      <c r="B1495" s="2">
        <v>46202.445833333331</v>
      </c>
      <c r="C1495" s="1" t="s">
        <v>9</v>
      </c>
      <c r="D1495" s="1">
        <f>MONTH(Tabela6[[#This Row],[DATA]])</f>
        <v>6</v>
      </c>
    </row>
    <row r="1496" spans="1:4" x14ac:dyDescent="0.35">
      <c r="A1496" s="1">
        <v>1381</v>
      </c>
      <c r="B1496" s="2">
        <v>46202.445833333331</v>
      </c>
      <c r="C1496" s="1" t="s">
        <v>9</v>
      </c>
      <c r="D1496" s="1">
        <f>MONTH(Tabela6[[#This Row],[DATA]])</f>
        <v>6</v>
      </c>
    </row>
    <row r="1497" spans="1:4" x14ac:dyDescent="0.35">
      <c r="A1497" s="1">
        <v>1382</v>
      </c>
      <c r="B1497" s="2">
        <v>46202.451388888891</v>
      </c>
      <c r="C1497" s="1" t="s">
        <v>21</v>
      </c>
      <c r="D1497" s="1">
        <f>MONTH(Tabela6[[#This Row],[DATA]])</f>
        <v>6</v>
      </c>
    </row>
    <row r="1498" spans="1:4" x14ac:dyDescent="0.35">
      <c r="A1498" s="1">
        <v>1383</v>
      </c>
      <c r="B1498" s="2">
        <v>46202.452777777777</v>
      </c>
      <c r="C1498" s="1" t="s">
        <v>21</v>
      </c>
      <c r="D1498" s="1">
        <f>MONTH(Tabela6[[#This Row],[DATA]])</f>
        <v>6</v>
      </c>
    </row>
    <row r="1499" spans="1:4" x14ac:dyDescent="0.35">
      <c r="A1499" s="1">
        <v>1433</v>
      </c>
      <c r="B1499" s="2">
        <v>46204.324999999997</v>
      </c>
      <c r="C1499" s="1" t="s">
        <v>3</v>
      </c>
      <c r="D1499" s="1">
        <f>MONTH(Tabela6[[#This Row],[DATA]])</f>
        <v>7</v>
      </c>
    </row>
    <row r="1500" spans="1:4" x14ac:dyDescent="0.35">
      <c r="A1500" s="1">
        <v>1437</v>
      </c>
      <c r="B1500" s="2">
        <v>46204.686805555553</v>
      </c>
      <c r="C1500" s="1" t="s">
        <v>9</v>
      </c>
      <c r="D1500" s="1">
        <f>MONTH(Tabela6[[#This Row],[DATA]])</f>
        <v>7</v>
      </c>
    </row>
    <row r="1501" spans="1:4" x14ac:dyDescent="0.35">
      <c r="A1501" s="1">
        <v>1442</v>
      </c>
      <c r="B1501" s="2">
        <v>46205.416666666664</v>
      </c>
      <c r="C1501" s="1" t="s">
        <v>9</v>
      </c>
      <c r="D1501" s="1">
        <f>MONTH(Tabela6[[#This Row],[DATA]])</f>
        <v>7</v>
      </c>
    </row>
    <row r="1502" spans="1:4" x14ac:dyDescent="0.35">
      <c r="A1502" s="1">
        <v>1443</v>
      </c>
      <c r="B1502" s="2">
        <v>46205.427083333336</v>
      </c>
      <c r="C1502" s="1" t="s">
        <v>9</v>
      </c>
      <c r="D1502" s="1">
        <f>MONTH(Tabela6[[#This Row],[DATA]])</f>
        <v>7</v>
      </c>
    </row>
    <row r="1503" spans="1:4" x14ac:dyDescent="0.35">
      <c r="A1503" s="1">
        <v>1444</v>
      </c>
      <c r="B1503" s="2">
        <v>46205.476388888892</v>
      </c>
      <c r="C1503" s="1" t="s">
        <v>28</v>
      </c>
      <c r="D1503" s="1">
        <f>MONTH(Tabela6[[#This Row],[DATA]])</f>
        <v>7</v>
      </c>
    </row>
    <row r="1504" spans="1:4" x14ac:dyDescent="0.35">
      <c r="A1504" s="1">
        <v>1445</v>
      </c>
      <c r="B1504" s="2">
        <v>46205.478472222225</v>
      </c>
      <c r="C1504" s="1" t="s">
        <v>22</v>
      </c>
      <c r="D1504" s="1">
        <f>MONTH(Tabela6[[#This Row],[DATA]])</f>
        <v>7</v>
      </c>
    </row>
    <row r="1505" spans="1:4" x14ac:dyDescent="0.35">
      <c r="A1505" s="1">
        <v>1447</v>
      </c>
      <c r="B1505" s="2">
        <v>46205.493750000001</v>
      </c>
      <c r="C1505" s="1" t="s">
        <v>24</v>
      </c>
      <c r="D1505" s="1">
        <f>MONTH(Tabela6[[#This Row],[DATA]])</f>
        <v>7</v>
      </c>
    </row>
    <row r="1506" spans="1:4" x14ac:dyDescent="0.35">
      <c r="A1506" s="1">
        <v>1474</v>
      </c>
      <c r="B1506" s="2">
        <v>46206.372916666667</v>
      </c>
      <c r="C1506" s="1" t="s">
        <v>24</v>
      </c>
      <c r="D1506" s="1">
        <f>MONTH(Tabela6[[#This Row],[DATA]])</f>
        <v>7</v>
      </c>
    </row>
    <row r="1507" spans="1:4" x14ac:dyDescent="0.35">
      <c r="A1507" s="1">
        <v>1475</v>
      </c>
      <c r="B1507" s="2">
        <v>46206.376388888886</v>
      </c>
      <c r="C1507" s="1" t="s">
        <v>24</v>
      </c>
      <c r="D1507" s="1">
        <f>MONTH(Tabela6[[#This Row],[DATA]])</f>
        <v>7</v>
      </c>
    </row>
    <row r="1508" spans="1:4" x14ac:dyDescent="0.35">
      <c r="A1508" s="1">
        <v>1476</v>
      </c>
      <c r="B1508" s="2">
        <v>46206.379861111112</v>
      </c>
      <c r="C1508" s="1" t="s">
        <v>24</v>
      </c>
      <c r="D1508" s="1">
        <f>MONTH(Tabela6[[#This Row],[DATA]])</f>
        <v>7</v>
      </c>
    </row>
    <row r="1509" spans="1:4" x14ac:dyDescent="0.35">
      <c r="A1509" s="1">
        <v>1477</v>
      </c>
      <c r="B1509" s="2">
        <v>46206.381249999999</v>
      </c>
      <c r="C1509" s="1" t="s">
        <v>28</v>
      </c>
      <c r="D1509" s="1">
        <f>MONTH(Tabela6[[#This Row],[DATA]])</f>
        <v>7</v>
      </c>
    </row>
    <row r="1510" spans="1:4" x14ac:dyDescent="0.35">
      <c r="A1510" s="1">
        <v>1478</v>
      </c>
      <c r="B1510" s="2">
        <v>46206.382638888892</v>
      </c>
      <c r="C1510" s="1" t="s">
        <v>22</v>
      </c>
      <c r="D1510" s="1">
        <f>MONTH(Tabela6[[#This Row],[DATA]])</f>
        <v>7</v>
      </c>
    </row>
    <row r="1511" spans="1:4" x14ac:dyDescent="0.35">
      <c r="A1511" s="1">
        <v>1479</v>
      </c>
      <c r="B1511" s="2">
        <v>46206.384027777778</v>
      </c>
      <c r="C1511" s="1" t="s">
        <v>9</v>
      </c>
      <c r="D1511" s="1">
        <f>MONTH(Tabela6[[#This Row],[DATA]])</f>
        <v>7</v>
      </c>
    </row>
    <row r="1512" spans="1:4" x14ac:dyDescent="0.35">
      <c r="A1512" s="1">
        <v>1480</v>
      </c>
      <c r="B1512" s="2">
        <v>46206.384027777778</v>
      </c>
      <c r="C1512" s="1" t="s">
        <v>9</v>
      </c>
      <c r="D1512" s="1">
        <f>MONTH(Tabela6[[#This Row],[DATA]])</f>
        <v>7</v>
      </c>
    </row>
    <row r="1513" spans="1:4" x14ac:dyDescent="0.35">
      <c r="A1513" s="1">
        <v>1481</v>
      </c>
      <c r="B1513" s="2">
        <v>46206.385416666664</v>
      </c>
      <c r="C1513" s="1" t="s">
        <v>9</v>
      </c>
      <c r="D1513" s="1">
        <f>MONTH(Tabela6[[#This Row],[DATA]])</f>
        <v>7</v>
      </c>
    </row>
    <row r="1514" spans="1:4" x14ac:dyDescent="0.35">
      <c r="A1514" s="1">
        <v>1482</v>
      </c>
      <c r="B1514" s="2">
        <v>46206.386111111111</v>
      </c>
      <c r="C1514" s="1" t="s">
        <v>9</v>
      </c>
      <c r="D1514" s="1">
        <f>MONTH(Tabela6[[#This Row],[DATA]])</f>
        <v>7</v>
      </c>
    </row>
    <row r="1515" spans="1:4" x14ac:dyDescent="0.35">
      <c r="A1515" s="1">
        <v>1489</v>
      </c>
      <c r="B1515" s="2">
        <v>46206.475694444445</v>
      </c>
      <c r="C1515" s="1" t="s">
        <v>9</v>
      </c>
      <c r="D1515" s="1">
        <f>MONTH(Tabela6[[#This Row],[DATA]])</f>
        <v>7</v>
      </c>
    </row>
    <row r="1516" spans="1:4" x14ac:dyDescent="0.35">
      <c r="A1516" s="1">
        <v>1532</v>
      </c>
      <c r="B1516" s="2">
        <v>46209.365277777775</v>
      </c>
      <c r="C1516" s="1" t="s">
        <v>28</v>
      </c>
      <c r="D1516" s="1">
        <f>MONTH(Tabela6[[#This Row],[DATA]])</f>
        <v>7</v>
      </c>
    </row>
    <row r="1517" spans="1:4" x14ac:dyDescent="0.35">
      <c r="A1517" s="1">
        <v>1533</v>
      </c>
      <c r="B1517" s="2">
        <v>46209.370833333334</v>
      </c>
      <c r="C1517" s="1" t="s">
        <v>28</v>
      </c>
      <c r="D1517" s="1">
        <f>MONTH(Tabela6[[#This Row],[DATA]])</f>
        <v>7</v>
      </c>
    </row>
    <row r="1518" spans="1:4" x14ac:dyDescent="0.35">
      <c r="A1518" s="1">
        <v>1534</v>
      </c>
      <c r="B1518" s="2">
        <v>46209.396527777775</v>
      </c>
      <c r="C1518" s="1" t="s">
        <v>24</v>
      </c>
      <c r="D1518" s="1">
        <f>MONTH(Tabela6[[#This Row],[DATA]])</f>
        <v>7</v>
      </c>
    </row>
    <row r="1519" spans="1:4" x14ac:dyDescent="0.35">
      <c r="A1519" s="1">
        <v>1535</v>
      </c>
      <c r="B1519" s="2">
        <v>46209.412499999999</v>
      </c>
      <c r="C1519" s="1" t="s">
        <v>22</v>
      </c>
      <c r="D1519" s="1">
        <f>MONTH(Tabela6[[#This Row],[DATA]])</f>
        <v>7</v>
      </c>
    </row>
    <row r="1520" spans="1:4" x14ac:dyDescent="0.35">
      <c r="A1520" s="1">
        <v>1537</v>
      </c>
      <c r="B1520" s="2">
        <v>46209.427083333336</v>
      </c>
      <c r="C1520" s="1" t="s">
        <v>21</v>
      </c>
      <c r="D1520" s="1">
        <f>MONTH(Tabela6[[#This Row],[DATA]])</f>
        <v>7</v>
      </c>
    </row>
    <row r="1521" spans="1:4" x14ac:dyDescent="0.35">
      <c r="A1521" s="1">
        <v>1538</v>
      </c>
      <c r="B1521" s="2">
        <v>46209.436805555553</v>
      </c>
      <c r="C1521" s="1" t="s">
        <v>33</v>
      </c>
      <c r="D1521" s="1">
        <f>MONTH(Tabela6[[#This Row],[DATA]])</f>
        <v>7</v>
      </c>
    </row>
    <row r="1522" spans="1:4" x14ac:dyDescent="0.35">
      <c r="A1522" s="1">
        <v>1539</v>
      </c>
      <c r="B1522" s="2">
        <v>46209.439583333333</v>
      </c>
      <c r="C1522" s="1" t="s">
        <v>33</v>
      </c>
      <c r="D1522" s="1">
        <f>MONTH(Tabela6[[#This Row],[DATA]])</f>
        <v>7</v>
      </c>
    </row>
    <row r="1523" spans="1:4" x14ac:dyDescent="0.35">
      <c r="A1523" s="1">
        <v>1545</v>
      </c>
      <c r="B1523" s="2">
        <v>46209.572222222225</v>
      </c>
      <c r="C1523" s="1" t="s">
        <v>9</v>
      </c>
      <c r="D1523" s="1">
        <f>MONTH(Tabela6[[#This Row],[DATA]])</f>
        <v>7</v>
      </c>
    </row>
    <row r="1524" spans="1:4" x14ac:dyDescent="0.35">
      <c r="A1524" s="1">
        <v>1546</v>
      </c>
      <c r="B1524" s="2">
        <v>46209.573611111111</v>
      </c>
      <c r="C1524" s="1" t="s">
        <v>9</v>
      </c>
      <c r="D1524" s="1">
        <f>MONTH(Tabela6[[#This Row],[DATA]])</f>
        <v>7</v>
      </c>
    </row>
    <row r="1525" spans="1:4" x14ac:dyDescent="0.35">
      <c r="A1525" s="1">
        <v>1570</v>
      </c>
      <c r="B1525" s="2">
        <v>46209.844444444447</v>
      </c>
      <c r="C1525" s="1" t="s">
        <v>9</v>
      </c>
      <c r="D1525" s="1">
        <f>MONTH(Tabela6[[#This Row],[DATA]])</f>
        <v>7</v>
      </c>
    </row>
    <row r="1526" spans="1:4" x14ac:dyDescent="0.35">
      <c r="A1526" s="1">
        <v>1571</v>
      </c>
      <c r="B1526" s="2">
        <v>46209.845833333333</v>
      </c>
      <c r="C1526" s="1" t="s">
        <v>9</v>
      </c>
      <c r="D1526" s="1">
        <f>MONTH(Tabela6[[#This Row],[DATA]])</f>
        <v>7</v>
      </c>
    </row>
    <row r="1527" spans="1:4" x14ac:dyDescent="0.35">
      <c r="A1527" s="1">
        <v>1572</v>
      </c>
      <c r="B1527" s="2">
        <v>46209.847222222219</v>
      </c>
      <c r="C1527" s="1" t="s">
        <v>9</v>
      </c>
      <c r="D1527" s="1">
        <f>MONTH(Tabela6[[#This Row],[DATA]])</f>
        <v>7</v>
      </c>
    </row>
    <row r="1528" spans="1:4" x14ac:dyDescent="0.35">
      <c r="A1528" s="1">
        <v>1573</v>
      </c>
      <c r="B1528" s="2">
        <v>46209.847916666666</v>
      </c>
      <c r="C1528" s="1" t="s">
        <v>9</v>
      </c>
      <c r="D1528" s="1">
        <f>MONTH(Tabela6[[#This Row],[DATA]])</f>
        <v>7</v>
      </c>
    </row>
    <row r="1529" spans="1:4" x14ac:dyDescent="0.35">
      <c r="A1529" s="1">
        <v>1574</v>
      </c>
      <c r="B1529" s="2">
        <v>46209.849305555559</v>
      </c>
      <c r="C1529" s="1" t="s">
        <v>9</v>
      </c>
      <c r="D1529" s="1">
        <f>MONTH(Tabela6[[#This Row],[DATA]])</f>
        <v>7</v>
      </c>
    </row>
    <row r="1530" spans="1:4" x14ac:dyDescent="0.35">
      <c r="A1530" s="1">
        <v>1575</v>
      </c>
      <c r="B1530" s="2">
        <v>46209.85</v>
      </c>
      <c r="C1530" s="1" t="s">
        <v>9</v>
      </c>
      <c r="D1530" s="1">
        <f>MONTH(Tabela6[[#This Row],[DATA]])</f>
        <v>7</v>
      </c>
    </row>
    <row r="1531" spans="1:4" x14ac:dyDescent="0.35">
      <c r="A1531" s="1">
        <v>1576</v>
      </c>
      <c r="B1531" s="2">
        <v>46210.344444444447</v>
      </c>
      <c r="C1531" s="1" t="s">
        <v>33</v>
      </c>
      <c r="D1531" s="1">
        <f>MONTH(Tabela6[[#This Row],[DATA]])</f>
        <v>7</v>
      </c>
    </row>
    <row r="1532" spans="1:4" x14ac:dyDescent="0.35">
      <c r="A1532" s="1">
        <v>1577</v>
      </c>
      <c r="B1532" s="2">
        <v>46210.375694444447</v>
      </c>
      <c r="C1532" s="1" t="s">
        <v>9</v>
      </c>
      <c r="D1532" s="1">
        <f>MONTH(Tabela6[[#This Row],[DATA]])</f>
        <v>7</v>
      </c>
    </row>
    <row r="1533" spans="1:4" x14ac:dyDescent="0.35">
      <c r="A1533" s="1">
        <v>1578</v>
      </c>
      <c r="B1533" s="2">
        <v>46210.376388888886</v>
      </c>
      <c r="C1533" s="1" t="s">
        <v>9</v>
      </c>
      <c r="D1533" s="1">
        <f>MONTH(Tabela6[[#This Row],[DATA]])</f>
        <v>7</v>
      </c>
    </row>
    <row r="1534" spans="1:4" x14ac:dyDescent="0.35">
      <c r="A1534" s="1">
        <v>1579</v>
      </c>
      <c r="B1534" s="2">
        <v>46210.377083333333</v>
      </c>
      <c r="C1534" s="1" t="s">
        <v>9</v>
      </c>
      <c r="D1534" s="1">
        <f>MONTH(Tabela6[[#This Row],[DATA]])</f>
        <v>7</v>
      </c>
    </row>
    <row r="1535" spans="1:4" x14ac:dyDescent="0.35">
      <c r="A1535" s="1">
        <v>1580</v>
      </c>
      <c r="B1535" s="2">
        <v>46210.379861111112</v>
      </c>
      <c r="C1535" s="1" t="s">
        <v>9</v>
      </c>
      <c r="D1535" s="1">
        <f>MONTH(Tabela6[[#This Row],[DATA]])</f>
        <v>7</v>
      </c>
    </row>
    <row r="1536" spans="1:4" x14ac:dyDescent="0.35">
      <c r="A1536" s="1">
        <v>1582</v>
      </c>
      <c r="B1536" s="2">
        <v>46210.388194444444</v>
      </c>
      <c r="C1536" s="1" t="s">
        <v>9</v>
      </c>
      <c r="D1536" s="1">
        <f>MONTH(Tabela6[[#This Row],[DATA]])</f>
        <v>7</v>
      </c>
    </row>
    <row r="1537" spans="1:4" x14ac:dyDescent="0.35">
      <c r="A1537" s="1">
        <v>1588</v>
      </c>
      <c r="B1537" s="2">
        <v>46210.408333333333</v>
      </c>
      <c r="C1537" s="1" t="s">
        <v>5</v>
      </c>
      <c r="D1537" s="1">
        <f>MONTH(Tabela6[[#This Row],[DATA]])</f>
        <v>7</v>
      </c>
    </row>
    <row r="1538" spans="1:4" x14ac:dyDescent="0.35">
      <c r="A1538" s="1">
        <v>1590</v>
      </c>
      <c r="B1538" s="2">
        <v>46210.474305555559</v>
      </c>
      <c r="C1538" s="1" t="s">
        <v>22</v>
      </c>
      <c r="D1538" s="1">
        <f>MONTH(Tabela6[[#This Row],[DATA]])</f>
        <v>7</v>
      </c>
    </row>
    <row r="1539" spans="1:4" x14ac:dyDescent="0.35">
      <c r="A1539" s="1">
        <v>1592</v>
      </c>
      <c r="B1539" s="2">
        <v>46210.49722222222</v>
      </c>
      <c r="C1539" s="1" t="s">
        <v>3</v>
      </c>
      <c r="D1539" s="1">
        <f>MONTH(Tabela6[[#This Row],[DATA]])</f>
        <v>7</v>
      </c>
    </row>
    <row r="1540" spans="1:4" x14ac:dyDescent="0.35">
      <c r="A1540" s="1">
        <v>1611</v>
      </c>
      <c r="B1540" s="2">
        <v>46211.349305555559</v>
      </c>
      <c r="C1540" s="1" t="s">
        <v>3</v>
      </c>
      <c r="D1540" s="1">
        <f>MONTH(Tabela6[[#This Row],[DATA]])</f>
        <v>7</v>
      </c>
    </row>
    <row r="1541" spans="1:4" x14ac:dyDescent="0.35">
      <c r="A1541" s="1">
        <v>1613</v>
      </c>
      <c r="B1541" s="2">
        <v>46211.399305555555</v>
      </c>
      <c r="C1541" s="1" t="s">
        <v>3</v>
      </c>
      <c r="D1541" s="1">
        <f>MONTH(Tabela6[[#This Row],[DATA]])</f>
        <v>7</v>
      </c>
    </row>
    <row r="1542" spans="1:4" x14ac:dyDescent="0.35">
      <c r="A1542" s="1">
        <v>1615</v>
      </c>
      <c r="B1542" s="2">
        <v>46211.420138888891</v>
      </c>
      <c r="C1542" s="1" t="s">
        <v>5</v>
      </c>
      <c r="D1542" s="1">
        <f>MONTH(Tabela6[[#This Row],[DATA]])</f>
        <v>7</v>
      </c>
    </row>
    <row r="1543" spans="1:4" x14ac:dyDescent="0.35">
      <c r="A1543" s="1">
        <v>1616</v>
      </c>
      <c r="B1543" s="2">
        <v>46211.420138888891</v>
      </c>
      <c r="C1543" s="1" t="s">
        <v>22</v>
      </c>
      <c r="D1543" s="1">
        <f>MONTH(Tabela6[[#This Row],[DATA]])</f>
        <v>7</v>
      </c>
    </row>
    <row r="1544" spans="1:4" x14ac:dyDescent="0.35">
      <c r="A1544" s="1">
        <v>1619</v>
      </c>
      <c r="B1544" s="2">
        <v>46211.447222222225</v>
      </c>
      <c r="C1544" s="1" t="s">
        <v>3</v>
      </c>
      <c r="D1544" s="1">
        <f>MONTH(Tabela6[[#This Row],[DATA]])</f>
        <v>7</v>
      </c>
    </row>
    <row r="1545" spans="1:4" x14ac:dyDescent="0.35">
      <c r="A1545" s="1">
        <v>1620</v>
      </c>
      <c r="B1545" s="2">
        <v>46211.467361111114</v>
      </c>
      <c r="C1545" s="1" t="s">
        <v>9</v>
      </c>
      <c r="D1545" s="1">
        <f>MONTH(Tabela6[[#This Row],[DATA]])</f>
        <v>7</v>
      </c>
    </row>
    <row r="1546" spans="1:4" x14ac:dyDescent="0.35">
      <c r="A1546" s="1">
        <v>1621</v>
      </c>
      <c r="B1546" s="2">
        <v>46211.469444444447</v>
      </c>
      <c r="C1546" s="1" t="s">
        <v>9</v>
      </c>
      <c r="D1546" s="1">
        <f>MONTH(Tabela6[[#This Row],[DATA]])</f>
        <v>7</v>
      </c>
    </row>
    <row r="1547" spans="1:4" x14ac:dyDescent="0.35">
      <c r="A1547" s="1">
        <v>1622</v>
      </c>
      <c r="B1547" s="2">
        <v>46211.473611111112</v>
      </c>
      <c r="C1547" s="1" t="s">
        <v>9</v>
      </c>
      <c r="D1547" s="1">
        <f>MONTH(Tabela6[[#This Row],[DATA]])</f>
        <v>7</v>
      </c>
    </row>
    <row r="1548" spans="1:4" x14ac:dyDescent="0.35">
      <c r="A1548" s="1">
        <v>1623</v>
      </c>
      <c r="B1548" s="2">
        <v>46211.480555555558</v>
      </c>
      <c r="C1548" s="1" t="s">
        <v>9</v>
      </c>
      <c r="D1548" s="1">
        <f>MONTH(Tabela6[[#This Row],[DATA]])</f>
        <v>7</v>
      </c>
    </row>
    <row r="1549" spans="1:4" x14ac:dyDescent="0.35">
      <c r="A1549" s="1">
        <v>1627</v>
      </c>
      <c r="B1549" s="2">
        <v>46213.407638888886</v>
      </c>
      <c r="C1549" s="1" t="s">
        <v>5</v>
      </c>
      <c r="D1549" s="1">
        <f>MONTH(Tabela6[[#This Row],[DATA]])</f>
        <v>7</v>
      </c>
    </row>
    <row r="1550" spans="1:4" x14ac:dyDescent="0.35">
      <c r="A1550" s="1">
        <v>1629</v>
      </c>
      <c r="B1550" s="2">
        <v>46213.431250000001</v>
      </c>
      <c r="C1550" s="1" t="s">
        <v>3</v>
      </c>
      <c r="D1550" s="1">
        <f>MONTH(Tabela6[[#This Row],[DATA]])</f>
        <v>7</v>
      </c>
    </row>
    <row r="1551" spans="1:4" x14ac:dyDescent="0.35">
      <c r="A1551" s="1">
        <v>1651</v>
      </c>
      <c r="B1551" s="2">
        <v>46213.620833333334</v>
      </c>
      <c r="C1551" s="1" t="s">
        <v>3</v>
      </c>
      <c r="D1551" s="1">
        <f>MONTH(Tabela6[[#This Row],[DATA]])</f>
        <v>7</v>
      </c>
    </row>
    <row r="1552" spans="1:4" x14ac:dyDescent="0.35">
      <c r="A1552" s="1">
        <v>1707</v>
      </c>
      <c r="B1552" s="2">
        <v>46216.345138888886</v>
      </c>
      <c r="C1552" s="1" t="s">
        <v>3</v>
      </c>
      <c r="D1552" s="1">
        <f>MONTH(Tabela6[[#This Row],[DATA]])</f>
        <v>7</v>
      </c>
    </row>
    <row r="1553" spans="1:4" x14ac:dyDescent="0.35">
      <c r="A1553" s="1">
        <v>1710</v>
      </c>
      <c r="B1553" s="2">
        <v>46216.421527777777</v>
      </c>
      <c r="C1553" s="1" t="s">
        <v>22</v>
      </c>
      <c r="D1553" s="1">
        <f>MONTH(Tabela6[[#This Row],[DATA]])</f>
        <v>7</v>
      </c>
    </row>
    <row r="1554" spans="1:4" x14ac:dyDescent="0.35">
      <c r="A1554" s="1">
        <v>1711</v>
      </c>
      <c r="B1554" s="2">
        <v>46216.436111111114</v>
      </c>
      <c r="C1554" s="1" t="s">
        <v>22</v>
      </c>
      <c r="D1554" s="1">
        <f>MONTH(Tabela6[[#This Row],[DATA]])</f>
        <v>7</v>
      </c>
    </row>
    <row r="1555" spans="1:4" x14ac:dyDescent="0.35">
      <c r="A1555" s="1">
        <v>1712</v>
      </c>
      <c r="B1555" s="2">
        <v>46216.494444444441</v>
      </c>
      <c r="C1555" s="1" t="s">
        <v>28</v>
      </c>
      <c r="D1555" s="1">
        <f>MONTH(Tabela6[[#This Row],[DATA]])</f>
        <v>7</v>
      </c>
    </row>
    <row r="1556" spans="1:4" x14ac:dyDescent="0.35">
      <c r="A1556" s="1">
        <v>1748</v>
      </c>
      <c r="B1556" s="2">
        <v>46217.350694444445</v>
      </c>
      <c r="C1556" s="1" t="s">
        <v>3</v>
      </c>
      <c r="D1556" s="1">
        <f>MONTH(Tabela6[[#This Row],[DATA]])</f>
        <v>7</v>
      </c>
    </row>
    <row r="1557" spans="1:4" x14ac:dyDescent="0.35">
      <c r="A1557" s="1">
        <v>1749</v>
      </c>
      <c r="B1557" s="2">
        <v>46217.419444444444</v>
      </c>
      <c r="C1557" s="1" t="s">
        <v>9</v>
      </c>
      <c r="D1557" s="1">
        <f>MONTH(Tabela6[[#This Row],[DATA]])</f>
        <v>7</v>
      </c>
    </row>
    <row r="1558" spans="1:4" x14ac:dyDescent="0.35">
      <c r="A1558" s="1">
        <v>1750</v>
      </c>
      <c r="B1558" s="2">
        <v>46217.42083333333</v>
      </c>
      <c r="C1558" s="1" t="s">
        <v>9</v>
      </c>
      <c r="D1558" s="1">
        <f>MONTH(Tabela6[[#This Row],[DATA]])</f>
        <v>7</v>
      </c>
    </row>
    <row r="1559" spans="1:4" x14ac:dyDescent="0.35">
      <c r="A1559" s="1">
        <v>1751</v>
      </c>
      <c r="B1559" s="2">
        <v>46217.422222222223</v>
      </c>
      <c r="C1559" s="1" t="s">
        <v>9</v>
      </c>
      <c r="D1559" s="1">
        <f>MONTH(Tabela6[[#This Row],[DATA]])</f>
        <v>7</v>
      </c>
    </row>
    <row r="1560" spans="1:4" x14ac:dyDescent="0.35">
      <c r="A1560" s="1">
        <v>1752</v>
      </c>
      <c r="B1560" s="2">
        <v>46217.423611111109</v>
      </c>
      <c r="C1560" s="1" t="s">
        <v>9</v>
      </c>
      <c r="D1560" s="1">
        <f>MONTH(Tabela6[[#This Row],[DATA]])</f>
        <v>7</v>
      </c>
    </row>
    <row r="1561" spans="1:4" x14ac:dyDescent="0.35">
      <c r="A1561" s="1">
        <v>1753</v>
      </c>
      <c r="B1561" s="2">
        <v>46217.425694444442</v>
      </c>
      <c r="C1561" s="1" t="s">
        <v>9</v>
      </c>
      <c r="D1561" s="1">
        <f>MONTH(Tabela6[[#This Row],[DATA]])</f>
        <v>7</v>
      </c>
    </row>
    <row r="1562" spans="1:4" x14ac:dyDescent="0.35">
      <c r="A1562" s="1">
        <v>1754</v>
      </c>
      <c r="B1562" s="2">
        <v>46217.426388888889</v>
      </c>
      <c r="C1562" s="1" t="s">
        <v>9</v>
      </c>
      <c r="D1562" s="1">
        <f>MONTH(Tabela6[[#This Row],[DATA]])</f>
        <v>7</v>
      </c>
    </row>
    <row r="1563" spans="1:4" x14ac:dyDescent="0.35">
      <c r="A1563" s="1">
        <v>1755</v>
      </c>
      <c r="B1563" s="2">
        <v>46217.427083333336</v>
      </c>
      <c r="C1563" s="1" t="s">
        <v>9</v>
      </c>
      <c r="D1563" s="1">
        <f>MONTH(Tabela6[[#This Row],[DATA]])</f>
        <v>7</v>
      </c>
    </row>
    <row r="1564" spans="1:4" x14ac:dyDescent="0.35">
      <c r="A1564" s="1">
        <v>1773</v>
      </c>
      <c r="B1564" s="2">
        <v>46217.465277777781</v>
      </c>
      <c r="C1564" s="1" t="s">
        <v>28</v>
      </c>
      <c r="D1564" s="1">
        <f>MONTH(Tabela6[[#This Row],[DATA]])</f>
        <v>7</v>
      </c>
    </row>
    <row r="1565" spans="1:4" x14ac:dyDescent="0.35">
      <c r="A1565" s="1">
        <v>1794</v>
      </c>
      <c r="B1565" s="2">
        <v>46217.642361111109</v>
      </c>
      <c r="C1565" s="1" t="s">
        <v>9</v>
      </c>
      <c r="D1565" s="1">
        <f>MONTH(Tabela6[[#This Row],[DATA]])</f>
        <v>7</v>
      </c>
    </row>
    <row r="1566" spans="1:4" x14ac:dyDescent="0.35">
      <c r="A1566" s="1">
        <v>1808</v>
      </c>
      <c r="B1566" s="2">
        <v>46218.390277777777</v>
      </c>
      <c r="C1566" s="1" t="s">
        <v>28</v>
      </c>
      <c r="D1566" s="1">
        <f>MONTH(Tabela6[[#This Row],[DATA]])</f>
        <v>7</v>
      </c>
    </row>
    <row r="1567" spans="1:4" x14ac:dyDescent="0.35">
      <c r="A1567" s="1">
        <v>1828</v>
      </c>
      <c r="B1567" s="2">
        <v>46218.520138888889</v>
      </c>
      <c r="C1567" s="1" t="s">
        <v>9</v>
      </c>
      <c r="D1567" s="1">
        <f>MONTH(Tabela6[[#This Row],[DATA]])</f>
        <v>7</v>
      </c>
    </row>
    <row r="1568" spans="1:4" x14ac:dyDescent="0.35">
      <c r="A1568" s="1">
        <v>1841</v>
      </c>
      <c r="B1568" s="2">
        <v>46219.613194444442</v>
      </c>
      <c r="C1568" s="1" t="s">
        <v>28</v>
      </c>
      <c r="D1568" s="1">
        <f>MONTH(Tabela6[[#This Row],[DATA]])</f>
        <v>7</v>
      </c>
    </row>
    <row r="1569" spans="1:4" x14ac:dyDescent="0.35">
      <c r="A1569" s="1">
        <v>1846</v>
      </c>
      <c r="B1569" s="2">
        <v>46220.390277777777</v>
      </c>
      <c r="C1569" s="1" t="s">
        <v>22</v>
      </c>
      <c r="D1569" s="1">
        <f>MONTH(Tabela6[[#This Row],[DATA]])</f>
        <v>7</v>
      </c>
    </row>
    <row r="1570" spans="1:4" x14ac:dyDescent="0.35">
      <c r="A1570" s="1">
        <v>1847</v>
      </c>
      <c r="B1570" s="2">
        <v>46220.393055555556</v>
      </c>
      <c r="C1570" s="1" t="s">
        <v>22</v>
      </c>
      <c r="D1570" s="1">
        <f>MONTH(Tabela6[[#This Row],[DATA]])</f>
        <v>7</v>
      </c>
    </row>
    <row r="1571" spans="1:4" x14ac:dyDescent="0.35">
      <c r="A1571" s="1">
        <v>1848</v>
      </c>
      <c r="B1571" s="2">
        <v>46220.413888888892</v>
      </c>
      <c r="C1571" s="1" t="s">
        <v>3</v>
      </c>
      <c r="D1571" s="1">
        <f>MONTH(Tabela6[[#This Row],[DATA]])</f>
        <v>7</v>
      </c>
    </row>
    <row r="1572" spans="1:4" x14ac:dyDescent="0.35">
      <c r="A1572" s="1">
        <v>1849</v>
      </c>
      <c r="B1572" s="2">
        <v>46220.441666666666</v>
      </c>
      <c r="C1572" s="1" t="s">
        <v>28</v>
      </c>
      <c r="D1572" s="1">
        <f>MONTH(Tabela6[[#This Row],[DATA]])</f>
        <v>7</v>
      </c>
    </row>
    <row r="1573" spans="1:4" x14ac:dyDescent="0.35">
      <c r="A1573" s="1">
        <v>1853</v>
      </c>
      <c r="B1573" s="2">
        <v>46223.421527777777</v>
      </c>
      <c r="C1573" s="1" t="s">
        <v>19</v>
      </c>
      <c r="D1573" s="1">
        <f>MONTH(Tabela6[[#This Row],[DATA]])</f>
        <v>7</v>
      </c>
    </row>
    <row r="1574" spans="1:4" x14ac:dyDescent="0.35">
      <c r="A1574" s="1">
        <v>1854</v>
      </c>
      <c r="B1574" s="2">
        <v>46223.421527777777</v>
      </c>
      <c r="C1574" s="1" t="s">
        <v>22</v>
      </c>
      <c r="D1574" s="1">
        <f>MONTH(Tabela6[[#This Row],[DATA]])</f>
        <v>7</v>
      </c>
    </row>
    <row r="1575" spans="1:4" x14ac:dyDescent="0.35">
      <c r="A1575" s="1">
        <v>1855</v>
      </c>
      <c r="B1575" s="2">
        <v>46223.424305555556</v>
      </c>
      <c r="C1575" s="1" t="s">
        <v>22</v>
      </c>
      <c r="D1575" s="1">
        <f>MONTH(Tabela6[[#This Row],[DATA]])</f>
        <v>7</v>
      </c>
    </row>
    <row r="1576" spans="1:4" x14ac:dyDescent="0.35">
      <c r="A1576" s="1">
        <v>1864</v>
      </c>
      <c r="B1576" s="2">
        <v>46223.565972222219</v>
      </c>
      <c r="C1576" s="1" t="s">
        <v>19</v>
      </c>
      <c r="D1576" s="1">
        <f>MONTH(Tabela6[[#This Row],[DATA]])</f>
        <v>7</v>
      </c>
    </row>
    <row r="1577" spans="1:4" x14ac:dyDescent="0.35">
      <c r="A1577" s="1">
        <v>1865</v>
      </c>
      <c r="B1577" s="2">
        <v>46223.566666666666</v>
      </c>
      <c r="C1577" s="1" t="s">
        <v>19</v>
      </c>
      <c r="D1577" s="1">
        <f>MONTH(Tabela6[[#This Row],[DATA]])</f>
        <v>7</v>
      </c>
    </row>
    <row r="1578" spans="1:4" x14ac:dyDescent="0.35">
      <c r="A1578" s="1">
        <v>1866</v>
      </c>
      <c r="B1578" s="2">
        <v>46223.571527777778</v>
      </c>
      <c r="C1578" s="1" t="s">
        <v>19</v>
      </c>
      <c r="D1578" s="1">
        <f>MONTH(Tabela6[[#This Row],[DATA]])</f>
        <v>7</v>
      </c>
    </row>
    <row r="1579" spans="1:4" x14ac:dyDescent="0.35">
      <c r="A1579" s="1">
        <v>1867</v>
      </c>
      <c r="B1579" s="2">
        <v>46223.572916666664</v>
      </c>
      <c r="C1579" s="1" t="s">
        <v>9</v>
      </c>
      <c r="D1579" s="1">
        <f>MONTH(Tabela6[[#This Row],[DATA]])</f>
        <v>7</v>
      </c>
    </row>
    <row r="1580" spans="1:4" x14ac:dyDescent="0.35">
      <c r="A1580" s="1">
        <v>1868</v>
      </c>
      <c r="B1580" s="2">
        <v>46223.574305555558</v>
      </c>
      <c r="C1580" s="1" t="s">
        <v>9</v>
      </c>
      <c r="D1580" s="1">
        <f>MONTH(Tabela6[[#This Row],[DATA]])</f>
        <v>7</v>
      </c>
    </row>
    <row r="1581" spans="1:4" x14ac:dyDescent="0.35">
      <c r="A1581" s="1">
        <v>1869</v>
      </c>
      <c r="B1581" s="2">
        <v>46223.574999999997</v>
      </c>
      <c r="C1581" s="1" t="s">
        <v>9</v>
      </c>
      <c r="D1581" s="1">
        <f>MONTH(Tabela6[[#This Row],[DATA]])</f>
        <v>7</v>
      </c>
    </row>
    <row r="1582" spans="1:4" x14ac:dyDescent="0.35">
      <c r="A1582" s="1">
        <v>1870</v>
      </c>
      <c r="B1582" s="2">
        <v>46223.57708333333</v>
      </c>
      <c r="C1582" s="1" t="s">
        <v>9</v>
      </c>
      <c r="D1582" s="1">
        <f>MONTH(Tabela6[[#This Row],[DATA]])</f>
        <v>7</v>
      </c>
    </row>
    <row r="1583" spans="1:4" x14ac:dyDescent="0.35">
      <c r="A1583" s="1">
        <v>1890</v>
      </c>
      <c r="B1583" s="2">
        <v>46223.668749999997</v>
      </c>
      <c r="C1583" s="1" t="s">
        <v>19</v>
      </c>
      <c r="D1583" s="1">
        <f>MONTH(Tabela6[[#This Row],[DATA]])</f>
        <v>7</v>
      </c>
    </row>
    <row r="1584" spans="1:4" x14ac:dyDescent="0.35">
      <c r="A1584" s="1">
        <v>1891</v>
      </c>
      <c r="B1584" s="2">
        <v>46224.370833333334</v>
      </c>
      <c r="C1584" s="1" t="s">
        <v>3</v>
      </c>
      <c r="D1584" s="1">
        <f>MONTH(Tabela6[[#This Row],[DATA]])</f>
        <v>7</v>
      </c>
    </row>
    <row r="1585" spans="1:4" x14ac:dyDescent="0.35">
      <c r="A1585" s="1">
        <v>1911</v>
      </c>
      <c r="B1585" s="2">
        <v>46224.419444444444</v>
      </c>
      <c r="C1585" s="1" t="s">
        <v>9</v>
      </c>
      <c r="D1585" s="1">
        <f>MONTH(Tabela6[[#This Row],[DATA]])</f>
        <v>7</v>
      </c>
    </row>
    <row r="1586" spans="1:4" x14ac:dyDescent="0.35">
      <c r="A1586" s="1">
        <v>1912</v>
      </c>
      <c r="B1586" s="2">
        <v>46224.42291666667</v>
      </c>
      <c r="C1586" s="1" t="s">
        <v>9</v>
      </c>
      <c r="D1586" s="1">
        <f>MONTH(Tabela6[[#This Row],[DATA]])</f>
        <v>7</v>
      </c>
    </row>
    <row r="1587" spans="1:4" x14ac:dyDescent="0.35">
      <c r="A1587" s="1">
        <v>1913</v>
      </c>
      <c r="B1587" s="2">
        <v>46224.425000000003</v>
      </c>
      <c r="C1587" s="1" t="s">
        <v>9</v>
      </c>
      <c r="D1587" s="1">
        <f>MONTH(Tabela6[[#This Row],[DATA]])</f>
        <v>7</v>
      </c>
    </row>
    <row r="1588" spans="1:4" x14ac:dyDescent="0.35">
      <c r="A1588" s="1">
        <v>1917</v>
      </c>
      <c r="B1588" s="2">
        <v>46224.443055555559</v>
      </c>
      <c r="C1588" s="1" t="s">
        <v>19</v>
      </c>
      <c r="D1588" s="1">
        <f>MONTH(Tabela6[[#This Row],[DATA]])</f>
        <v>7</v>
      </c>
    </row>
    <row r="1589" spans="1:4" x14ac:dyDescent="0.35">
      <c r="A1589" s="1">
        <v>1926</v>
      </c>
      <c r="B1589" s="2">
        <v>46224.474305555559</v>
      </c>
      <c r="C1589" s="1" t="s">
        <v>19</v>
      </c>
      <c r="D1589" s="1">
        <f>MONTH(Tabela6[[#This Row],[DATA]])</f>
        <v>7</v>
      </c>
    </row>
    <row r="1590" spans="1:4" x14ac:dyDescent="0.35">
      <c r="A1590" s="1">
        <v>1927</v>
      </c>
      <c r="B1590" s="2">
        <v>46224.479166666664</v>
      </c>
      <c r="C1590" s="1" t="s">
        <v>19</v>
      </c>
      <c r="D1590" s="1">
        <f>MONTH(Tabela6[[#This Row],[DATA]])</f>
        <v>7</v>
      </c>
    </row>
    <row r="1591" spans="1:4" x14ac:dyDescent="0.35">
      <c r="A1591" s="1">
        <v>1933</v>
      </c>
      <c r="B1591" s="2">
        <v>46224.595833333333</v>
      </c>
      <c r="C1591" s="1" t="s">
        <v>22</v>
      </c>
      <c r="D1591" s="1">
        <f>MONTH(Tabela6[[#This Row],[DATA]])</f>
        <v>7</v>
      </c>
    </row>
    <row r="1592" spans="1:4" x14ac:dyDescent="0.35">
      <c r="A1592" s="1">
        <v>1935</v>
      </c>
      <c r="B1592" s="2">
        <v>46224.602777777778</v>
      </c>
      <c r="C1592" s="1" t="s">
        <v>22</v>
      </c>
      <c r="D1592" s="1">
        <f>MONTH(Tabela6[[#This Row],[DATA]])</f>
        <v>7</v>
      </c>
    </row>
    <row r="1593" spans="1:4" x14ac:dyDescent="0.35">
      <c r="A1593" s="1">
        <v>1959</v>
      </c>
      <c r="B1593" s="2">
        <v>46225.417361111111</v>
      </c>
      <c r="C1593" s="1" t="s">
        <v>19</v>
      </c>
      <c r="D1593" s="1">
        <f>MONTH(Tabela6[[#This Row],[DATA]])</f>
        <v>7</v>
      </c>
    </row>
    <row r="1594" spans="1:4" x14ac:dyDescent="0.35">
      <c r="A1594" s="1">
        <v>1960</v>
      </c>
      <c r="B1594" s="2">
        <v>46225.443749999999</v>
      </c>
      <c r="C1594" s="1" t="s">
        <v>19</v>
      </c>
      <c r="D1594" s="1">
        <f>MONTH(Tabela6[[#This Row],[DATA]])</f>
        <v>7</v>
      </c>
    </row>
    <row r="1595" spans="1:4" x14ac:dyDescent="0.35">
      <c r="A1595" s="1">
        <v>1961</v>
      </c>
      <c r="B1595" s="2">
        <v>46225.455555555556</v>
      </c>
      <c r="C1595" s="1" t="s">
        <v>19</v>
      </c>
      <c r="D1595" s="1">
        <f>MONTH(Tabela6[[#This Row],[DATA]])</f>
        <v>7</v>
      </c>
    </row>
    <row r="1596" spans="1:4" x14ac:dyDescent="0.35">
      <c r="A1596" s="1">
        <v>1962</v>
      </c>
      <c r="B1596" s="2">
        <v>46225.456250000003</v>
      </c>
      <c r="C1596" s="1" t="s">
        <v>19</v>
      </c>
      <c r="D1596" s="1">
        <f>MONTH(Tabela6[[#This Row],[DATA]])</f>
        <v>7</v>
      </c>
    </row>
    <row r="1597" spans="1:4" x14ac:dyDescent="0.35">
      <c r="A1597" s="1">
        <v>1975</v>
      </c>
      <c r="B1597" s="2">
        <v>46225.790972222225</v>
      </c>
      <c r="C1597" s="1" t="s">
        <v>9</v>
      </c>
      <c r="D1597" s="1">
        <f>MONTH(Tabela6[[#This Row],[DATA]])</f>
        <v>7</v>
      </c>
    </row>
    <row r="1598" spans="1:4" x14ac:dyDescent="0.35">
      <c r="A1598" s="1">
        <v>1976</v>
      </c>
      <c r="B1598" s="2">
        <v>46225.792361111111</v>
      </c>
      <c r="C1598" s="1" t="s">
        <v>9</v>
      </c>
      <c r="D1598" s="1">
        <f>MONTH(Tabela6[[#This Row],[DATA]])</f>
        <v>7</v>
      </c>
    </row>
    <row r="1599" spans="1:4" x14ac:dyDescent="0.35">
      <c r="A1599" s="1">
        <v>1977</v>
      </c>
      <c r="B1599" s="2">
        <v>46225.793055555558</v>
      </c>
      <c r="C1599" s="1" t="s">
        <v>9</v>
      </c>
      <c r="D1599" s="1">
        <f>MONTH(Tabela6[[#This Row],[DATA]])</f>
        <v>7</v>
      </c>
    </row>
    <row r="1600" spans="1:4" x14ac:dyDescent="0.35">
      <c r="A1600" s="1">
        <v>1978</v>
      </c>
      <c r="B1600" s="2">
        <v>46225.793749999997</v>
      </c>
      <c r="C1600" s="1" t="s">
        <v>9</v>
      </c>
      <c r="D1600" s="1">
        <f>MONTH(Tabela6[[#This Row],[DATA]])</f>
        <v>7</v>
      </c>
    </row>
    <row r="1601" spans="1:4" x14ac:dyDescent="0.35">
      <c r="A1601" s="1">
        <v>1979</v>
      </c>
      <c r="B1601" s="2">
        <v>46225.79583333333</v>
      </c>
      <c r="C1601" s="1" t="s">
        <v>9</v>
      </c>
      <c r="D1601" s="1">
        <f>MONTH(Tabela6[[#This Row],[DATA]])</f>
        <v>7</v>
      </c>
    </row>
    <row r="1602" spans="1:4" x14ac:dyDescent="0.35">
      <c r="A1602" s="1">
        <v>1980</v>
      </c>
      <c r="B1602" s="2">
        <v>46225.840277777781</v>
      </c>
      <c r="C1602" s="1" t="s">
        <v>19</v>
      </c>
      <c r="D1602" s="1">
        <f>MONTH(Tabela6[[#This Row],[DATA]])</f>
        <v>7</v>
      </c>
    </row>
    <row r="1603" spans="1:4" x14ac:dyDescent="0.35">
      <c r="A1603" s="1">
        <v>1981</v>
      </c>
      <c r="B1603" s="2">
        <v>46226.290972222225</v>
      </c>
      <c r="C1603" s="1" t="s">
        <v>19</v>
      </c>
      <c r="D1603" s="1">
        <f>MONTH(Tabela6[[#This Row],[DATA]])</f>
        <v>7</v>
      </c>
    </row>
    <row r="1604" spans="1:4" x14ac:dyDescent="0.35">
      <c r="A1604" s="1">
        <v>1982</v>
      </c>
      <c r="B1604" s="2">
        <v>46226.328472222223</v>
      </c>
      <c r="C1604" s="1" t="s">
        <v>19</v>
      </c>
      <c r="D1604" s="1">
        <f>MONTH(Tabela6[[#This Row],[DATA]])</f>
        <v>7</v>
      </c>
    </row>
    <row r="1605" spans="1:4" x14ac:dyDescent="0.35">
      <c r="A1605" s="1">
        <v>1983</v>
      </c>
      <c r="B1605" s="2">
        <v>46226.342361111114</v>
      </c>
      <c r="C1605" s="1" t="s">
        <v>19</v>
      </c>
      <c r="D1605" s="1">
        <f>MONTH(Tabela6[[#This Row],[DATA]])</f>
        <v>7</v>
      </c>
    </row>
    <row r="1606" spans="1:4" x14ac:dyDescent="0.35">
      <c r="A1606" s="1">
        <v>1984</v>
      </c>
      <c r="B1606" s="2">
        <v>46226.348611111112</v>
      </c>
      <c r="C1606" s="1" t="s">
        <v>28</v>
      </c>
      <c r="D1606" s="1">
        <f>MONTH(Tabela6[[#This Row],[DATA]])</f>
        <v>7</v>
      </c>
    </row>
    <row r="1607" spans="1:4" x14ac:dyDescent="0.35">
      <c r="A1607" s="1">
        <v>1985</v>
      </c>
      <c r="B1607" s="2">
        <v>46226.351388888892</v>
      </c>
      <c r="C1607" s="1" t="s">
        <v>19</v>
      </c>
      <c r="D1607" s="1">
        <f>MONTH(Tabela6[[#This Row],[DATA]])</f>
        <v>7</v>
      </c>
    </row>
    <row r="1608" spans="1:4" x14ac:dyDescent="0.35">
      <c r="A1608" s="1">
        <v>1986</v>
      </c>
      <c r="B1608" s="2">
        <v>46226.359722222223</v>
      </c>
      <c r="C1608" s="1" t="s">
        <v>22</v>
      </c>
      <c r="D1608" s="1">
        <f>MONTH(Tabela6[[#This Row],[DATA]])</f>
        <v>7</v>
      </c>
    </row>
    <row r="1609" spans="1:4" x14ac:dyDescent="0.35">
      <c r="A1609" s="1">
        <v>1988</v>
      </c>
      <c r="B1609" s="2">
        <v>46226.427777777775</v>
      </c>
      <c r="C1609" s="1" t="s">
        <v>22</v>
      </c>
      <c r="D1609" s="1">
        <f>MONTH(Tabela6[[#This Row],[DATA]])</f>
        <v>7</v>
      </c>
    </row>
    <row r="1610" spans="1:4" x14ac:dyDescent="0.35">
      <c r="A1610" s="1">
        <v>1990</v>
      </c>
      <c r="B1610" s="2">
        <v>46226.518750000003</v>
      </c>
      <c r="C1610" s="1" t="s">
        <v>19</v>
      </c>
      <c r="D1610" s="1">
        <f>MONTH(Tabela6[[#This Row],[DATA]])</f>
        <v>7</v>
      </c>
    </row>
    <row r="1611" spans="1:4" x14ac:dyDescent="0.35">
      <c r="A1611" s="1">
        <v>2004</v>
      </c>
      <c r="B1611" s="2">
        <v>46226.872916666667</v>
      </c>
      <c r="C1611" s="1" t="s">
        <v>3</v>
      </c>
      <c r="D1611" s="1">
        <f>MONTH(Tabela6[[#This Row],[DATA]])</f>
        <v>7</v>
      </c>
    </row>
    <row r="1612" spans="1:4" x14ac:dyDescent="0.35">
      <c r="A1612" s="1">
        <v>2005</v>
      </c>
      <c r="B1612" s="2">
        <v>46226.938194444447</v>
      </c>
      <c r="C1612" s="1" t="s">
        <v>9</v>
      </c>
      <c r="D1612" s="1">
        <f>MONTH(Tabela6[[#This Row],[DATA]])</f>
        <v>7</v>
      </c>
    </row>
    <row r="1613" spans="1:4" x14ac:dyDescent="0.35">
      <c r="A1613" s="1">
        <v>2006</v>
      </c>
      <c r="B1613" s="2">
        <v>46226.939583333333</v>
      </c>
      <c r="C1613" s="1" t="s">
        <v>9</v>
      </c>
      <c r="D1613" s="1">
        <f>MONTH(Tabela6[[#This Row],[DATA]])</f>
        <v>7</v>
      </c>
    </row>
    <row r="1614" spans="1:4" x14ac:dyDescent="0.35">
      <c r="A1614" s="1">
        <v>2007</v>
      </c>
      <c r="B1614" s="2">
        <v>46226.94027777778</v>
      </c>
      <c r="C1614" s="1" t="s">
        <v>9</v>
      </c>
      <c r="D1614" s="1">
        <f>MONTH(Tabela6[[#This Row],[DATA]])</f>
        <v>7</v>
      </c>
    </row>
    <row r="1615" spans="1:4" x14ac:dyDescent="0.35">
      <c r="A1615" s="1">
        <v>2008</v>
      </c>
      <c r="B1615" s="2">
        <v>46226.940972222219</v>
      </c>
      <c r="C1615" s="1" t="s">
        <v>9</v>
      </c>
      <c r="D1615" s="1">
        <f>MONTH(Tabela6[[#This Row],[DATA]])</f>
        <v>7</v>
      </c>
    </row>
    <row r="1616" spans="1:4" x14ac:dyDescent="0.35">
      <c r="A1616" s="1">
        <v>2009</v>
      </c>
      <c r="B1616" s="2">
        <v>46226.941666666666</v>
      </c>
      <c r="C1616" s="1" t="s">
        <v>9</v>
      </c>
      <c r="D1616" s="1">
        <f>MONTH(Tabela6[[#This Row],[DATA]])</f>
        <v>7</v>
      </c>
    </row>
    <row r="1617" spans="1:4" x14ac:dyDescent="0.35">
      <c r="A1617" s="1">
        <v>2010</v>
      </c>
      <c r="B1617" s="2">
        <v>46226.942361111112</v>
      </c>
      <c r="C1617" s="1" t="s">
        <v>9</v>
      </c>
      <c r="D1617" s="1">
        <f>MONTH(Tabela6[[#This Row],[DATA]])</f>
        <v>7</v>
      </c>
    </row>
    <row r="1618" spans="1:4" x14ac:dyDescent="0.35">
      <c r="A1618" s="1">
        <v>2011</v>
      </c>
      <c r="B1618" s="2">
        <v>46226.943055555559</v>
      </c>
      <c r="C1618" s="1" t="s">
        <v>9</v>
      </c>
      <c r="D1618" s="1">
        <f>MONTH(Tabela6[[#This Row],[DATA]])</f>
        <v>7</v>
      </c>
    </row>
    <row r="1619" spans="1:4" x14ac:dyDescent="0.35">
      <c r="A1619" s="1">
        <v>2015</v>
      </c>
      <c r="B1619" s="2">
        <v>46227.356944444444</v>
      </c>
      <c r="C1619" s="1" t="s">
        <v>3</v>
      </c>
      <c r="D1619" s="1">
        <f>MONTH(Tabela6[[#This Row],[DATA]])</f>
        <v>7</v>
      </c>
    </row>
    <row r="1620" spans="1:4" x14ac:dyDescent="0.35">
      <c r="A1620" s="1">
        <v>2016</v>
      </c>
      <c r="B1620" s="2">
        <v>46227.35833333333</v>
      </c>
      <c r="C1620" s="1" t="s">
        <v>28</v>
      </c>
      <c r="D1620" s="1">
        <f>MONTH(Tabela6[[#This Row],[DATA]])</f>
        <v>7</v>
      </c>
    </row>
    <row r="1621" spans="1:4" x14ac:dyDescent="0.35">
      <c r="A1621" s="1">
        <v>2023</v>
      </c>
      <c r="B1621" s="2">
        <v>46227.393750000003</v>
      </c>
      <c r="C1621" s="1" t="s">
        <v>19</v>
      </c>
      <c r="D1621" s="1">
        <f>MONTH(Tabela6[[#This Row],[DATA]])</f>
        <v>7</v>
      </c>
    </row>
    <row r="1622" spans="1:4" x14ac:dyDescent="0.35">
      <c r="A1622" s="1">
        <v>2027</v>
      </c>
      <c r="B1622" s="2">
        <v>46227.404166666667</v>
      </c>
      <c r="C1622" s="1" t="s">
        <v>22</v>
      </c>
      <c r="D1622" s="1">
        <f>MONTH(Tabela6[[#This Row],[DATA]])</f>
        <v>7</v>
      </c>
    </row>
    <row r="1623" spans="1:4" x14ac:dyDescent="0.35">
      <c r="A1623" s="1">
        <v>2073</v>
      </c>
      <c r="B1623" s="2">
        <v>46230.436805555553</v>
      </c>
      <c r="C1623" s="1" t="s">
        <v>19</v>
      </c>
      <c r="D1623" s="1">
        <f>MONTH(Tabela6[[#This Row],[DATA]])</f>
        <v>7</v>
      </c>
    </row>
    <row r="1624" spans="1:4" x14ac:dyDescent="0.35">
      <c r="A1624" s="1">
        <v>2075</v>
      </c>
      <c r="B1624" s="2">
        <v>46230.447916666664</v>
      </c>
      <c r="C1624" s="1" t="s">
        <v>28</v>
      </c>
      <c r="D1624" s="1">
        <f>MONTH(Tabela6[[#This Row],[DATA]])</f>
        <v>7</v>
      </c>
    </row>
    <row r="1625" spans="1:4" x14ac:dyDescent="0.35">
      <c r="A1625" s="1">
        <v>2091</v>
      </c>
      <c r="B1625" s="2">
        <v>46230.546527777777</v>
      </c>
      <c r="C1625" s="1" t="s">
        <v>19</v>
      </c>
      <c r="D1625" s="1">
        <f>MONTH(Tabela6[[#This Row],[DATA]])</f>
        <v>7</v>
      </c>
    </row>
    <row r="1626" spans="1:4" x14ac:dyDescent="0.35">
      <c r="A1626" s="1">
        <v>2092</v>
      </c>
      <c r="B1626" s="2">
        <v>46230.54791666667</v>
      </c>
      <c r="C1626" s="1" t="s">
        <v>19</v>
      </c>
      <c r="D1626" s="1">
        <f>MONTH(Tabela6[[#This Row],[DATA]])</f>
        <v>7</v>
      </c>
    </row>
    <row r="1627" spans="1:4" x14ac:dyDescent="0.35">
      <c r="A1627" s="1">
        <v>2109</v>
      </c>
      <c r="B1627" s="2">
        <v>46230.627083333333</v>
      </c>
      <c r="C1627" s="1" t="s">
        <v>19</v>
      </c>
      <c r="D1627" s="1">
        <f>MONTH(Tabela6[[#This Row],[DATA]])</f>
        <v>7</v>
      </c>
    </row>
    <row r="1628" spans="1:4" x14ac:dyDescent="0.35">
      <c r="A1628" s="1">
        <v>2122</v>
      </c>
      <c r="B1628" s="2">
        <v>46231.356249999997</v>
      </c>
      <c r="C1628" s="1" t="s">
        <v>28</v>
      </c>
      <c r="D1628" s="1">
        <f>MONTH(Tabela6[[#This Row],[DATA]])</f>
        <v>7</v>
      </c>
    </row>
    <row r="1629" spans="1:4" x14ac:dyDescent="0.35">
      <c r="A1629" s="1">
        <v>2125</v>
      </c>
      <c r="B1629" s="2">
        <v>46231.40902777778</v>
      </c>
      <c r="C1629" s="1" t="s">
        <v>22</v>
      </c>
      <c r="D1629" s="1">
        <f>MONTH(Tabela6[[#This Row],[DATA]])</f>
        <v>7</v>
      </c>
    </row>
    <row r="1630" spans="1:4" x14ac:dyDescent="0.35">
      <c r="A1630" s="1">
        <v>2126</v>
      </c>
      <c r="B1630" s="2">
        <v>46231.409722222219</v>
      </c>
      <c r="C1630" s="1" t="s">
        <v>22</v>
      </c>
      <c r="D1630" s="1">
        <f>MONTH(Tabela6[[#This Row],[DATA]])</f>
        <v>7</v>
      </c>
    </row>
    <row r="1631" spans="1:4" x14ac:dyDescent="0.35">
      <c r="A1631" s="1">
        <v>2127</v>
      </c>
      <c r="B1631" s="2">
        <v>46231.439583333333</v>
      </c>
      <c r="C1631" s="1" t="s">
        <v>19</v>
      </c>
      <c r="D1631" s="1">
        <f>MONTH(Tabela6[[#This Row],[DATA]])</f>
        <v>7</v>
      </c>
    </row>
    <row r="1632" spans="1:4" x14ac:dyDescent="0.35">
      <c r="A1632" s="1">
        <v>2146</v>
      </c>
      <c r="B1632" s="2">
        <v>46231.855555555558</v>
      </c>
      <c r="C1632" s="1" t="s">
        <v>9</v>
      </c>
      <c r="D1632" s="1">
        <f>MONTH(Tabela6[[#This Row],[DATA]])</f>
        <v>7</v>
      </c>
    </row>
    <row r="1633" spans="1:4" x14ac:dyDescent="0.35">
      <c r="A1633" s="1">
        <v>2147</v>
      </c>
      <c r="B1633" s="2">
        <v>46231.856249999997</v>
      </c>
      <c r="C1633" s="1" t="s">
        <v>9</v>
      </c>
      <c r="D1633" s="1">
        <f>MONTH(Tabela6[[#This Row],[DATA]])</f>
        <v>7</v>
      </c>
    </row>
    <row r="1634" spans="1:4" x14ac:dyDescent="0.35">
      <c r="A1634" s="1">
        <v>2148</v>
      </c>
      <c r="B1634" s="2">
        <v>46231.856944444444</v>
      </c>
      <c r="C1634" s="1" t="s">
        <v>9</v>
      </c>
      <c r="D1634" s="1">
        <f>MONTH(Tabela6[[#This Row],[DATA]])</f>
        <v>7</v>
      </c>
    </row>
    <row r="1635" spans="1:4" x14ac:dyDescent="0.35">
      <c r="A1635" s="1">
        <v>2149</v>
      </c>
      <c r="B1635" s="2">
        <v>46231.85833333333</v>
      </c>
      <c r="C1635" s="1" t="s">
        <v>9</v>
      </c>
      <c r="D1635" s="1">
        <f>MONTH(Tabela6[[#This Row],[DATA]])</f>
        <v>7</v>
      </c>
    </row>
    <row r="1636" spans="1:4" x14ac:dyDescent="0.35">
      <c r="A1636" s="1">
        <v>2150</v>
      </c>
      <c r="B1636" s="2">
        <v>46231.85833333333</v>
      </c>
      <c r="C1636" s="1" t="s">
        <v>9</v>
      </c>
      <c r="D1636" s="1">
        <f>MONTH(Tabela6[[#This Row],[DATA]])</f>
        <v>7</v>
      </c>
    </row>
    <row r="1637" spans="1:4" x14ac:dyDescent="0.35">
      <c r="A1637" s="1">
        <v>2151</v>
      </c>
      <c r="B1637" s="2">
        <v>46231.865277777775</v>
      </c>
      <c r="C1637" s="1" t="s">
        <v>9</v>
      </c>
      <c r="D1637" s="1">
        <f>MONTH(Tabela6[[#This Row],[DATA]])</f>
        <v>7</v>
      </c>
    </row>
    <row r="1638" spans="1:4" x14ac:dyDescent="0.35">
      <c r="A1638" s="1">
        <v>2152</v>
      </c>
      <c r="B1638" s="2">
        <v>46231.868055555555</v>
      </c>
      <c r="C1638" s="1" t="s">
        <v>9</v>
      </c>
      <c r="D1638" s="1">
        <f>MONTH(Tabela6[[#This Row],[DATA]])</f>
        <v>7</v>
      </c>
    </row>
    <row r="1639" spans="1:4" x14ac:dyDescent="0.35">
      <c r="A1639" s="1">
        <v>2153</v>
      </c>
      <c r="B1639" s="2">
        <v>46231.869444444441</v>
      </c>
      <c r="C1639" s="1" t="s">
        <v>9</v>
      </c>
      <c r="D1639" s="1">
        <f>MONTH(Tabela6[[#This Row],[DATA]])</f>
        <v>7</v>
      </c>
    </row>
    <row r="1640" spans="1:4" x14ac:dyDescent="0.35">
      <c r="A1640" s="1">
        <v>2154</v>
      </c>
      <c r="B1640" s="2">
        <v>46231.875694444447</v>
      </c>
      <c r="C1640" s="1" t="s">
        <v>9</v>
      </c>
      <c r="D1640" s="1">
        <f>MONTH(Tabela6[[#This Row],[DATA]])</f>
        <v>7</v>
      </c>
    </row>
    <row r="1641" spans="1:4" x14ac:dyDescent="0.35">
      <c r="A1641" s="1">
        <v>2155</v>
      </c>
      <c r="B1641" s="2">
        <v>46231.877083333333</v>
      </c>
      <c r="C1641" s="1" t="s">
        <v>9</v>
      </c>
      <c r="D1641" s="1">
        <f>MONTH(Tabela6[[#This Row],[DATA]])</f>
        <v>7</v>
      </c>
    </row>
    <row r="1642" spans="1:4" x14ac:dyDescent="0.35">
      <c r="A1642" s="1">
        <v>2156</v>
      </c>
      <c r="B1642" s="2">
        <v>46232.323611111111</v>
      </c>
      <c r="C1642" s="1" t="s">
        <v>19</v>
      </c>
      <c r="D1642" s="1">
        <f>MONTH(Tabela6[[#This Row],[DATA]])</f>
        <v>7</v>
      </c>
    </row>
    <row r="1643" spans="1:4" x14ac:dyDescent="0.35">
      <c r="A1643" s="1">
        <v>2157</v>
      </c>
      <c r="B1643" s="2">
        <v>46232.325694444444</v>
      </c>
      <c r="C1643" s="1" t="s">
        <v>19</v>
      </c>
      <c r="D1643" s="1">
        <f>MONTH(Tabela6[[#This Row],[DATA]])</f>
        <v>7</v>
      </c>
    </row>
    <row r="1644" spans="1:4" x14ac:dyDescent="0.35">
      <c r="A1644" s="1">
        <v>2158</v>
      </c>
      <c r="B1644" s="2">
        <v>46232.327777777777</v>
      </c>
      <c r="C1644" s="1" t="s">
        <v>19</v>
      </c>
      <c r="D1644" s="1">
        <f>MONTH(Tabela6[[#This Row],[DATA]])</f>
        <v>7</v>
      </c>
    </row>
    <row r="1645" spans="1:4" x14ac:dyDescent="0.35">
      <c r="A1645" s="1">
        <v>2159</v>
      </c>
      <c r="B1645" s="2">
        <v>46232.334722222222</v>
      </c>
      <c r="C1645" s="1" t="s">
        <v>19</v>
      </c>
      <c r="D1645" s="1">
        <f>MONTH(Tabela6[[#This Row],[DATA]])</f>
        <v>7</v>
      </c>
    </row>
    <row r="1646" spans="1:4" x14ac:dyDescent="0.35">
      <c r="A1646" s="1">
        <v>2160</v>
      </c>
      <c r="B1646" s="2">
        <v>46232.336805555555</v>
      </c>
      <c r="C1646" s="1" t="s">
        <v>19</v>
      </c>
      <c r="D1646" s="1">
        <f>MONTH(Tabela6[[#This Row],[DATA]])</f>
        <v>7</v>
      </c>
    </row>
    <row r="1647" spans="1:4" x14ac:dyDescent="0.35">
      <c r="A1647" s="1">
        <v>2161</v>
      </c>
      <c r="B1647" s="2">
        <v>46232.39166666667</v>
      </c>
      <c r="C1647" s="1" t="s">
        <v>28</v>
      </c>
      <c r="D1647" s="1">
        <f>MONTH(Tabela6[[#This Row],[DATA]])</f>
        <v>7</v>
      </c>
    </row>
    <row r="1648" spans="1:4" x14ac:dyDescent="0.35">
      <c r="A1648" s="1">
        <v>2164</v>
      </c>
      <c r="B1648" s="2">
        <v>46232.420138888891</v>
      </c>
      <c r="C1648" s="1" t="s">
        <v>19</v>
      </c>
      <c r="D1648" s="1">
        <f>MONTH(Tabela6[[#This Row],[DATA]])</f>
        <v>7</v>
      </c>
    </row>
    <row r="1649" spans="1:4" x14ac:dyDescent="0.35">
      <c r="A1649" s="1">
        <v>2172</v>
      </c>
      <c r="B1649" s="2">
        <v>46232.907638888886</v>
      </c>
      <c r="C1649" s="1" t="s">
        <v>9</v>
      </c>
      <c r="D1649" s="1">
        <f>MONTH(Tabela6[[#This Row],[DATA]])</f>
        <v>7</v>
      </c>
    </row>
    <row r="1650" spans="1:4" x14ac:dyDescent="0.35">
      <c r="A1650" s="1">
        <v>2173</v>
      </c>
      <c r="B1650" s="2">
        <v>46232.909722222219</v>
      </c>
      <c r="C1650" s="1" t="s">
        <v>9</v>
      </c>
      <c r="D1650" s="1">
        <f>MONTH(Tabela6[[#This Row],[DATA]])</f>
        <v>7</v>
      </c>
    </row>
    <row r="1651" spans="1:4" x14ac:dyDescent="0.35">
      <c r="A1651" s="1">
        <v>2174</v>
      </c>
      <c r="B1651" s="2">
        <v>46232.911111111112</v>
      </c>
      <c r="C1651" s="1" t="s">
        <v>9</v>
      </c>
      <c r="D1651" s="1">
        <f>MONTH(Tabela6[[#This Row],[DATA]])</f>
        <v>7</v>
      </c>
    </row>
    <row r="1652" spans="1:4" x14ac:dyDescent="0.35">
      <c r="A1652" s="1">
        <v>2175</v>
      </c>
      <c r="B1652" s="2">
        <v>46232.912499999999</v>
      </c>
      <c r="C1652" s="1" t="s">
        <v>9</v>
      </c>
      <c r="D1652" s="1">
        <f>MONTH(Tabela6[[#This Row],[DATA]])</f>
        <v>7</v>
      </c>
    </row>
    <row r="1653" spans="1:4" x14ac:dyDescent="0.35">
      <c r="A1653" s="1">
        <v>2176</v>
      </c>
      <c r="B1653" s="2">
        <v>46232.913888888892</v>
      </c>
      <c r="C1653" s="1" t="s">
        <v>9</v>
      </c>
      <c r="D1653" s="1">
        <f>MONTH(Tabela6[[#This Row],[DATA]])</f>
        <v>7</v>
      </c>
    </row>
    <row r="1654" spans="1:4" x14ac:dyDescent="0.35">
      <c r="A1654" s="1">
        <v>2177</v>
      </c>
      <c r="B1654" s="2">
        <v>46232.915277777778</v>
      </c>
      <c r="C1654" s="1" t="s">
        <v>9</v>
      </c>
      <c r="D1654" s="1">
        <f>MONTH(Tabela6[[#This Row],[DATA]])</f>
        <v>7</v>
      </c>
    </row>
    <row r="1655" spans="1:4" x14ac:dyDescent="0.35">
      <c r="A1655" s="1">
        <v>2178</v>
      </c>
      <c r="B1655" s="2">
        <v>46233.362500000003</v>
      </c>
      <c r="C1655" s="1" t="s">
        <v>28</v>
      </c>
      <c r="D1655" s="1">
        <f>MONTH(Tabela6[[#This Row],[DATA]])</f>
        <v>7</v>
      </c>
    </row>
    <row r="1656" spans="1:4" x14ac:dyDescent="0.35">
      <c r="A1656" s="1">
        <v>2179</v>
      </c>
      <c r="B1656" s="2">
        <v>46233.396527777775</v>
      </c>
      <c r="C1656" s="1" t="s">
        <v>22</v>
      </c>
      <c r="D1656" s="1">
        <f>MONTH(Tabela6[[#This Row],[DATA]])</f>
        <v>7</v>
      </c>
    </row>
    <row r="1657" spans="1:4" x14ac:dyDescent="0.35">
      <c r="A1657" s="1">
        <v>2180</v>
      </c>
      <c r="B1657" s="2">
        <v>46233.4</v>
      </c>
      <c r="C1657" s="1" t="s">
        <v>22</v>
      </c>
      <c r="D1657" s="1">
        <f>MONTH(Tabela6[[#This Row],[DATA]])</f>
        <v>7</v>
      </c>
    </row>
    <row r="1658" spans="1:4" x14ac:dyDescent="0.35">
      <c r="A1658" s="1">
        <v>2181</v>
      </c>
      <c r="B1658" s="2">
        <v>46233.453472222223</v>
      </c>
      <c r="C1658" s="1" t="s">
        <v>19</v>
      </c>
      <c r="D1658" s="1">
        <f>MONTH(Tabela6[[#This Row],[DATA]])</f>
        <v>7</v>
      </c>
    </row>
    <row r="1659" spans="1:4" x14ac:dyDescent="0.35">
      <c r="A1659" s="1">
        <v>2183</v>
      </c>
      <c r="B1659" s="2">
        <v>46233.543055555558</v>
      </c>
      <c r="C1659" s="1" t="s">
        <v>3</v>
      </c>
      <c r="D1659" s="1">
        <f>MONTH(Tabela6[[#This Row],[DATA]])</f>
        <v>7</v>
      </c>
    </row>
    <row r="1660" spans="1:4" x14ac:dyDescent="0.35">
      <c r="A1660" s="1">
        <v>2185</v>
      </c>
      <c r="B1660" s="2">
        <v>46233.590277777781</v>
      </c>
      <c r="C1660" s="1" t="s">
        <v>19</v>
      </c>
      <c r="D1660" s="1">
        <f>MONTH(Tabela6[[#This Row],[DATA]])</f>
        <v>7</v>
      </c>
    </row>
    <row r="1661" spans="1:4" x14ac:dyDescent="0.35">
      <c r="A1661" s="1">
        <v>2186</v>
      </c>
      <c r="B1661" s="2">
        <v>46233.591666666667</v>
      </c>
      <c r="C1661" s="1" t="s">
        <v>19</v>
      </c>
      <c r="D1661" s="1">
        <f>MONTH(Tabela6[[#This Row],[DATA]])</f>
        <v>7</v>
      </c>
    </row>
    <row r="1662" spans="1:4" x14ac:dyDescent="0.35">
      <c r="A1662" s="1">
        <v>2187</v>
      </c>
      <c r="B1662" s="2">
        <v>46233.593055555553</v>
      </c>
      <c r="C1662" s="1" t="s">
        <v>19</v>
      </c>
      <c r="D1662" s="1">
        <f>MONTH(Tabela6[[#This Row],[DATA]])</f>
        <v>7</v>
      </c>
    </row>
    <row r="1663" spans="1:4" x14ac:dyDescent="0.35">
      <c r="A1663" s="1">
        <v>2188</v>
      </c>
      <c r="B1663" s="2">
        <v>46233.594444444447</v>
      </c>
      <c r="C1663" s="1" t="s">
        <v>19</v>
      </c>
      <c r="D1663" s="1">
        <f>MONTH(Tabela6[[#This Row],[DATA]])</f>
        <v>7</v>
      </c>
    </row>
    <row r="1664" spans="1:4" x14ac:dyDescent="0.35">
      <c r="A1664" s="1">
        <v>2189</v>
      </c>
      <c r="B1664" s="2">
        <v>46233.595138888886</v>
      </c>
      <c r="C1664" s="1" t="s">
        <v>19</v>
      </c>
      <c r="D1664" s="1">
        <f>MONTH(Tabela6[[#This Row],[DATA]])</f>
        <v>7</v>
      </c>
    </row>
    <row r="1665" spans="1:4" x14ac:dyDescent="0.35">
      <c r="A1665" s="1">
        <v>2190</v>
      </c>
      <c r="B1665" s="2">
        <v>46233.67083333333</v>
      </c>
      <c r="C1665" s="1" t="s">
        <v>19</v>
      </c>
      <c r="D1665" s="1">
        <f>MONTH(Tabela6[[#This Row],[DATA]])</f>
        <v>7</v>
      </c>
    </row>
    <row r="1666" spans="1:4" x14ac:dyDescent="0.35">
      <c r="A1666" s="1">
        <v>2191</v>
      </c>
      <c r="B1666" s="2">
        <v>46233.67291666667</v>
      </c>
      <c r="C1666" s="1" t="s">
        <v>19</v>
      </c>
      <c r="D1666" s="1">
        <f>MONTH(Tabela6[[#This Row],[DATA]])</f>
        <v>7</v>
      </c>
    </row>
    <row r="1667" spans="1:4" x14ac:dyDescent="0.35">
      <c r="A1667" s="1">
        <v>2192</v>
      </c>
      <c r="B1667" s="2">
        <v>46234.374305555553</v>
      </c>
      <c r="C1667" s="1" t="s">
        <v>28</v>
      </c>
      <c r="D1667" s="1">
        <f>MONTH(Tabela6[[#This Row],[DATA]])</f>
        <v>7</v>
      </c>
    </row>
    <row r="1668" spans="1:4" x14ac:dyDescent="0.35">
      <c r="A1668" s="1">
        <v>2194</v>
      </c>
      <c r="B1668" s="2">
        <v>46234.519444444442</v>
      </c>
      <c r="C1668" s="1" t="s">
        <v>19</v>
      </c>
      <c r="D1668" s="1">
        <f>MONTH(Tabela6[[#This Row],[DATA]])</f>
        <v>7</v>
      </c>
    </row>
    <row r="1669" spans="1:4" x14ac:dyDescent="0.35">
      <c r="A1669" s="1">
        <v>2195</v>
      </c>
      <c r="B1669" s="2">
        <v>46237.34652777778</v>
      </c>
      <c r="C1669" s="1" t="s">
        <v>3</v>
      </c>
      <c r="D1669" s="1">
        <f>MONTH(Tabela6[[#This Row],[DATA]])</f>
        <v>8</v>
      </c>
    </row>
    <row r="1670" spans="1:4" x14ac:dyDescent="0.35">
      <c r="A1670" s="1">
        <v>2196</v>
      </c>
      <c r="B1670" s="2">
        <v>46237.359722222223</v>
      </c>
      <c r="C1670" s="1" t="s">
        <v>28</v>
      </c>
      <c r="D1670" s="1">
        <f>MONTH(Tabela6[[#This Row],[DATA]])</f>
        <v>8</v>
      </c>
    </row>
    <row r="1671" spans="1:4" x14ac:dyDescent="0.35">
      <c r="A1671" s="1">
        <v>2199</v>
      </c>
      <c r="B1671" s="2">
        <v>46237.667361111111</v>
      </c>
      <c r="C1671" s="1" t="s">
        <v>28</v>
      </c>
      <c r="D1671" s="1">
        <f>MONTH(Tabela6[[#This Row],[DATA]])</f>
        <v>8</v>
      </c>
    </row>
    <row r="1672" spans="1:4" x14ac:dyDescent="0.35">
      <c r="A1672" s="1">
        <v>2200</v>
      </c>
      <c r="B1672" s="2">
        <v>46237.67291666667</v>
      </c>
      <c r="C1672" s="1" t="s">
        <v>3</v>
      </c>
      <c r="D1672" s="1">
        <f>MONTH(Tabela6[[#This Row],[DATA]])</f>
        <v>8</v>
      </c>
    </row>
    <row r="1673" spans="1:4" x14ac:dyDescent="0.35">
      <c r="A1673" s="1">
        <v>2202</v>
      </c>
      <c r="B1673" s="2">
        <v>46238.317361111112</v>
      </c>
      <c r="C1673" s="1" t="s">
        <v>3</v>
      </c>
      <c r="D1673" s="1">
        <f>MONTH(Tabela6[[#This Row],[DATA]])</f>
        <v>8</v>
      </c>
    </row>
    <row r="1674" spans="1:4" x14ac:dyDescent="0.35">
      <c r="A1674" s="1">
        <v>2203</v>
      </c>
      <c r="B1674" s="2">
        <v>46238.325694444444</v>
      </c>
      <c r="C1674" s="1" t="s">
        <v>3</v>
      </c>
      <c r="D1674" s="1">
        <f>MONTH(Tabela6[[#This Row],[DATA]])</f>
        <v>8</v>
      </c>
    </row>
    <row r="1675" spans="1:4" x14ac:dyDescent="0.35">
      <c r="A1675" s="1">
        <v>2204</v>
      </c>
      <c r="B1675" s="2">
        <v>46238.32916666667</v>
      </c>
      <c r="C1675" s="1" t="s">
        <v>3</v>
      </c>
      <c r="D1675" s="1">
        <f>MONTH(Tabela6[[#This Row],[DATA]])</f>
        <v>8</v>
      </c>
    </row>
    <row r="1676" spans="1:4" x14ac:dyDescent="0.35">
      <c r="A1676" s="1">
        <v>2205</v>
      </c>
      <c r="B1676" s="2">
        <v>46238.357638888891</v>
      </c>
      <c r="C1676" s="1" t="s">
        <v>3</v>
      </c>
      <c r="D1676" s="1">
        <f>MONTH(Tabela6[[#This Row],[DATA]])</f>
        <v>8</v>
      </c>
    </row>
    <row r="1677" spans="1:4" x14ac:dyDescent="0.35">
      <c r="A1677" s="1">
        <v>2206</v>
      </c>
      <c r="B1677" s="2">
        <v>46238.382638888892</v>
      </c>
      <c r="C1677" s="1" t="s">
        <v>22</v>
      </c>
      <c r="D1677" s="1">
        <f>MONTH(Tabela6[[#This Row],[DATA]])</f>
        <v>8</v>
      </c>
    </row>
    <row r="1678" spans="1:4" x14ac:dyDescent="0.35">
      <c r="A1678" s="1">
        <v>2207</v>
      </c>
      <c r="B1678" s="2">
        <v>46238.405555555553</v>
      </c>
      <c r="C1678" s="1" t="s">
        <v>28</v>
      </c>
      <c r="D1678" s="1">
        <f>MONTH(Tabela6[[#This Row],[DATA]])</f>
        <v>8</v>
      </c>
    </row>
    <row r="1679" spans="1:4" x14ac:dyDescent="0.35">
      <c r="A1679" s="1">
        <v>2211</v>
      </c>
      <c r="B1679" s="2">
        <v>46238.544444444444</v>
      </c>
      <c r="C1679" s="1" t="s">
        <v>19</v>
      </c>
      <c r="D1679" s="1">
        <f>MONTH(Tabela6[[#This Row],[DATA]])</f>
        <v>8</v>
      </c>
    </row>
    <row r="1680" spans="1:4" x14ac:dyDescent="0.35">
      <c r="A1680" s="1">
        <v>2212</v>
      </c>
      <c r="B1680" s="2">
        <v>46238.54791666667</v>
      </c>
      <c r="C1680" s="1" t="s">
        <v>19</v>
      </c>
      <c r="D1680" s="1">
        <f>MONTH(Tabela6[[#This Row],[DATA]])</f>
        <v>8</v>
      </c>
    </row>
    <row r="1681" spans="1:4" x14ac:dyDescent="0.35">
      <c r="A1681" s="1">
        <v>2213</v>
      </c>
      <c r="B1681" s="2">
        <v>46238.549305555556</v>
      </c>
      <c r="C1681" s="1" t="s">
        <v>19</v>
      </c>
      <c r="D1681" s="1">
        <f>MONTH(Tabela6[[#This Row],[DATA]])</f>
        <v>8</v>
      </c>
    </row>
    <row r="1682" spans="1:4" x14ac:dyDescent="0.35">
      <c r="A1682" s="1">
        <v>2214</v>
      </c>
      <c r="B1682" s="2">
        <v>46238.550694444442</v>
      </c>
      <c r="C1682" s="1" t="s">
        <v>19</v>
      </c>
      <c r="D1682" s="1">
        <f>MONTH(Tabela6[[#This Row],[DATA]])</f>
        <v>8</v>
      </c>
    </row>
    <row r="1683" spans="1:4" x14ac:dyDescent="0.35">
      <c r="A1683" s="1">
        <v>2215</v>
      </c>
      <c r="B1683" s="2">
        <v>46238.551388888889</v>
      </c>
      <c r="C1683" s="1" t="s">
        <v>19</v>
      </c>
      <c r="D1683" s="1">
        <f>MONTH(Tabela6[[#This Row],[DATA]])</f>
        <v>8</v>
      </c>
    </row>
    <row r="1684" spans="1:4" x14ac:dyDescent="0.35">
      <c r="A1684" s="1">
        <v>2216</v>
      </c>
      <c r="B1684" s="2">
        <v>46238.552777777775</v>
      </c>
      <c r="C1684" s="1" t="s">
        <v>19</v>
      </c>
      <c r="D1684" s="1">
        <f>MONTH(Tabela6[[#This Row],[DATA]])</f>
        <v>8</v>
      </c>
    </row>
    <row r="1685" spans="1:4" x14ac:dyDescent="0.35">
      <c r="A1685" s="1">
        <v>2217</v>
      </c>
      <c r="B1685" s="2">
        <v>46238.553472222222</v>
      </c>
      <c r="C1685" s="1" t="s">
        <v>19</v>
      </c>
      <c r="D1685" s="1">
        <f>MONTH(Tabela6[[#This Row],[DATA]])</f>
        <v>8</v>
      </c>
    </row>
    <row r="1686" spans="1:4" x14ac:dyDescent="0.35">
      <c r="A1686" s="1">
        <v>2218</v>
      </c>
      <c r="B1686" s="2">
        <v>46238.556250000001</v>
      </c>
      <c r="C1686" s="1" t="s">
        <v>19</v>
      </c>
      <c r="D1686" s="1">
        <f>MONTH(Tabela6[[#This Row],[DATA]])</f>
        <v>8</v>
      </c>
    </row>
    <row r="1687" spans="1:4" x14ac:dyDescent="0.35">
      <c r="A1687" s="1">
        <v>2219</v>
      </c>
      <c r="B1687" s="2">
        <v>46238.5625</v>
      </c>
      <c r="C1687" s="1" t="s">
        <v>19</v>
      </c>
      <c r="D1687" s="1">
        <f>MONTH(Tabela6[[#This Row],[DATA]])</f>
        <v>8</v>
      </c>
    </row>
    <row r="1688" spans="1:4" x14ac:dyDescent="0.35">
      <c r="A1688" s="1">
        <v>2231</v>
      </c>
      <c r="B1688" s="2">
        <v>46239.370138888888</v>
      </c>
      <c r="C1688" s="1" t="s">
        <v>24</v>
      </c>
      <c r="D1688" s="1">
        <f>MONTH(Tabela6[[#This Row],[DATA]])</f>
        <v>8</v>
      </c>
    </row>
    <row r="1689" spans="1:4" x14ac:dyDescent="0.35">
      <c r="A1689" s="1">
        <v>2232</v>
      </c>
      <c r="B1689" s="2">
        <v>46239.43472222222</v>
      </c>
      <c r="C1689" s="1" t="s">
        <v>3</v>
      </c>
      <c r="D1689" s="1">
        <f>MONTH(Tabela6[[#This Row],[DATA]])</f>
        <v>8</v>
      </c>
    </row>
    <row r="1690" spans="1:4" x14ac:dyDescent="0.35">
      <c r="A1690" s="1">
        <v>2233</v>
      </c>
      <c r="B1690" s="2">
        <v>46239.453472222223</v>
      </c>
      <c r="C1690" s="1" t="s">
        <v>19</v>
      </c>
      <c r="D1690" s="1">
        <f>MONTH(Tabela6[[#This Row],[DATA]])</f>
        <v>8</v>
      </c>
    </row>
    <row r="1691" spans="1:4" x14ac:dyDescent="0.35">
      <c r="A1691" s="1">
        <v>2234</v>
      </c>
      <c r="B1691" s="2">
        <v>46239.454861111109</v>
      </c>
      <c r="C1691" s="1" t="s">
        <v>19</v>
      </c>
      <c r="D1691" s="1">
        <f>MONTH(Tabela6[[#This Row],[DATA]])</f>
        <v>8</v>
      </c>
    </row>
    <row r="1692" spans="1:4" x14ac:dyDescent="0.35">
      <c r="A1692" s="1">
        <v>2235</v>
      </c>
      <c r="B1692" s="2">
        <v>46239.621527777781</v>
      </c>
      <c r="C1692" s="1" t="s">
        <v>28</v>
      </c>
      <c r="D1692" s="1">
        <f>MONTH(Tabela6[[#This Row],[DATA]])</f>
        <v>8</v>
      </c>
    </row>
    <row r="1693" spans="1:4" x14ac:dyDescent="0.35">
      <c r="A1693" s="1">
        <v>2236</v>
      </c>
      <c r="B1693" s="2">
        <v>46240.361805555556</v>
      </c>
      <c r="C1693" s="1" t="s">
        <v>24</v>
      </c>
      <c r="D1693" s="1">
        <f>MONTH(Tabela6[[#This Row],[DATA]])</f>
        <v>8</v>
      </c>
    </row>
    <row r="1694" spans="1:4" x14ac:dyDescent="0.35">
      <c r="A1694" s="1">
        <v>2240</v>
      </c>
      <c r="B1694" s="2">
        <v>46240.88958333333</v>
      </c>
      <c r="C1694" s="1" t="s">
        <v>3</v>
      </c>
      <c r="D1694" s="1">
        <f>MONTH(Tabela6[[#This Row],[DATA]])</f>
        <v>8</v>
      </c>
    </row>
    <row r="1695" spans="1:4" x14ac:dyDescent="0.35">
      <c r="A1695" s="1">
        <v>2241</v>
      </c>
      <c r="B1695" s="2">
        <v>46240.892361111109</v>
      </c>
      <c r="C1695" s="1" t="s">
        <v>3</v>
      </c>
      <c r="D1695" s="1">
        <f>MONTH(Tabela6[[#This Row],[DATA]])</f>
        <v>8</v>
      </c>
    </row>
    <row r="1696" spans="1:4" x14ac:dyDescent="0.35">
      <c r="A1696" s="1">
        <v>2252</v>
      </c>
      <c r="B1696" s="2">
        <v>46241.424305555556</v>
      </c>
      <c r="C1696" s="1" t="s">
        <v>9</v>
      </c>
      <c r="D1696" s="1">
        <f>MONTH(Tabela6[[#This Row],[DATA]])</f>
        <v>8</v>
      </c>
    </row>
    <row r="1697" spans="1:4" x14ac:dyDescent="0.35">
      <c r="A1697" s="1">
        <v>2288</v>
      </c>
      <c r="B1697" s="2">
        <v>46244.372916666667</v>
      </c>
      <c r="C1697" s="1" t="s">
        <v>3</v>
      </c>
      <c r="D1697" s="1">
        <f>MONTH(Tabela6[[#This Row],[DATA]])</f>
        <v>8</v>
      </c>
    </row>
    <row r="1698" spans="1:4" x14ac:dyDescent="0.35">
      <c r="A1698" s="1">
        <v>2289</v>
      </c>
      <c r="B1698" s="2">
        <v>46244.495138888888</v>
      </c>
      <c r="C1698" s="1" t="s">
        <v>19</v>
      </c>
      <c r="D1698" s="1">
        <f>MONTH(Tabela6[[#This Row],[DATA]])</f>
        <v>8</v>
      </c>
    </row>
    <row r="1699" spans="1:4" x14ac:dyDescent="0.35">
      <c r="A1699" s="1">
        <v>2290</v>
      </c>
      <c r="B1699" s="2">
        <v>46244.636111111111</v>
      </c>
      <c r="C1699" s="1" t="s">
        <v>24</v>
      </c>
      <c r="D1699" s="1">
        <f>MONTH(Tabela6[[#This Row],[DATA]])</f>
        <v>8</v>
      </c>
    </row>
    <row r="1700" spans="1:4" x14ac:dyDescent="0.35">
      <c r="A1700" s="1">
        <v>2299</v>
      </c>
      <c r="B1700" s="2">
        <v>46244.74722222222</v>
      </c>
      <c r="C1700" s="1" t="s">
        <v>9</v>
      </c>
      <c r="D1700" s="1">
        <f>MONTH(Tabela6[[#This Row],[DATA]])</f>
        <v>8</v>
      </c>
    </row>
    <row r="1701" spans="1:4" x14ac:dyDescent="0.35">
      <c r="A1701" s="1">
        <v>2300</v>
      </c>
      <c r="B1701" s="2">
        <v>46244.748611111114</v>
      </c>
      <c r="C1701" s="1" t="s">
        <v>9</v>
      </c>
      <c r="D1701" s="1">
        <f>MONTH(Tabela6[[#This Row],[DATA]])</f>
        <v>8</v>
      </c>
    </row>
    <row r="1702" spans="1:4" x14ac:dyDescent="0.35">
      <c r="A1702" s="1">
        <v>2302</v>
      </c>
      <c r="B1702" s="2">
        <v>46244.750694444447</v>
      </c>
      <c r="C1702" s="1" t="s">
        <v>9</v>
      </c>
      <c r="D1702" s="1">
        <f>MONTH(Tabela6[[#This Row],[DATA]])</f>
        <v>8</v>
      </c>
    </row>
    <row r="1703" spans="1:4" x14ac:dyDescent="0.35">
      <c r="A1703" s="1">
        <v>2304</v>
      </c>
      <c r="B1703" s="2">
        <v>46244.75277777778</v>
      </c>
      <c r="C1703" s="1" t="s">
        <v>9</v>
      </c>
      <c r="D1703" s="1">
        <f>MONTH(Tabela6[[#This Row],[DATA]])</f>
        <v>8</v>
      </c>
    </row>
    <row r="1704" spans="1:4" x14ac:dyDescent="0.35">
      <c r="A1704" s="1">
        <v>2305</v>
      </c>
      <c r="B1704" s="2">
        <v>46244.756249999999</v>
      </c>
      <c r="C1704" s="1" t="s">
        <v>9</v>
      </c>
      <c r="D1704" s="1">
        <f>MONTH(Tabela6[[#This Row],[DATA]])</f>
        <v>8</v>
      </c>
    </row>
    <row r="1705" spans="1:4" x14ac:dyDescent="0.35">
      <c r="A1705" s="1">
        <v>2306</v>
      </c>
      <c r="B1705" s="2">
        <v>46244.761111111111</v>
      </c>
      <c r="C1705" s="1" t="s">
        <v>9</v>
      </c>
      <c r="D1705" s="1">
        <f>MONTH(Tabela6[[#This Row],[DATA]])</f>
        <v>8</v>
      </c>
    </row>
    <row r="1706" spans="1:4" x14ac:dyDescent="0.35">
      <c r="A1706" s="1">
        <v>2307</v>
      </c>
      <c r="B1706" s="2">
        <v>46244.763194444444</v>
      </c>
      <c r="C1706" s="1" t="s">
        <v>9</v>
      </c>
      <c r="D1706" s="1">
        <f>MONTH(Tabela6[[#This Row],[DATA]])</f>
        <v>8</v>
      </c>
    </row>
    <row r="1707" spans="1:4" x14ac:dyDescent="0.35">
      <c r="A1707" s="1">
        <v>2357</v>
      </c>
      <c r="B1707" s="2">
        <v>46245.70208333333</v>
      </c>
      <c r="C1707" s="1" t="s">
        <v>65</v>
      </c>
      <c r="D1707" s="1">
        <f>MONTH(Tabela6[[#This Row],[DATA]])</f>
        <v>8</v>
      </c>
    </row>
    <row r="1708" spans="1:4" x14ac:dyDescent="0.35">
      <c r="A1708" s="1">
        <v>2358</v>
      </c>
      <c r="B1708" s="2">
        <v>46245.704861111109</v>
      </c>
      <c r="C1708" s="1" t="s">
        <v>65</v>
      </c>
      <c r="D1708" s="1">
        <f>MONTH(Tabela6[[#This Row],[DATA]])</f>
        <v>8</v>
      </c>
    </row>
    <row r="1709" spans="1:4" x14ac:dyDescent="0.35">
      <c r="A1709" s="1">
        <v>2359</v>
      </c>
      <c r="B1709" s="2">
        <v>46245.706944444442</v>
      </c>
      <c r="C1709" s="1" t="s">
        <v>65</v>
      </c>
      <c r="D1709" s="1">
        <f>MONTH(Tabela6[[#This Row],[DATA]])</f>
        <v>8</v>
      </c>
    </row>
    <row r="1710" spans="1:4" x14ac:dyDescent="0.35">
      <c r="A1710" s="1">
        <v>2360</v>
      </c>
      <c r="B1710" s="2">
        <v>46245.763888888891</v>
      </c>
      <c r="C1710" s="1" t="s">
        <v>9</v>
      </c>
      <c r="D1710" s="1">
        <f>MONTH(Tabela6[[#This Row],[DATA]])</f>
        <v>8</v>
      </c>
    </row>
    <row r="1711" spans="1:4" x14ac:dyDescent="0.35">
      <c r="A1711" s="1">
        <v>2361</v>
      </c>
      <c r="B1711" s="2">
        <v>46245.765277777777</v>
      </c>
      <c r="C1711" s="1" t="s">
        <v>9</v>
      </c>
      <c r="D1711" s="1">
        <f>MONTH(Tabela6[[#This Row],[DATA]])</f>
        <v>8</v>
      </c>
    </row>
    <row r="1712" spans="1:4" x14ac:dyDescent="0.35">
      <c r="A1712" s="1">
        <v>2362</v>
      </c>
      <c r="B1712" s="2">
        <v>46245.76666666667</v>
      </c>
      <c r="C1712" s="1" t="s">
        <v>9</v>
      </c>
      <c r="D1712" s="1">
        <f>MONTH(Tabela6[[#This Row],[DATA]])</f>
        <v>8</v>
      </c>
    </row>
    <row r="1713" spans="1:4" x14ac:dyDescent="0.35">
      <c r="A1713" s="1">
        <v>2363</v>
      </c>
      <c r="B1713" s="2">
        <v>46245.767361111109</v>
      </c>
      <c r="C1713" s="1" t="s">
        <v>9</v>
      </c>
      <c r="D1713" s="1">
        <f>MONTH(Tabela6[[#This Row],[DATA]])</f>
        <v>8</v>
      </c>
    </row>
    <row r="1714" spans="1:4" x14ac:dyDescent="0.35">
      <c r="A1714" s="1">
        <v>2364</v>
      </c>
      <c r="B1714" s="2">
        <v>46245.768055555556</v>
      </c>
      <c r="C1714" s="1" t="s">
        <v>9</v>
      </c>
      <c r="D1714" s="1">
        <f>MONTH(Tabela6[[#This Row],[DATA]])</f>
        <v>8</v>
      </c>
    </row>
    <row r="1715" spans="1:4" x14ac:dyDescent="0.35">
      <c r="A1715" s="1">
        <v>2365</v>
      </c>
      <c r="B1715" s="2">
        <v>46245.768750000003</v>
      </c>
      <c r="C1715" s="1" t="s">
        <v>9</v>
      </c>
      <c r="D1715" s="1">
        <f>MONTH(Tabela6[[#This Row],[DATA]])</f>
        <v>8</v>
      </c>
    </row>
    <row r="1716" spans="1:4" x14ac:dyDescent="0.35">
      <c r="A1716" s="1">
        <v>2366</v>
      </c>
      <c r="B1716" s="2">
        <v>46245.841666666667</v>
      </c>
      <c r="C1716" s="1" t="s">
        <v>19</v>
      </c>
      <c r="D1716" s="1">
        <f>MONTH(Tabela6[[#This Row],[DATA]])</f>
        <v>8</v>
      </c>
    </row>
    <row r="1717" spans="1:4" x14ac:dyDescent="0.35">
      <c r="A1717" s="1">
        <v>2367</v>
      </c>
      <c r="B1717" s="2">
        <v>46245.84375</v>
      </c>
      <c r="C1717" s="1" t="s">
        <v>19</v>
      </c>
      <c r="D1717" s="1">
        <f>MONTH(Tabela6[[#This Row],[DATA]])</f>
        <v>8</v>
      </c>
    </row>
    <row r="1718" spans="1:4" x14ac:dyDescent="0.35">
      <c r="A1718" s="1">
        <v>2368</v>
      </c>
      <c r="B1718" s="2">
        <v>46245.845138888886</v>
      </c>
      <c r="C1718" s="1" t="s">
        <v>19</v>
      </c>
      <c r="D1718" s="1">
        <f>MONTH(Tabela6[[#This Row],[DATA]])</f>
        <v>8</v>
      </c>
    </row>
    <row r="1719" spans="1:4" x14ac:dyDescent="0.35">
      <c r="A1719" s="1">
        <v>2369</v>
      </c>
      <c r="B1719" s="2">
        <v>46245.849305555559</v>
      </c>
      <c r="C1719" s="1" t="s">
        <v>19</v>
      </c>
      <c r="D1719" s="1">
        <f>MONTH(Tabela6[[#This Row],[DATA]])</f>
        <v>8</v>
      </c>
    </row>
    <row r="1720" spans="1:4" x14ac:dyDescent="0.35">
      <c r="A1720" s="1">
        <v>2370</v>
      </c>
      <c r="B1720" s="2">
        <v>46245.850694444445</v>
      </c>
      <c r="C1720" s="1" t="s">
        <v>19</v>
      </c>
      <c r="D1720" s="1">
        <f>MONTH(Tabela6[[#This Row],[DATA]])</f>
        <v>8</v>
      </c>
    </row>
    <row r="1721" spans="1:4" x14ac:dyDescent="0.35">
      <c r="A1721" s="1">
        <v>2371</v>
      </c>
      <c r="B1721" s="2">
        <v>46245.851388888892</v>
      </c>
      <c r="C1721" s="1" t="s">
        <v>19</v>
      </c>
      <c r="D1721" s="1">
        <f>MONTH(Tabela6[[#This Row],[DATA]])</f>
        <v>8</v>
      </c>
    </row>
    <row r="1722" spans="1:4" x14ac:dyDescent="0.35">
      <c r="A1722" s="1">
        <v>2372</v>
      </c>
      <c r="B1722" s="2">
        <v>46245.852777777778</v>
      </c>
      <c r="C1722" s="1" t="s">
        <v>19</v>
      </c>
      <c r="D1722" s="1">
        <f>MONTH(Tabela6[[#This Row],[DATA]])</f>
        <v>8</v>
      </c>
    </row>
    <row r="1723" spans="1:4" x14ac:dyDescent="0.35">
      <c r="A1723" s="1">
        <v>2373</v>
      </c>
      <c r="B1723" s="2">
        <v>46245.854861111111</v>
      </c>
      <c r="C1723" s="1" t="s">
        <v>19</v>
      </c>
      <c r="D1723" s="1">
        <f>MONTH(Tabela6[[#This Row],[DATA]])</f>
        <v>8</v>
      </c>
    </row>
    <row r="1724" spans="1:4" x14ac:dyDescent="0.35">
      <c r="A1724" s="1">
        <v>2374</v>
      </c>
      <c r="B1724" s="2">
        <v>46245.856944444444</v>
      </c>
      <c r="C1724" s="1" t="s">
        <v>19</v>
      </c>
      <c r="D1724" s="1">
        <f>MONTH(Tabela6[[#This Row],[DATA]])</f>
        <v>8</v>
      </c>
    </row>
    <row r="1725" spans="1:4" x14ac:dyDescent="0.35">
      <c r="A1725" s="1">
        <v>2375</v>
      </c>
      <c r="B1725" s="2">
        <v>46245.85833333333</v>
      </c>
      <c r="C1725" s="1" t="s">
        <v>19</v>
      </c>
      <c r="D1725" s="1">
        <f>MONTH(Tabela6[[#This Row],[DATA]])</f>
        <v>8</v>
      </c>
    </row>
    <row r="1726" spans="1:4" x14ac:dyDescent="0.35">
      <c r="A1726" s="1">
        <v>2376</v>
      </c>
      <c r="B1726" s="2">
        <v>46245.859027777777</v>
      </c>
      <c r="C1726" s="1" t="s">
        <v>19</v>
      </c>
      <c r="D1726" s="1">
        <f>MONTH(Tabela6[[#This Row],[DATA]])</f>
        <v>8</v>
      </c>
    </row>
    <row r="1727" spans="1:4" x14ac:dyDescent="0.35">
      <c r="A1727" s="1">
        <v>2377</v>
      </c>
      <c r="B1727" s="2">
        <v>46245.861111111109</v>
      </c>
      <c r="C1727" s="1" t="s">
        <v>19</v>
      </c>
      <c r="D1727" s="1">
        <f>MONTH(Tabela6[[#This Row],[DATA]])</f>
        <v>8</v>
      </c>
    </row>
    <row r="1728" spans="1:4" x14ac:dyDescent="0.35">
      <c r="A1728" s="1">
        <v>2378</v>
      </c>
      <c r="B1728" s="2">
        <v>46245.863888888889</v>
      </c>
      <c r="C1728" s="1" t="s">
        <v>19</v>
      </c>
      <c r="D1728" s="1">
        <f>MONTH(Tabela6[[#This Row],[DATA]])</f>
        <v>8</v>
      </c>
    </row>
    <row r="1729" spans="1:4" x14ac:dyDescent="0.35">
      <c r="A1729" s="1">
        <v>2379</v>
      </c>
      <c r="B1729" s="2">
        <v>46245.865972222222</v>
      </c>
      <c r="C1729" s="1" t="s">
        <v>19</v>
      </c>
      <c r="D1729" s="1">
        <f>MONTH(Tabela6[[#This Row],[DATA]])</f>
        <v>8</v>
      </c>
    </row>
    <row r="1730" spans="1:4" x14ac:dyDescent="0.35">
      <c r="A1730" s="1">
        <v>2380</v>
      </c>
      <c r="B1730" s="2">
        <v>46246.365277777775</v>
      </c>
      <c r="C1730" s="1" t="s">
        <v>24</v>
      </c>
      <c r="D1730" s="1">
        <f>MONTH(Tabela6[[#This Row],[DATA]])</f>
        <v>8</v>
      </c>
    </row>
    <row r="1731" spans="1:4" x14ac:dyDescent="0.35">
      <c r="A1731" s="1">
        <v>2389</v>
      </c>
      <c r="B1731" s="2">
        <v>46246.429861111108</v>
      </c>
      <c r="C1731" s="1" t="s">
        <v>19</v>
      </c>
      <c r="D1731" s="1">
        <f>MONTH(Tabela6[[#This Row],[DATA]])</f>
        <v>8</v>
      </c>
    </row>
    <row r="1732" spans="1:4" x14ac:dyDescent="0.35">
      <c r="A1732" s="1">
        <v>2410</v>
      </c>
      <c r="B1732" s="2">
        <v>46247.326388888891</v>
      </c>
      <c r="C1732" s="1" t="s">
        <v>24</v>
      </c>
      <c r="D1732" s="1">
        <f>MONTH(Tabela6[[#This Row],[DATA]])</f>
        <v>8</v>
      </c>
    </row>
    <row r="1733" spans="1:4" x14ac:dyDescent="0.35">
      <c r="A1733" s="1">
        <v>2411</v>
      </c>
      <c r="B1733" s="2">
        <v>46247.327777777777</v>
      </c>
      <c r="C1733" s="1" t="s">
        <v>24</v>
      </c>
      <c r="D1733" s="1">
        <f>MONTH(Tabela6[[#This Row],[DATA]])</f>
        <v>8</v>
      </c>
    </row>
    <row r="1734" spans="1:4" x14ac:dyDescent="0.35">
      <c r="A1734" s="1">
        <v>2412</v>
      </c>
      <c r="B1734" s="2">
        <v>46247.32916666667</v>
      </c>
      <c r="C1734" s="1" t="s">
        <v>24</v>
      </c>
      <c r="D1734" s="1">
        <f>MONTH(Tabela6[[#This Row],[DATA]])</f>
        <v>8</v>
      </c>
    </row>
    <row r="1735" spans="1:4" x14ac:dyDescent="0.35">
      <c r="A1735" s="1">
        <v>2413</v>
      </c>
      <c r="B1735" s="2">
        <v>46247.329861111109</v>
      </c>
      <c r="C1735" s="1" t="s">
        <v>24</v>
      </c>
      <c r="D1735" s="1">
        <f>MONTH(Tabela6[[#This Row],[DATA]])</f>
        <v>8</v>
      </c>
    </row>
    <row r="1736" spans="1:4" x14ac:dyDescent="0.35">
      <c r="A1736" s="1">
        <v>2414</v>
      </c>
      <c r="B1736" s="2">
        <v>46247.330555555556</v>
      </c>
      <c r="C1736" s="1" t="s">
        <v>24</v>
      </c>
      <c r="D1736" s="1">
        <f>MONTH(Tabela6[[#This Row],[DATA]])</f>
        <v>8</v>
      </c>
    </row>
    <row r="1737" spans="1:4" x14ac:dyDescent="0.35">
      <c r="A1737" s="1">
        <v>2415</v>
      </c>
      <c r="B1737" s="2">
        <v>46247.331944444442</v>
      </c>
      <c r="C1737" s="1" t="s">
        <v>24</v>
      </c>
      <c r="D1737" s="1">
        <f>MONTH(Tabela6[[#This Row],[DATA]])</f>
        <v>8</v>
      </c>
    </row>
    <row r="1738" spans="1:4" x14ac:dyDescent="0.35">
      <c r="A1738" s="1">
        <v>2416</v>
      </c>
      <c r="B1738" s="2">
        <v>46247.332638888889</v>
      </c>
      <c r="C1738" s="1" t="s">
        <v>24</v>
      </c>
      <c r="D1738" s="1">
        <f>MONTH(Tabela6[[#This Row],[DATA]])</f>
        <v>8</v>
      </c>
    </row>
    <row r="1739" spans="1:4" x14ac:dyDescent="0.35">
      <c r="A1739" s="1">
        <v>2417</v>
      </c>
      <c r="B1739" s="2">
        <v>46247.333333333336</v>
      </c>
      <c r="C1739" s="1" t="s">
        <v>24</v>
      </c>
      <c r="D1739" s="1">
        <f>MONTH(Tabela6[[#This Row],[DATA]])</f>
        <v>8</v>
      </c>
    </row>
    <row r="1740" spans="1:4" x14ac:dyDescent="0.35">
      <c r="A1740" s="1">
        <v>2418</v>
      </c>
      <c r="B1740" s="2">
        <v>46247.336805555555</v>
      </c>
      <c r="C1740" s="1" t="s">
        <v>24</v>
      </c>
      <c r="D1740" s="1">
        <f>MONTH(Tabela6[[#This Row],[DATA]])</f>
        <v>8</v>
      </c>
    </row>
    <row r="1741" spans="1:4" x14ac:dyDescent="0.35">
      <c r="A1741" s="1">
        <v>2419</v>
      </c>
      <c r="B1741" s="2">
        <v>46247.338194444441</v>
      </c>
      <c r="C1741" s="1" t="s">
        <v>24</v>
      </c>
      <c r="D1741" s="1">
        <f>MONTH(Tabela6[[#This Row],[DATA]])</f>
        <v>8</v>
      </c>
    </row>
    <row r="1742" spans="1:4" x14ac:dyDescent="0.35">
      <c r="A1742" s="1">
        <v>2420</v>
      </c>
      <c r="B1742" s="2">
        <v>46247.341666666667</v>
      </c>
      <c r="C1742" s="1" t="s">
        <v>24</v>
      </c>
      <c r="D1742" s="1">
        <f>MONTH(Tabela6[[#This Row],[DATA]])</f>
        <v>8</v>
      </c>
    </row>
    <row r="1743" spans="1:4" x14ac:dyDescent="0.35">
      <c r="A1743" s="1">
        <v>2421</v>
      </c>
      <c r="B1743" s="2">
        <v>46247.343055555553</v>
      </c>
      <c r="C1743" s="1" t="s">
        <v>24</v>
      </c>
      <c r="D1743" s="1">
        <f>MONTH(Tabela6[[#This Row],[DATA]])</f>
        <v>8</v>
      </c>
    </row>
    <row r="1744" spans="1:4" x14ac:dyDescent="0.35">
      <c r="A1744" s="1">
        <v>2422</v>
      </c>
      <c r="B1744" s="2">
        <v>46247.34375</v>
      </c>
      <c r="C1744" s="1" t="s">
        <v>24</v>
      </c>
      <c r="D1744" s="1">
        <f>MONTH(Tabela6[[#This Row],[DATA]])</f>
        <v>8</v>
      </c>
    </row>
    <row r="1745" spans="1:4" x14ac:dyDescent="0.35">
      <c r="A1745" s="1">
        <v>2423</v>
      </c>
      <c r="B1745" s="2">
        <v>46247.345138888886</v>
      </c>
      <c r="C1745" s="1" t="s">
        <v>24</v>
      </c>
      <c r="D1745" s="1">
        <f>MONTH(Tabela6[[#This Row],[DATA]])</f>
        <v>8</v>
      </c>
    </row>
    <row r="1746" spans="1:4" x14ac:dyDescent="0.35">
      <c r="A1746" s="1">
        <v>2424</v>
      </c>
      <c r="B1746" s="2">
        <v>46247.34652777778</v>
      </c>
      <c r="C1746" s="1" t="s">
        <v>24</v>
      </c>
      <c r="D1746" s="1">
        <f>MONTH(Tabela6[[#This Row],[DATA]])</f>
        <v>8</v>
      </c>
    </row>
    <row r="1747" spans="1:4" x14ac:dyDescent="0.35">
      <c r="A1747" s="1">
        <v>2425</v>
      </c>
      <c r="B1747" s="2">
        <v>46247.347222222219</v>
      </c>
      <c r="C1747" s="1" t="s">
        <v>24</v>
      </c>
      <c r="D1747" s="1">
        <f>MONTH(Tabela6[[#This Row],[DATA]])</f>
        <v>8</v>
      </c>
    </row>
    <row r="1748" spans="1:4" x14ac:dyDescent="0.35">
      <c r="A1748" s="1">
        <v>2426</v>
      </c>
      <c r="B1748" s="2">
        <v>46247.348611111112</v>
      </c>
      <c r="C1748" s="1" t="s">
        <v>24</v>
      </c>
      <c r="D1748" s="1">
        <f>MONTH(Tabela6[[#This Row],[DATA]])</f>
        <v>8</v>
      </c>
    </row>
    <row r="1749" spans="1:4" x14ac:dyDescent="0.35">
      <c r="A1749" s="1">
        <v>2427</v>
      </c>
      <c r="B1749" s="2">
        <v>46247.349305555559</v>
      </c>
      <c r="C1749" s="1" t="s">
        <v>24</v>
      </c>
      <c r="D1749" s="1">
        <f>MONTH(Tabela6[[#This Row],[DATA]])</f>
        <v>8</v>
      </c>
    </row>
    <row r="1750" spans="1:4" x14ac:dyDescent="0.35">
      <c r="A1750" s="1">
        <v>2428</v>
      </c>
      <c r="B1750" s="2">
        <v>46247.350694444445</v>
      </c>
      <c r="C1750" s="1" t="s">
        <v>24</v>
      </c>
      <c r="D1750" s="1">
        <f>MONTH(Tabela6[[#This Row],[DATA]])</f>
        <v>8</v>
      </c>
    </row>
    <row r="1751" spans="1:4" x14ac:dyDescent="0.35">
      <c r="A1751" s="1">
        <v>2429</v>
      </c>
      <c r="B1751" s="2">
        <v>46247.351388888892</v>
      </c>
      <c r="C1751" s="1" t="s">
        <v>24</v>
      </c>
      <c r="D1751" s="1">
        <f>MONTH(Tabela6[[#This Row],[DATA]])</f>
        <v>8</v>
      </c>
    </row>
    <row r="1752" spans="1:4" x14ac:dyDescent="0.35">
      <c r="A1752" s="1">
        <v>2430</v>
      </c>
      <c r="B1752" s="2">
        <v>46247.352083333331</v>
      </c>
      <c r="C1752" s="1" t="s">
        <v>24</v>
      </c>
      <c r="D1752" s="1">
        <f>MONTH(Tabela6[[#This Row],[DATA]])</f>
        <v>8</v>
      </c>
    </row>
    <row r="1753" spans="1:4" x14ac:dyDescent="0.35">
      <c r="A1753" s="1">
        <v>2431</v>
      </c>
      <c r="B1753" s="2">
        <v>46247.353472222225</v>
      </c>
      <c r="C1753" s="1" t="s">
        <v>24</v>
      </c>
      <c r="D1753" s="1">
        <f>MONTH(Tabela6[[#This Row],[DATA]])</f>
        <v>8</v>
      </c>
    </row>
    <row r="1754" spans="1:4" x14ac:dyDescent="0.35">
      <c r="A1754" s="1">
        <v>2432</v>
      </c>
      <c r="B1754" s="2">
        <v>46247.354166666664</v>
      </c>
      <c r="C1754" s="1" t="s">
        <v>24</v>
      </c>
      <c r="D1754" s="1">
        <f>MONTH(Tabela6[[#This Row],[DATA]])</f>
        <v>8</v>
      </c>
    </row>
    <row r="1755" spans="1:4" x14ac:dyDescent="0.35">
      <c r="A1755" s="1">
        <v>2433</v>
      </c>
      <c r="B1755" s="2">
        <v>46247.355555555558</v>
      </c>
      <c r="C1755" s="1" t="s">
        <v>24</v>
      </c>
      <c r="D1755" s="1">
        <f>MONTH(Tabela6[[#This Row],[DATA]])</f>
        <v>8</v>
      </c>
    </row>
    <row r="1756" spans="1:4" x14ac:dyDescent="0.35">
      <c r="A1756" s="1">
        <v>2434</v>
      </c>
      <c r="B1756" s="2">
        <v>46247.356944444444</v>
      </c>
      <c r="C1756" s="1" t="s">
        <v>24</v>
      </c>
      <c r="D1756" s="1">
        <f>MONTH(Tabela6[[#This Row],[DATA]])</f>
        <v>8</v>
      </c>
    </row>
    <row r="1757" spans="1:4" x14ac:dyDescent="0.35">
      <c r="A1757" s="1">
        <v>2435</v>
      </c>
      <c r="B1757" s="2">
        <v>46247.357638888891</v>
      </c>
      <c r="C1757" s="1" t="s">
        <v>24</v>
      </c>
      <c r="D1757" s="1">
        <f>MONTH(Tabela6[[#This Row],[DATA]])</f>
        <v>8</v>
      </c>
    </row>
    <row r="1758" spans="1:4" x14ac:dyDescent="0.35">
      <c r="A1758" s="1">
        <v>2436</v>
      </c>
      <c r="B1758" s="2">
        <v>46247.368055555555</v>
      </c>
      <c r="C1758" s="1" t="s">
        <v>5</v>
      </c>
      <c r="D1758" s="1">
        <f>MONTH(Tabela6[[#This Row],[DATA]])</f>
        <v>8</v>
      </c>
    </row>
    <row r="1759" spans="1:4" x14ac:dyDescent="0.35">
      <c r="A1759" s="1">
        <v>2437</v>
      </c>
      <c r="B1759" s="2">
        <v>46247.369444444441</v>
      </c>
      <c r="C1759" s="1" t="s">
        <v>5</v>
      </c>
      <c r="D1759" s="1">
        <f>MONTH(Tabela6[[#This Row],[DATA]])</f>
        <v>8</v>
      </c>
    </row>
    <row r="1760" spans="1:4" x14ac:dyDescent="0.35">
      <c r="A1760" s="1">
        <v>2438</v>
      </c>
      <c r="B1760" s="2">
        <v>46247.38958333333</v>
      </c>
      <c r="C1760" s="1" t="s">
        <v>22</v>
      </c>
      <c r="D1760" s="1">
        <f>MONTH(Tabela6[[#This Row],[DATA]])</f>
        <v>8</v>
      </c>
    </row>
    <row r="1761" spans="1:4" x14ac:dyDescent="0.35">
      <c r="A1761" s="1">
        <v>2481</v>
      </c>
      <c r="B1761" s="2">
        <v>46248.5</v>
      </c>
      <c r="C1761" s="1" t="s">
        <v>28</v>
      </c>
      <c r="D1761" s="1">
        <f>MONTH(Tabela6[[#This Row],[DATA]])</f>
        <v>8</v>
      </c>
    </row>
    <row r="1762" spans="1:4" x14ac:dyDescent="0.35">
      <c r="A1762" s="1">
        <v>2487</v>
      </c>
      <c r="B1762" s="2">
        <v>46248.938888888886</v>
      </c>
      <c r="C1762" s="1" t="s">
        <v>3</v>
      </c>
      <c r="D1762" s="1">
        <f>MONTH(Tabela6[[#This Row],[DATA]])</f>
        <v>8</v>
      </c>
    </row>
    <row r="1763" spans="1:4" x14ac:dyDescent="0.35">
      <c r="A1763" s="1">
        <v>2488</v>
      </c>
      <c r="B1763" s="2">
        <v>46248.94027777778</v>
      </c>
      <c r="C1763" s="1" t="s">
        <v>3</v>
      </c>
      <c r="D1763" s="1">
        <f>MONTH(Tabela6[[#This Row],[DATA]])</f>
        <v>8</v>
      </c>
    </row>
    <row r="1764" spans="1:4" x14ac:dyDescent="0.35">
      <c r="A1764" s="1">
        <v>2489</v>
      </c>
      <c r="B1764" s="2">
        <v>46248.941666666666</v>
      </c>
      <c r="C1764" s="1" t="s">
        <v>3</v>
      </c>
      <c r="D1764" s="1">
        <f>MONTH(Tabela6[[#This Row],[DATA]])</f>
        <v>8</v>
      </c>
    </row>
    <row r="1765" spans="1:4" x14ac:dyDescent="0.35">
      <c r="A1765" s="1">
        <v>2490</v>
      </c>
      <c r="B1765" s="2">
        <v>46248.943055555559</v>
      </c>
      <c r="C1765" s="1" t="s">
        <v>3</v>
      </c>
      <c r="D1765" s="1">
        <f>MONTH(Tabela6[[#This Row],[DATA]])</f>
        <v>8</v>
      </c>
    </row>
    <row r="1766" spans="1:4" x14ac:dyDescent="0.35">
      <c r="A1766" s="1">
        <v>2491</v>
      </c>
      <c r="B1766" s="2">
        <v>46248.944444444445</v>
      </c>
      <c r="C1766" s="1" t="s">
        <v>3</v>
      </c>
      <c r="D1766" s="1">
        <f>MONTH(Tabela6[[#This Row],[DATA]])</f>
        <v>8</v>
      </c>
    </row>
    <row r="1767" spans="1:4" x14ac:dyDescent="0.35">
      <c r="A1767" s="1">
        <v>2492</v>
      </c>
      <c r="B1767" s="2">
        <v>46248.946527777778</v>
      </c>
      <c r="C1767" s="1" t="s">
        <v>3</v>
      </c>
      <c r="D1767" s="1">
        <f>MONTH(Tabela6[[#This Row],[DATA]])</f>
        <v>8</v>
      </c>
    </row>
    <row r="1768" spans="1:4" x14ac:dyDescent="0.35">
      <c r="A1768" s="1">
        <v>2493</v>
      </c>
      <c r="B1768" s="2">
        <v>46248.947916666664</v>
      </c>
      <c r="C1768" s="1" t="s">
        <v>3</v>
      </c>
      <c r="D1768" s="1">
        <f>MONTH(Tabela6[[#This Row],[DATA]])</f>
        <v>8</v>
      </c>
    </row>
    <row r="1769" spans="1:4" x14ac:dyDescent="0.35">
      <c r="A1769" s="1">
        <v>2494</v>
      </c>
      <c r="B1769" s="2">
        <v>46248.95</v>
      </c>
      <c r="C1769" s="1" t="s">
        <v>3</v>
      </c>
      <c r="D1769" s="1">
        <f>MONTH(Tabela6[[#This Row],[DATA]])</f>
        <v>8</v>
      </c>
    </row>
    <row r="1770" spans="1:4" x14ac:dyDescent="0.35">
      <c r="A1770" s="1">
        <v>2495</v>
      </c>
      <c r="B1770" s="2">
        <v>46248.950694444444</v>
      </c>
      <c r="C1770" s="1" t="s">
        <v>3</v>
      </c>
      <c r="D1770" s="1">
        <f>MONTH(Tabela6[[#This Row],[DATA]])</f>
        <v>8</v>
      </c>
    </row>
    <row r="1771" spans="1:4" x14ac:dyDescent="0.35">
      <c r="A1771" s="1">
        <v>2496</v>
      </c>
      <c r="B1771" s="2">
        <v>46248.95208333333</v>
      </c>
      <c r="C1771" s="1" t="s">
        <v>3</v>
      </c>
      <c r="D1771" s="1">
        <f>MONTH(Tabela6[[#This Row],[DATA]])</f>
        <v>8</v>
      </c>
    </row>
    <row r="1772" spans="1:4" x14ac:dyDescent="0.35">
      <c r="A1772" s="1">
        <v>2497</v>
      </c>
      <c r="B1772" s="2">
        <v>46248.953472222223</v>
      </c>
      <c r="C1772" s="1" t="s">
        <v>3</v>
      </c>
      <c r="D1772" s="1">
        <f>MONTH(Tabela6[[#This Row],[DATA]])</f>
        <v>8</v>
      </c>
    </row>
    <row r="1773" spans="1:4" x14ac:dyDescent="0.35">
      <c r="A1773" s="1">
        <v>2498</v>
      </c>
      <c r="B1773" s="2">
        <v>46248.955555555556</v>
      </c>
      <c r="C1773" s="1" t="s">
        <v>3</v>
      </c>
      <c r="D1773" s="1">
        <f>MONTH(Tabela6[[#This Row],[DATA]])</f>
        <v>8</v>
      </c>
    </row>
    <row r="1774" spans="1:4" x14ac:dyDescent="0.35">
      <c r="A1774" s="1">
        <v>2499</v>
      </c>
      <c r="B1774" s="2">
        <v>46248.956944444442</v>
      </c>
      <c r="C1774" s="1" t="s">
        <v>3</v>
      </c>
      <c r="D1774" s="1">
        <f>MONTH(Tabela6[[#This Row],[DATA]])</f>
        <v>8</v>
      </c>
    </row>
    <row r="1775" spans="1:4" x14ac:dyDescent="0.35">
      <c r="A1775" s="1">
        <v>2500</v>
      </c>
      <c r="B1775" s="2">
        <v>46248.958333333336</v>
      </c>
      <c r="C1775" s="1" t="s">
        <v>3</v>
      </c>
      <c r="D1775" s="1">
        <f>MONTH(Tabela6[[#This Row],[DATA]])</f>
        <v>8</v>
      </c>
    </row>
    <row r="1776" spans="1:4" x14ac:dyDescent="0.35">
      <c r="A1776" s="1">
        <v>2501</v>
      </c>
      <c r="B1776" s="2">
        <v>46249.286805555559</v>
      </c>
      <c r="C1776" s="1" t="s">
        <v>5</v>
      </c>
      <c r="D1776" s="1">
        <f>MONTH(Tabela6[[#This Row],[DATA]])</f>
        <v>8</v>
      </c>
    </row>
    <row r="1777" spans="1:4" x14ac:dyDescent="0.35">
      <c r="A1777" s="1">
        <v>2502</v>
      </c>
      <c r="B1777" s="2">
        <v>46251.347916666666</v>
      </c>
      <c r="C1777" s="1" t="s">
        <v>3</v>
      </c>
      <c r="D1777" s="1">
        <f>MONTH(Tabela6[[#This Row],[DATA]])</f>
        <v>8</v>
      </c>
    </row>
    <row r="1778" spans="1:4" x14ac:dyDescent="0.35">
      <c r="A1778" s="1">
        <v>2511</v>
      </c>
      <c r="B1778" s="2">
        <v>46251.686805555553</v>
      </c>
      <c r="C1778" s="1" t="s">
        <v>65</v>
      </c>
      <c r="D1778" s="1">
        <f>MONTH(Tabela6[[#This Row],[DATA]])</f>
        <v>8</v>
      </c>
    </row>
    <row r="1779" spans="1:4" x14ac:dyDescent="0.35">
      <c r="A1779" s="1">
        <v>2512</v>
      </c>
      <c r="B1779" s="2">
        <v>46251.696527777778</v>
      </c>
      <c r="C1779" s="1" t="s">
        <v>65</v>
      </c>
      <c r="D1779" s="1">
        <f>MONTH(Tabela6[[#This Row],[DATA]])</f>
        <v>8</v>
      </c>
    </row>
    <row r="1780" spans="1:4" x14ac:dyDescent="0.35">
      <c r="A1780" s="1">
        <v>2515</v>
      </c>
      <c r="B1780" s="2">
        <v>46251.836111111108</v>
      </c>
      <c r="C1780" s="1" t="s">
        <v>9</v>
      </c>
      <c r="D1780" s="1">
        <f>MONTH(Tabela6[[#This Row],[DATA]])</f>
        <v>8</v>
      </c>
    </row>
    <row r="1781" spans="1:4" x14ac:dyDescent="0.35">
      <c r="A1781" s="1">
        <v>2516</v>
      </c>
      <c r="B1781" s="2">
        <v>46251.837500000001</v>
      </c>
      <c r="C1781" s="1" t="s">
        <v>9</v>
      </c>
      <c r="D1781" s="1">
        <f>MONTH(Tabela6[[#This Row],[DATA]])</f>
        <v>8</v>
      </c>
    </row>
    <row r="1782" spans="1:4" x14ac:dyDescent="0.35">
      <c r="A1782" s="1">
        <v>2517</v>
      </c>
      <c r="B1782" s="2">
        <v>46251.838888888888</v>
      </c>
      <c r="C1782" s="1" t="s">
        <v>9</v>
      </c>
      <c r="D1782" s="1">
        <f>MONTH(Tabela6[[#This Row],[DATA]])</f>
        <v>8</v>
      </c>
    </row>
    <row r="1783" spans="1:4" x14ac:dyDescent="0.35">
      <c r="A1783" s="1">
        <v>2518</v>
      </c>
      <c r="B1783" s="2">
        <v>46251.839583333334</v>
      </c>
      <c r="C1783" s="1" t="s">
        <v>9</v>
      </c>
      <c r="D1783" s="1">
        <f>MONTH(Tabela6[[#This Row],[DATA]])</f>
        <v>8</v>
      </c>
    </row>
    <row r="1784" spans="1:4" x14ac:dyDescent="0.35">
      <c r="A1784" s="1">
        <v>2519</v>
      </c>
      <c r="B1784" s="2">
        <v>46251.84097222222</v>
      </c>
      <c r="C1784" s="1" t="s">
        <v>9</v>
      </c>
      <c r="D1784" s="1">
        <f>MONTH(Tabela6[[#This Row],[DATA]])</f>
        <v>8</v>
      </c>
    </row>
    <row r="1785" spans="1:4" x14ac:dyDescent="0.35">
      <c r="A1785" s="1">
        <v>2520</v>
      </c>
      <c r="B1785" s="2">
        <v>46251.842361111114</v>
      </c>
      <c r="C1785" s="1" t="s">
        <v>9</v>
      </c>
      <c r="D1785" s="1">
        <f>MONTH(Tabela6[[#This Row],[DATA]])</f>
        <v>8</v>
      </c>
    </row>
    <row r="1786" spans="1:4" x14ac:dyDescent="0.35">
      <c r="A1786" s="1">
        <v>2521</v>
      </c>
      <c r="B1786" s="2">
        <v>46251.84375</v>
      </c>
      <c r="C1786" s="1" t="s">
        <v>9</v>
      </c>
      <c r="D1786" s="1">
        <f>MONTH(Tabela6[[#This Row],[DATA]])</f>
        <v>8</v>
      </c>
    </row>
    <row r="1787" spans="1:4" x14ac:dyDescent="0.35">
      <c r="A1787" s="1">
        <v>2522</v>
      </c>
      <c r="B1787" s="2">
        <v>46251.845138888886</v>
      </c>
      <c r="C1787" s="1" t="s">
        <v>9</v>
      </c>
      <c r="D1787" s="1">
        <f>MONTH(Tabela6[[#This Row],[DATA]])</f>
        <v>8</v>
      </c>
    </row>
    <row r="1788" spans="1:4" x14ac:dyDescent="0.35">
      <c r="A1788" s="1">
        <v>2523</v>
      </c>
      <c r="B1788" s="2">
        <v>46251.845833333333</v>
      </c>
      <c r="C1788" s="1" t="s">
        <v>9</v>
      </c>
      <c r="D1788" s="1">
        <f>MONTH(Tabela6[[#This Row],[DATA]])</f>
        <v>8</v>
      </c>
    </row>
    <row r="1789" spans="1:4" x14ac:dyDescent="0.35">
      <c r="A1789" s="1">
        <v>2524</v>
      </c>
      <c r="B1789" s="2">
        <v>46251.84652777778</v>
      </c>
      <c r="C1789" s="1" t="s">
        <v>9</v>
      </c>
      <c r="D1789" s="1">
        <f>MONTH(Tabela6[[#This Row],[DATA]])</f>
        <v>8</v>
      </c>
    </row>
    <row r="1790" spans="1:4" x14ac:dyDescent="0.35">
      <c r="A1790" s="1">
        <v>2525</v>
      </c>
      <c r="B1790" s="2">
        <v>46251.847222222219</v>
      </c>
      <c r="C1790" s="1" t="s">
        <v>9</v>
      </c>
      <c r="D1790" s="1">
        <f>MONTH(Tabela6[[#This Row],[DATA]])</f>
        <v>8</v>
      </c>
    </row>
    <row r="1791" spans="1:4" x14ac:dyDescent="0.35">
      <c r="A1791" s="1">
        <v>2526</v>
      </c>
      <c r="B1791" s="2">
        <v>46251.848611111112</v>
      </c>
      <c r="C1791" s="1" t="s">
        <v>9</v>
      </c>
      <c r="D1791" s="1">
        <f>MONTH(Tabela6[[#This Row],[DATA]])</f>
        <v>8</v>
      </c>
    </row>
    <row r="1792" spans="1:4" x14ac:dyDescent="0.35">
      <c r="A1792" s="1">
        <v>2527</v>
      </c>
      <c r="B1792" s="2">
        <v>46251.849305555559</v>
      </c>
      <c r="C1792" s="1" t="s">
        <v>9</v>
      </c>
      <c r="D1792" s="1">
        <f>MONTH(Tabela6[[#This Row],[DATA]])</f>
        <v>8</v>
      </c>
    </row>
    <row r="1793" spans="1:4" x14ac:dyDescent="0.35">
      <c r="A1793" s="1">
        <v>2528</v>
      </c>
      <c r="B1793" s="2">
        <v>46251.850694444445</v>
      </c>
      <c r="C1793" s="1" t="s">
        <v>9</v>
      </c>
      <c r="D1793" s="1">
        <f>MONTH(Tabela6[[#This Row],[DATA]])</f>
        <v>8</v>
      </c>
    </row>
    <row r="1794" spans="1:4" x14ac:dyDescent="0.35">
      <c r="A1794" s="1">
        <v>2544</v>
      </c>
      <c r="B1794" s="2">
        <v>46252.39166666667</v>
      </c>
      <c r="C1794" s="1" t="s">
        <v>22</v>
      </c>
      <c r="D1794" s="1">
        <f>MONTH(Tabela6[[#This Row],[DATA]])</f>
        <v>8</v>
      </c>
    </row>
    <row r="1795" spans="1:4" x14ac:dyDescent="0.35">
      <c r="A1795" s="1">
        <v>2545</v>
      </c>
      <c r="B1795" s="2">
        <v>46252.445833333331</v>
      </c>
      <c r="C1795" s="1" t="s">
        <v>5</v>
      </c>
      <c r="D1795" s="1">
        <f>MONTH(Tabela6[[#This Row],[DATA]])</f>
        <v>8</v>
      </c>
    </row>
    <row r="1796" spans="1:4" x14ac:dyDescent="0.35">
      <c r="A1796" s="1">
        <v>2563</v>
      </c>
      <c r="B1796" s="2">
        <v>46252.617361111108</v>
      </c>
      <c r="C1796" s="1" t="s">
        <v>24</v>
      </c>
      <c r="D1796" s="1">
        <f>MONTH(Tabela6[[#This Row],[DATA]])</f>
        <v>8</v>
      </c>
    </row>
    <row r="1797" spans="1:4" x14ac:dyDescent="0.35">
      <c r="A1797" s="1">
        <v>2567</v>
      </c>
      <c r="B1797" s="2">
        <v>46252.620833333334</v>
      </c>
      <c r="C1797" s="1" t="s">
        <v>65</v>
      </c>
      <c r="D1797" s="1">
        <f>MONTH(Tabela6[[#This Row],[DATA]])</f>
        <v>8</v>
      </c>
    </row>
    <row r="1798" spans="1:4" x14ac:dyDescent="0.35">
      <c r="A1798" s="1">
        <v>2574</v>
      </c>
      <c r="B1798" s="2">
        <v>46253.45416666667</v>
      </c>
      <c r="C1798" s="1" t="s">
        <v>65</v>
      </c>
      <c r="D1798" s="1">
        <f>MONTH(Tabela6[[#This Row],[DATA]])</f>
        <v>8</v>
      </c>
    </row>
    <row r="1799" spans="1:4" x14ac:dyDescent="0.35">
      <c r="A1799" s="1">
        <v>2578</v>
      </c>
      <c r="B1799" s="2">
        <v>46253.563888888886</v>
      </c>
      <c r="C1799" s="1" t="s">
        <v>22</v>
      </c>
      <c r="D1799" s="1">
        <f>MONTH(Tabela6[[#This Row],[DATA]])</f>
        <v>8</v>
      </c>
    </row>
    <row r="1800" spans="1:4" x14ac:dyDescent="0.35">
      <c r="A1800" s="1">
        <v>2583</v>
      </c>
      <c r="B1800" s="2">
        <v>46253.71597222222</v>
      </c>
      <c r="C1800" s="1" t="s">
        <v>65</v>
      </c>
      <c r="D1800" s="1">
        <f>MONTH(Tabela6[[#This Row],[DATA]])</f>
        <v>8</v>
      </c>
    </row>
    <row r="1801" spans="1:4" x14ac:dyDescent="0.35">
      <c r="A1801" s="1">
        <v>2584</v>
      </c>
      <c r="B1801" s="2">
        <v>46253.716666666667</v>
      </c>
      <c r="C1801" s="1" t="s">
        <v>9</v>
      </c>
      <c r="D1801" s="1">
        <f>MONTH(Tabela6[[#This Row],[DATA]])</f>
        <v>8</v>
      </c>
    </row>
    <row r="1802" spans="1:4" x14ac:dyDescent="0.35">
      <c r="A1802" s="1">
        <v>2585</v>
      </c>
      <c r="B1802" s="2">
        <v>46253.717361111114</v>
      </c>
      <c r="C1802" s="1" t="s">
        <v>9</v>
      </c>
      <c r="D1802" s="1">
        <f>MONTH(Tabela6[[#This Row],[DATA]])</f>
        <v>8</v>
      </c>
    </row>
    <row r="1803" spans="1:4" x14ac:dyDescent="0.35">
      <c r="A1803" s="1">
        <v>2586</v>
      </c>
      <c r="B1803" s="2">
        <v>46253.725694444445</v>
      </c>
      <c r="C1803" s="1" t="s">
        <v>9</v>
      </c>
      <c r="D1803" s="1">
        <f>MONTH(Tabela6[[#This Row],[DATA]])</f>
        <v>8</v>
      </c>
    </row>
    <row r="1804" spans="1:4" x14ac:dyDescent="0.35">
      <c r="A1804" s="1">
        <v>2587</v>
      </c>
      <c r="B1804" s="2">
        <v>46253.727083333331</v>
      </c>
      <c r="C1804" s="1" t="s">
        <v>9</v>
      </c>
      <c r="D1804" s="1">
        <f>MONTH(Tabela6[[#This Row],[DATA]])</f>
        <v>8</v>
      </c>
    </row>
    <row r="1805" spans="1:4" x14ac:dyDescent="0.35">
      <c r="A1805" s="1">
        <v>2588</v>
      </c>
      <c r="B1805" s="2">
        <v>46253.729166666664</v>
      </c>
      <c r="C1805" s="1" t="s">
        <v>9</v>
      </c>
      <c r="D1805" s="1">
        <f>MONTH(Tabela6[[#This Row],[DATA]])</f>
        <v>8</v>
      </c>
    </row>
    <row r="1806" spans="1:4" x14ac:dyDescent="0.35">
      <c r="A1806" s="1">
        <v>2589</v>
      </c>
      <c r="B1806" s="2">
        <v>46253.731249999997</v>
      </c>
      <c r="C1806" s="1" t="s">
        <v>9</v>
      </c>
      <c r="D1806" s="1">
        <f>MONTH(Tabela6[[#This Row],[DATA]])</f>
        <v>8</v>
      </c>
    </row>
    <row r="1807" spans="1:4" x14ac:dyDescent="0.35">
      <c r="A1807" s="1">
        <v>2602</v>
      </c>
      <c r="B1807" s="2">
        <v>46255.341666666667</v>
      </c>
      <c r="C1807" s="1" t="s">
        <v>3</v>
      </c>
      <c r="D1807" s="1">
        <f>MONTH(Tabela6[[#This Row],[DATA]])</f>
        <v>8</v>
      </c>
    </row>
    <row r="1808" spans="1:4" x14ac:dyDescent="0.35">
      <c r="A1808" s="1">
        <v>2603</v>
      </c>
      <c r="B1808" s="2">
        <v>46255.390972222223</v>
      </c>
      <c r="C1808" s="1" t="s">
        <v>5</v>
      </c>
      <c r="D1808" s="1">
        <f>MONTH(Tabela6[[#This Row],[DATA]])</f>
        <v>8</v>
      </c>
    </row>
    <row r="1809" spans="1:4" x14ac:dyDescent="0.35">
      <c r="A1809" s="1">
        <v>2604</v>
      </c>
      <c r="B1809" s="2">
        <v>46255.39166666667</v>
      </c>
      <c r="C1809" s="1" t="s">
        <v>5</v>
      </c>
      <c r="D1809" s="1">
        <f>MONTH(Tabela6[[#This Row],[DATA]])</f>
        <v>8</v>
      </c>
    </row>
    <row r="1810" spans="1:4" x14ac:dyDescent="0.35">
      <c r="A1810" s="1">
        <v>2610</v>
      </c>
      <c r="B1810" s="2">
        <v>46258.377083333333</v>
      </c>
      <c r="C1810" s="1" t="s">
        <v>5</v>
      </c>
      <c r="D1810" s="1">
        <f>MONTH(Tabela6[[#This Row],[DATA]])</f>
        <v>8</v>
      </c>
    </row>
    <row r="1811" spans="1:4" x14ac:dyDescent="0.35">
      <c r="A1811" s="1">
        <v>2617</v>
      </c>
      <c r="B1811" s="2">
        <v>46258.581250000003</v>
      </c>
      <c r="C1811" s="1" t="s">
        <v>22</v>
      </c>
      <c r="D1811" s="1">
        <f>MONTH(Tabela6[[#This Row],[DATA]])</f>
        <v>8</v>
      </c>
    </row>
    <row r="1812" spans="1:4" x14ac:dyDescent="0.35">
      <c r="A1812" s="1">
        <v>2622</v>
      </c>
      <c r="B1812" s="2">
        <v>46258.661805555559</v>
      </c>
      <c r="C1812" s="1" t="s">
        <v>65</v>
      </c>
      <c r="D1812" s="1">
        <f>MONTH(Tabela6[[#This Row],[DATA]])</f>
        <v>8</v>
      </c>
    </row>
    <row r="1813" spans="1:4" x14ac:dyDescent="0.35">
      <c r="A1813" s="1">
        <v>2625</v>
      </c>
      <c r="B1813" s="2">
        <v>46259.30972222222</v>
      </c>
      <c r="C1813" s="1" t="s">
        <v>3</v>
      </c>
      <c r="D1813" s="1">
        <f>MONTH(Tabela6[[#This Row],[DATA]])</f>
        <v>8</v>
      </c>
    </row>
    <row r="1814" spans="1:4" x14ac:dyDescent="0.35">
      <c r="A1814" s="1">
        <v>2626</v>
      </c>
      <c r="B1814" s="2">
        <v>46259.311805555553</v>
      </c>
      <c r="C1814" s="1" t="s">
        <v>3</v>
      </c>
      <c r="D1814" s="1">
        <f>MONTH(Tabela6[[#This Row],[DATA]])</f>
        <v>8</v>
      </c>
    </row>
    <row r="1815" spans="1:4" x14ac:dyDescent="0.35">
      <c r="A1815" s="1">
        <v>2627</v>
      </c>
      <c r="B1815" s="2">
        <v>46259.315972222219</v>
      </c>
      <c r="C1815" s="1" t="s">
        <v>3</v>
      </c>
      <c r="D1815" s="1">
        <f>MONTH(Tabela6[[#This Row],[DATA]])</f>
        <v>8</v>
      </c>
    </row>
    <row r="1816" spans="1:4" x14ac:dyDescent="0.35">
      <c r="A1816" s="1">
        <v>2628</v>
      </c>
      <c r="B1816" s="2">
        <v>46259.338194444441</v>
      </c>
      <c r="C1816" s="1" t="s">
        <v>3</v>
      </c>
      <c r="D1816" s="1">
        <f>MONTH(Tabela6[[#This Row],[DATA]])</f>
        <v>8</v>
      </c>
    </row>
    <row r="1817" spans="1:4" x14ac:dyDescent="0.35">
      <c r="A1817" s="1">
        <v>2630</v>
      </c>
      <c r="B1817" s="2">
        <v>46259.410416666666</v>
      </c>
      <c r="C1817" s="1" t="s">
        <v>3</v>
      </c>
      <c r="D1817" s="1">
        <f>MONTH(Tabela6[[#This Row],[DATA]])</f>
        <v>8</v>
      </c>
    </row>
    <row r="1818" spans="1:4" x14ac:dyDescent="0.35">
      <c r="A1818" s="1">
        <v>2632</v>
      </c>
      <c r="B1818" s="2">
        <v>46259.425000000003</v>
      </c>
      <c r="C1818" s="1" t="s">
        <v>22</v>
      </c>
      <c r="D1818" s="1">
        <f>MONTH(Tabela6[[#This Row],[DATA]])</f>
        <v>8</v>
      </c>
    </row>
    <row r="1819" spans="1:4" x14ac:dyDescent="0.35">
      <c r="A1819" s="1">
        <v>2633</v>
      </c>
      <c r="B1819" s="2">
        <v>46259.432638888888</v>
      </c>
      <c r="C1819" s="1" t="s">
        <v>19</v>
      </c>
      <c r="D1819" s="1">
        <f>MONTH(Tabela6[[#This Row],[DATA]])</f>
        <v>8</v>
      </c>
    </row>
    <row r="1820" spans="1:4" x14ac:dyDescent="0.35">
      <c r="A1820" s="1">
        <v>2634</v>
      </c>
      <c r="B1820" s="2">
        <v>46259.434027777781</v>
      </c>
      <c r="C1820" s="1" t="s">
        <v>19</v>
      </c>
      <c r="D1820" s="1">
        <f>MONTH(Tabela6[[#This Row],[DATA]])</f>
        <v>8</v>
      </c>
    </row>
    <row r="1821" spans="1:4" x14ac:dyDescent="0.35">
      <c r="A1821" s="1">
        <v>2635</v>
      </c>
      <c r="B1821" s="2">
        <v>46259.43472222222</v>
      </c>
      <c r="C1821" s="1" t="s">
        <v>19</v>
      </c>
      <c r="D1821" s="1">
        <f>MONTH(Tabela6[[#This Row],[DATA]])</f>
        <v>8</v>
      </c>
    </row>
    <row r="1822" spans="1:4" x14ac:dyDescent="0.35">
      <c r="A1822" s="1">
        <v>2636</v>
      </c>
      <c r="B1822" s="2">
        <v>46259.435416666667</v>
      </c>
      <c r="C1822" s="1" t="s">
        <v>19</v>
      </c>
      <c r="D1822" s="1">
        <f>MONTH(Tabela6[[#This Row],[DATA]])</f>
        <v>8</v>
      </c>
    </row>
    <row r="1823" spans="1:4" x14ac:dyDescent="0.35">
      <c r="A1823" s="1">
        <v>2637</v>
      </c>
      <c r="B1823" s="2">
        <v>46259.436111111114</v>
      </c>
      <c r="C1823" s="1" t="s">
        <v>19</v>
      </c>
      <c r="D1823" s="1">
        <f>MONTH(Tabela6[[#This Row],[DATA]])</f>
        <v>8</v>
      </c>
    </row>
    <row r="1824" spans="1:4" x14ac:dyDescent="0.35">
      <c r="A1824" s="1">
        <v>2638</v>
      </c>
      <c r="B1824" s="2">
        <v>46259.436805555553</v>
      </c>
      <c r="C1824" s="1" t="s">
        <v>19</v>
      </c>
      <c r="D1824" s="1">
        <f>MONTH(Tabela6[[#This Row],[DATA]])</f>
        <v>8</v>
      </c>
    </row>
    <row r="1825" spans="1:4" x14ac:dyDescent="0.35">
      <c r="A1825" s="1">
        <v>2639</v>
      </c>
      <c r="B1825" s="2">
        <v>46259.438194444447</v>
      </c>
      <c r="C1825" s="1" t="s">
        <v>19</v>
      </c>
      <c r="D1825" s="1">
        <f>MONTH(Tabela6[[#This Row],[DATA]])</f>
        <v>8</v>
      </c>
    </row>
    <row r="1826" spans="1:4" x14ac:dyDescent="0.35">
      <c r="A1826" s="1">
        <v>2640</v>
      </c>
      <c r="B1826" s="2">
        <v>46259.438888888886</v>
      </c>
      <c r="C1826" s="1" t="s">
        <v>3</v>
      </c>
      <c r="D1826" s="1">
        <f>MONTH(Tabela6[[#This Row],[DATA]])</f>
        <v>8</v>
      </c>
    </row>
    <row r="1827" spans="1:4" x14ac:dyDescent="0.35">
      <c r="A1827" s="1">
        <v>2642</v>
      </c>
      <c r="B1827" s="2">
        <v>46259.460416666669</v>
      </c>
      <c r="C1827" s="1" t="s">
        <v>19</v>
      </c>
      <c r="D1827" s="1">
        <f>MONTH(Tabela6[[#This Row],[DATA]])</f>
        <v>8</v>
      </c>
    </row>
    <row r="1828" spans="1:4" x14ac:dyDescent="0.35">
      <c r="A1828" s="1">
        <v>2643</v>
      </c>
      <c r="B1828" s="2">
        <v>46259.461111111108</v>
      </c>
      <c r="C1828" s="1" t="s">
        <v>19</v>
      </c>
      <c r="D1828" s="1">
        <f>MONTH(Tabela6[[#This Row],[DATA]])</f>
        <v>8</v>
      </c>
    </row>
    <row r="1829" spans="1:4" x14ac:dyDescent="0.35">
      <c r="A1829" s="1">
        <v>2644</v>
      </c>
      <c r="B1829" s="2">
        <v>46259.462500000001</v>
      </c>
      <c r="C1829" s="1" t="s">
        <v>19</v>
      </c>
      <c r="D1829" s="1">
        <f>MONTH(Tabela6[[#This Row],[DATA]])</f>
        <v>8</v>
      </c>
    </row>
    <row r="1830" spans="1:4" x14ac:dyDescent="0.35">
      <c r="A1830" s="1">
        <v>2645</v>
      </c>
      <c r="B1830" s="2">
        <v>46259.464583333334</v>
      </c>
      <c r="C1830" s="1" t="s">
        <v>19</v>
      </c>
      <c r="D1830" s="1">
        <f>MONTH(Tabela6[[#This Row],[DATA]])</f>
        <v>8</v>
      </c>
    </row>
    <row r="1831" spans="1:4" x14ac:dyDescent="0.35">
      <c r="A1831" s="1">
        <v>2646</v>
      </c>
      <c r="B1831" s="2">
        <v>46259.493055555555</v>
      </c>
      <c r="C1831" s="1" t="s">
        <v>5</v>
      </c>
      <c r="D1831" s="1">
        <f>MONTH(Tabela6[[#This Row],[DATA]])</f>
        <v>8</v>
      </c>
    </row>
    <row r="1832" spans="1:4" x14ac:dyDescent="0.35">
      <c r="A1832" s="1">
        <v>2647</v>
      </c>
      <c r="B1832" s="2">
        <v>46259.495138888888</v>
      </c>
      <c r="C1832" s="1" t="s">
        <v>5</v>
      </c>
      <c r="D1832" s="1">
        <f>MONTH(Tabela6[[#This Row],[DATA]])</f>
        <v>8</v>
      </c>
    </row>
    <row r="1833" spans="1:4" x14ac:dyDescent="0.35">
      <c r="A1833" s="1">
        <v>2648</v>
      </c>
      <c r="B1833" s="2">
        <v>46259.495833333334</v>
      </c>
      <c r="C1833" s="1" t="s">
        <v>3</v>
      </c>
      <c r="D1833" s="1">
        <f>MONTH(Tabela6[[#This Row],[DATA]])</f>
        <v>8</v>
      </c>
    </row>
    <row r="1834" spans="1:4" x14ac:dyDescent="0.35">
      <c r="A1834" s="1">
        <v>2651</v>
      </c>
      <c r="B1834" s="2">
        <v>46259.651388888888</v>
      </c>
      <c r="C1834" s="1" t="s">
        <v>3</v>
      </c>
      <c r="D1834" s="1">
        <f>MONTH(Tabela6[[#This Row],[DATA]])</f>
        <v>8</v>
      </c>
    </row>
    <row r="1835" spans="1:4" x14ac:dyDescent="0.35">
      <c r="A1835" s="1">
        <v>2652</v>
      </c>
      <c r="B1835" s="2">
        <v>46259.654166666667</v>
      </c>
      <c r="C1835" s="1" t="s">
        <v>3</v>
      </c>
      <c r="D1835" s="1">
        <f>MONTH(Tabela6[[#This Row],[DATA]])</f>
        <v>8</v>
      </c>
    </row>
    <row r="1836" spans="1:4" x14ac:dyDescent="0.35">
      <c r="A1836" s="1">
        <v>2653</v>
      </c>
      <c r="B1836" s="2">
        <v>46259.65625</v>
      </c>
      <c r="C1836" s="1" t="s">
        <v>3</v>
      </c>
      <c r="D1836" s="1">
        <f>MONTH(Tabela6[[#This Row],[DATA]])</f>
        <v>8</v>
      </c>
    </row>
    <row r="1837" spans="1:4" x14ac:dyDescent="0.35">
      <c r="A1837" s="1">
        <v>2656</v>
      </c>
      <c r="B1837" s="2">
        <v>46259.822222222225</v>
      </c>
      <c r="C1837" s="1" t="s">
        <v>9</v>
      </c>
      <c r="D1837" s="1">
        <f>MONTH(Tabela6[[#This Row],[DATA]])</f>
        <v>8</v>
      </c>
    </row>
    <row r="1838" spans="1:4" x14ac:dyDescent="0.35">
      <c r="A1838" s="1">
        <v>2657</v>
      </c>
      <c r="B1838" s="2">
        <v>46259.822916666664</v>
      </c>
      <c r="C1838" s="1" t="s">
        <v>9</v>
      </c>
      <c r="D1838" s="1">
        <f>MONTH(Tabela6[[#This Row],[DATA]])</f>
        <v>8</v>
      </c>
    </row>
    <row r="1839" spans="1:4" x14ac:dyDescent="0.35">
      <c r="A1839" s="1">
        <v>2658</v>
      </c>
      <c r="B1839" s="2">
        <v>46259.828472222223</v>
      </c>
      <c r="C1839" s="1" t="s">
        <v>9</v>
      </c>
      <c r="D1839" s="1">
        <f>MONTH(Tabela6[[#This Row],[DATA]])</f>
        <v>8</v>
      </c>
    </row>
    <row r="1840" spans="1:4" x14ac:dyDescent="0.35">
      <c r="A1840" s="1">
        <v>2659</v>
      </c>
      <c r="B1840" s="2">
        <v>46259.82916666667</v>
      </c>
      <c r="C1840" s="1" t="s">
        <v>9</v>
      </c>
      <c r="D1840" s="1">
        <f>MONTH(Tabela6[[#This Row],[DATA]])</f>
        <v>8</v>
      </c>
    </row>
    <row r="1841" spans="1:4" x14ac:dyDescent="0.35">
      <c r="A1841" s="1">
        <v>2660</v>
      </c>
      <c r="B1841" s="2">
        <v>46259.829861111109</v>
      </c>
      <c r="C1841" s="1" t="s">
        <v>9</v>
      </c>
      <c r="D1841" s="1">
        <f>MONTH(Tabela6[[#This Row],[DATA]])</f>
        <v>8</v>
      </c>
    </row>
    <row r="1842" spans="1:4" x14ac:dyDescent="0.35">
      <c r="A1842" s="1">
        <v>2661</v>
      </c>
      <c r="B1842" s="2">
        <v>46259.830555555556</v>
      </c>
      <c r="C1842" s="1" t="s">
        <v>9</v>
      </c>
      <c r="D1842" s="1">
        <f>MONTH(Tabela6[[#This Row],[DATA]])</f>
        <v>8</v>
      </c>
    </row>
    <row r="1843" spans="1:4" x14ac:dyDescent="0.35">
      <c r="A1843" s="1">
        <v>2662</v>
      </c>
      <c r="B1843" s="2">
        <v>46260.361805555556</v>
      </c>
      <c r="C1843" s="1" t="s">
        <v>5</v>
      </c>
      <c r="D1843" s="1">
        <f>MONTH(Tabela6[[#This Row],[DATA]])</f>
        <v>8</v>
      </c>
    </row>
    <row r="1844" spans="1:4" x14ac:dyDescent="0.35">
      <c r="A1844" s="1">
        <v>2663</v>
      </c>
      <c r="B1844" s="2">
        <v>46260.368055555555</v>
      </c>
      <c r="C1844" s="1" t="s">
        <v>21</v>
      </c>
      <c r="D1844" s="1">
        <f>MONTH(Tabela6[[#This Row],[DATA]])</f>
        <v>8</v>
      </c>
    </row>
    <row r="1845" spans="1:4" x14ac:dyDescent="0.35">
      <c r="A1845" s="1">
        <v>2666</v>
      </c>
      <c r="B1845" s="2">
        <v>46260.433333333334</v>
      </c>
      <c r="C1845" s="1" t="s">
        <v>5</v>
      </c>
      <c r="D1845" s="1">
        <f>MONTH(Tabela6[[#This Row],[DATA]])</f>
        <v>8</v>
      </c>
    </row>
    <row r="1846" spans="1:4" x14ac:dyDescent="0.35">
      <c r="A1846" s="1">
        <v>2667</v>
      </c>
      <c r="B1846" s="2">
        <v>46260.454861111109</v>
      </c>
      <c r="C1846" s="1" t="s">
        <v>22</v>
      </c>
      <c r="D1846" s="1">
        <f>MONTH(Tabela6[[#This Row],[DATA]])</f>
        <v>8</v>
      </c>
    </row>
    <row r="1847" spans="1:4" x14ac:dyDescent="0.35">
      <c r="A1847" s="1">
        <v>2668</v>
      </c>
      <c r="B1847" s="2">
        <v>46260.474305555559</v>
      </c>
      <c r="C1847" s="1" t="s">
        <v>3</v>
      </c>
      <c r="D1847" s="1">
        <f>MONTH(Tabela6[[#This Row],[DATA]])</f>
        <v>8</v>
      </c>
    </row>
    <row r="1848" spans="1:4" x14ac:dyDescent="0.35">
      <c r="A1848" s="1">
        <v>2669</v>
      </c>
      <c r="B1848" s="2">
        <v>46260.477083333331</v>
      </c>
      <c r="C1848" s="1" t="s">
        <v>3</v>
      </c>
      <c r="D1848" s="1">
        <f>MONTH(Tabela6[[#This Row],[DATA]])</f>
        <v>8</v>
      </c>
    </row>
    <row r="1849" spans="1:4" x14ac:dyDescent="0.35">
      <c r="A1849" s="1">
        <v>2670</v>
      </c>
      <c r="B1849" s="2">
        <v>46260.480555555558</v>
      </c>
      <c r="C1849" s="1" t="s">
        <v>3</v>
      </c>
      <c r="D1849" s="1">
        <f>MONTH(Tabela6[[#This Row],[DATA]])</f>
        <v>8</v>
      </c>
    </row>
    <row r="1850" spans="1:4" x14ac:dyDescent="0.35">
      <c r="A1850" s="1">
        <v>2675</v>
      </c>
      <c r="B1850" s="2">
        <v>46260.713194444441</v>
      </c>
      <c r="C1850" s="1" t="s">
        <v>3</v>
      </c>
      <c r="D1850" s="1">
        <f>MONTH(Tabela6[[#This Row],[DATA]])</f>
        <v>8</v>
      </c>
    </row>
    <row r="1851" spans="1:4" x14ac:dyDescent="0.35">
      <c r="A1851" s="1">
        <v>2680</v>
      </c>
      <c r="B1851" s="2">
        <v>46260.84375</v>
      </c>
      <c r="C1851" s="1" t="s">
        <v>9</v>
      </c>
      <c r="D1851" s="1">
        <f>MONTH(Tabela6[[#This Row],[DATA]])</f>
        <v>8</v>
      </c>
    </row>
    <row r="1852" spans="1:4" x14ac:dyDescent="0.35">
      <c r="A1852" s="1">
        <v>2681</v>
      </c>
      <c r="B1852" s="2">
        <v>46260.845138888886</v>
      </c>
      <c r="C1852" s="1" t="s">
        <v>9</v>
      </c>
      <c r="D1852" s="1">
        <f>MONTH(Tabela6[[#This Row],[DATA]])</f>
        <v>8</v>
      </c>
    </row>
    <row r="1853" spans="1:4" x14ac:dyDescent="0.35">
      <c r="A1853" s="1">
        <v>2682</v>
      </c>
      <c r="B1853" s="2">
        <v>46260.84652777778</v>
      </c>
      <c r="C1853" s="1" t="s">
        <v>9</v>
      </c>
      <c r="D1853" s="1">
        <f>MONTH(Tabela6[[#This Row],[DATA]])</f>
        <v>8</v>
      </c>
    </row>
    <row r="1854" spans="1:4" x14ac:dyDescent="0.35">
      <c r="A1854" s="1">
        <v>2683</v>
      </c>
      <c r="B1854" s="2">
        <v>46260.847222222219</v>
      </c>
      <c r="C1854" s="1" t="s">
        <v>9</v>
      </c>
      <c r="D1854" s="1">
        <f>MONTH(Tabela6[[#This Row],[DATA]])</f>
        <v>8</v>
      </c>
    </row>
    <row r="1855" spans="1:4" x14ac:dyDescent="0.35">
      <c r="A1855" s="1">
        <v>2684</v>
      </c>
      <c r="B1855" s="2">
        <v>46260.849305555559</v>
      </c>
      <c r="C1855" s="1" t="s">
        <v>9</v>
      </c>
      <c r="D1855" s="1">
        <f>MONTH(Tabela6[[#This Row],[DATA]])</f>
        <v>8</v>
      </c>
    </row>
    <row r="1856" spans="1:4" x14ac:dyDescent="0.35">
      <c r="A1856" s="1">
        <v>2685</v>
      </c>
      <c r="B1856" s="2">
        <v>46261.28125</v>
      </c>
      <c r="C1856" s="1" t="s">
        <v>24</v>
      </c>
      <c r="D1856" s="1">
        <f>MONTH(Tabela6[[#This Row],[DATA]])</f>
        <v>8</v>
      </c>
    </row>
    <row r="1857" spans="1:4" x14ac:dyDescent="0.35">
      <c r="A1857" s="1">
        <v>2686</v>
      </c>
      <c r="B1857" s="2">
        <v>46261.282638888886</v>
      </c>
      <c r="C1857" s="1" t="s">
        <v>3</v>
      </c>
      <c r="D1857" s="1">
        <f>MONTH(Tabela6[[#This Row],[DATA]])</f>
        <v>8</v>
      </c>
    </row>
    <row r="1858" spans="1:4" x14ac:dyDescent="0.35">
      <c r="A1858" s="1">
        <v>2687</v>
      </c>
      <c r="B1858" s="2">
        <v>46261.285416666666</v>
      </c>
      <c r="C1858" s="1" t="s">
        <v>3</v>
      </c>
      <c r="D1858" s="1">
        <f>MONTH(Tabela6[[#This Row],[DATA]])</f>
        <v>8</v>
      </c>
    </row>
    <row r="1859" spans="1:4" x14ac:dyDescent="0.35">
      <c r="A1859" s="1">
        <v>2688</v>
      </c>
      <c r="B1859" s="2">
        <v>46261.293749999997</v>
      </c>
      <c r="C1859" s="1" t="s">
        <v>3</v>
      </c>
      <c r="D1859" s="1">
        <f>MONTH(Tabela6[[#This Row],[DATA]])</f>
        <v>8</v>
      </c>
    </row>
    <row r="1860" spans="1:4" x14ac:dyDescent="0.35">
      <c r="A1860" s="1">
        <v>2689</v>
      </c>
      <c r="B1860" s="2">
        <v>46261.294444444444</v>
      </c>
      <c r="C1860" s="1" t="s">
        <v>3</v>
      </c>
      <c r="D1860" s="1">
        <f>MONTH(Tabela6[[#This Row],[DATA]])</f>
        <v>8</v>
      </c>
    </row>
    <row r="1861" spans="1:4" x14ac:dyDescent="0.35">
      <c r="A1861" s="1">
        <v>2690</v>
      </c>
      <c r="B1861" s="2">
        <v>46261.297222222223</v>
      </c>
      <c r="C1861" s="1" t="s">
        <v>3</v>
      </c>
      <c r="D1861" s="1">
        <f>MONTH(Tabela6[[#This Row],[DATA]])</f>
        <v>8</v>
      </c>
    </row>
    <row r="1862" spans="1:4" x14ac:dyDescent="0.35">
      <c r="A1862" s="1">
        <v>2691</v>
      </c>
      <c r="B1862" s="2">
        <v>46261.298611111109</v>
      </c>
      <c r="C1862" s="1" t="s">
        <v>3</v>
      </c>
      <c r="D1862" s="1">
        <f>MONTH(Tabela6[[#This Row],[DATA]])</f>
        <v>8</v>
      </c>
    </row>
    <row r="1863" spans="1:4" x14ac:dyDescent="0.35">
      <c r="A1863" s="1">
        <v>2692</v>
      </c>
      <c r="B1863" s="2">
        <v>46261.301388888889</v>
      </c>
      <c r="C1863" s="1" t="s">
        <v>3</v>
      </c>
      <c r="D1863" s="1">
        <f>MONTH(Tabela6[[#This Row],[DATA]])</f>
        <v>8</v>
      </c>
    </row>
    <row r="1864" spans="1:4" x14ac:dyDescent="0.35">
      <c r="A1864" s="1">
        <v>2693</v>
      </c>
      <c r="B1864" s="2">
        <v>46261.319444444445</v>
      </c>
      <c r="C1864" s="1" t="s">
        <v>24</v>
      </c>
      <c r="D1864" s="1">
        <f>MONTH(Tabela6[[#This Row],[DATA]])</f>
        <v>8</v>
      </c>
    </row>
    <row r="1865" spans="1:4" x14ac:dyDescent="0.35">
      <c r="A1865" s="1">
        <v>2694</v>
      </c>
      <c r="B1865" s="2">
        <v>46261.353472222225</v>
      </c>
      <c r="C1865" s="1" t="s">
        <v>24</v>
      </c>
      <c r="D1865" s="1">
        <f>MONTH(Tabela6[[#This Row],[DATA]])</f>
        <v>8</v>
      </c>
    </row>
    <row r="1866" spans="1:4" x14ac:dyDescent="0.35">
      <c r="A1866" s="1">
        <v>2695</v>
      </c>
      <c r="B1866" s="2">
        <v>46261.354861111111</v>
      </c>
      <c r="C1866" s="1" t="s">
        <v>24</v>
      </c>
      <c r="D1866" s="1">
        <f>MONTH(Tabela6[[#This Row],[DATA]])</f>
        <v>8</v>
      </c>
    </row>
    <row r="1867" spans="1:4" x14ac:dyDescent="0.35">
      <c r="A1867" s="1">
        <v>2696</v>
      </c>
      <c r="B1867" s="2">
        <v>46261.355555555558</v>
      </c>
      <c r="C1867" s="1" t="s">
        <v>24</v>
      </c>
      <c r="D1867" s="1">
        <f>MONTH(Tabela6[[#This Row],[DATA]])</f>
        <v>8</v>
      </c>
    </row>
    <row r="1868" spans="1:4" x14ac:dyDescent="0.35">
      <c r="A1868" s="1">
        <v>2697</v>
      </c>
      <c r="B1868" s="2">
        <v>46261.356944444444</v>
      </c>
      <c r="C1868" s="1" t="s">
        <v>24</v>
      </c>
      <c r="D1868" s="1">
        <f>MONTH(Tabela6[[#This Row],[DATA]])</f>
        <v>8</v>
      </c>
    </row>
    <row r="1869" spans="1:4" x14ac:dyDescent="0.35">
      <c r="A1869" s="1">
        <v>2698</v>
      </c>
      <c r="B1869" s="2">
        <v>46261.357638888891</v>
      </c>
      <c r="C1869" s="1" t="s">
        <v>24</v>
      </c>
      <c r="D1869" s="1">
        <f>MONTH(Tabela6[[#This Row],[DATA]])</f>
        <v>8</v>
      </c>
    </row>
    <row r="1870" spans="1:4" x14ac:dyDescent="0.35">
      <c r="A1870" s="1">
        <v>2699</v>
      </c>
      <c r="B1870" s="2">
        <v>46261.35833333333</v>
      </c>
      <c r="C1870" s="1" t="s">
        <v>24</v>
      </c>
      <c r="D1870" s="1">
        <f>MONTH(Tabela6[[#This Row],[DATA]])</f>
        <v>8</v>
      </c>
    </row>
    <row r="1871" spans="1:4" x14ac:dyDescent="0.35">
      <c r="A1871" s="1">
        <v>2700</v>
      </c>
      <c r="B1871" s="2">
        <v>46261.359027777777</v>
      </c>
      <c r="C1871" s="1" t="s">
        <v>24</v>
      </c>
      <c r="D1871" s="1">
        <f>MONTH(Tabela6[[#This Row],[DATA]])</f>
        <v>8</v>
      </c>
    </row>
    <row r="1872" spans="1:4" x14ac:dyDescent="0.35">
      <c r="A1872" s="1">
        <v>2701</v>
      </c>
      <c r="B1872" s="2">
        <v>46261.359722222223</v>
      </c>
      <c r="C1872" s="1" t="s">
        <v>5</v>
      </c>
      <c r="D1872" s="1">
        <f>MONTH(Tabela6[[#This Row],[DATA]])</f>
        <v>8</v>
      </c>
    </row>
    <row r="1873" spans="1:4" x14ac:dyDescent="0.35">
      <c r="A1873" s="1">
        <v>2702</v>
      </c>
      <c r="B1873" s="2">
        <v>46261.36041666667</v>
      </c>
      <c r="C1873" s="1" t="s">
        <v>24</v>
      </c>
      <c r="D1873" s="1">
        <f>MONTH(Tabela6[[#This Row],[DATA]])</f>
        <v>8</v>
      </c>
    </row>
    <row r="1874" spans="1:4" x14ac:dyDescent="0.35">
      <c r="A1874" s="1">
        <v>2703</v>
      </c>
      <c r="B1874" s="2">
        <v>46261.361111111109</v>
      </c>
      <c r="C1874" s="1" t="s">
        <v>24</v>
      </c>
      <c r="D1874" s="1">
        <f>MONTH(Tabela6[[#This Row],[DATA]])</f>
        <v>8</v>
      </c>
    </row>
    <row r="1875" spans="1:4" x14ac:dyDescent="0.35">
      <c r="A1875" s="1">
        <v>2704</v>
      </c>
      <c r="B1875" s="2">
        <v>46261.363888888889</v>
      </c>
      <c r="C1875" s="1" t="s">
        <v>24</v>
      </c>
      <c r="D1875" s="1">
        <f>MONTH(Tabela6[[#This Row],[DATA]])</f>
        <v>8</v>
      </c>
    </row>
    <row r="1876" spans="1:4" x14ac:dyDescent="0.35">
      <c r="A1876" s="1">
        <v>2705</v>
      </c>
      <c r="B1876" s="2">
        <v>46261.365277777775</v>
      </c>
      <c r="C1876" s="1" t="s">
        <v>24</v>
      </c>
      <c r="D1876" s="1">
        <f>MONTH(Tabela6[[#This Row],[DATA]])</f>
        <v>8</v>
      </c>
    </row>
    <row r="1877" spans="1:4" x14ac:dyDescent="0.35">
      <c r="A1877" s="1">
        <v>2706</v>
      </c>
      <c r="B1877" s="2">
        <v>46261.365972222222</v>
      </c>
      <c r="C1877" s="1" t="s">
        <v>24</v>
      </c>
      <c r="D1877" s="1">
        <f>MONTH(Tabela6[[#This Row],[DATA]])</f>
        <v>8</v>
      </c>
    </row>
    <row r="1878" spans="1:4" x14ac:dyDescent="0.35">
      <c r="A1878" s="1">
        <v>2707</v>
      </c>
      <c r="B1878" s="2">
        <v>46261.366666666669</v>
      </c>
      <c r="C1878" s="1" t="s">
        <v>24</v>
      </c>
      <c r="D1878" s="1">
        <f>MONTH(Tabela6[[#This Row],[DATA]])</f>
        <v>8</v>
      </c>
    </row>
    <row r="1879" spans="1:4" x14ac:dyDescent="0.35">
      <c r="A1879" s="1">
        <v>2708</v>
      </c>
      <c r="B1879" s="2">
        <v>46261.368055555555</v>
      </c>
      <c r="C1879" s="1" t="s">
        <v>24</v>
      </c>
      <c r="D1879" s="1">
        <f>MONTH(Tabela6[[#This Row],[DATA]])</f>
        <v>8</v>
      </c>
    </row>
    <row r="1880" spans="1:4" x14ac:dyDescent="0.35">
      <c r="A1880" s="1">
        <v>2709</v>
      </c>
      <c r="B1880" s="2">
        <v>46261.368750000001</v>
      </c>
      <c r="C1880" s="1" t="s">
        <v>24</v>
      </c>
      <c r="D1880" s="1">
        <f>MONTH(Tabela6[[#This Row],[DATA]])</f>
        <v>8</v>
      </c>
    </row>
    <row r="1881" spans="1:4" x14ac:dyDescent="0.35">
      <c r="A1881" s="1">
        <v>2710</v>
      </c>
      <c r="B1881" s="2">
        <v>46261.369444444441</v>
      </c>
      <c r="C1881" s="1" t="s">
        <v>24</v>
      </c>
      <c r="D1881" s="1">
        <f>MONTH(Tabela6[[#This Row],[DATA]])</f>
        <v>8</v>
      </c>
    </row>
    <row r="1882" spans="1:4" x14ac:dyDescent="0.35">
      <c r="A1882" s="1">
        <v>2711</v>
      </c>
      <c r="B1882" s="2">
        <v>46261.370138888888</v>
      </c>
      <c r="C1882" s="1" t="s">
        <v>24</v>
      </c>
      <c r="D1882" s="1">
        <f>MONTH(Tabela6[[#This Row],[DATA]])</f>
        <v>8</v>
      </c>
    </row>
    <row r="1883" spans="1:4" x14ac:dyDescent="0.35">
      <c r="A1883" s="1">
        <v>2712</v>
      </c>
      <c r="B1883" s="2">
        <v>46261.371527777781</v>
      </c>
      <c r="C1883" s="1" t="s">
        <v>24</v>
      </c>
      <c r="D1883" s="1">
        <f>MONTH(Tabela6[[#This Row],[DATA]])</f>
        <v>8</v>
      </c>
    </row>
    <row r="1884" spans="1:4" x14ac:dyDescent="0.35">
      <c r="A1884" s="1">
        <v>2713</v>
      </c>
      <c r="B1884" s="2">
        <v>46261.37222222222</v>
      </c>
      <c r="C1884" s="1" t="s">
        <v>24</v>
      </c>
      <c r="D1884" s="1">
        <f>MONTH(Tabela6[[#This Row],[DATA]])</f>
        <v>8</v>
      </c>
    </row>
    <row r="1885" spans="1:4" x14ac:dyDescent="0.35">
      <c r="A1885" s="1">
        <v>2714</v>
      </c>
      <c r="B1885" s="2">
        <v>46261.373611111114</v>
      </c>
      <c r="C1885" s="1" t="s">
        <v>24</v>
      </c>
      <c r="D1885" s="1">
        <f>MONTH(Tabela6[[#This Row],[DATA]])</f>
        <v>8</v>
      </c>
    </row>
    <row r="1886" spans="1:4" x14ac:dyDescent="0.35">
      <c r="A1886" s="1">
        <v>2715</v>
      </c>
      <c r="B1886" s="2">
        <v>46261.377083333333</v>
      </c>
      <c r="C1886" s="1" t="s">
        <v>24</v>
      </c>
      <c r="D1886" s="1">
        <f>MONTH(Tabela6[[#This Row],[DATA]])</f>
        <v>8</v>
      </c>
    </row>
    <row r="1887" spans="1:4" x14ac:dyDescent="0.35">
      <c r="A1887" s="1">
        <v>2716</v>
      </c>
      <c r="B1887" s="2">
        <v>46261.397222222222</v>
      </c>
      <c r="C1887" s="1" t="s">
        <v>3</v>
      </c>
      <c r="D1887" s="1">
        <f>MONTH(Tabela6[[#This Row],[DATA]])</f>
        <v>8</v>
      </c>
    </row>
    <row r="1888" spans="1:4" x14ac:dyDescent="0.35">
      <c r="A1888" s="1">
        <v>2717</v>
      </c>
      <c r="B1888" s="2">
        <v>46261.413888888892</v>
      </c>
      <c r="C1888" s="1" t="s">
        <v>22</v>
      </c>
      <c r="D1888" s="1">
        <f>MONTH(Tabela6[[#This Row],[DATA]])</f>
        <v>8</v>
      </c>
    </row>
    <row r="1889" spans="1:4" x14ac:dyDescent="0.35">
      <c r="A1889" s="1">
        <v>2718</v>
      </c>
      <c r="B1889" s="2">
        <v>46261.446527777778</v>
      </c>
      <c r="C1889" s="1" t="s">
        <v>24</v>
      </c>
      <c r="D1889" s="1">
        <f>MONTH(Tabela6[[#This Row],[DATA]])</f>
        <v>8</v>
      </c>
    </row>
    <row r="1890" spans="1:4" x14ac:dyDescent="0.35">
      <c r="A1890" s="1">
        <v>2719</v>
      </c>
      <c r="B1890" s="2">
        <v>46261.447222222225</v>
      </c>
      <c r="C1890" s="1" t="s">
        <v>24</v>
      </c>
      <c r="D1890" s="1">
        <f>MONTH(Tabela6[[#This Row],[DATA]])</f>
        <v>8</v>
      </c>
    </row>
    <row r="1891" spans="1:4" x14ac:dyDescent="0.35">
      <c r="A1891" s="1">
        <v>2720</v>
      </c>
      <c r="B1891" s="2">
        <v>46261.447916666664</v>
      </c>
      <c r="C1891" s="1" t="s">
        <v>24</v>
      </c>
      <c r="D1891" s="1">
        <f>MONTH(Tabela6[[#This Row],[DATA]])</f>
        <v>8</v>
      </c>
    </row>
    <row r="1892" spans="1:4" x14ac:dyDescent="0.35">
      <c r="A1892" s="1">
        <v>2721</v>
      </c>
      <c r="B1892" s="2">
        <v>46261.448611111111</v>
      </c>
      <c r="C1892" s="1" t="s">
        <v>24</v>
      </c>
      <c r="D1892" s="1">
        <f>MONTH(Tabela6[[#This Row],[DATA]])</f>
        <v>8</v>
      </c>
    </row>
    <row r="1893" spans="1:4" x14ac:dyDescent="0.35">
      <c r="A1893" s="1">
        <v>2722</v>
      </c>
      <c r="B1893" s="2">
        <v>46261.449305555558</v>
      </c>
      <c r="C1893" s="1" t="s">
        <v>24</v>
      </c>
      <c r="D1893" s="1">
        <f>MONTH(Tabela6[[#This Row],[DATA]])</f>
        <v>8</v>
      </c>
    </row>
    <row r="1894" spans="1:4" x14ac:dyDescent="0.35">
      <c r="A1894" s="1">
        <v>2723</v>
      </c>
      <c r="B1894" s="2">
        <v>46261.450694444444</v>
      </c>
      <c r="C1894" s="1" t="s">
        <v>24</v>
      </c>
      <c r="D1894" s="1">
        <f>MONTH(Tabela6[[#This Row],[DATA]])</f>
        <v>8</v>
      </c>
    </row>
    <row r="1895" spans="1:4" x14ac:dyDescent="0.35">
      <c r="A1895" s="1">
        <v>2724</v>
      </c>
      <c r="B1895" s="2">
        <v>46261.451388888891</v>
      </c>
      <c r="C1895" s="1" t="s">
        <v>24</v>
      </c>
      <c r="D1895" s="1">
        <f>MONTH(Tabela6[[#This Row],[DATA]])</f>
        <v>8</v>
      </c>
    </row>
    <row r="1896" spans="1:4" x14ac:dyDescent="0.35">
      <c r="A1896" s="1">
        <v>2725</v>
      </c>
      <c r="B1896" s="2">
        <v>46261.45208333333</v>
      </c>
      <c r="C1896" s="1" t="s">
        <v>24</v>
      </c>
      <c r="D1896" s="1">
        <f>MONTH(Tabela6[[#This Row],[DATA]])</f>
        <v>8</v>
      </c>
    </row>
    <row r="1897" spans="1:4" x14ac:dyDescent="0.35">
      <c r="A1897" s="1">
        <v>2726</v>
      </c>
      <c r="B1897" s="2">
        <v>46261.452777777777</v>
      </c>
      <c r="C1897" s="1" t="s">
        <v>24</v>
      </c>
      <c r="D1897" s="1">
        <f>MONTH(Tabela6[[#This Row],[DATA]])</f>
        <v>8</v>
      </c>
    </row>
    <row r="1898" spans="1:4" x14ac:dyDescent="0.35">
      <c r="A1898" s="1">
        <v>2727</v>
      </c>
      <c r="B1898" s="2">
        <v>46261.453472222223</v>
      </c>
      <c r="C1898" s="1" t="s">
        <v>24</v>
      </c>
      <c r="D1898" s="1">
        <f>MONTH(Tabela6[[#This Row],[DATA]])</f>
        <v>8</v>
      </c>
    </row>
    <row r="1899" spans="1:4" x14ac:dyDescent="0.35">
      <c r="A1899" s="1">
        <v>2728</v>
      </c>
      <c r="B1899" s="2">
        <v>46261.454861111109</v>
      </c>
      <c r="C1899" s="1" t="s">
        <v>24</v>
      </c>
      <c r="D1899" s="1">
        <f>MONTH(Tabela6[[#This Row],[DATA]])</f>
        <v>8</v>
      </c>
    </row>
    <row r="1900" spans="1:4" x14ac:dyDescent="0.35">
      <c r="A1900" s="1">
        <v>2729</v>
      </c>
      <c r="B1900" s="2">
        <v>46261.455555555556</v>
      </c>
      <c r="C1900" s="1" t="s">
        <v>24</v>
      </c>
      <c r="D1900" s="1">
        <f>MONTH(Tabela6[[#This Row],[DATA]])</f>
        <v>8</v>
      </c>
    </row>
    <row r="1901" spans="1:4" x14ac:dyDescent="0.35">
      <c r="A1901" s="1">
        <v>2731</v>
      </c>
      <c r="B1901" s="2">
        <v>46261.484027777777</v>
      </c>
      <c r="C1901" s="1" t="s">
        <v>3</v>
      </c>
      <c r="D1901" s="1">
        <f>MONTH(Tabela6[[#This Row],[DATA]])</f>
        <v>8</v>
      </c>
    </row>
    <row r="1902" spans="1:4" x14ac:dyDescent="0.35">
      <c r="A1902" s="1">
        <v>2735</v>
      </c>
      <c r="B1902" s="2">
        <v>46261.881944444445</v>
      </c>
      <c r="C1902" s="1" t="s">
        <v>9</v>
      </c>
      <c r="D1902" s="1">
        <f>MONTH(Tabela6[[#This Row],[DATA]])</f>
        <v>8</v>
      </c>
    </row>
    <row r="1903" spans="1:4" x14ac:dyDescent="0.35">
      <c r="A1903" s="1">
        <v>2736</v>
      </c>
      <c r="B1903" s="2">
        <v>46261.884722222225</v>
      </c>
      <c r="C1903" s="1" t="s">
        <v>9</v>
      </c>
      <c r="D1903" s="1">
        <f>MONTH(Tabela6[[#This Row],[DATA]])</f>
        <v>8</v>
      </c>
    </row>
    <row r="1904" spans="1:4" x14ac:dyDescent="0.35">
      <c r="A1904" s="1">
        <v>2737</v>
      </c>
      <c r="B1904" s="2">
        <v>46261.885416666664</v>
      </c>
      <c r="C1904" s="1" t="s">
        <v>9</v>
      </c>
      <c r="D1904" s="1">
        <f>MONTH(Tabela6[[#This Row],[DATA]])</f>
        <v>8</v>
      </c>
    </row>
    <row r="1905" spans="1:4" x14ac:dyDescent="0.35">
      <c r="A1905" s="1">
        <v>2738</v>
      </c>
      <c r="B1905" s="2">
        <v>46261.886805555558</v>
      </c>
      <c r="C1905" s="1" t="s">
        <v>9</v>
      </c>
      <c r="D1905" s="1">
        <f>MONTH(Tabela6[[#This Row],[DATA]])</f>
        <v>8</v>
      </c>
    </row>
    <row r="1906" spans="1:4" x14ac:dyDescent="0.35">
      <c r="A1906" s="1">
        <v>2739</v>
      </c>
      <c r="B1906" s="2">
        <v>46261.887499999997</v>
      </c>
      <c r="C1906" s="1" t="s">
        <v>9</v>
      </c>
      <c r="D1906" s="1">
        <f>MONTH(Tabela6[[#This Row],[DATA]])</f>
        <v>8</v>
      </c>
    </row>
    <row r="1907" spans="1:4" x14ac:dyDescent="0.35">
      <c r="A1907" s="1">
        <v>2740</v>
      </c>
      <c r="B1907" s="2">
        <v>46262.295138888891</v>
      </c>
      <c r="C1907" s="1" t="s">
        <v>21</v>
      </c>
      <c r="D1907" s="1">
        <f>MONTH(Tabela6[[#This Row],[DATA]])</f>
        <v>8</v>
      </c>
    </row>
    <row r="1908" spans="1:4" x14ac:dyDescent="0.35">
      <c r="A1908" s="1">
        <v>2741</v>
      </c>
      <c r="B1908" s="2">
        <v>46262.32916666667</v>
      </c>
      <c r="C1908" s="1" t="s">
        <v>3</v>
      </c>
      <c r="D1908" s="1">
        <f>MONTH(Tabela6[[#This Row],[DATA]])</f>
        <v>8</v>
      </c>
    </row>
    <row r="1909" spans="1:4" x14ac:dyDescent="0.35">
      <c r="A1909" s="1">
        <v>2744</v>
      </c>
      <c r="B1909" s="2">
        <v>46262.395138888889</v>
      </c>
      <c r="C1909" s="1" t="s">
        <v>3</v>
      </c>
      <c r="D1909" s="1">
        <f>MONTH(Tabela6[[#This Row],[DATA]])</f>
        <v>8</v>
      </c>
    </row>
    <row r="1910" spans="1:4" x14ac:dyDescent="0.35">
      <c r="A1910" s="1">
        <v>2745</v>
      </c>
      <c r="B1910" s="2">
        <v>46262.404166666667</v>
      </c>
      <c r="C1910" s="1" t="s">
        <v>5</v>
      </c>
      <c r="D1910" s="1">
        <f>MONTH(Tabela6[[#This Row],[DATA]])</f>
        <v>8</v>
      </c>
    </row>
    <row r="1911" spans="1:4" x14ac:dyDescent="0.35">
      <c r="A1911" s="1">
        <v>2746</v>
      </c>
      <c r="B1911" s="2">
        <v>46262.415972222225</v>
      </c>
      <c r="C1911" s="1" t="s">
        <v>22</v>
      </c>
      <c r="D1911" s="1">
        <f>MONTH(Tabela6[[#This Row],[DATA]])</f>
        <v>8</v>
      </c>
    </row>
    <row r="1912" spans="1:4" x14ac:dyDescent="0.35">
      <c r="A1912" s="1">
        <v>2750</v>
      </c>
      <c r="B1912" s="2">
        <v>46265.341666666667</v>
      </c>
      <c r="C1912" s="1" t="s">
        <v>24</v>
      </c>
      <c r="D1912" s="1">
        <f>MONTH(Tabela6[[#This Row],[DATA]])</f>
        <v>8</v>
      </c>
    </row>
    <row r="1913" spans="1:4" x14ac:dyDescent="0.35">
      <c r="A1913" s="1">
        <v>2751</v>
      </c>
      <c r="B1913" s="2">
        <v>46265.35</v>
      </c>
      <c r="C1913" s="1" t="s">
        <v>21</v>
      </c>
      <c r="D1913" s="1">
        <f>MONTH(Tabela6[[#This Row],[DATA]])</f>
        <v>8</v>
      </c>
    </row>
    <row r="1914" spans="1:4" x14ac:dyDescent="0.35">
      <c r="A1914" s="1">
        <v>2753</v>
      </c>
      <c r="B1914" s="2">
        <v>46265.413888888892</v>
      </c>
      <c r="C1914" s="1" t="s">
        <v>5</v>
      </c>
      <c r="D1914" s="1">
        <f>MONTH(Tabela6[[#This Row],[DATA]])</f>
        <v>8</v>
      </c>
    </row>
    <row r="1915" spans="1:4" x14ac:dyDescent="0.35">
      <c r="A1915" s="1">
        <v>2761</v>
      </c>
      <c r="B1915" s="2">
        <v>46265.476388888892</v>
      </c>
      <c r="C1915" s="1" t="s">
        <v>22</v>
      </c>
      <c r="D1915" s="1">
        <f>MONTH(Tabela6[[#This Row],[DATA]])</f>
        <v>8</v>
      </c>
    </row>
    <row r="1916" spans="1:4" x14ac:dyDescent="0.35">
      <c r="A1916" s="1">
        <v>2763</v>
      </c>
      <c r="B1916" s="2">
        <v>46265.654861111114</v>
      </c>
      <c r="C1916" s="1" t="s">
        <v>19</v>
      </c>
      <c r="D1916" s="1">
        <f>MONTH(Tabela6[[#This Row],[DATA]])</f>
        <v>8</v>
      </c>
    </row>
    <row r="1917" spans="1:4" x14ac:dyDescent="0.35">
      <c r="A1917" s="1">
        <v>2766</v>
      </c>
      <c r="B1917" s="2">
        <v>46265.656944444447</v>
      </c>
      <c r="C1917" s="1" t="s">
        <v>19</v>
      </c>
      <c r="D1917" s="1">
        <f>MONTH(Tabela6[[#This Row],[DATA]])</f>
        <v>8</v>
      </c>
    </row>
    <row r="1918" spans="1:4" x14ac:dyDescent="0.35">
      <c r="A1918" s="1">
        <v>2769</v>
      </c>
      <c r="B1918" s="2">
        <v>46265.938888888886</v>
      </c>
      <c r="C1918" s="1" t="s">
        <v>9</v>
      </c>
      <c r="D1918" s="1">
        <f>MONTH(Tabela6[[#This Row],[DATA]])</f>
        <v>8</v>
      </c>
    </row>
    <row r="1919" spans="1:4" x14ac:dyDescent="0.35">
      <c r="A1919" s="1">
        <v>2770</v>
      </c>
      <c r="B1919" s="2">
        <v>46265.939583333333</v>
      </c>
      <c r="C1919" s="1" t="s">
        <v>9</v>
      </c>
      <c r="D1919" s="1">
        <f>MONTH(Tabela6[[#This Row],[DATA]])</f>
        <v>8</v>
      </c>
    </row>
    <row r="1920" spans="1:4" x14ac:dyDescent="0.35">
      <c r="A1920" s="1">
        <v>2771</v>
      </c>
      <c r="B1920" s="2">
        <v>46265.94027777778</v>
      </c>
      <c r="C1920" s="1" t="s">
        <v>9</v>
      </c>
      <c r="D1920" s="1">
        <f>MONTH(Tabela6[[#This Row],[DATA]])</f>
        <v>8</v>
      </c>
    </row>
    <row r="1921" spans="1:4" x14ac:dyDescent="0.35">
      <c r="A1921" s="1">
        <v>2772</v>
      </c>
      <c r="B1921" s="2">
        <v>46265.941666666666</v>
      </c>
      <c r="C1921" s="1" t="s">
        <v>9</v>
      </c>
      <c r="D1921" s="1">
        <f>MONTH(Tabela6[[#This Row],[DATA]])</f>
        <v>8</v>
      </c>
    </row>
    <row r="1922" spans="1:4" x14ac:dyDescent="0.35">
      <c r="A1922" s="1">
        <v>2773</v>
      </c>
      <c r="B1922" s="2">
        <v>46265.942361111112</v>
      </c>
      <c r="C1922" s="1" t="s">
        <v>9</v>
      </c>
      <c r="D1922" s="1">
        <f>MONTH(Tabela6[[#This Row],[DATA]])</f>
        <v>8</v>
      </c>
    </row>
    <row r="1923" spans="1:4" x14ac:dyDescent="0.35">
      <c r="A1923" s="1">
        <v>2778</v>
      </c>
      <c r="B1923" s="2">
        <v>46267.345833333333</v>
      </c>
      <c r="C1923" s="1" t="s">
        <v>24</v>
      </c>
      <c r="D1923" s="1">
        <f>MONTH(Tabela6[[#This Row],[DATA]])</f>
        <v>9</v>
      </c>
    </row>
    <row r="1924" spans="1:4" x14ac:dyDescent="0.35">
      <c r="A1924" s="1">
        <v>2779</v>
      </c>
      <c r="B1924" s="2">
        <v>46267.353472222225</v>
      </c>
      <c r="C1924" s="1" t="s">
        <v>3</v>
      </c>
      <c r="D1924" s="1">
        <f>MONTH(Tabela6[[#This Row],[DATA]])</f>
        <v>9</v>
      </c>
    </row>
    <row r="1925" spans="1:4" x14ac:dyDescent="0.35">
      <c r="A1925" s="1">
        <v>2780</v>
      </c>
      <c r="B1925" s="2">
        <v>46267.356249999997</v>
      </c>
      <c r="C1925" s="1" t="s">
        <v>3</v>
      </c>
      <c r="D1925" s="1">
        <f>MONTH(Tabela6[[#This Row],[DATA]])</f>
        <v>9</v>
      </c>
    </row>
    <row r="1926" spans="1:4" x14ac:dyDescent="0.35">
      <c r="A1926" s="1">
        <v>2781</v>
      </c>
      <c r="B1926" s="2">
        <v>46267.361805555556</v>
      </c>
      <c r="C1926" s="1" t="s">
        <v>3</v>
      </c>
      <c r="D1926" s="1">
        <f>MONTH(Tabela6[[#This Row],[DATA]])</f>
        <v>9</v>
      </c>
    </row>
    <row r="1927" spans="1:4" x14ac:dyDescent="0.35">
      <c r="A1927" s="1">
        <v>2782</v>
      </c>
      <c r="B1927" s="2">
        <v>46267.364583333336</v>
      </c>
      <c r="C1927" s="1" t="s">
        <v>3</v>
      </c>
      <c r="D1927" s="1">
        <f>MONTH(Tabela6[[#This Row],[DATA]])</f>
        <v>9</v>
      </c>
    </row>
    <row r="1928" spans="1:4" x14ac:dyDescent="0.35">
      <c r="A1928" s="1">
        <v>2783</v>
      </c>
      <c r="B1928" s="2">
        <v>46267.366666666669</v>
      </c>
      <c r="C1928" s="1" t="s">
        <v>3</v>
      </c>
      <c r="D1928" s="1">
        <f>MONTH(Tabela6[[#This Row],[DATA]])</f>
        <v>9</v>
      </c>
    </row>
    <row r="1929" spans="1:4" x14ac:dyDescent="0.35">
      <c r="A1929" s="1">
        <v>2784</v>
      </c>
      <c r="B1929" s="2">
        <v>46267.368055555555</v>
      </c>
      <c r="C1929" s="1" t="s">
        <v>3</v>
      </c>
      <c r="D1929" s="1">
        <f>MONTH(Tabela6[[#This Row],[DATA]])</f>
        <v>9</v>
      </c>
    </row>
    <row r="1930" spans="1:4" x14ac:dyDescent="0.35">
      <c r="A1930" s="1">
        <v>2785</v>
      </c>
      <c r="B1930" s="2">
        <v>46267.369444444441</v>
      </c>
      <c r="C1930" s="1" t="s">
        <v>3</v>
      </c>
      <c r="D1930" s="1">
        <f>MONTH(Tabela6[[#This Row],[DATA]])</f>
        <v>9</v>
      </c>
    </row>
    <row r="1931" spans="1:4" x14ac:dyDescent="0.35">
      <c r="A1931" s="1">
        <v>2786</v>
      </c>
      <c r="B1931" s="2">
        <v>46267.415277777778</v>
      </c>
      <c r="C1931" s="1" t="s">
        <v>3</v>
      </c>
      <c r="D1931" s="1">
        <f>MONTH(Tabela6[[#This Row],[DATA]])</f>
        <v>9</v>
      </c>
    </row>
    <row r="1932" spans="1:4" x14ac:dyDescent="0.35">
      <c r="A1932" s="1">
        <v>2789</v>
      </c>
      <c r="B1932" s="2">
        <v>46267.709027777775</v>
      </c>
      <c r="C1932" s="1" t="s">
        <v>3</v>
      </c>
      <c r="D1932" s="1">
        <f>MONTH(Tabela6[[#This Row],[DATA]])</f>
        <v>9</v>
      </c>
    </row>
    <row r="1933" spans="1:4" x14ac:dyDescent="0.35">
      <c r="A1933" s="1">
        <v>2790</v>
      </c>
      <c r="B1933" s="2">
        <v>46267.712500000001</v>
      </c>
      <c r="C1933" s="1" t="s">
        <v>3</v>
      </c>
      <c r="D1933" s="1">
        <f>MONTH(Tabela6[[#This Row],[DATA]])</f>
        <v>9</v>
      </c>
    </row>
    <row r="1934" spans="1:4" x14ac:dyDescent="0.35">
      <c r="A1934" s="1">
        <v>2791</v>
      </c>
      <c r="B1934" s="2">
        <v>46267.713194444441</v>
      </c>
      <c r="C1934" s="1" t="s">
        <v>3</v>
      </c>
      <c r="D1934" s="1">
        <f>MONTH(Tabela6[[#This Row],[DATA]])</f>
        <v>9</v>
      </c>
    </row>
    <row r="1935" spans="1:4" x14ac:dyDescent="0.35">
      <c r="A1935" s="1">
        <v>2792</v>
      </c>
      <c r="B1935" s="2">
        <v>46267.715277777781</v>
      </c>
      <c r="C1935" s="1" t="s">
        <v>3</v>
      </c>
      <c r="D1935" s="1">
        <f>MONTH(Tabela6[[#This Row],[DATA]])</f>
        <v>9</v>
      </c>
    </row>
    <row r="1936" spans="1:4" x14ac:dyDescent="0.35">
      <c r="A1936" s="1">
        <v>2796</v>
      </c>
      <c r="B1936" s="2">
        <v>46267.829861111109</v>
      </c>
      <c r="C1936" s="1" t="s">
        <v>9</v>
      </c>
      <c r="D1936" s="1">
        <f>MONTH(Tabela6[[#This Row],[DATA]])</f>
        <v>9</v>
      </c>
    </row>
    <row r="1937" spans="1:4" x14ac:dyDescent="0.35">
      <c r="A1937" s="1">
        <v>2797</v>
      </c>
      <c r="B1937" s="2">
        <v>46267.831944444442</v>
      </c>
      <c r="C1937" s="1" t="s">
        <v>9</v>
      </c>
      <c r="D1937" s="1">
        <f>MONTH(Tabela6[[#This Row],[DATA]])</f>
        <v>9</v>
      </c>
    </row>
    <row r="1938" spans="1:4" x14ac:dyDescent="0.35">
      <c r="A1938" s="1">
        <v>2798</v>
      </c>
      <c r="B1938" s="2">
        <v>46267.852777777778</v>
      </c>
      <c r="C1938" s="1" t="s">
        <v>9</v>
      </c>
      <c r="D1938" s="1">
        <f>MONTH(Tabela6[[#This Row],[DATA]])</f>
        <v>9</v>
      </c>
    </row>
    <row r="1939" spans="1:4" x14ac:dyDescent="0.35">
      <c r="A1939" s="1">
        <v>2799</v>
      </c>
      <c r="B1939" s="2">
        <v>46267.854166666664</v>
      </c>
      <c r="C1939" s="1" t="s">
        <v>9</v>
      </c>
      <c r="D1939" s="1">
        <f>MONTH(Tabela6[[#This Row],[DATA]])</f>
        <v>9</v>
      </c>
    </row>
    <row r="1940" spans="1:4" x14ac:dyDescent="0.35">
      <c r="A1940" s="1">
        <v>2800</v>
      </c>
      <c r="B1940" s="2">
        <v>46267.855555555558</v>
      </c>
      <c r="C1940" s="1" t="s">
        <v>9</v>
      </c>
      <c r="D1940" s="1">
        <f>MONTH(Tabela6[[#This Row],[DATA]])</f>
        <v>9</v>
      </c>
    </row>
    <row r="1941" spans="1:4" x14ac:dyDescent="0.35">
      <c r="A1941" s="1">
        <v>2801</v>
      </c>
      <c r="B1941" s="2">
        <v>46267.856944444444</v>
      </c>
      <c r="C1941" s="1" t="s">
        <v>9</v>
      </c>
      <c r="D1941" s="1">
        <f>MONTH(Tabela6[[#This Row],[DATA]])</f>
        <v>9</v>
      </c>
    </row>
    <row r="1942" spans="1:4" x14ac:dyDescent="0.35">
      <c r="A1942" s="1">
        <v>2802</v>
      </c>
      <c r="B1942" s="2">
        <v>46267.859027777777</v>
      </c>
      <c r="C1942" s="1" t="s">
        <v>9</v>
      </c>
      <c r="D1942" s="1">
        <f>MONTH(Tabela6[[#This Row],[DATA]])</f>
        <v>9</v>
      </c>
    </row>
    <row r="1943" spans="1:4" x14ac:dyDescent="0.35">
      <c r="A1943" s="1">
        <v>2803</v>
      </c>
      <c r="B1943" s="2">
        <v>46267.86041666667</v>
      </c>
      <c r="C1943" s="1" t="s">
        <v>9</v>
      </c>
      <c r="D1943" s="1">
        <f>MONTH(Tabela6[[#This Row],[DATA]])</f>
        <v>9</v>
      </c>
    </row>
    <row r="1944" spans="1:4" x14ac:dyDescent="0.35">
      <c r="A1944" s="1">
        <v>2804</v>
      </c>
      <c r="B1944" s="2">
        <v>46267.861805555556</v>
      </c>
      <c r="C1944" s="1" t="s">
        <v>9</v>
      </c>
      <c r="D1944" s="1">
        <f>MONTH(Tabela6[[#This Row],[DATA]])</f>
        <v>9</v>
      </c>
    </row>
    <row r="1945" spans="1:4" x14ac:dyDescent="0.35">
      <c r="A1945" s="1">
        <v>2805</v>
      </c>
      <c r="B1945" s="2">
        <v>46268.289583333331</v>
      </c>
      <c r="C1945" s="1" t="s">
        <v>21</v>
      </c>
      <c r="D1945" s="1">
        <f>MONTH(Tabela6[[#This Row],[DATA]])</f>
        <v>9</v>
      </c>
    </row>
    <row r="1946" spans="1:4" x14ac:dyDescent="0.35">
      <c r="A1946" s="1">
        <v>2806</v>
      </c>
      <c r="B1946" s="2">
        <v>46268.331944444442</v>
      </c>
      <c r="C1946" s="1" t="s">
        <v>22</v>
      </c>
      <c r="D1946" s="1">
        <f>MONTH(Tabela6[[#This Row],[DATA]])</f>
        <v>9</v>
      </c>
    </row>
    <row r="1947" spans="1:4" x14ac:dyDescent="0.35">
      <c r="A1947" s="1">
        <v>2807</v>
      </c>
      <c r="B1947" s="2">
        <v>46268.342361111114</v>
      </c>
      <c r="C1947" s="1" t="s">
        <v>21</v>
      </c>
      <c r="D1947" s="1">
        <f>MONTH(Tabela6[[#This Row],[DATA]])</f>
        <v>9</v>
      </c>
    </row>
    <row r="1948" spans="1:4" x14ac:dyDescent="0.35">
      <c r="A1948" s="1">
        <v>2808</v>
      </c>
      <c r="B1948" s="2">
        <v>46268.352777777778</v>
      </c>
      <c r="C1948" s="1" t="s">
        <v>3</v>
      </c>
      <c r="D1948" s="1">
        <f>MONTH(Tabela6[[#This Row],[DATA]])</f>
        <v>9</v>
      </c>
    </row>
    <row r="1949" spans="1:4" x14ac:dyDescent="0.35">
      <c r="A1949" s="1">
        <v>2809</v>
      </c>
      <c r="B1949" s="2">
        <v>46268.361111111109</v>
      </c>
      <c r="C1949" s="1" t="s">
        <v>3</v>
      </c>
      <c r="D1949" s="1">
        <f>MONTH(Tabela6[[#This Row],[DATA]])</f>
        <v>9</v>
      </c>
    </row>
    <row r="1950" spans="1:4" x14ac:dyDescent="0.35">
      <c r="A1950" s="1">
        <v>2810</v>
      </c>
      <c r="B1950" s="2">
        <v>46268.365277777775</v>
      </c>
      <c r="C1950" s="1" t="s">
        <v>3</v>
      </c>
      <c r="D1950" s="1">
        <f>MONTH(Tabela6[[#This Row],[DATA]])</f>
        <v>9</v>
      </c>
    </row>
    <row r="1951" spans="1:4" x14ac:dyDescent="0.35">
      <c r="A1951" s="1">
        <v>2811</v>
      </c>
      <c r="B1951" s="2">
        <v>46268.366666666669</v>
      </c>
      <c r="C1951" s="1" t="s">
        <v>3</v>
      </c>
      <c r="D1951" s="1">
        <f>MONTH(Tabela6[[#This Row],[DATA]])</f>
        <v>9</v>
      </c>
    </row>
    <row r="1952" spans="1:4" x14ac:dyDescent="0.35">
      <c r="A1952" s="1">
        <v>2812</v>
      </c>
      <c r="B1952" s="2">
        <v>46268.368750000001</v>
      </c>
      <c r="C1952" s="1" t="s">
        <v>5</v>
      </c>
      <c r="D1952" s="1">
        <f>MONTH(Tabela6[[#This Row],[DATA]])</f>
        <v>9</v>
      </c>
    </row>
    <row r="1953" spans="1:4" x14ac:dyDescent="0.35">
      <c r="A1953" s="1">
        <v>2813</v>
      </c>
      <c r="B1953" s="2">
        <v>46268.370138888888</v>
      </c>
      <c r="C1953" s="1" t="s">
        <v>3</v>
      </c>
      <c r="D1953" s="1">
        <f>MONTH(Tabela6[[#This Row],[DATA]])</f>
        <v>9</v>
      </c>
    </row>
    <row r="1954" spans="1:4" x14ac:dyDescent="0.35">
      <c r="A1954" s="1">
        <v>2814</v>
      </c>
      <c r="B1954" s="2">
        <v>46268.405555555553</v>
      </c>
      <c r="C1954" s="1" t="s">
        <v>9</v>
      </c>
      <c r="D1954" s="1">
        <f>MONTH(Tabela6[[#This Row],[DATA]])</f>
        <v>9</v>
      </c>
    </row>
    <row r="1955" spans="1:4" x14ac:dyDescent="0.35">
      <c r="A1955" s="1">
        <v>2815</v>
      </c>
      <c r="B1955" s="2">
        <v>46268.416666666664</v>
      </c>
      <c r="C1955" s="1" t="s">
        <v>22</v>
      </c>
      <c r="D1955" s="1">
        <f>MONTH(Tabela6[[#This Row],[DATA]])</f>
        <v>9</v>
      </c>
    </row>
    <row r="1956" spans="1:4" x14ac:dyDescent="0.35">
      <c r="A1956" s="1">
        <v>2834</v>
      </c>
      <c r="B1956" s="2">
        <v>46268.865277777775</v>
      </c>
      <c r="C1956" s="1" t="s">
        <v>9</v>
      </c>
      <c r="D1956" s="1">
        <f>MONTH(Tabela6[[#This Row],[DATA]])</f>
        <v>9</v>
      </c>
    </row>
    <row r="1957" spans="1:4" x14ac:dyDescent="0.35">
      <c r="A1957" s="1">
        <v>2835</v>
      </c>
      <c r="B1957" s="2">
        <v>46268.865972222222</v>
      </c>
      <c r="C1957" s="1" t="s">
        <v>9</v>
      </c>
      <c r="D1957" s="1">
        <f>MONTH(Tabela6[[#This Row],[DATA]])</f>
        <v>9</v>
      </c>
    </row>
    <row r="1958" spans="1:4" x14ac:dyDescent="0.35">
      <c r="A1958" s="1">
        <v>2836</v>
      </c>
      <c r="B1958" s="2">
        <v>46268.867361111108</v>
      </c>
      <c r="C1958" s="1" t="s">
        <v>9</v>
      </c>
      <c r="D1958" s="1">
        <f>MONTH(Tabela6[[#This Row],[DATA]])</f>
        <v>9</v>
      </c>
    </row>
    <row r="1959" spans="1:4" x14ac:dyDescent="0.35">
      <c r="A1959" s="1">
        <v>2837</v>
      </c>
      <c r="B1959" s="2">
        <v>46268.868750000001</v>
      </c>
      <c r="C1959" s="1" t="s">
        <v>9</v>
      </c>
      <c r="D1959" s="1">
        <f>MONTH(Tabela6[[#This Row],[DATA]])</f>
        <v>9</v>
      </c>
    </row>
    <row r="1960" spans="1:4" x14ac:dyDescent="0.35">
      <c r="A1960" s="1">
        <v>2838</v>
      </c>
      <c r="B1960" s="2">
        <v>46268.869444444441</v>
      </c>
      <c r="C1960" s="1" t="s">
        <v>9</v>
      </c>
      <c r="D1960" s="1">
        <f>MONTH(Tabela6[[#This Row],[DATA]])</f>
        <v>9</v>
      </c>
    </row>
    <row r="1961" spans="1:4" x14ac:dyDescent="0.35">
      <c r="A1961" s="1">
        <v>2839</v>
      </c>
      <c r="B1961" s="2">
        <v>46268.870833333334</v>
      </c>
      <c r="C1961" s="1" t="s">
        <v>9</v>
      </c>
      <c r="D1961" s="1">
        <f>MONTH(Tabela6[[#This Row],[DATA]])</f>
        <v>9</v>
      </c>
    </row>
    <row r="1962" spans="1:4" x14ac:dyDescent="0.35">
      <c r="A1962" s="1">
        <v>2840</v>
      </c>
      <c r="B1962" s="2">
        <v>46269.343055555553</v>
      </c>
      <c r="C1962" s="1" t="s">
        <v>21</v>
      </c>
      <c r="D1962" s="1">
        <f>MONTH(Tabela6[[#This Row],[DATA]])</f>
        <v>9</v>
      </c>
    </row>
    <row r="1963" spans="1:4" x14ac:dyDescent="0.35">
      <c r="A1963" s="1">
        <v>2841</v>
      </c>
      <c r="B1963" s="2">
        <v>46269.355555555558</v>
      </c>
      <c r="C1963" s="1" t="s">
        <v>3</v>
      </c>
      <c r="D1963" s="1">
        <f>MONTH(Tabela6[[#This Row],[DATA]])</f>
        <v>9</v>
      </c>
    </row>
    <row r="1964" spans="1:4" x14ac:dyDescent="0.35">
      <c r="A1964" s="1">
        <v>2843</v>
      </c>
      <c r="B1964" s="2">
        <v>46269.410416666666</v>
      </c>
      <c r="C1964" s="1" t="s">
        <v>5</v>
      </c>
      <c r="D1964" s="1">
        <f>MONTH(Tabela6[[#This Row],[DATA]])</f>
        <v>9</v>
      </c>
    </row>
    <row r="1965" spans="1:4" x14ac:dyDescent="0.35">
      <c r="A1965" s="1">
        <v>2844</v>
      </c>
      <c r="B1965" s="2">
        <v>46269.415277777778</v>
      </c>
      <c r="C1965" s="1" t="s">
        <v>22</v>
      </c>
      <c r="D1965" s="1">
        <f>MONTH(Tabela6[[#This Row],[DATA]])</f>
        <v>9</v>
      </c>
    </row>
    <row r="1966" spans="1:4" x14ac:dyDescent="0.35">
      <c r="A1966" s="1">
        <v>2846</v>
      </c>
      <c r="B1966" s="2">
        <v>46269.875</v>
      </c>
      <c r="C1966" s="1" t="s">
        <v>9</v>
      </c>
      <c r="D1966" s="1">
        <f>MONTH(Tabela6[[#This Row],[DATA]])</f>
        <v>9</v>
      </c>
    </row>
    <row r="1967" spans="1:4" x14ac:dyDescent="0.35">
      <c r="A1967" s="1">
        <v>2847</v>
      </c>
      <c r="B1967" s="2">
        <v>46269.879861111112</v>
      </c>
      <c r="C1967" s="1" t="s">
        <v>9</v>
      </c>
      <c r="D1967" s="1">
        <f>MONTH(Tabela6[[#This Row],[DATA]])</f>
        <v>9</v>
      </c>
    </row>
    <row r="1968" spans="1:4" x14ac:dyDescent="0.35">
      <c r="A1968" s="1">
        <v>2848</v>
      </c>
      <c r="B1968" s="2">
        <v>46269.881249999999</v>
      </c>
      <c r="C1968" s="1" t="s">
        <v>9</v>
      </c>
      <c r="D1968" s="1">
        <f>MONTH(Tabela6[[#This Row],[DATA]])</f>
        <v>9</v>
      </c>
    </row>
    <row r="1969" spans="1:4" x14ac:dyDescent="0.35">
      <c r="A1969" s="1">
        <v>2849</v>
      </c>
      <c r="B1969" s="2">
        <v>46269.881944444445</v>
      </c>
      <c r="C1969" s="1" t="s">
        <v>9</v>
      </c>
      <c r="D1969" s="1">
        <f>MONTH(Tabela6[[#This Row],[DATA]])</f>
        <v>9</v>
      </c>
    </row>
    <row r="1970" spans="1:4" x14ac:dyDescent="0.35">
      <c r="A1970" s="1">
        <v>2850</v>
      </c>
      <c r="B1970" s="2">
        <v>46269.886111111111</v>
      </c>
      <c r="C1970" s="1" t="s">
        <v>9</v>
      </c>
      <c r="D1970" s="1">
        <f>MONTH(Tabela6[[#This Row],[DATA]])</f>
        <v>9</v>
      </c>
    </row>
    <row r="1971" spans="1:4" x14ac:dyDescent="0.35">
      <c r="A1971" s="1">
        <v>2851</v>
      </c>
      <c r="B1971" s="2">
        <v>46269.887499999997</v>
      </c>
      <c r="C1971" s="1" t="s">
        <v>9</v>
      </c>
      <c r="D1971" s="1">
        <f>MONTH(Tabela6[[#This Row],[DATA]])</f>
        <v>9</v>
      </c>
    </row>
    <row r="1972" spans="1:4" x14ac:dyDescent="0.35">
      <c r="A1972" s="1">
        <v>2852</v>
      </c>
      <c r="B1972" s="2">
        <v>46269.88958333333</v>
      </c>
      <c r="C1972" s="1" t="s">
        <v>9</v>
      </c>
      <c r="D1972" s="1">
        <f>MONTH(Tabela6[[#This Row],[DATA]])</f>
        <v>9</v>
      </c>
    </row>
    <row r="1973" spans="1:4" x14ac:dyDescent="0.35">
      <c r="A1973" s="1">
        <v>2853</v>
      </c>
      <c r="B1973" s="2">
        <v>46273.339583333334</v>
      </c>
      <c r="C1973" s="1" t="s">
        <v>21</v>
      </c>
      <c r="D1973" s="1">
        <f>MONTH(Tabela6[[#This Row],[DATA]])</f>
        <v>9</v>
      </c>
    </row>
    <row r="1974" spans="1:4" x14ac:dyDescent="0.35">
      <c r="A1974" s="1">
        <v>2859</v>
      </c>
      <c r="B1974" s="2">
        <v>46273.354861111111</v>
      </c>
      <c r="C1974" s="1" t="s">
        <v>3</v>
      </c>
      <c r="D1974" s="1">
        <f>MONTH(Tabela6[[#This Row],[DATA]])</f>
        <v>9</v>
      </c>
    </row>
    <row r="1975" spans="1:4" x14ac:dyDescent="0.35">
      <c r="A1975" s="1">
        <v>2860</v>
      </c>
      <c r="B1975" s="2">
        <v>46273.371527777781</v>
      </c>
      <c r="C1975" s="1" t="s">
        <v>5</v>
      </c>
      <c r="D1975" s="1">
        <f>MONTH(Tabela6[[#This Row],[DATA]])</f>
        <v>9</v>
      </c>
    </row>
    <row r="1976" spans="1:4" x14ac:dyDescent="0.35">
      <c r="A1976" s="1">
        <v>2861</v>
      </c>
      <c r="B1976" s="2">
        <v>46273.385416666664</v>
      </c>
      <c r="C1976" s="1" t="s">
        <v>9</v>
      </c>
      <c r="D1976" s="1">
        <f>MONTH(Tabela6[[#This Row],[DATA]])</f>
        <v>9</v>
      </c>
    </row>
    <row r="1977" spans="1:4" x14ac:dyDescent="0.35">
      <c r="A1977" s="1">
        <v>2862</v>
      </c>
      <c r="B1977" s="2">
        <v>46273.388888888891</v>
      </c>
      <c r="C1977" s="1" t="s">
        <v>9</v>
      </c>
      <c r="D1977" s="1">
        <f>MONTH(Tabela6[[#This Row],[DATA]])</f>
        <v>9</v>
      </c>
    </row>
    <row r="1978" spans="1:4" x14ac:dyDescent="0.35">
      <c r="A1978" s="1">
        <v>2863</v>
      </c>
      <c r="B1978" s="2">
        <v>46273.390972222223</v>
      </c>
      <c r="C1978" s="1" t="s">
        <v>9</v>
      </c>
      <c r="D1978" s="1">
        <f>MONTH(Tabela6[[#This Row],[DATA]])</f>
        <v>9</v>
      </c>
    </row>
    <row r="1979" spans="1:4" x14ac:dyDescent="0.35">
      <c r="A1979" s="1">
        <v>2864</v>
      </c>
      <c r="B1979" s="2">
        <v>46273.40625</v>
      </c>
      <c r="C1979" s="1" t="s">
        <v>19</v>
      </c>
      <c r="D1979" s="1">
        <f>MONTH(Tabela6[[#This Row],[DATA]])</f>
        <v>9</v>
      </c>
    </row>
    <row r="1980" spans="1:4" x14ac:dyDescent="0.35">
      <c r="A1980" s="1">
        <v>2865</v>
      </c>
      <c r="B1980" s="2">
        <v>46273.427777777775</v>
      </c>
      <c r="C1980" s="1" t="s">
        <v>22</v>
      </c>
      <c r="D1980" s="1">
        <f>MONTH(Tabela6[[#This Row],[DATA]])</f>
        <v>9</v>
      </c>
    </row>
    <row r="1981" spans="1:4" x14ac:dyDescent="0.35">
      <c r="A1981" s="1">
        <v>2867</v>
      </c>
      <c r="B1981" s="2">
        <v>46273.451388888891</v>
      </c>
      <c r="C1981" s="1" t="s">
        <v>65</v>
      </c>
      <c r="D1981" s="1">
        <f>MONTH(Tabela6[[#This Row],[DATA]])</f>
        <v>9</v>
      </c>
    </row>
    <row r="1982" spans="1:4" x14ac:dyDescent="0.35">
      <c r="A1982" s="1">
        <v>2890</v>
      </c>
      <c r="B1982" s="2">
        <v>46274.356944444444</v>
      </c>
      <c r="C1982" s="1" t="s">
        <v>21</v>
      </c>
      <c r="D1982" s="1">
        <f>MONTH(Tabela6[[#This Row],[DATA]])</f>
        <v>9</v>
      </c>
    </row>
    <row r="1983" spans="1:4" x14ac:dyDescent="0.35">
      <c r="A1983" s="1">
        <v>2897</v>
      </c>
      <c r="B1983" s="2">
        <v>46274.413888888892</v>
      </c>
      <c r="C1983" s="1" t="s">
        <v>65</v>
      </c>
      <c r="D1983" s="1">
        <f>MONTH(Tabela6[[#This Row],[DATA]])</f>
        <v>9</v>
      </c>
    </row>
    <row r="1984" spans="1:4" x14ac:dyDescent="0.35">
      <c r="A1984" s="1">
        <v>2898</v>
      </c>
      <c r="B1984" s="2">
        <v>46274.413888888892</v>
      </c>
      <c r="C1984" s="1" t="s">
        <v>28</v>
      </c>
      <c r="D1984" s="1">
        <f>MONTH(Tabela6[[#This Row],[DATA]])</f>
        <v>9</v>
      </c>
    </row>
    <row r="1985" spans="1:4" x14ac:dyDescent="0.35">
      <c r="A1985" s="1">
        <v>2899</v>
      </c>
      <c r="B1985" s="2">
        <v>46274.415277777778</v>
      </c>
      <c r="C1985" s="1" t="s">
        <v>3</v>
      </c>
      <c r="D1985" s="1">
        <f>MONTH(Tabela6[[#This Row],[DATA]])</f>
        <v>9</v>
      </c>
    </row>
    <row r="1986" spans="1:4" x14ac:dyDescent="0.35">
      <c r="A1986" s="1">
        <v>2900</v>
      </c>
      <c r="B1986" s="2">
        <v>46274.416666666664</v>
      </c>
      <c r="C1986" s="1" t="s">
        <v>3</v>
      </c>
      <c r="D1986" s="1">
        <f>MONTH(Tabela6[[#This Row],[DATA]])</f>
        <v>9</v>
      </c>
    </row>
    <row r="1987" spans="1:4" x14ac:dyDescent="0.35">
      <c r="A1987" s="1">
        <v>2901</v>
      </c>
      <c r="B1987" s="2">
        <v>46274.422222222223</v>
      </c>
      <c r="C1987" s="1" t="s">
        <v>24</v>
      </c>
      <c r="D1987" s="1">
        <f>MONTH(Tabela6[[#This Row],[DATA]])</f>
        <v>9</v>
      </c>
    </row>
    <row r="1988" spans="1:4" x14ac:dyDescent="0.35">
      <c r="A1988" s="1">
        <v>2902</v>
      </c>
      <c r="B1988" s="2">
        <v>46274.423611111109</v>
      </c>
      <c r="C1988" s="1" t="s">
        <v>9</v>
      </c>
      <c r="D1988" s="1">
        <f>MONTH(Tabela6[[#This Row],[DATA]])</f>
        <v>9</v>
      </c>
    </row>
    <row r="1989" spans="1:4" x14ac:dyDescent="0.35">
      <c r="A1989" s="1">
        <v>2903</v>
      </c>
      <c r="B1989" s="2">
        <v>46274.424305555556</v>
      </c>
      <c r="C1989" s="1" t="s">
        <v>9</v>
      </c>
      <c r="D1989" s="1">
        <f>MONTH(Tabela6[[#This Row],[DATA]])</f>
        <v>9</v>
      </c>
    </row>
    <row r="1990" spans="1:4" x14ac:dyDescent="0.35">
      <c r="A1990" s="1">
        <v>2904</v>
      </c>
      <c r="B1990" s="2">
        <v>46274.427083333336</v>
      </c>
      <c r="C1990" s="1" t="s">
        <v>9</v>
      </c>
      <c r="D1990" s="1">
        <f>MONTH(Tabela6[[#This Row],[DATA]])</f>
        <v>9</v>
      </c>
    </row>
    <row r="1991" spans="1:4" x14ac:dyDescent="0.35">
      <c r="A1991" s="1">
        <v>2905</v>
      </c>
      <c r="B1991" s="2">
        <v>46274.427083333336</v>
      </c>
      <c r="C1991" s="1" t="s">
        <v>24</v>
      </c>
      <c r="D1991" s="1">
        <f>MONTH(Tabela6[[#This Row],[DATA]])</f>
        <v>9</v>
      </c>
    </row>
    <row r="1992" spans="1:4" x14ac:dyDescent="0.35">
      <c r="A1992" s="1">
        <v>2906</v>
      </c>
      <c r="B1992" s="2">
        <v>46274.427777777775</v>
      </c>
      <c r="C1992" s="1" t="s">
        <v>9</v>
      </c>
      <c r="D1992" s="1">
        <f>MONTH(Tabela6[[#This Row],[DATA]])</f>
        <v>9</v>
      </c>
    </row>
    <row r="1993" spans="1:4" x14ac:dyDescent="0.35">
      <c r="A1993" s="1">
        <v>2907</v>
      </c>
      <c r="B1993" s="2">
        <v>46274.427777777775</v>
      </c>
      <c r="C1993" s="1" t="s">
        <v>24</v>
      </c>
      <c r="D1993" s="1">
        <f>MONTH(Tabela6[[#This Row],[DATA]])</f>
        <v>9</v>
      </c>
    </row>
    <row r="1994" spans="1:4" x14ac:dyDescent="0.35">
      <c r="A1994" s="1">
        <v>2908</v>
      </c>
      <c r="B1994" s="2">
        <v>46274.429166666669</v>
      </c>
      <c r="C1994" s="1" t="s">
        <v>24</v>
      </c>
      <c r="D1994" s="1">
        <f>MONTH(Tabela6[[#This Row],[DATA]])</f>
        <v>9</v>
      </c>
    </row>
    <row r="1995" spans="1:4" x14ac:dyDescent="0.35">
      <c r="A1995" s="1">
        <v>2909</v>
      </c>
      <c r="B1995" s="2">
        <v>46274.429861111108</v>
      </c>
      <c r="C1995" s="1" t="s">
        <v>24</v>
      </c>
      <c r="D1995" s="1">
        <f>MONTH(Tabela6[[#This Row],[DATA]])</f>
        <v>9</v>
      </c>
    </row>
    <row r="1996" spans="1:4" x14ac:dyDescent="0.35">
      <c r="A1996" s="1">
        <v>2910</v>
      </c>
      <c r="B1996" s="2">
        <v>46274.429861111108</v>
      </c>
      <c r="C1996" s="1" t="s">
        <v>9</v>
      </c>
      <c r="D1996" s="1">
        <f>MONTH(Tabela6[[#This Row],[DATA]])</f>
        <v>9</v>
      </c>
    </row>
    <row r="1997" spans="1:4" x14ac:dyDescent="0.35">
      <c r="A1997" s="1">
        <v>2911</v>
      </c>
      <c r="B1997" s="2">
        <v>46274.430555555555</v>
      </c>
      <c r="C1997" s="1" t="s">
        <v>24</v>
      </c>
      <c r="D1997" s="1">
        <f>MONTH(Tabela6[[#This Row],[DATA]])</f>
        <v>9</v>
      </c>
    </row>
    <row r="1998" spans="1:4" x14ac:dyDescent="0.35">
      <c r="A1998" s="1">
        <v>2912</v>
      </c>
      <c r="B1998" s="2">
        <v>46274.431250000001</v>
      </c>
      <c r="C1998" s="1" t="s">
        <v>9</v>
      </c>
      <c r="D1998" s="1">
        <f>MONTH(Tabela6[[#This Row],[DATA]])</f>
        <v>9</v>
      </c>
    </row>
    <row r="1999" spans="1:4" x14ac:dyDescent="0.35">
      <c r="A1999" s="1">
        <v>2913</v>
      </c>
      <c r="B1999" s="2">
        <v>46274.431944444441</v>
      </c>
      <c r="C1999" s="1" t="s">
        <v>24</v>
      </c>
      <c r="D1999" s="1">
        <f>MONTH(Tabela6[[#This Row],[DATA]])</f>
        <v>9</v>
      </c>
    </row>
    <row r="2000" spans="1:4" x14ac:dyDescent="0.35">
      <c r="A2000" s="1">
        <v>2914</v>
      </c>
      <c r="B2000" s="2">
        <v>46274.433333333334</v>
      </c>
      <c r="C2000" s="1" t="s">
        <v>24</v>
      </c>
      <c r="D2000" s="1">
        <f>MONTH(Tabela6[[#This Row],[DATA]])</f>
        <v>9</v>
      </c>
    </row>
    <row r="2001" spans="1:4" x14ac:dyDescent="0.35">
      <c r="A2001" s="1">
        <v>2915</v>
      </c>
      <c r="B2001" s="2">
        <v>46274.43472222222</v>
      </c>
      <c r="C2001" s="1" t="s">
        <v>24</v>
      </c>
      <c r="D2001" s="1">
        <f>MONTH(Tabela6[[#This Row],[DATA]])</f>
        <v>9</v>
      </c>
    </row>
    <row r="2002" spans="1:4" x14ac:dyDescent="0.35">
      <c r="A2002" s="1">
        <v>2916</v>
      </c>
      <c r="B2002" s="2">
        <v>46274.435416666667</v>
      </c>
      <c r="C2002" s="1" t="s">
        <v>24</v>
      </c>
      <c r="D2002" s="1">
        <f>MONTH(Tabela6[[#This Row],[DATA]])</f>
        <v>9</v>
      </c>
    </row>
    <row r="2003" spans="1:4" x14ac:dyDescent="0.35">
      <c r="A2003" s="1">
        <v>2917</v>
      </c>
      <c r="B2003" s="2">
        <v>46274.436111111114</v>
      </c>
      <c r="C2003" s="1" t="s">
        <v>24</v>
      </c>
      <c r="D2003" s="1">
        <f>MONTH(Tabela6[[#This Row],[DATA]])</f>
        <v>9</v>
      </c>
    </row>
    <row r="2004" spans="1:4" x14ac:dyDescent="0.35">
      <c r="A2004" s="1">
        <v>2918</v>
      </c>
      <c r="B2004" s="2">
        <v>46274.4375</v>
      </c>
      <c r="C2004" s="1" t="s">
        <v>24</v>
      </c>
      <c r="D2004" s="1">
        <f>MONTH(Tabela6[[#This Row],[DATA]])</f>
        <v>9</v>
      </c>
    </row>
    <row r="2005" spans="1:4" x14ac:dyDescent="0.35">
      <c r="A2005" s="1">
        <v>2919</v>
      </c>
      <c r="B2005" s="2">
        <v>46274.438194444447</v>
      </c>
      <c r="C2005" s="1" t="s">
        <v>24</v>
      </c>
      <c r="D2005" s="1">
        <f>MONTH(Tabela6[[#This Row],[DATA]])</f>
        <v>9</v>
      </c>
    </row>
    <row r="2006" spans="1:4" x14ac:dyDescent="0.35">
      <c r="A2006" s="1">
        <v>2920</v>
      </c>
      <c r="B2006" s="2">
        <v>46274.439583333333</v>
      </c>
      <c r="C2006" s="1" t="s">
        <v>24</v>
      </c>
      <c r="D2006" s="1">
        <f>MONTH(Tabela6[[#This Row],[DATA]])</f>
        <v>9</v>
      </c>
    </row>
    <row r="2007" spans="1:4" x14ac:dyDescent="0.35">
      <c r="A2007" s="1">
        <v>2921</v>
      </c>
      <c r="B2007" s="2">
        <v>46274.44027777778</v>
      </c>
      <c r="C2007" s="1" t="s">
        <v>24</v>
      </c>
      <c r="D2007" s="1">
        <f>MONTH(Tabela6[[#This Row],[DATA]])</f>
        <v>9</v>
      </c>
    </row>
    <row r="2008" spans="1:4" x14ac:dyDescent="0.35">
      <c r="A2008" s="1">
        <v>2927</v>
      </c>
      <c r="B2008" s="2">
        <v>46274.472916666666</v>
      </c>
      <c r="C2008" s="1" t="s">
        <v>3</v>
      </c>
      <c r="D2008" s="1">
        <f>MONTH(Tabela6[[#This Row],[DATA]])</f>
        <v>9</v>
      </c>
    </row>
    <row r="2009" spans="1:4" x14ac:dyDescent="0.35">
      <c r="A2009" s="1">
        <v>2928</v>
      </c>
      <c r="B2009" s="2">
        <v>46274.482638888891</v>
      </c>
      <c r="C2009" s="1" t="s">
        <v>3</v>
      </c>
      <c r="D2009" s="1">
        <f>MONTH(Tabela6[[#This Row],[DATA]])</f>
        <v>9</v>
      </c>
    </row>
    <row r="2010" spans="1:4" x14ac:dyDescent="0.35">
      <c r="A2010" s="1">
        <v>2938</v>
      </c>
      <c r="B2010" s="2">
        <v>46275.339583333334</v>
      </c>
      <c r="C2010" s="1" t="s">
        <v>21</v>
      </c>
      <c r="D2010" s="1">
        <f>MONTH(Tabela6[[#This Row],[DATA]])</f>
        <v>9</v>
      </c>
    </row>
    <row r="2011" spans="1:4" x14ac:dyDescent="0.35">
      <c r="A2011" s="1">
        <v>2939</v>
      </c>
      <c r="B2011" s="2">
        <v>46275.352777777778</v>
      </c>
      <c r="C2011" s="1" t="s">
        <v>3</v>
      </c>
      <c r="D2011" s="1">
        <f>MONTH(Tabela6[[#This Row],[DATA]])</f>
        <v>9</v>
      </c>
    </row>
    <row r="2012" spans="1:4" x14ac:dyDescent="0.35">
      <c r="A2012" s="1">
        <v>2944</v>
      </c>
      <c r="B2012" s="2">
        <v>46275.37777777778</v>
      </c>
      <c r="C2012" s="1" t="s">
        <v>28</v>
      </c>
      <c r="D2012" s="1">
        <f>MONTH(Tabela6[[#This Row],[DATA]])</f>
        <v>9</v>
      </c>
    </row>
    <row r="2013" spans="1:4" x14ac:dyDescent="0.35">
      <c r="A2013" s="1">
        <v>2950</v>
      </c>
      <c r="B2013" s="2">
        <v>46275.409722222219</v>
      </c>
      <c r="C2013" s="1" t="s">
        <v>21</v>
      </c>
      <c r="D2013" s="1">
        <f>MONTH(Tabela6[[#This Row],[DATA]])</f>
        <v>9</v>
      </c>
    </row>
    <row r="2014" spans="1:4" x14ac:dyDescent="0.35">
      <c r="A2014" s="1">
        <v>2951</v>
      </c>
      <c r="B2014" s="2">
        <v>46275.411111111112</v>
      </c>
      <c r="C2014" s="1" t="s">
        <v>3</v>
      </c>
      <c r="D2014" s="1">
        <f>MONTH(Tabela6[[#This Row],[DATA]])</f>
        <v>9</v>
      </c>
    </row>
    <row r="2015" spans="1:4" x14ac:dyDescent="0.35">
      <c r="A2015" s="1">
        <v>2952</v>
      </c>
      <c r="B2015" s="2">
        <v>46275.414583333331</v>
      </c>
      <c r="C2015" s="1" t="s">
        <v>24</v>
      </c>
      <c r="D2015" s="1">
        <f>MONTH(Tabela6[[#This Row],[DATA]])</f>
        <v>9</v>
      </c>
    </row>
    <row r="2016" spans="1:4" x14ac:dyDescent="0.35">
      <c r="A2016" s="1">
        <v>2953</v>
      </c>
      <c r="B2016" s="2">
        <v>46275.415277777778</v>
      </c>
      <c r="C2016" s="1" t="s">
        <v>3</v>
      </c>
      <c r="D2016" s="1">
        <f>MONTH(Tabela6[[#This Row],[DATA]])</f>
        <v>9</v>
      </c>
    </row>
    <row r="2017" spans="1:4" x14ac:dyDescent="0.35">
      <c r="A2017" s="1">
        <v>2954</v>
      </c>
      <c r="B2017" s="2">
        <v>46275.415972222225</v>
      </c>
      <c r="C2017" s="1" t="s">
        <v>24</v>
      </c>
      <c r="D2017" s="1">
        <f>MONTH(Tabela6[[#This Row],[DATA]])</f>
        <v>9</v>
      </c>
    </row>
    <row r="2018" spans="1:4" x14ac:dyDescent="0.35">
      <c r="A2018" s="1">
        <v>2955</v>
      </c>
      <c r="B2018" s="2">
        <v>46275.415972222225</v>
      </c>
      <c r="C2018" s="1" t="s">
        <v>21</v>
      </c>
      <c r="D2018" s="1">
        <f>MONTH(Tabela6[[#This Row],[DATA]])</f>
        <v>9</v>
      </c>
    </row>
    <row r="2019" spans="1:4" x14ac:dyDescent="0.35">
      <c r="A2019" s="1">
        <v>2956</v>
      </c>
      <c r="B2019" s="2">
        <v>46275.418055555558</v>
      </c>
      <c r="C2019" s="1" t="s">
        <v>24</v>
      </c>
      <c r="D2019" s="1">
        <f>MONTH(Tabela6[[#This Row],[DATA]])</f>
        <v>9</v>
      </c>
    </row>
    <row r="2020" spans="1:4" x14ac:dyDescent="0.35">
      <c r="A2020" s="1">
        <v>2957</v>
      </c>
      <c r="B2020" s="2">
        <v>46275.418749999997</v>
      </c>
      <c r="C2020" s="1" t="s">
        <v>24</v>
      </c>
      <c r="D2020" s="1">
        <f>MONTH(Tabela6[[#This Row],[DATA]])</f>
        <v>9</v>
      </c>
    </row>
    <row r="2021" spans="1:4" x14ac:dyDescent="0.35">
      <c r="A2021" s="1">
        <v>2958</v>
      </c>
      <c r="B2021" s="2">
        <v>46275.420138888891</v>
      </c>
      <c r="C2021" s="1" t="s">
        <v>24</v>
      </c>
      <c r="D2021" s="1">
        <f>MONTH(Tabela6[[#This Row],[DATA]])</f>
        <v>9</v>
      </c>
    </row>
    <row r="2022" spans="1:4" x14ac:dyDescent="0.35">
      <c r="A2022" s="1">
        <v>2959</v>
      </c>
      <c r="B2022" s="2">
        <v>46275.422222222223</v>
      </c>
      <c r="C2022" s="1" t="s">
        <v>24</v>
      </c>
      <c r="D2022" s="1">
        <f>MONTH(Tabela6[[#This Row],[DATA]])</f>
        <v>9</v>
      </c>
    </row>
    <row r="2023" spans="1:4" x14ac:dyDescent="0.35">
      <c r="A2023" s="1">
        <v>2960</v>
      </c>
      <c r="B2023" s="2">
        <v>46275.42291666667</v>
      </c>
      <c r="C2023" s="1" t="s">
        <v>24</v>
      </c>
      <c r="D2023" s="1">
        <f>MONTH(Tabela6[[#This Row],[DATA]])</f>
        <v>9</v>
      </c>
    </row>
    <row r="2024" spans="1:4" x14ac:dyDescent="0.35">
      <c r="A2024" s="1">
        <v>2961</v>
      </c>
      <c r="B2024" s="2">
        <v>46275.423611111109</v>
      </c>
      <c r="C2024" s="1" t="s">
        <v>24</v>
      </c>
      <c r="D2024" s="1">
        <f>MONTH(Tabela6[[#This Row],[DATA]])</f>
        <v>9</v>
      </c>
    </row>
    <row r="2025" spans="1:4" x14ac:dyDescent="0.35">
      <c r="A2025" s="1">
        <v>2962</v>
      </c>
      <c r="B2025" s="2">
        <v>46275.424305555556</v>
      </c>
      <c r="C2025" s="1" t="s">
        <v>24</v>
      </c>
      <c r="D2025" s="1">
        <f>MONTH(Tabela6[[#This Row],[DATA]])</f>
        <v>9</v>
      </c>
    </row>
    <row r="2026" spans="1:4" x14ac:dyDescent="0.35">
      <c r="A2026" s="1">
        <v>2963</v>
      </c>
      <c r="B2026" s="2">
        <v>46275.425694444442</v>
      </c>
      <c r="C2026" s="1" t="s">
        <v>9</v>
      </c>
      <c r="D2026" s="1">
        <f>MONTH(Tabela6[[#This Row],[DATA]])</f>
        <v>9</v>
      </c>
    </row>
    <row r="2027" spans="1:4" x14ac:dyDescent="0.35">
      <c r="A2027" s="1">
        <v>2964</v>
      </c>
      <c r="B2027" s="2">
        <v>46275.425694444442</v>
      </c>
      <c r="C2027" s="1" t="s">
        <v>24</v>
      </c>
      <c r="D2027" s="1">
        <f>MONTH(Tabela6[[#This Row],[DATA]])</f>
        <v>9</v>
      </c>
    </row>
    <row r="2028" spans="1:4" x14ac:dyDescent="0.35">
      <c r="A2028" s="1">
        <v>2965</v>
      </c>
      <c r="B2028" s="2">
        <v>46275.427083333336</v>
      </c>
      <c r="C2028" s="1" t="s">
        <v>9</v>
      </c>
      <c r="D2028" s="1">
        <f>MONTH(Tabela6[[#This Row],[DATA]])</f>
        <v>9</v>
      </c>
    </row>
    <row r="2029" spans="1:4" x14ac:dyDescent="0.35">
      <c r="A2029" s="1">
        <v>2966</v>
      </c>
      <c r="B2029" s="2">
        <v>46275.428472222222</v>
      </c>
      <c r="C2029" s="1" t="s">
        <v>22</v>
      </c>
      <c r="D2029" s="1">
        <f>MONTH(Tabela6[[#This Row],[DATA]])</f>
        <v>9</v>
      </c>
    </row>
    <row r="2030" spans="1:4" x14ac:dyDescent="0.35">
      <c r="A2030" s="1">
        <v>2969</v>
      </c>
      <c r="B2030" s="2">
        <v>46276.34375</v>
      </c>
      <c r="C2030" s="1" t="s">
        <v>21</v>
      </c>
      <c r="D2030" s="1">
        <f>MONTH(Tabela6[[#This Row],[DATA]])</f>
        <v>9</v>
      </c>
    </row>
    <row r="2031" spans="1:4" x14ac:dyDescent="0.35">
      <c r="A2031" s="1">
        <v>2972</v>
      </c>
      <c r="B2031" s="2">
        <v>46276.354166666664</v>
      </c>
      <c r="C2031" s="1" t="s">
        <v>3</v>
      </c>
      <c r="D2031" s="1">
        <f>MONTH(Tabela6[[#This Row],[DATA]])</f>
        <v>9</v>
      </c>
    </row>
    <row r="2032" spans="1:4" x14ac:dyDescent="0.35">
      <c r="A2032" s="1">
        <v>2973</v>
      </c>
      <c r="B2032" s="2">
        <v>46276.386805555558</v>
      </c>
      <c r="C2032" s="1" t="s">
        <v>24</v>
      </c>
      <c r="D2032" s="1">
        <f>MONTH(Tabela6[[#This Row],[DATA]])</f>
        <v>9</v>
      </c>
    </row>
    <row r="2033" spans="1:4" x14ac:dyDescent="0.35">
      <c r="A2033" s="1">
        <v>2974</v>
      </c>
      <c r="B2033" s="2">
        <v>46276.39166666667</v>
      </c>
      <c r="C2033" s="1" t="s">
        <v>24</v>
      </c>
      <c r="D2033" s="1">
        <f>MONTH(Tabela6[[#This Row],[DATA]])</f>
        <v>9</v>
      </c>
    </row>
    <row r="2034" spans="1:4" x14ac:dyDescent="0.35">
      <c r="A2034" s="1">
        <v>2975</v>
      </c>
      <c r="B2034" s="2">
        <v>46276.392361111109</v>
      </c>
      <c r="C2034" s="1" t="s">
        <v>24</v>
      </c>
      <c r="D2034" s="1">
        <f>MONTH(Tabela6[[#This Row],[DATA]])</f>
        <v>9</v>
      </c>
    </row>
    <row r="2035" spans="1:4" x14ac:dyDescent="0.35">
      <c r="A2035" s="1">
        <v>2976</v>
      </c>
      <c r="B2035" s="2">
        <v>46276.393750000003</v>
      </c>
      <c r="C2035" s="1" t="s">
        <v>24</v>
      </c>
      <c r="D2035" s="1">
        <f>MONTH(Tabela6[[#This Row],[DATA]])</f>
        <v>9</v>
      </c>
    </row>
    <row r="2036" spans="1:4" x14ac:dyDescent="0.35">
      <c r="A2036" s="1">
        <v>2977</v>
      </c>
      <c r="B2036" s="2">
        <v>46276.396527777775</v>
      </c>
      <c r="C2036" s="1" t="s">
        <v>24</v>
      </c>
      <c r="D2036" s="1">
        <f>MONTH(Tabela6[[#This Row],[DATA]])</f>
        <v>9</v>
      </c>
    </row>
    <row r="2037" spans="1:4" x14ac:dyDescent="0.35">
      <c r="A2037" s="1">
        <v>2978</v>
      </c>
      <c r="B2037" s="2">
        <v>46276.397222222222</v>
      </c>
      <c r="C2037" s="1" t="s">
        <v>24</v>
      </c>
      <c r="D2037" s="1">
        <f>MONTH(Tabela6[[#This Row],[DATA]])</f>
        <v>9</v>
      </c>
    </row>
    <row r="2038" spans="1:4" x14ac:dyDescent="0.35">
      <c r="A2038" s="1">
        <v>2979</v>
      </c>
      <c r="B2038" s="2">
        <v>46276.411111111112</v>
      </c>
      <c r="C2038" s="1" t="s">
        <v>24</v>
      </c>
      <c r="D2038" s="1">
        <f>MONTH(Tabela6[[#This Row],[DATA]])</f>
        <v>9</v>
      </c>
    </row>
    <row r="2039" spans="1:4" x14ac:dyDescent="0.35">
      <c r="A2039" s="1">
        <v>2980</v>
      </c>
      <c r="B2039" s="2">
        <v>46276.479166666664</v>
      </c>
      <c r="C2039" s="1" t="s">
        <v>24</v>
      </c>
      <c r="D2039" s="1">
        <f>MONTH(Tabela6[[#This Row],[DATA]])</f>
        <v>9</v>
      </c>
    </row>
    <row r="2040" spans="1:4" x14ac:dyDescent="0.35">
      <c r="A2040" s="1">
        <v>2981</v>
      </c>
      <c r="B2040" s="2">
        <v>46276.479861111111</v>
      </c>
      <c r="C2040" s="1" t="s">
        <v>24</v>
      </c>
      <c r="D2040" s="1">
        <f>MONTH(Tabela6[[#This Row],[DATA]])</f>
        <v>9</v>
      </c>
    </row>
    <row r="2041" spans="1:4" x14ac:dyDescent="0.35">
      <c r="A2041" s="1">
        <v>2982</v>
      </c>
      <c r="B2041" s="2">
        <v>46276.481249999997</v>
      </c>
      <c r="C2041" s="1" t="s">
        <v>24</v>
      </c>
      <c r="D2041" s="1">
        <f>MONTH(Tabela6[[#This Row],[DATA]])</f>
        <v>9</v>
      </c>
    </row>
    <row r="2042" spans="1:4" x14ac:dyDescent="0.35">
      <c r="A2042" s="1">
        <v>2984</v>
      </c>
      <c r="B2042" s="2">
        <v>46276.55972222222</v>
      </c>
      <c r="C2042" s="1" t="s">
        <v>3</v>
      </c>
      <c r="D2042" s="1">
        <f>MONTH(Tabela6[[#This Row],[DATA]])</f>
        <v>9</v>
      </c>
    </row>
    <row r="2043" spans="1:4" x14ac:dyDescent="0.35">
      <c r="A2043" s="1">
        <v>2985</v>
      </c>
      <c r="B2043" s="2">
        <v>46276.564583333333</v>
      </c>
      <c r="C2043" s="1" t="s">
        <v>3</v>
      </c>
      <c r="D2043" s="1">
        <f>MONTH(Tabela6[[#This Row],[DATA]])</f>
        <v>9</v>
      </c>
    </row>
    <row r="2044" spans="1:4" x14ac:dyDescent="0.35">
      <c r="A2044" s="1">
        <v>2986</v>
      </c>
      <c r="B2044" s="2">
        <v>46276.566666666666</v>
      </c>
      <c r="C2044" s="1" t="s">
        <v>3</v>
      </c>
      <c r="D2044" s="1">
        <f>MONTH(Tabela6[[#This Row],[DATA]])</f>
        <v>9</v>
      </c>
    </row>
    <row r="2045" spans="1:4" x14ac:dyDescent="0.35">
      <c r="A2045" s="1">
        <v>2987</v>
      </c>
      <c r="B2045" s="2">
        <v>46276.568055555559</v>
      </c>
      <c r="C2045" s="1" t="s">
        <v>3</v>
      </c>
      <c r="D2045" s="1">
        <f>MONTH(Tabela6[[#This Row],[DATA]])</f>
        <v>9</v>
      </c>
    </row>
    <row r="2046" spans="1:4" x14ac:dyDescent="0.35">
      <c r="A2046" s="1">
        <v>2988</v>
      </c>
      <c r="B2046" s="2">
        <v>46276.569444444445</v>
      </c>
      <c r="C2046" s="1" t="s">
        <v>3</v>
      </c>
      <c r="D2046" s="1">
        <f>MONTH(Tabela6[[#This Row],[DATA]])</f>
        <v>9</v>
      </c>
    </row>
    <row r="2047" spans="1:4" x14ac:dyDescent="0.35">
      <c r="A2047" s="1">
        <v>2989</v>
      </c>
      <c r="B2047" s="2">
        <v>46276.571527777778</v>
      </c>
      <c r="C2047" s="1" t="s">
        <v>3</v>
      </c>
      <c r="D2047" s="1">
        <f>MONTH(Tabela6[[#This Row],[DATA]])</f>
        <v>9</v>
      </c>
    </row>
    <row r="2048" spans="1:4" x14ac:dyDescent="0.35">
      <c r="A2048" s="1">
        <v>2990</v>
      </c>
      <c r="B2048" s="2">
        <v>46276.572222222225</v>
      </c>
      <c r="C2048" s="1" t="s">
        <v>3</v>
      </c>
      <c r="D2048" s="1">
        <f>MONTH(Tabela6[[#This Row],[DATA]])</f>
        <v>9</v>
      </c>
    </row>
    <row r="2049" spans="1:4" x14ac:dyDescent="0.35">
      <c r="A2049" s="1">
        <v>2991</v>
      </c>
      <c r="B2049" s="2">
        <v>46276.572916666664</v>
      </c>
      <c r="C2049" s="1" t="s">
        <v>3</v>
      </c>
      <c r="D2049" s="1">
        <f>MONTH(Tabela6[[#This Row],[DATA]])</f>
        <v>9</v>
      </c>
    </row>
    <row r="2050" spans="1:4" x14ac:dyDescent="0.35">
      <c r="A2050" s="1">
        <v>2992</v>
      </c>
      <c r="B2050" s="2">
        <v>46276.597916666666</v>
      </c>
      <c r="C2050" s="1" t="s">
        <v>9</v>
      </c>
      <c r="D2050" s="1">
        <f>MONTH(Tabela6[[#This Row],[DATA]])</f>
        <v>9</v>
      </c>
    </row>
    <row r="2051" spans="1:4" x14ac:dyDescent="0.35">
      <c r="A2051" s="1">
        <v>2993</v>
      </c>
      <c r="B2051" s="2">
        <v>46276.599305555559</v>
      </c>
      <c r="C2051" s="1" t="s">
        <v>9</v>
      </c>
      <c r="D2051" s="1">
        <f>MONTH(Tabela6[[#This Row],[DATA]])</f>
        <v>9</v>
      </c>
    </row>
    <row r="2052" spans="1:4" x14ac:dyDescent="0.35">
      <c r="A2052" s="1">
        <v>2994</v>
      </c>
      <c r="B2052" s="2">
        <v>46276.6</v>
      </c>
      <c r="C2052" s="1" t="s">
        <v>9</v>
      </c>
      <c r="D2052" s="1">
        <f>MONTH(Tabela6[[#This Row],[DATA]])</f>
        <v>9</v>
      </c>
    </row>
    <row r="2053" spans="1:4" x14ac:dyDescent="0.35">
      <c r="A2053" s="1">
        <v>2995</v>
      </c>
      <c r="B2053" s="2">
        <v>46276.645138888889</v>
      </c>
      <c r="C2053" s="1" t="s">
        <v>3</v>
      </c>
      <c r="D2053" s="1">
        <f>MONTH(Tabela6[[#This Row],[DATA]])</f>
        <v>9</v>
      </c>
    </row>
    <row r="2054" spans="1:4" x14ac:dyDescent="0.35">
      <c r="A2054" s="1">
        <v>2996</v>
      </c>
      <c r="B2054" s="2">
        <v>46276.646527777775</v>
      </c>
      <c r="C2054" s="1" t="s">
        <v>3</v>
      </c>
      <c r="D2054" s="1">
        <f>MONTH(Tabela6[[#This Row],[DATA]])</f>
        <v>9</v>
      </c>
    </row>
    <row r="2055" spans="1:4" x14ac:dyDescent="0.35">
      <c r="A2055" s="1">
        <v>2997</v>
      </c>
      <c r="B2055" s="2">
        <v>46276.647916666669</v>
      </c>
      <c r="C2055" s="1" t="s">
        <v>3</v>
      </c>
      <c r="D2055" s="1">
        <f>MONTH(Tabela6[[#This Row],[DATA]])</f>
        <v>9</v>
      </c>
    </row>
    <row r="2056" spans="1:4" x14ac:dyDescent="0.35">
      <c r="A2056" s="1">
        <v>2998</v>
      </c>
      <c r="B2056" s="2">
        <v>46276.648611111108</v>
      </c>
      <c r="C2056" s="1" t="s">
        <v>3</v>
      </c>
      <c r="D2056" s="1">
        <f>MONTH(Tabela6[[#This Row],[DATA]])</f>
        <v>9</v>
      </c>
    </row>
    <row r="2057" spans="1:4" x14ac:dyDescent="0.35">
      <c r="A2057" s="1">
        <v>2999</v>
      </c>
      <c r="B2057" s="2">
        <v>46276.663194444445</v>
      </c>
      <c r="C2057" s="1" t="s">
        <v>3</v>
      </c>
      <c r="D2057" s="1">
        <f>MONTH(Tabela6[[#This Row],[DATA]])</f>
        <v>9</v>
      </c>
    </row>
    <row r="2058" spans="1:4" x14ac:dyDescent="0.35">
      <c r="A2058" s="1">
        <v>3000</v>
      </c>
      <c r="B2058" s="2">
        <v>46276.665277777778</v>
      </c>
      <c r="C2058" s="1" t="s">
        <v>3</v>
      </c>
      <c r="D2058" s="1">
        <f>MONTH(Tabela6[[#This Row],[DATA]])</f>
        <v>9</v>
      </c>
    </row>
    <row r="2059" spans="1:4" x14ac:dyDescent="0.35">
      <c r="A2059" s="1">
        <v>3004</v>
      </c>
      <c r="B2059" s="2">
        <v>46276.724305555559</v>
      </c>
      <c r="C2059" s="1" t="s">
        <v>9</v>
      </c>
      <c r="D2059" s="1">
        <f>MONTH(Tabela6[[#This Row],[DATA]])</f>
        <v>9</v>
      </c>
    </row>
    <row r="2060" spans="1:4" x14ac:dyDescent="0.35">
      <c r="A2060" s="1">
        <v>3005</v>
      </c>
      <c r="B2060" s="2">
        <v>46276.727777777778</v>
      </c>
      <c r="C2060" s="1" t="s">
        <v>9</v>
      </c>
      <c r="D2060" s="1">
        <f>MONTH(Tabela6[[#This Row],[DATA]])</f>
        <v>9</v>
      </c>
    </row>
    <row r="2061" spans="1:4" x14ac:dyDescent="0.35">
      <c r="A2061" s="1">
        <v>3006</v>
      </c>
      <c r="B2061" s="2">
        <v>46276.729861111111</v>
      </c>
      <c r="C2061" s="1" t="s">
        <v>9</v>
      </c>
      <c r="D2061" s="1">
        <f>MONTH(Tabela6[[#This Row],[DATA]])</f>
        <v>9</v>
      </c>
    </row>
    <row r="2062" spans="1:4" x14ac:dyDescent="0.35">
      <c r="A2062" s="1">
        <v>3007</v>
      </c>
      <c r="B2062" s="2">
        <v>46276.730555555558</v>
      </c>
      <c r="C2062" s="1" t="s">
        <v>9</v>
      </c>
      <c r="D2062" s="1">
        <f>MONTH(Tabela6[[#This Row],[DATA]])</f>
        <v>9</v>
      </c>
    </row>
    <row r="2063" spans="1:4" x14ac:dyDescent="0.35">
      <c r="A2063" s="1">
        <v>3008</v>
      </c>
      <c r="B2063" s="2">
        <v>46279.351388888892</v>
      </c>
      <c r="C2063" s="1" t="s">
        <v>21</v>
      </c>
      <c r="D2063" s="1">
        <f>MONTH(Tabela6[[#This Row],[DATA]])</f>
        <v>9</v>
      </c>
    </row>
    <row r="2064" spans="1:4" x14ac:dyDescent="0.35">
      <c r="A2064" s="1">
        <v>3009</v>
      </c>
      <c r="B2064" s="2">
        <v>46279.352777777778</v>
      </c>
      <c r="C2064" s="1" t="s">
        <v>28</v>
      </c>
      <c r="D2064" s="1">
        <f>MONTH(Tabela6[[#This Row],[DATA]])</f>
        <v>9</v>
      </c>
    </row>
    <row r="2065" spans="1:4" x14ac:dyDescent="0.35">
      <c r="A2065" s="1">
        <v>3010</v>
      </c>
      <c r="B2065" s="2">
        <v>46279.352777777778</v>
      </c>
      <c r="C2065" s="1" t="s">
        <v>3</v>
      </c>
      <c r="D2065" s="1">
        <f>MONTH(Tabela6[[#This Row],[DATA]])</f>
        <v>9</v>
      </c>
    </row>
    <row r="2066" spans="1:4" x14ac:dyDescent="0.35">
      <c r="A2066" s="1">
        <v>3011</v>
      </c>
      <c r="B2066" s="2">
        <v>46279.40902777778</v>
      </c>
      <c r="C2066" s="1" t="s">
        <v>24</v>
      </c>
      <c r="D2066" s="1">
        <f>MONTH(Tabela6[[#This Row],[DATA]])</f>
        <v>9</v>
      </c>
    </row>
    <row r="2067" spans="1:4" x14ac:dyDescent="0.35">
      <c r="A2067" s="1">
        <v>3012</v>
      </c>
      <c r="B2067" s="2">
        <v>46279.416666666664</v>
      </c>
      <c r="C2067" s="1" t="s">
        <v>24</v>
      </c>
      <c r="D2067" s="1">
        <f>MONTH(Tabela6[[#This Row],[DATA]])</f>
        <v>9</v>
      </c>
    </row>
    <row r="2068" spans="1:4" x14ac:dyDescent="0.35">
      <c r="A2068" s="1">
        <v>3013</v>
      </c>
      <c r="B2068" s="2">
        <v>46279.418055555558</v>
      </c>
      <c r="C2068" s="1" t="s">
        <v>24</v>
      </c>
      <c r="D2068" s="1">
        <f>MONTH(Tabela6[[#This Row],[DATA]])</f>
        <v>9</v>
      </c>
    </row>
    <row r="2069" spans="1:4" x14ac:dyDescent="0.35">
      <c r="A2069" s="1">
        <v>3014</v>
      </c>
      <c r="B2069" s="2">
        <v>46279.418749999997</v>
      </c>
      <c r="C2069" s="1" t="s">
        <v>24</v>
      </c>
      <c r="D2069" s="1">
        <f>MONTH(Tabela6[[#This Row],[DATA]])</f>
        <v>9</v>
      </c>
    </row>
    <row r="2070" spans="1:4" x14ac:dyDescent="0.35">
      <c r="A2070" s="1">
        <v>3015</v>
      </c>
      <c r="B2070" s="2">
        <v>46279.419444444444</v>
      </c>
      <c r="C2070" s="1" t="s">
        <v>24</v>
      </c>
      <c r="D2070" s="1">
        <f>MONTH(Tabela6[[#This Row],[DATA]])</f>
        <v>9</v>
      </c>
    </row>
    <row r="2071" spans="1:4" x14ac:dyDescent="0.35">
      <c r="A2071" s="1">
        <v>3016</v>
      </c>
      <c r="B2071" s="2">
        <v>46279.42083333333</v>
      </c>
      <c r="C2071" s="1" t="s">
        <v>24</v>
      </c>
      <c r="D2071" s="1">
        <f>MONTH(Tabela6[[#This Row],[DATA]])</f>
        <v>9</v>
      </c>
    </row>
    <row r="2072" spans="1:4" x14ac:dyDescent="0.35">
      <c r="A2072" s="1">
        <v>3017</v>
      </c>
      <c r="B2072" s="2">
        <v>46279.421527777777</v>
      </c>
      <c r="C2072" s="1" t="s">
        <v>24</v>
      </c>
      <c r="D2072" s="1">
        <f>MONTH(Tabela6[[#This Row],[DATA]])</f>
        <v>9</v>
      </c>
    </row>
    <row r="2073" spans="1:4" x14ac:dyDescent="0.35">
      <c r="A2073" s="1">
        <v>3018</v>
      </c>
      <c r="B2073" s="2">
        <v>46279.424305555556</v>
      </c>
      <c r="C2073" s="1" t="s">
        <v>22</v>
      </c>
      <c r="D2073" s="1">
        <f>MONTH(Tabela6[[#This Row],[DATA]])</f>
        <v>9</v>
      </c>
    </row>
    <row r="2074" spans="1:4" x14ac:dyDescent="0.35">
      <c r="A2074" s="1">
        <v>3019</v>
      </c>
      <c r="B2074" s="2">
        <v>46279.425000000003</v>
      </c>
      <c r="C2074" s="1" t="s">
        <v>3</v>
      </c>
      <c r="D2074" s="1">
        <f>MONTH(Tabela6[[#This Row],[DATA]])</f>
        <v>9</v>
      </c>
    </row>
    <row r="2075" spans="1:4" x14ac:dyDescent="0.35">
      <c r="A2075" s="1">
        <v>3020</v>
      </c>
      <c r="B2075" s="2">
        <v>46279.425694444442</v>
      </c>
      <c r="C2075" s="1" t="s">
        <v>22</v>
      </c>
      <c r="D2075" s="1">
        <f>MONTH(Tabela6[[#This Row],[DATA]])</f>
        <v>9</v>
      </c>
    </row>
    <row r="2076" spans="1:4" x14ac:dyDescent="0.35">
      <c r="A2076" s="1">
        <v>3021</v>
      </c>
      <c r="B2076" s="2">
        <v>46279.426388888889</v>
      </c>
      <c r="C2076" s="1" t="s">
        <v>3</v>
      </c>
      <c r="D2076" s="1">
        <f>MONTH(Tabela6[[#This Row],[DATA]])</f>
        <v>9</v>
      </c>
    </row>
    <row r="2077" spans="1:4" x14ac:dyDescent="0.35">
      <c r="A2077" s="1">
        <v>3022</v>
      </c>
      <c r="B2077" s="2">
        <v>46279.427777777775</v>
      </c>
      <c r="C2077" s="1" t="s">
        <v>3</v>
      </c>
      <c r="D2077" s="1">
        <f>MONTH(Tabela6[[#This Row],[DATA]])</f>
        <v>9</v>
      </c>
    </row>
    <row r="2078" spans="1:4" x14ac:dyDescent="0.35">
      <c r="A2078" s="1">
        <v>3023</v>
      </c>
      <c r="B2078" s="2">
        <v>46279.428472222222</v>
      </c>
      <c r="C2078" s="1" t="s">
        <v>3</v>
      </c>
      <c r="D2078" s="1">
        <f>MONTH(Tabela6[[#This Row],[DATA]])</f>
        <v>9</v>
      </c>
    </row>
    <row r="2079" spans="1:4" x14ac:dyDescent="0.35">
      <c r="A2079" s="1">
        <v>3024</v>
      </c>
      <c r="B2079" s="2">
        <v>46279.429861111108</v>
      </c>
      <c r="C2079" s="1" t="s">
        <v>3</v>
      </c>
      <c r="D2079" s="1">
        <f>MONTH(Tabela6[[#This Row],[DATA]])</f>
        <v>9</v>
      </c>
    </row>
    <row r="2080" spans="1:4" x14ac:dyDescent="0.35">
      <c r="A2080" s="1">
        <v>3025</v>
      </c>
      <c r="B2080" s="2">
        <v>46279.438194444447</v>
      </c>
      <c r="C2080" s="1" t="s">
        <v>3</v>
      </c>
      <c r="D2080" s="1">
        <f>MONTH(Tabela6[[#This Row],[DATA]])</f>
        <v>9</v>
      </c>
    </row>
    <row r="2081" spans="1:4" x14ac:dyDescent="0.35">
      <c r="A2081" s="1">
        <v>3029</v>
      </c>
      <c r="B2081" s="2">
        <v>46280.323611111111</v>
      </c>
      <c r="C2081" s="1" t="s">
        <v>3</v>
      </c>
      <c r="D2081" s="1">
        <f>MONTH(Tabela6[[#This Row],[DATA]])</f>
        <v>9</v>
      </c>
    </row>
    <row r="2082" spans="1:4" x14ac:dyDescent="0.35">
      <c r="A2082" s="1">
        <v>3030</v>
      </c>
      <c r="B2082" s="2">
        <v>46280.328472222223</v>
      </c>
      <c r="C2082" s="1" t="s">
        <v>3</v>
      </c>
      <c r="D2082" s="1">
        <f>MONTH(Tabela6[[#This Row],[DATA]])</f>
        <v>9</v>
      </c>
    </row>
    <row r="2083" spans="1:4" x14ac:dyDescent="0.35">
      <c r="A2083" s="1">
        <v>3031</v>
      </c>
      <c r="B2083" s="2">
        <v>46280.332638888889</v>
      </c>
      <c r="C2083" s="1" t="s">
        <v>3</v>
      </c>
      <c r="D2083" s="1">
        <f>MONTH(Tabela6[[#This Row],[DATA]])</f>
        <v>9</v>
      </c>
    </row>
    <row r="2084" spans="1:4" x14ac:dyDescent="0.35">
      <c r="A2084" s="1">
        <v>3033</v>
      </c>
      <c r="B2084" s="2">
        <v>46280.376388888886</v>
      </c>
      <c r="C2084" s="1" t="s">
        <v>65</v>
      </c>
      <c r="D2084" s="1">
        <f>MONTH(Tabela6[[#This Row],[DATA]])</f>
        <v>9</v>
      </c>
    </row>
    <row r="2085" spans="1:4" x14ac:dyDescent="0.35">
      <c r="A2085" s="1">
        <v>3034</v>
      </c>
      <c r="B2085" s="2">
        <v>46280.381944444445</v>
      </c>
      <c r="C2085" s="1" t="s">
        <v>28</v>
      </c>
      <c r="D2085" s="1">
        <f>MONTH(Tabela6[[#This Row],[DATA]])</f>
        <v>9</v>
      </c>
    </row>
    <row r="2086" spans="1:4" x14ac:dyDescent="0.35">
      <c r="A2086" s="1">
        <v>3035</v>
      </c>
      <c r="B2086" s="2">
        <v>46280.381944444445</v>
      </c>
      <c r="C2086" s="1" t="s">
        <v>65</v>
      </c>
      <c r="D2086" s="1">
        <f>MONTH(Tabela6[[#This Row],[DATA]])</f>
        <v>9</v>
      </c>
    </row>
    <row r="2087" spans="1:4" x14ac:dyDescent="0.35">
      <c r="A2087" s="1">
        <v>3039</v>
      </c>
      <c r="B2087" s="2">
        <v>46280.420138888891</v>
      </c>
      <c r="C2087" s="1" t="s">
        <v>21</v>
      </c>
      <c r="D2087" s="1">
        <f>MONTH(Tabela6[[#This Row],[DATA]])</f>
        <v>9</v>
      </c>
    </row>
    <row r="2088" spans="1:4" x14ac:dyDescent="0.35">
      <c r="A2088" s="1">
        <v>3041</v>
      </c>
      <c r="B2088" s="2">
        <v>46280.433333333334</v>
      </c>
      <c r="C2088" s="1" t="s">
        <v>9</v>
      </c>
      <c r="D2088" s="1">
        <f>MONTH(Tabela6[[#This Row],[DATA]])</f>
        <v>9</v>
      </c>
    </row>
    <row r="2089" spans="1:4" x14ac:dyDescent="0.35">
      <c r="A2089" s="1">
        <v>3043</v>
      </c>
      <c r="B2089" s="2">
        <v>46280.434027777781</v>
      </c>
      <c r="C2089" s="1" t="s">
        <v>9</v>
      </c>
      <c r="D2089" s="1">
        <f>MONTH(Tabela6[[#This Row],[DATA]])</f>
        <v>9</v>
      </c>
    </row>
    <row r="2090" spans="1:4" x14ac:dyDescent="0.35">
      <c r="A2090" s="1">
        <v>3045</v>
      </c>
      <c r="B2090" s="2">
        <v>46280.43472222222</v>
      </c>
      <c r="C2090" s="1" t="s">
        <v>9</v>
      </c>
      <c r="D2090" s="1">
        <f>MONTH(Tabela6[[#This Row],[DATA]])</f>
        <v>9</v>
      </c>
    </row>
    <row r="2091" spans="1:4" x14ac:dyDescent="0.35">
      <c r="A2091" s="1">
        <v>3048</v>
      </c>
      <c r="B2091" s="2">
        <v>46280.436805555553</v>
      </c>
      <c r="C2091" s="1" t="s">
        <v>9</v>
      </c>
      <c r="D2091" s="1">
        <f>MONTH(Tabela6[[#This Row],[DATA]])</f>
        <v>9</v>
      </c>
    </row>
    <row r="2092" spans="1:4" x14ac:dyDescent="0.35">
      <c r="A2092" s="1">
        <v>3051</v>
      </c>
      <c r="B2092" s="2">
        <v>46280.4375</v>
      </c>
      <c r="C2092" s="1" t="s">
        <v>9</v>
      </c>
      <c r="D2092" s="1">
        <f>MONTH(Tabela6[[#This Row],[DATA]])</f>
        <v>9</v>
      </c>
    </row>
    <row r="2093" spans="1:4" x14ac:dyDescent="0.35">
      <c r="A2093" s="1">
        <v>3052</v>
      </c>
      <c r="B2093" s="2">
        <v>46280.438888888886</v>
      </c>
      <c r="C2093" s="1" t="s">
        <v>9</v>
      </c>
      <c r="D2093" s="1">
        <f>MONTH(Tabela6[[#This Row],[DATA]])</f>
        <v>9</v>
      </c>
    </row>
    <row r="2094" spans="1:4" x14ac:dyDescent="0.35">
      <c r="A2094" s="1">
        <v>3053</v>
      </c>
      <c r="B2094" s="2">
        <v>46280.439583333333</v>
      </c>
      <c r="C2094" s="1" t="s">
        <v>9</v>
      </c>
      <c r="D2094" s="1">
        <f>MONTH(Tabela6[[#This Row],[DATA]])</f>
        <v>9</v>
      </c>
    </row>
    <row r="2095" spans="1:4" x14ac:dyDescent="0.35">
      <c r="A2095" s="1">
        <v>3054</v>
      </c>
      <c r="B2095" s="2">
        <v>46280.439583333333</v>
      </c>
      <c r="C2095" s="1" t="s">
        <v>3</v>
      </c>
      <c r="D2095" s="1">
        <f>MONTH(Tabela6[[#This Row],[DATA]])</f>
        <v>9</v>
      </c>
    </row>
    <row r="2096" spans="1:4" x14ac:dyDescent="0.35">
      <c r="A2096" s="1">
        <v>3055</v>
      </c>
      <c r="B2096" s="2">
        <v>46280.44027777778</v>
      </c>
      <c r="C2096" s="1" t="s">
        <v>3</v>
      </c>
      <c r="D2096" s="1">
        <f>MONTH(Tabela6[[#This Row],[DATA]])</f>
        <v>9</v>
      </c>
    </row>
    <row r="2097" spans="1:4" x14ac:dyDescent="0.35">
      <c r="A2097" s="1">
        <v>3073</v>
      </c>
      <c r="B2097" s="2">
        <v>46281.392361111109</v>
      </c>
      <c r="C2097" s="1" t="s">
        <v>65</v>
      </c>
      <c r="D2097" s="1">
        <f>MONTH(Tabela6[[#This Row],[DATA]])</f>
        <v>9</v>
      </c>
    </row>
    <row r="2098" spans="1:4" x14ac:dyDescent="0.35">
      <c r="A2098" s="1">
        <v>3074</v>
      </c>
      <c r="B2098" s="2">
        <v>46281.394444444442</v>
      </c>
      <c r="C2098" s="1" t="s">
        <v>65</v>
      </c>
      <c r="D2098" s="1">
        <f>MONTH(Tabela6[[#This Row],[DATA]])</f>
        <v>9</v>
      </c>
    </row>
    <row r="2099" spans="1:4" x14ac:dyDescent="0.35">
      <c r="A2099" s="1">
        <v>3075</v>
      </c>
      <c r="B2099" s="2">
        <v>46281.4</v>
      </c>
      <c r="C2099" s="1" t="s">
        <v>9</v>
      </c>
      <c r="D2099" s="1">
        <f>MONTH(Tabela6[[#This Row],[DATA]])</f>
        <v>9</v>
      </c>
    </row>
    <row r="2100" spans="1:4" x14ac:dyDescent="0.35">
      <c r="A2100" s="1">
        <v>3076</v>
      </c>
      <c r="B2100" s="2">
        <v>46281.401388888888</v>
      </c>
      <c r="C2100" s="1" t="s">
        <v>9</v>
      </c>
      <c r="D2100" s="1">
        <f>MONTH(Tabela6[[#This Row],[DATA]])</f>
        <v>9</v>
      </c>
    </row>
    <row r="2101" spans="1:4" x14ac:dyDescent="0.35">
      <c r="A2101" s="1">
        <v>3077</v>
      </c>
      <c r="B2101" s="2">
        <v>46281.424305555556</v>
      </c>
      <c r="C2101" s="1" t="s">
        <v>28</v>
      </c>
      <c r="D2101" s="1">
        <f>MONTH(Tabela6[[#This Row],[DATA]])</f>
        <v>9</v>
      </c>
    </row>
    <row r="2102" spans="1:4" x14ac:dyDescent="0.35">
      <c r="A2102" s="1">
        <v>3085</v>
      </c>
      <c r="B2102" s="2">
        <v>46281.511805555558</v>
      </c>
      <c r="C2102" s="1" t="s">
        <v>3</v>
      </c>
      <c r="D2102" s="1">
        <f>MONTH(Tabela6[[#This Row],[DATA]])</f>
        <v>9</v>
      </c>
    </row>
    <row r="2103" spans="1:4" x14ac:dyDescent="0.35">
      <c r="A2103" s="1">
        <v>3086</v>
      </c>
      <c r="B2103" s="2">
        <v>46281.512499999997</v>
      </c>
      <c r="C2103" s="1" t="s">
        <v>3</v>
      </c>
      <c r="D2103" s="1">
        <f>MONTH(Tabela6[[#This Row],[DATA]])</f>
        <v>9</v>
      </c>
    </row>
    <row r="2104" spans="1:4" x14ac:dyDescent="0.35">
      <c r="A2104" s="1">
        <v>3093</v>
      </c>
      <c r="B2104" s="2">
        <v>46281.585416666669</v>
      </c>
      <c r="C2104" s="1" t="s">
        <v>19</v>
      </c>
      <c r="D2104" s="1">
        <f>MONTH(Tabela6[[#This Row],[DATA]])</f>
        <v>9</v>
      </c>
    </row>
    <row r="2105" spans="1:4" x14ac:dyDescent="0.35">
      <c r="A2105" s="1">
        <v>3120</v>
      </c>
      <c r="B2105" s="2">
        <v>46282.341666666667</v>
      </c>
      <c r="C2105" s="1" t="s">
        <v>21</v>
      </c>
      <c r="D2105" s="1">
        <f>MONTH(Tabela6[[#This Row],[DATA]])</f>
        <v>9</v>
      </c>
    </row>
    <row r="2106" spans="1:4" x14ac:dyDescent="0.35">
      <c r="A2106" s="1">
        <v>3121</v>
      </c>
      <c r="B2106" s="2">
        <v>46282.365972222222</v>
      </c>
      <c r="C2106" s="1" t="s">
        <v>28</v>
      </c>
      <c r="D2106" s="1">
        <f>MONTH(Tabela6[[#This Row],[DATA]])</f>
        <v>9</v>
      </c>
    </row>
    <row r="2107" spans="1:4" x14ac:dyDescent="0.35">
      <c r="A2107" s="1">
        <v>3123</v>
      </c>
      <c r="B2107" s="2">
        <v>46282.445138888892</v>
      </c>
      <c r="C2107" s="1" t="s">
        <v>9</v>
      </c>
      <c r="D2107" s="1">
        <f>MONTH(Tabela6[[#This Row],[DATA]])</f>
        <v>9</v>
      </c>
    </row>
    <row r="2108" spans="1:4" x14ac:dyDescent="0.35">
      <c r="A2108" s="1">
        <v>3124</v>
      </c>
      <c r="B2108" s="2">
        <v>46282.445833333331</v>
      </c>
      <c r="C2108" s="1" t="s">
        <v>9</v>
      </c>
      <c r="D2108" s="1">
        <f>MONTH(Tabela6[[#This Row],[DATA]])</f>
        <v>9</v>
      </c>
    </row>
    <row r="2109" spans="1:4" x14ac:dyDescent="0.35">
      <c r="A2109" s="1">
        <v>3125</v>
      </c>
      <c r="B2109" s="2">
        <v>46282.446527777778</v>
      </c>
      <c r="C2109" s="1" t="s">
        <v>9</v>
      </c>
      <c r="D2109" s="1">
        <f>MONTH(Tabela6[[#This Row],[DATA]])</f>
        <v>9</v>
      </c>
    </row>
    <row r="2110" spans="1:4" x14ac:dyDescent="0.35">
      <c r="A2110" s="1">
        <v>3126</v>
      </c>
      <c r="B2110" s="2">
        <v>46282.447222222225</v>
      </c>
      <c r="C2110" s="1" t="s">
        <v>9</v>
      </c>
      <c r="D2110" s="1">
        <f>MONTH(Tabela6[[#This Row],[DATA]])</f>
        <v>9</v>
      </c>
    </row>
    <row r="2111" spans="1:4" x14ac:dyDescent="0.35">
      <c r="A2111" s="1">
        <v>3127</v>
      </c>
      <c r="B2111" s="2">
        <v>46282.447916666664</v>
      </c>
      <c r="C2111" s="1" t="s">
        <v>9</v>
      </c>
      <c r="D2111" s="1">
        <f>MONTH(Tabela6[[#This Row],[DATA]])</f>
        <v>9</v>
      </c>
    </row>
    <row r="2112" spans="1:4" x14ac:dyDescent="0.35">
      <c r="A2112" s="1">
        <v>3144</v>
      </c>
      <c r="B2112" s="2">
        <v>46283.315972222219</v>
      </c>
      <c r="C2112" s="1" t="s">
        <v>3</v>
      </c>
      <c r="D2112" s="1">
        <f>MONTH(Tabela6[[#This Row],[DATA]])</f>
        <v>9</v>
      </c>
    </row>
    <row r="2113" spans="1:4" x14ac:dyDescent="0.35">
      <c r="A2113" s="1">
        <v>3145</v>
      </c>
      <c r="B2113" s="2">
        <v>46283.318055555559</v>
      </c>
      <c r="C2113" s="1" t="s">
        <v>3</v>
      </c>
      <c r="D2113" s="1">
        <f>MONTH(Tabela6[[#This Row],[DATA]])</f>
        <v>9</v>
      </c>
    </row>
    <row r="2114" spans="1:4" x14ac:dyDescent="0.35">
      <c r="A2114" s="1">
        <v>3146</v>
      </c>
      <c r="B2114" s="2">
        <v>46283.320138888892</v>
      </c>
      <c r="C2114" s="1" t="s">
        <v>3</v>
      </c>
      <c r="D2114" s="1">
        <f>MONTH(Tabela6[[#This Row],[DATA]])</f>
        <v>9</v>
      </c>
    </row>
    <row r="2115" spans="1:4" x14ac:dyDescent="0.35">
      <c r="A2115" s="1">
        <v>3147</v>
      </c>
      <c r="B2115" s="2">
        <v>46283.322916666664</v>
      </c>
      <c r="C2115" s="1" t="s">
        <v>3</v>
      </c>
      <c r="D2115" s="1">
        <f>MONTH(Tabela6[[#This Row],[DATA]])</f>
        <v>9</v>
      </c>
    </row>
    <row r="2116" spans="1:4" x14ac:dyDescent="0.35">
      <c r="A2116" s="1">
        <v>3148</v>
      </c>
      <c r="B2116" s="2">
        <v>46283.349305555559</v>
      </c>
      <c r="C2116" s="1" t="s">
        <v>24</v>
      </c>
      <c r="D2116" s="1">
        <f>MONTH(Tabela6[[#This Row],[DATA]])</f>
        <v>9</v>
      </c>
    </row>
    <row r="2117" spans="1:4" x14ac:dyDescent="0.35">
      <c r="A2117" s="1">
        <v>3149</v>
      </c>
      <c r="B2117" s="2">
        <v>46283.374305555553</v>
      </c>
      <c r="C2117" s="1" t="s">
        <v>21</v>
      </c>
      <c r="D2117" s="1">
        <f>MONTH(Tabela6[[#This Row],[DATA]])</f>
        <v>9</v>
      </c>
    </row>
    <row r="2118" spans="1:4" x14ac:dyDescent="0.35">
      <c r="A2118" s="1">
        <v>3150</v>
      </c>
      <c r="B2118" s="2">
        <v>46283.495833333334</v>
      </c>
      <c r="C2118" s="1" t="s">
        <v>3</v>
      </c>
      <c r="D2118" s="1">
        <f>MONTH(Tabela6[[#This Row],[DATA]])</f>
        <v>9</v>
      </c>
    </row>
    <row r="2119" spans="1:4" x14ac:dyDescent="0.35">
      <c r="A2119" s="1">
        <v>3151</v>
      </c>
      <c r="B2119" s="2">
        <v>46283.496527777781</v>
      </c>
      <c r="C2119" s="1" t="s">
        <v>3</v>
      </c>
      <c r="D2119" s="1">
        <f>MONTH(Tabela6[[#This Row],[DATA]])</f>
        <v>9</v>
      </c>
    </row>
    <row r="2120" spans="1:4" x14ac:dyDescent="0.35">
      <c r="A2120" s="1">
        <v>3152</v>
      </c>
      <c r="B2120" s="2">
        <v>46283.498611111114</v>
      </c>
      <c r="C2120" s="1" t="s">
        <v>3</v>
      </c>
      <c r="D2120" s="1">
        <f>MONTH(Tabela6[[#This Row],[DATA]])</f>
        <v>9</v>
      </c>
    </row>
    <row r="2121" spans="1:4" x14ac:dyDescent="0.35">
      <c r="A2121" s="1">
        <v>3153</v>
      </c>
      <c r="B2121" s="2">
        <v>46283.536111111112</v>
      </c>
      <c r="C2121" s="1" t="s">
        <v>3</v>
      </c>
      <c r="D2121" s="1">
        <f>MONTH(Tabela6[[#This Row],[DATA]])</f>
        <v>9</v>
      </c>
    </row>
    <row r="2122" spans="1:4" x14ac:dyDescent="0.35">
      <c r="A2122" s="1">
        <v>3154</v>
      </c>
      <c r="B2122" s="2">
        <v>46283.647222222222</v>
      </c>
      <c r="C2122" s="1" t="s">
        <v>21</v>
      </c>
      <c r="D2122" s="1">
        <f>MONTH(Tabela6[[#This Row],[DATA]])</f>
        <v>9</v>
      </c>
    </row>
    <row r="2123" spans="1:4" x14ac:dyDescent="0.35">
      <c r="A2123" s="1">
        <v>3155</v>
      </c>
      <c r="B2123" s="2">
        <v>46283.649305555555</v>
      </c>
      <c r="C2123" s="1" t="s">
        <v>21</v>
      </c>
      <c r="D2123" s="1">
        <f>MONTH(Tabela6[[#This Row],[DATA]])</f>
        <v>9</v>
      </c>
    </row>
    <row r="2124" spans="1:4" x14ac:dyDescent="0.35">
      <c r="A2124" s="1">
        <v>3167</v>
      </c>
      <c r="B2124" s="2">
        <v>46286.354861111111</v>
      </c>
      <c r="C2124" s="1" t="s">
        <v>28</v>
      </c>
      <c r="D2124" s="1">
        <f>MONTH(Tabela6[[#This Row],[DATA]])</f>
        <v>9</v>
      </c>
    </row>
    <row r="2125" spans="1:4" x14ac:dyDescent="0.35">
      <c r="A2125" s="1">
        <v>3172</v>
      </c>
      <c r="B2125" s="2">
        <v>46286.400694444441</v>
      </c>
      <c r="C2125" s="1" t="s">
        <v>65</v>
      </c>
      <c r="D2125" s="1">
        <f>MONTH(Tabela6[[#This Row],[DATA]])</f>
        <v>9</v>
      </c>
    </row>
    <row r="2126" spans="1:4" x14ac:dyDescent="0.35">
      <c r="A2126" s="1">
        <v>3182</v>
      </c>
      <c r="B2126" s="2">
        <v>46286.447916666664</v>
      </c>
      <c r="C2126" s="1" t="s">
        <v>19</v>
      </c>
      <c r="D2126" s="1">
        <f>MONTH(Tabela6[[#This Row],[DATA]])</f>
        <v>9</v>
      </c>
    </row>
    <row r="2127" spans="1:4" x14ac:dyDescent="0.35">
      <c r="A2127" s="1">
        <v>3183</v>
      </c>
      <c r="B2127" s="2">
        <v>46286.475694444445</v>
      </c>
      <c r="C2127" s="1" t="s">
        <v>21</v>
      </c>
      <c r="D2127" s="1">
        <f>MONTH(Tabela6[[#This Row],[DATA]])</f>
        <v>9</v>
      </c>
    </row>
    <row r="2128" spans="1:4" x14ac:dyDescent="0.35">
      <c r="A2128" s="1">
        <v>3184</v>
      </c>
      <c r="B2128" s="2">
        <v>46286.48333333333</v>
      </c>
      <c r="C2128" s="1" t="s">
        <v>21</v>
      </c>
      <c r="D2128" s="1">
        <f>MONTH(Tabela6[[#This Row],[DATA]])</f>
        <v>9</v>
      </c>
    </row>
    <row r="2129" spans="1:4" x14ac:dyDescent="0.35">
      <c r="A2129" s="1">
        <v>3185</v>
      </c>
      <c r="B2129" s="2">
        <v>46286.529166666667</v>
      </c>
      <c r="C2129" s="1" t="s">
        <v>21</v>
      </c>
      <c r="D2129" s="1">
        <f>MONTH(Tabela6[[#This Row],[DATA]])</f>
        <v>9</v>
      </c>
    </row>
    <row r="2130" spans="1:4" x14ac:dyDescent="0.35">
      <c r="A2130" s="1">
        <v>3186</v>
      </c>
      <c r="B2130" s="2">
        <v>46286.53125</v>
      </c>
      <c r="C2130" s="1" t="s">
        <v>21</v>
      </c>
      <c r="D2130" s="1">
        <f>MONTH(Tabela6[[#This Row],[DATA]])</f>
        <v>9</v>
      </c>
    </row>
    <row r="2131" spans="1:4" x14ac:dyDescent="0.35">
      <c r="A2131" s="1">
        <v>3187</v>
      </c>
      <c r="B2131" s="2">
        <v>46286.638194444444</v>
      </c>
      <c r="C2131" s="1" t="s">
        <v>22</v>
      </c>
      <c r="D2131" s="1">
        <f>MONTH(Tabela6[[#This Row],[DATA]])</f>
        <v>9</v>
      </c>
    </row>
    <row r="2132" spans="1:4" x14ac:dyDescent="0.35">
      <c r="A2132" s="1">
        <v>3188</v>
      </c>
      <c r="B2132" s="2">
        <v>46286.68472222222</v>
      </c>
      <c r="C2132" s="1" t="s">
        <v>19</v>
      </c>
      <c r="D2132" s="1">
        <f>MONTH(Tabela6[[#This Row],[DATA]])</f>
        <v>9</v>
      </c>
    </row>
    <row r="2133" spans="1:4" x14ac:dyDescent="0.35">
      <c r="A2133" s="1">
        <v>3189</v>
      </c>
      <c r="B2133" s="2">
        <v>46286.728472222225</v>
      </c>
      <c r="C2133" s="1" t="s">
        <v>9</v>
      </c>
      <c r="D2133" s="1">
        <f>MONTH(Tabela6[[#This Row],[DATA]])</f>
        <v>9</v>
      </c>
    </row>
    <row r="2134" spans="1:4" x14ac:dyDescent="0.35">
      <c r="A2134" s="1">
        <v>3190</v>
      </c>
      <c r="B2134" s="2">
        <v>46286.731249999997</v>
      </c>
      <c r="C2134" s="1" t="s">
        <v>9</v>
      </c>
      <c r="D2134" s="1">
        <f>MONTH(Tabela6[[#This Row],[DATA]])</f>
        <v>9</v>
      </c>
    </row>
    <row r="2135" spans="1:4" x14ac:dyDescent="0.35">
      <c r="A2135" s="1">
        <v>3191</v>
      </c>
      <c r="B2135" s="2">
        <v>46286.731944444444</v>
      </c>
      <c r="C2135" s="1" t="s">
        <v>9</v>
      </c>
      <c r="D2135" s="1">
        <f>MONTH(Tabela6[[#This Row],[DATA]])</f>
        <v>9</v>
      </c>
    </row>
    <row r="2136" spans="1:4" x14ac:dyDescent="0.35">
      <c r="A2136" s="1">
        <v>3192</v>
      </c>
      <c r="B2136" s="2">
        <v>46287.409722222219</v>
      </c>
      <c r="C2136" s="1" t="s">
        <v>9</v>
      </c>
      <c r="D2136" s="1">
        <f>MONTH(Tabela6[[#This Row],[DATA]])</f>
        <v>9</v>
      </c>
    </row>
    <row r="2137" spans="1:4" x14ac:dyDescent="0.35">
      <c r="A2137" s="1">
        <v>3193</v>
      </c>
      <c r="B2137" s="2">
        <v>46287.411805555559</v>
      </c>
      <c r="C2137" s="1" t="s">
        <v>9</v>
      </c>
      <c r="D2137" s="1">
        <f>MONTH(Tabela6[[#This Row],[DATA]])</f>
        <v>9</v>
      </c>
    </row>
    <row r="2138" spans="1:4" x14ac:dyDescent="0.35">
      <c r="A2138" s="1">
        <v>3194</v>
      </c>
      <c r="B2138" s="2">
        <v>46287.413194444445</v>
      </c>
      <c r="C2138" s="1" t="s">
        <v>9</v>
      </c>
      <c r="D2138" s="1">
        <f>MONTH(Tabela6[[#This Row],[DATA]])</f>
        <v>9</v>
      </c>
    </row>
    <row r="2139" spans="1:4" x14ac:dyDescent="0.35">
      <c r="A2139" s="1">
        <v>3195</v>
      </c>
      <c r="B2139" s="2">
        <v>46287.415277777778</v>
      </c>
      <c r="C2139" s="1" t="s">
        <v>9</v>
      </c>
      <c r="D2139" s="1">
        <f>MONTH(Tabela6[[#This Row],[DATA]])</f>
        <v>9</v>
      </c>
    </row>
    <row r="2140" spans="1:4" x14ac:dyDescent="0.35">
      <c r="A2140" s="1">
        <v>3196</v>
      </c>
      <c r="B2140" s="2">
        <v>46287.415972222225</v>
      </c>
      <c r="C2140" s="1" t="s">
        <v>19</v>
      </c>
      <c r="D2140" s="1">
        <f>MONTH(Tabela6[[#This Row],[DATA]])</f>
        <v>9</v>
      </c>
    </row>
    <row r="2141" spans="1:4" x14ac:dyDescent="0.35">
      <c r="A2141" s="1">
        <v>3197</v>
      </c>
      <c r="B2141" s="2">
        <v>46287.416666666664</v>
      </c>
      <c r="C2141" s="1" t="s">
        <v>9</v>
      </c>
      <c r="D2141" s="1">
        <f>MONTH(Tabela6[[#This Row],[DATA]])</f>
        <v>9</v>
      </c>
    </row>
    <row r="2142" spans="1:4" x14ac:dyDescent="0.35">
      <c r="A2142" s="1">
        <v>3198</v>
      </c>
      <c r="B2142" s="2">
        <v>46287.422222222223</v>
      </c>
      <c r="C2142" s="1" t="s">
        <v>9</v>
      </c>
      <c r="D2142" s="1">
        <f>MONTH(Tabela6[[#This Row],[DATA]])</f>
        <v>9</v>
      </c>
    </row>
    <row r="2143" spans="1:4" x14ac:dyDescent="0.35">
      <c r="A2143" s="1">
        <v>3211</v>
      </c>
      <c r="B2143" s="2">
        <v>46288</v>
      </c>
      <c r="C2143" s="1" t="s">
        <v>9</v>
      </c>
      <c r="D2143" s="1">
        <f>MONTH(Tabela6[[#This Row],[DATA]])</f>
        <v>9</v>
      </c>
    </row>
    <row r="2144" spans="1:4" x14ac:dyDescent="0.35">
      <c r="A2144" s="1">
        <v>3212</v>
      </c>
      <c r="B2144" s="2">
        <v>46288</v>
      </c>
      <c r="C2144" s="1" t="s">
        <v>9</v>
      </c>
      <c r="D2144" s="1">
        <f>MONTH(Tabela6[[#This Row],[DATA]])</f>
        <v>9</v>
      </c>
    </row>
    <row r="2145" spans="1:4" x14ac:dyDescent="0.35">
      <c r="A2145" s="1">
        <v>3213</v>
      </c>
      <c r="B2145" s="2">
        <v>46288</v>
      </c>
      <c r="C2145" s="1" t="s">
        <v>9</v>
      </c>
      <c r="D2145" s="1">
        <f>MONTH(Tabela6[[#This Row],[DATA]])</f>
        <v>9</v>
      </c>
    </row>
    <row r="2146" spans="1:4" x14ac:dyDescent="0.35">
      <c r="A2146" s="1">
        <v>3214</v>
      </c>
      <c r="B2146" s="2">
        <v>46288</v>
      </c>
      <c r="C2146" s="1" t="s">
        <v>9</v>
      </c>
      <c r="D2146" s="1">
        <f>MONTH(Tabela6[[#This Row],[DATA]])</f>
        <v>9</v>
      </c>
    </row>
    <row r="2147" spans="1:4" x14ac:dyDescent="0.35">
      <c r="A2147" s="1">
        <v>3215</v>
      </c>
      <c r="B2147" s="2">
        <v>46288</v>
      </c>
      <c r="C2147" s="1" t="s">
        <v>9</v>
      </c>
      <c r="D2147" s="1">
        <f>MONTH(Tabela6[[#This Row],[DATA]])</f>
        <v>9</v>
      </c>
    </row>
    <row r="2148" spans="1:4" x14ac:dyDescent="0.35">
      <c r="A2148" s="1">
        <v>3216</v>
      </c>
      <c r="B2148" s="2">
        <v>46288</v>
      </c>
      <c r="C2148" s="1" t="s">
        <v>9</v>
      </c>
      <c r="D2148" s="1">
        <f>MONTH(Tabela6[[#This Row],[DATA]])</f>
        <v>9</v>
      </c>
    </row>
    <row r="2149" spans="1:4" x14ac:dyDescent="0.35">
      <c r="A2149" s="1">
        <v>3207</v>
      </c>
      <c r="B2149" s="2">
        <v>46288.323611111111</v>
      </c>
      <c r="C2149" s="1" t="s">
        <v>19</v>
      </c>
      <c r="D2149" s="1">
        <f>MONTH(Tabela6[[#This Row],[DATA]])</f>
        <v>9</v>
      </c>
    </row>
    <row r="2150" spans="1:4" x14ac:dyDescent="0.35">
      <c r="A2150" s="1">
        <v>3208</v>
      </c>
      <c r="B2150" s="2">
        <v>46288.349305555559</v>
      </c>
      <c r="C2150" s="1" t="s">
        <v>3</v>
      </c>
      <c r="D2150" s="1">
        <f>MONTH(Tabela6[[#This Row],[DATA]])</f>
        <v>9</v>
      </c>
    </row>
    <row r="2151" spans="1:4" x14ac:dyDescent="0.35">
      <c r="A2151" s="1">
        <v>3217</v>
      </c>
      <c r="B2151" s="2">
        <v>46289</v>
      </c>
      <c r="C2151" s="1" t="s">
        <v>24</v>
      </c>
      <c r="D2151" s="1">
        <f>MONTH(Tabela6[[#This Row],[DATA]])</f>
        <v>9</v>
      </c>
    </row>
    <row r="2152" spans="1:4" x14ac:dyDescent="0.35">
      <c r="A2152" s="1">
        <v>3218</v>
      </c>
      <c r="B2152" s="2">
        <v>46289</v>
      </c>
      <c r="C2152" s="1" t="s">
        <v>24</v>
      </c>
      <c r="D2152" s="1">
        <f>MONTH(Tabela6[[#This Row],[DATA]])</f>
        <v>9</v>
      </c>
    </row>
    <row r="2153" spans="1:4" x14ac:dyDescent="0.35">
      <c r="A2153" s="1">
        <v>3219</v>
      </c>
      <c r="B2153" s="2">
        <v>46289</v>
      </c>
      <c r="C2153" s="1" t="s">
        <v>24</v>
      </c>
      <c r="D2153" s="1">
        <f>MONTH(Tabela6[[#This Row],[DATA]])</f>
        <v>9</v>
      </c>
    </row>
    <row r="2154" spans="1:4" x14ac:dyDescent="0.35">
      <c r="A2154" s="1">
        <v>3220</v>
      </c>
      <c r="B2154" s="2">
        <v>46289</v>
      </c>
      <c r="C2154" s="1" t="s">
        <v>24</v>
      </c>
      <c r="D2154" s="1">
        <f>MONTH(Tabela6[[#This Row],[DATA]])</f>
        <v>9</v>
      </c>
    </row>
    <row r="2155" spans="1:4" x14ac:dyDescent="0.35">
      <c r="A2155" s="1">
        <v>3221</v>
      </c>
      <c r="B2155" s="2">
        <v>46289</v>
      </c>
      <c r="C2155" s="1" t="s">
        <v>24</v>
      </c>
      <c r="D2155" s="1">
        <f>MONTH(Tabela6[[#This Row],[DATA]])</f>
        <v>9</v>
      </c>
    </row>
    <row r="2156" spans="1:4" x14ac:dyDescent="0.35">
      <c r="A2156" s="1">
        <v>3222</v>
      </c>
      <c r="B2156" s="2">
        <v>46289</v>
      </c>
      <c r="C2156" s="1" t="s">
        <v>22</v>
      </c>
      <c r="D2156" s="1">
        <f>MONTH(Tabela6[[#This Row],[DATA]])</f>
        <v>9</v>
      </c>
    </row>
    <row r="2157" spans="1:4" x14ac:dyDescent="0.35">
      <c r="A2157" s="1">
        <v>3224</v>
      </c>
      <c r="B2157" s="2">
        <v>46289</v>
      </c>
      <c r="C2157" s="1" t="s">
        <v>9</v>
      </c>
      <c r="D2157" s="1">
        <f>MONTH(Tabela6[[#This Row],[DATA]])</f>
        <v>9</v>
      </c>
    </row>
    <row r="2158" spans="1:4" x14ac:dyDescent="0.35">
      <c r="A2158" s="1">
        <v>3225</v>
      </c>
      <c r="B2158" s="2">
        <v>46289</v>
      </c>
      <c r="C2158" s="1" t="s">
        <v>9</v>
      </c>
      <c r="D2158" s="1">
        <f>MONTH(Tabela6[[#This Row],[DATA]])</f>
        <v>9</v>
      </c>
    </row>
    <row r="2159" spans="1:4" x14ac:dyDescent="0.35">
      <c r="A2159" s="1">
        <v>3226</v>
      </c>
      <c r="B2159" s="2">
        <v>46289</v>
      </c>
      <c r="C2159" s="1" t="s">
        <v>9</v>
      </c>
      <c r="D2159" s="1">
        <f>MONTH(Tabela6[[#This Row],[DATA]])</f>
        <v>9</v>
      </c>
    </row>
    <row r="2160" spans="1:4" x14ac:dyDescent="0.35">
      <c r="A2160" s="1">
        <v>3227</v>
      </c>
      <c r="B2160" s="2">
        <v>46289</v>
      </c>
      <c r="C2160" s="1" t="s">
        <v>9</v>
      </c>
      <c r="D2160" s="1">
        <f>MONTH(Tabela6[[#This Row],[DATA]])</f>
        <v>9</v>
      </c>
    </row>
    <row r="2161" spans="1:4" x14ac:dyDescent="0.35">
      <c r="A2161" s="1">
        <v>3228</v>
      </c>
      <c r="B2161" s="2">
        <v>46289</v>
      </c>
      <c r="C2161" s="1" t="s">
        <v>9</v>
      </c>
      <c r="D2161" s="1">
        <f>MONTH(Tabela6[[#This Row],[DATA]])</f>
        <v>9</v>
      </c>
    </row>
    <row r="2162" spans="1:4" x14ac:dyDescent="0.35">
      <c r="A2162" s="1">
        <v>3229</v>
      </c>
      <c r="B2162" s="2">
        <v>46289</v>
      </c>
      <c r="C2162" s="1" t="s">
        <v>9</v>
      </c>
      <c r="D2162" s="1">
        <f>MONTH(Tabela6[[#This Row],[DATA]])</f>
        <v>9</v>
      </c>
    </row>
    <row r="2163" spans="1:4" x14ac:dyDescent="0.35">
      <c r="A2163" s="1">
        <v>3230</v>
      </c>
      <c r="B2163" s="2">
        <v>46289</v>
      </c>
      <c r="C2163" s="1" t="s">
        <v>9</v>
      </c>
      <c r="D2163" s="1">
        <f>MONTH(Tabela6[[#This Row],[DATA]])</f>
        <v>9</v>
      </c>
    </row>
    <row r="2164" spans="1:4" x14ac:dyDescent="0.35">
      <c r="A2164" s="1">
        <v>3231</v>
      </c>
      <c r="B2164" s="2">
        <v>46289</v>
      </c>
      <c r="C2164" s="1" t="s">
        <v>9</v>
      </c>
      <c r="D2164" s="1">
        <f>MONTH(Tabela6[[#This Row],[DATA]])</f>
        <v>9</v>
      </c>
    </row>
    <row r="2165" spans="1:4" x14ac:dyDescent="0.35">
      <c r="A2165" s="1">
        <v>3232</v>
      </c>
      <c r="B2165" s="2">
        <v>46289</v>
      </c>
      <c r="C2165" s="1" t="s">
        <v>28</v>
      </c>
      <c r="D2165" s="1">
        <f>MONTH(Tabela6[[#This Row],[DATA]])</f>
        <v>9</v>
      </c>
    </row>
    <row r="2166" spans="1:4" x14ac:dyDescent="0.35">
      <c r="A2166" s="1">
        <v>3234</v>
      </c>
      <c r="B2166" s="2">
        <v>46290</v>
      </c>
      <c r="C2166" s="1" t="s">
        <v>19</v>
      </c>
      <c r="D2166" s="1">
        <f>MONTH(Tabela6[[#This Row],[DATA]])</f>
        <v>9</v>
      </c>
    </row>
    <row r="2167" spans="1:4" x14ac:dyDescent="0.35">
      <c r="A2167" s="1">
        <v>3235</v>
      </c>
      <c r="B2167" s="2">
        <v>46290</v>
      </c>
      <c r="C2167" s="1" t="s">
        <v>19</v>
      </c>
      <c r="D2167" s="1">
        <f>MONTH(Tabela6[[#This Row],[DATA]])</f>
        <v>9</v>
      </c>
    </row>
    <row r="2168" spans="1:4" x14ac:dyDescent="0.35">
      <c r="A2168" s="1">
        <v>3236</v>
      </c>
      <c r="B2168" s="2">
        <v>46290</v>
      </c>
      <c r="C2168" s="1" t="s">
        <v>19</v>
      </c>
      <c r="D2168" s="1">
        <f>MONTH(Tabela6[[#This Row],[DATA]])</f>
        <v>9</v>
      </c>
    </row>
    <row r="2169" spans="1:4" x14ac:dyDescent="0.35">
      <c r="A2169" s="1">
        <v>3238</v>
      </c>
      <c r="B2169" s="2">
        <v>46290</v>
      </c>
      <c r="C2169" s="1" t="s">
        <v>19</v>
      </c>
      <c r="D2169" s="1">
        <f>MONTH(Tabela6[[#This Row],[DATA]])</f>
        <v>9</v>
      </c>
    </row>
    <row r="2170" spans="1:4" x14ac:dyDescent="0.35">
      <c r="A2170" s="1">
        <v>3239</v>
      </c>
      <c r="B2170" s="2">
        <v>46290</v>
      </c>
      <c r="C2170" s="1" t="s">
        <v>3</v>
      </c>
      <c r="D2170" s="1">
        <f>MONTH(Tabela6[[#This Row],[DATA]])</f>
        <v>9</v>
      </c>
    </row>
    <row r="2171" spans="1:4" x14ac:dyDescent="0.35">
      <c r="A2171" s="1">
        <v>3246</v>
      </c>
      <c r="B2171" s="2">
        <v>46290</v>
      </c>
      <c r="C2171" s="1" t="s">
        <v>24</v>
      </c>
      <c r="D2171" s="1">
        <f>MONTH(Tabela6[[#This Row],[DATA]])</f>
        <v>9</v>
      </c>
    </row>
    <row r="2172" spans="1:4" x14ac:dyDescent="0.35">
      <c r="A2172" s="1">
        <v>3247</v>
      </c>
      <c r="B2172" s="2">
        <v>46290</v>
      </c>
      <c r="C2172" s="1" t="s">
        <v>24</v>
      </c>
      <c r="D2172" s="1">
        <f>MONTH(Tabela6[[#This Row],[DATA]])</f>
        <v>9</v>
      </c>
    </row>
    <row r="2173" spans="1:4" x14ac:dyDescent="0.35">
      <c r="A2173" s="1">
        <v>3248</v>
      </c>
      <c r="B2173" s="2">
        <v>46290</v>
      </c>
      <c r="C2173" s="1" t="s">
        <v>24</v>
      </c>
      <c r="D2173" s="1">
        <f>MONTH(Tabela6[[#This Row],[DATA]])</f>
        <v>9</v>
      </c>
    </row>
    <row r="2174" spans="1:4" x14ac:dyDescent="0.35">
      <c r="A2174" s="1">
        <v>3250</v>
      </c>
      <c r="B2174" s="2">
        <v>46290</v>
      </c>
      <c r="C2174" s="1" t="s">
        <v>24</v>
      </c>
      <c r="D2174" s="1">
        <f>MONTH(Tabela6[[#This Row],[DATA]])</f>
        <v>9</v>
      </c>
    </row>
    <row r="2175" spans="1:4" x14ac:dyDescent="0.35">
      <c r="A2175" s="1">
        <v>3251</v>
      </c>
      <c r="B2175" s="2">
        <v>46290</v>
      </c>
      <c r="C2175" s="1" t="s">
        <v>24</v>
      </c>
      <c r="D2175" s="1">
        <f>MONTH(Tabela6[[#This Row],[DATA]])</f>
        <v>9</v>
      </c>
    </row>
    <row r="2176" spans="1:4" x14ac:dyDescent="0.35">
      <c r="A2176" s="1">
        <v>3252</v>
      </c>
      <c r="B2176" s="2">
        <v>46290</v>
      </c>
      <c r="C2176" s="1" t="s">
        <v>24</v>
      </c>
      <c r="D2176" s="1">
        <f>MONTH(Tabela6[[#This Row],[DATA]])</f>
        <v>9</v>
      </c>
    </row>
    <row r="2177" spans="1:4" x14ac:dyDescent="0.35">
      <c r="A2177" s="1">
        <v>3253</v>
      </c>
      <c r="B2177" s="2">
        <v>46290</v>
      </c>
      <c r="C2177" s="1" t="s">
        <v>24</v>
      </c>
      <c r="D2177" s="1">
        <f>MONTH(Tabela6[[#This Row],[DATA]])</f>
        <v>9</v>
      </c>
    </row>
    <row r="2178" spans="1:4" x14ac:dyDescent="0.35">
      <c r="A2178" s="1">
        <v>3254</v>
      </c>
      <c r="B2178" s="2">
        <v>46290</v>
      </c>
      <c r="C2178" s="1" t="s">
        <v>24</v>
      </c>
      <c r="D2178" s="1">
        <f>MONTH(Tabela6[[#This Row],[DATA]])</f>
        <v>9</v>
      </c>
    </row>
    <row r="2179" spans="1:4" x14ac:dyDescent="0.35">
      <c r="A2179" s="1">
        <v>3255</v>
      </c>
      <c r="B2179" s="2">
        <v>46290</v>
      </c>
      <c r="C2179" s="1" t="s">
        <v>24</v>
      </c>
      <c r="D2179" s="1">
        <f>MONTH(Tabela6[[#This Row],[DATA]])</f>
        <v>9</v>
      </c>
    </row>
    <row r="2180" spans="1:4" x14ac:dyDescent="0.35">
      <c r="A2180" s="1">
        <v>3256</v>
      </c>
      <c r="B2180" s="2">
        <v>46290</v>
      </c>
      <c r="C2180" s="1" t="s">
        <v>24</v>
      </c>
      <c r="D2180" s="1">
        <f>MONTH(Tabela6[[#This Row],[DATA]])</f>
        <v>9</v>
      </c>
    </row>
    <row r="2181" spans="1:4" x14ac:dyDescent="0.35">
      <c r="A2181" s="1">
        <v>3259</v>
      </c>
      <c r="B2181" s="2">
        <v>46290</v>
      </c>
      <c r="C2181" s="1" t="s">
        <v>28</v>
      </c>
      <c r="D2181" s="1">
        <f>MONTH(Tabela6[[#This Row],[DATA]])</f>
        <v>9</v>
      </c>
    </row>
    <row r="2182" spans="1:4" x14ac:dyDescent="0.35">
      <c r="A2182" s="1">
        <v>3260</v>
      </c>
      <c r="B2182" s="2">
        <v>46290</v>
      </c>
      <c r="C2182" s="1" t="s">
        <v>28</v>
      </c>
      <c r="D2182" s="1">
        <f>MONTH(Tabela6[[#This Row],[DATA]])</f>
        <v>9</v>
      </c>
    </row>
    <row r="2183" spans="1:4" x14ac:dyDescent="0.35">
      <c r="A2183" s="1">
        <v>3261</v>
      </c>
      <c r="B2183" s="2">
        <v>46290</v>
      </c>
      <c r="C2183" s="1" t="s">
        <v>51</v>
      </c>
      <c r="D2183" s="1">
        <f>MONTH(Tabela6[[#This Row],[DATA]])</f>
        <v>9</v>
      </c>
    </row>
    <row r="2184" spans="1:4" x14ac:dyDescent="0.35">
      <c r="A2184" s="1">
        <v>3278</v>
      </c>
      <c r="B2184" s="2">
        <v>46293</v>
      </c>
      <c r="C2184" s="1" t="s">
        <v>64</v>
      </c>
      <c r="D2184" s="1">
        <f>MONTH(Tabela6[[#This Row],[DATA]])</f>
        <v>9</v>
      </c>
    </row>
    <row r="2185" spans="1:4" x14ac:dyDescent="0.35">
      <c r="A2185" s="1">
        <v>3283</v>
      </c>
      <c r="B2185" s="2">
        <v>46293</v>
      </c>
      <c r="C2185" s="1" t="s">
        <v>51</v>
      </c>
      <c r="D2185" s="1">
        <f>MONTH(Tabela6[[#This Row],[DATA]])</f>
        <v>9</v>
      </c>
    </row>
    <row r="2186" spans="1:4" x14ac:dyDescent="0.35">
      <c r="A2186" s="1">
        <v>3284</v>
      </c>
      <c r="B2186" s="2">
        <v>46293</v>
      </c>
      <c r="C2186" s="1" t="s">
        <v>65</v>
      </c>
      <c r="D2186" s="1">
        <f>MONTH(Tabela6[[#This Row],[DATA]])</f>
        <v>9</v>
      </c>
    </row>
    <row r="2187" spans="1:4" x14ac:dyDescent="0.35">
      <c r="A2187" s="1">
        <v>3285</v>
      </c>
      <c r="B2187" s="2">
        <v>46293</v>
      </c>
      <c r="C2187" s="1" t="s">
        <v>57</v>
      </c>
      <c r="D2187" s="1">
        <f>MONTH(Tabela6[[#This Row],[DATA]])</f>
        <v>9</v>
      </c>
    </row>
    <row r="2188" spans="1:4" x14ac:dyDescent="0.35">
      <c r="A2188" s="1">
        <v>3286</v>
      </c>
      <c r="B2188" s="2">
        <v>46294</v>
      </c>
      <c r="C2188" s="1" t="s">
        <v>57</v>
      </c>
      <c r="D2188" s="1">
        <f>MONTH(Tabela6[[#This Row],[DATA]])</f>
        <v>9</v>
      </c>
    </row>
    <row r="2189" spans="1:4" x14ac:dyDescent="0.35">
      <c r="A2189" s="1">
        <v>3287</v>
      </c>
      <c r="B2189" s="2">
        <v>46294</v>
      </c>
      <c r="C2189" s="1" t="s">
        <v>61</v>
      </c>
      <c r="D2189" s="1">
        <f>MONTH(Tabela6[[#This Row],[DATA]])</f>
        <v>9</v>
      </c>
    </row>
    <row r="2190" spans="1:4" x14ac:dyDescent="0.35">
      <c r="A2190" s="1">
        <v>3288</v>
      </c>
      <c r="B2190" s="2">
        <v>46294</v>
      </c>
      <c r="C2190" s="1" t="s">
        <v>52</v>
      </c>
      <c r="D2190" s="1">
        <f>MONTH(Tabela6[[#This Row],[DATA]])</f>
        <v>9</v>
      </c>
    </row>
    <row r="2191" spans="1:4" x14ac:dyDescent="0.35">
      <c r="A2191" s="1">
        <v>3289</v>
      </c>
      <c r="B2191" s="2">
        <v>46294</v>
      </c>
      <c r="C2191" s="1" t="s">
        <v>52</v>
      </c>
      <c r="D2191" s="1">
        <f>MONTH(Tabela6[[#This Row],[DATA]])</f>
        <v>9</v>
      </c>
    </row>
    <row r="2192" spans="1:4" x14ac:dyDescent="0.35">
      <c r="A2192" s="1">
        <v>3290</v>
      </c>
      <c r="B2192" s="2">
        <v>46294</v>
      </c>
      <c r="C2192" s="1" t="s">
        <v>52</v>
      </c>
      <c r="D2192" s="1">
        <f>MONTH(Tabela6[[#This Row],[DATA]])</f>
        <v>9</v>
      </c>
    </row>
    <row r="2193" spans="1:4" x14ac:dyDescent="0.35">
      <c r="A2193" s="1">
        <v>3291</v>
      </c>
      <c r="B2193" s="2">
        <v>46294</v>
      </c>
      <c r="C2193" s="1" t="s">
        <v>51</v>
      </c>
      <c r="D2193" s="1">
        <f>MONTH(Tabela6[[#This Row],[DATA]])</f>
        <v>9</v>
      </c>
    </row>
    <row r="2194" spans="1:4" x14ac:dyDescent="0.35">
      <c r="A2194" s="1">
        <v>3295</v>
      </c>
      <c r="B2194" s="2">
        <v>46295</v>
      </c>
      <c r="C2194" s="1" t="s">
        <v>57</v>
      </c>
      <c r="D2194" s="1">
        <f>MONTH(Tabela6[[#This Row],[DATA]])</f>
        <v>9</v>
      </c>
    </row>
    <row r="2195" spans="1:4" x14ac:dyDescent="0.35">
      <c r="A2195" s="1">
        <v>3296</v>
      </c>
      <c r="B2195" s="2">
        <v>46295</v>
      </c>
      <c r="C2195" s="1" t="s">
        <v>51</v>
      </c>
      <c r="D2195" s="1">
        <f>MONTH(Tabela6[[#This Row],[DATA]])</f>
        <v>9</v>
      </c>
    </row>
    <row r="2196" spans="1:4" x14ac:dyDescent="0.35">
      <c r="A2196" s="1">
        <v>3297</v>
      </c>
      <c r="B2196" s="2">
        <v>46295</v>
      </c>
      <c r="C2196" s="1" t="s">
        <v>61</v>
      </c>
      <c r="D2196" s="1">
        <f>MONTH(Tabela6[[#This Row],[DATA]])</f>
        <v>9</v>
      </c>
    </row>
    <row r="2197" spans="1:4" x14ac:dyDescent="0.35">
      <c r="A2197" s="1">
        <v>3298</v>
      </c>
      <c r="B2197" s="2">
        <v>46295</v>
      </c>
      <c r="C2197" s="1" t="s">
        <v>61</v>
      </c>
      <c r="D2197" s="1">
        <f>MONTH(Tabela6[[#This Row],[DATA]])</f>
        <v>9</v>
      </c>
    </row>
    <row r="2198" spans="1:4" x14ac:dyDescent="0.35">
      <c r="A2198" s="1">
        <v>3299</v>
      </c>
      <c r="B2198" s="2">
        <v>46295</v>
      </c>
      <c r="C2198" s="1" t="s">
        <v>61</v>
      </c>
      <c r="D2198" s="1">
        <f>MONTH(Tabela6[[#This Row],[DATA]])</f>
        <v>9</v>
      </c>
    </row>
    <row r="2199" spans="1:4" x14ac:dyDescent="0.35">
      <c r="A2199" s="1">
        <v>3301</v>
      </c>
      <c r="B2199" s="2">
        <v>46295</v>
      </c>
      <c r="C2199" s="1" t="s">
        <v>61</v>
      </c>
      <c r="D2199" s="1">
        <f>MONTH(Tabela6[[#This Row],[DATA]])</f>
        <v>9</v>
      </c>
    </row>
    <row r="2200" spans="1:4" x14ac:dyDescent="0.35">
      <c r="A2200" s="1">
        <v>3302</v>
      </c>
      <c r="B2200" s="2">
        <v>46295</v>
      </c>
      <c r="C2200" s="1" t="s">
        <v>61</v>
      </c>
      <c r="D2200" s="1">
        <f>MONTH(Tabela6[[#This Row],[DATA]])</f>
        <v>9</v>
      </c>
    </row>
    <row r="2201" spans="1:4" x14ac:dyDescent="0.35">
      <c r="A2201" s="1">
        <v>3303</v>
      </c>
      <c r="B2201" s="2">
        <v>46296</v>
      </c>
      <c r="C2201" s="1" t="s">
        <v>54</v>
      </c>
      <c r="D2201" s="1">
        <f>MONTH(Tabela6[[#This Row],[DATA]])</f>
        <v>10</v>
      </c>
    </row>
    <row r="2202" spans="1:4" x14ac:dyDescent="0.35">
      <c r="A2202" s="1">
        <v>3304</v>
      </c>
      <c r="B2202" s="2">
        <v>46296</v>
      </c>
      <c r="C2202" s="1" t="s">
        <v>51</v>
      </c>
      <c r="D2202" s="1">
        <f>MONTH(Tabela6[[#This Row],[DATA]])</f>
        <v>10</v>
      </c>
    </row>
    <row r="2203" spans="1:4" x14ac:dyDescent="0.35">
      <c r="A2203" s="1">
        <v>3308</v>
      </c>
      <c r="B2203" s="2">
        <v>46296</v>
      </c>
      <c r="C2203" s="1" t="s">
        <v>51</v>
      </c>
      <c r="D2203" s="1">
        <f>MONTH(Tabela6[[#This Row],[DATA]])</f>
        <v>10</v>
      </c>
    </row>
    <row r="2204" spans="1:4" x14ac:dyDescent="0.35">
      <c r="A2204" s="1">
        <v>3310</v>
      </c>
      <c r="B2204" s="2">
        <v>46296</v>
      </c>
      <c r="C2204" s="1" t="s">
        <v>52</v>
      </c>
      <c r="D2204" s="1">
        <f>MONTH(Tabela6[[#This Row],[DATA]])</f>
        <v>10</v>
      </c>
    </row>
    <row r="2205" spans="1:4" x14ac:dyDescent="0.35">
      <c r="A2205" s="1">
        <v>3311</v>
      </c>
      <c r="B2205" s="2">
        <v>46296</v>
      </c>
      <c r="C2205" s="1" t="s">
        <v>52</v>
      </c>
      <c r="D2205" s="1">
        <f>MONTH(Tabela6[[#This Row],[DATA]])</f>
        <v>10</v>
      </c>
    </row>
    <row r="2206" spans="1:4" x14ac:dyDescent="0.35">
      <c r="A2206" s="1">
        <v>3312</v>
      </c>
      <c r="B2206" s="2">
        <v>46296</v>
      </c>
      <c r="C2206" s="1" t="s">
        <v>52</v>
      </c>
      <c r="D2206" s="1">
        <f>MONTH(Tabela6[[#This Row],[DATA]])</f>
        <v>10</v>
      </c>
    </row>
    <row r="2207" spans="1:4" x14ac:dyDescent="0.35">
      <c r="A2207" s="1">
        <v>3313</v>
      </c>
      <c r="B2207" s="2">
        <v>46296</v>
      </c>
      <c r="C2207" s="1" t="s">
        <v>52</v>
      </c>
      <c r="D2207" s="1">
        <f>MONTH(Tabela6[[#This Row],[DATA]])</f>
        <v>10</v>
      </c>
    </row>
    <row r="2208" spans="1:4" x14ac:dyDescent="0.35">
      <c r="A2208" s="1">
        <v>3314</v>
      </c>
      <c r="B2208" s="2">
        <v>46296</v>
      </c>
      <c r="C2208" s="1" t="s">
        <v>54</v>
      </c>
      <c r="D2208" s="1">
        <f>MONTH(Tabela6[[#This Row],[DATA]])</f>
        <v>10</v>
      </c>
    </row>
    <row r="2209" spans="1:4" x14ac:dyDescent="0.35">
      <c r="A2209" s="1">
        <v>3315</v>
      </c>
      <c r="B2209" s="2">
        <v>46296</v>
      </c>
      <c r="C2209" s="1" t="s">
        <v>54</v>
      </c>
      <c r="D2209" s="1">
        <f>MONTH(Tabela6[[#This Row],[DATA]])</f>
        <v>10</v>
      </c>
    </row>
    <row r="2210" spans="1:4" x14ac:dyDescent="0.35">
      <c r="A2210" s="1">
        <v>3316</v>
      </c>
      <c r="B2210" s="2">
        <v>46296</v>
      </c>
      <c r="C2210" s="1" t="s">
        <v>54</v>
      </c>
      <c r="D2210" s="1">
        <f>MONTH(Tabela6[[#This Row],[DATA]])</f>
        <v>10</v>
      </c>
    </row>
    <row r="2211" spans="1:4" x14ac:dyDescent="0.35">
      <c r="A2211" s="1">
        <v>3317</v>
      </c>
      <c r="B2211" s="2">
        <v>46296</v>
      </c>
      <c r="C2211" s="1" t="s">
        <v>54</v>
      </c>
      <c r="D2211" s="1">
        <f>MONTH(Tabela6[[#This Row],[DATA]])</f>
        <v>10</v>
      </c>
    </row>
    <row r="2212" spans="1:4" x14ac:dyDescent="0.35">
      <c r="A2212" s="1">
        <v>3318</v>
      </c>
      <c r="B2212" s="2">
        <v>46296</v>
      </c>
      <c r="C2212" s="1" t="s">
        <v>54</v>
      </c>
      <c r="D2212" s="1">
        <f>MONTH(Tabela6[[#This Row],[DATA]])</f>
        <v>10</v>
      </c>
    </row>
    <row r="2213" spans="1:4" x14ac:dyDescent="0.35">
      <c r="A2213" s="1">
        <v>3319</v>
      </c>
      <c r="B2213" s="2">
        <v>46296</v>
      </c>
      <c r="C2213" s="1" t="s">
        <v>54</v>
      </c>
      <c r="D2213" s="1">
        <f>MONTH(Tabela6[[#This Row],[DATA]])</f>
        <v>10</v>
      </c>
    </row>
    <row r="2214" spans="1:4" x14ac:dyDescent="0.35">
      <c r="A2214" s="1">
        <v>3320</v>
      </c>
      <c r="B2214" s="2">
        <v>46297</v>
      </c>
      <c r="C2214" s="1" t="s">
        <v>57</v>
      </c>
      <c r="D2214" s="1">
        <f>MONTH(Tabela6[[#This Row],[DATA]])</f>
        <v>10</v>
      </c>
    </row>
    <row r="2215" spans="1:4" x14ac:dyDescent="0.35">
      <c r="A2215" s="1">
        <v>3321</v>
      </c>
      <c r="B2215" s="2">
        <v>46297</v>
      </c>
      <c r="C2215" s="1" t="s">
        <v>51</v>
      </c>
      <c r="D2215" s="1">
        <f>MONTH(Tabela6[[#This Row],[DATA]])</f>
        <v>10</v>
      </c>
    </row>
    <row r="2216" spans="1:4" x14ac:dyDescent="0.35">
      <c r="A2216" s="1">
        <v>3322</v>
      </c>
      <c r="B2216" s="2">
        <v>46297</v>
      </c>
      <c r="C2216" s="1" t="s">
        <v>57</v>
      </c>
      <c r="D2216" s="1">
        <f>MONTH(Tabela6[[#This Row],[DATA]])</f>
        <v>10</v>
      </c>
    </row>
    <row r="2217" spans="1:4" x14ac:dyDescent="0.35">
      <c r="A2217" s="1">
        <v>3323</v>
      </c>
      <c r="B2217" s="2">
        <v>46297</v>
      </c>
      <c r="C2217" s="1" t="s">
        <v>52</v>
      </c>
      <c r="D2217" s="1">
        <f>MONTH(Tabela6[[#This Row],[DATA]])</f>
        <v>10</v>
      </c>
    </row>
    <row r="2218" spans="1:4" x14ac:dyDescent="0.35">
      <c r="A2218" s="1">
        <v>3324</v>
      </c>
      <c r="B2218" s="2">
        <v>46297</v>
      </c>
      <c r="C2218" s="1" t="s">
        <v>52</v>
      </c>
      <c r="D2218" s="1">
        <f>MONTH(Tabela6[[#This Row],[DATA]])</f>
        <v>10</v>
      </c>
    </row>
    <row r="2219" spans="1:4" x14ac:dyDescent="0.35">
      <c r="A2219" s="1">
        <v>3325</v>
      </c>
      <c r="B2219" s="2">
        <v>46297</v>
      </c>
      <c r="C2219" s="1" t="s">
        <v>61</v>
      </c>
      <c r="D2219" s="1">
        <f>MONTH(Tabela6[[#This Row],[DATA]])</f>
        <v>10</v>
      </c>
    </row>
    <row r="2220" spans="1:4" x14ac:dyDescent="0.35">
      <c r="A2220" s="1">
        <v>3326</v>
      </c>
      <c r="B2220" s="2">
        <v>46297</v>
      </c>
      <c r="C2220" s="1" t="s">
        <v>61</v>
      </c>
      <c r="D2220" s="1">
        <f>MONTH(Tabela6[[#This Row],[DATA]])</f>
        <v>10</v>
      </c>
    </row>
    <row r="2221" spans="1:4" x14ac:dyDescent="0.35">
      <c r="A2221" s="1">
        <v>3327</v>
      </c>
      <c r="B2221" s="2">
        <v>46297</v>
      </c>
      <c r="C2221" s="1" t="s">
        <v>61</v>
      </c>
      <c r="D2221" s="1">
        <f>MONTH(Tabela6[[#This Row],[DATA]])</f>
        <v>10</v>
      </c>
    </row>
    <row r="2222" spans="1:4" x14ac:dyDescent="0.35">
      <c r="A2222" s="1">
        <v>3328</v>
      </c>
      <c r="B2222" s="2">
        <v>46297</v>
      </c>
      <c r="C2222" s="1" t="s">
        <v>52</v>
      </c>
      <c r="D2222" s="1">
        <f>MONTH(Tabela6[[#This Row],[DATA]])</f>
        <v>10</v>
      </c>
    </row>
    <row r="2223" spans="1:4" x14ac:dyDescent="0.35">
      <c r="A2223" s="1">
        <v>3329</v>
      </c>
      <c r="B2223" s="2">
        <v>46297</v>
      </c>
      <c r="C2223" s="1" t="s">
        <v>52</v>
      </c>
      <c r="D2223" s="1">
        <f>MONTH(Tabela6[[#This Row],[DATA]])</f>
        <v>10</v>
      </c>
    </row>
    <row r="2224" spans="1:4" x14ac:dyDescent="0.35">
      <c r="A2224" s="1">
        <v>3330</v>
      </c>
      <c r="B2224" s="2">
        <v>46297</v>
      </c>
      <c r="C2224" s="1" t="s">
        <v>52</v>
      </c>
      <c r="D2224" s="1">
        <f>MONTH(Tabela6[[#This Row],[DATA]])</f>
        <v>10</v>
      </c>
    </row>
    <row r="2225" spans="1:4" x14ac:dyDescent="0.35">
      <c r="A2225" s="1">
        <v>3331</v>
      </c>
      <c r="B2225" s="2">
        <v>46297</v>
      </c>
      <c r="C2225" s="1" t="s">
        <v>52</v>
      </c>
      <c r="D2225" s="1">
        <f>MONTH(Tabela6[[#This Row],[DATA]])</f>
        <v>10</v>
      </c>
    </row>
    <row r="2226" spans="1:4" x14ac:dyDescent="0.35">
      <c r="A2226" s="1">
        <v>3333</v>
      </c>
      <c r="B2226" s="2">
        <v>46300</v>
      </c>
      <c r="C2226" s="1" t="s">
        <v>61</v>
      </c>
      <c r="D2226" s="1">
        <f>MONTH(Tabela6[[#This Row],[DATA]])</f>
        <v>10</v>
      </c>
    </row>
    <row r="2227" spans="1:4" x14ac:dyDescent="0.35">
      <c r="A2227" s="1">
        <v>3334</v>
      </c>
      <c r="B2227" s="2">
        <v>46300</v>
      </c>
      <c r="C2227" s="1" t="s">
        <v>57</v>
      </c>
      <c r="D2227" s="1">
        <f>MONTH(Tabela6[[#This Row],[DATA]])</f>
        <v>10</v>
      </c>
    </row>
    <row r="2228" spans="1:4" x14ac:dyDescent="0.35">
      <c r="A2228" s="1">
        <v>3335</v>
      </c>
      <c r="B2228" s="2">
        <v>46300</v>
      </c>
      <c r="C2228" s="1" t="s">
        <v>51</v>
      </c>
      <c r="D2228" s="1">
        <f>MONTH(Tabela6[[#This Row],[DATA]])</f>
        <v>10</v>
      </c>
    </row>
    <row r="2229" spans="1:4" x14ac:dyDescent="0.35">
      <c r="A2229" s="1">
        <v>3336</v>
      </c>
      <c r="B2229" s="2">
        <v>46300</v>
      </c>
      <c r="C2229" s="1" t="s">
        <v>61</v>
      </c>
      <c r="D2229" s="1">
        <f>MONTH(Tabela6[[#This Row],[DATA]])</f>
        <v>10</v>
      </c>
    </row>
    <row r="2230" spans="1:4" x14ac:dyDescent="0.35">
      <c r="A2230" s="1">
        <v>3337</v>
      </c>
      <c r="B2230" s="2">
        <v>46300</v>
      </c>
      <c r="C2230" s="1" t="s">
        <v>61</v>
      </c>
      <c r="D2230" s="1">
        <f>MONTH(Tabela6[[#This Row],[DATA]])</f>
        <v>10</v>
      </c>
    </row>
    <row r="2231" spans="1:4" x14ac:dyDescent="0.35">
      <c r="A2231" s="1">
        <v>3338</v>
      </c>
      <c r="B2231" s="2">
        <v>46300</v>
      </c>
      <c r="C2231" s="1" t="s">
        <v>61</v>
      </c>
      <c r="D2231" s="1">
        <f>MONTH(Tabela6[[#This Row],[DATA]])</f>
        <v>10</v>
      </c>
    </row>
    <row r="2232" spans="1:4" x14ac:dyDescent="0.35">
      <c r="A2232" s="1">
        <v>3339</v>
      </c>
      <c r="B2232" s="2">
        <v>46300</v>
      </c>
      <c r="C2232" s="1" t="s">
        <v>61</v>
      </c>
      <c r="D2232" s="1">
        <f>MONTH(Tabela6[[#This Row],[DATA]])</f>
        <v>10</v>
      </c>
    </row>
    <row r="2233" spans="1:4" x14ac:dyDescent="0.35">
      <c r="A2233" s="1">
        <v>3340</v>
      </c>
      <c r="B2233" s="2">
        <v>46300</v>
      </c>
      <c r="C2233" s="1" t="s">
        <v>54</v>
      </c>
      <c r="D2233" s="1">
        <f>MONTH(Tabela6[[#This Row],[DATA]])</f>
        <v>10</v>
      </c>
    </row>
    <row r="2234" spans="1:4" x14ac:dyDescent="0.35">
      <c r="A2234" s="1">
        <v>3341</v>
      </c>
      <c r="B2234" s="2">
        <v>46300</v>
      </c>
      <c r="C2234" s="1" t="s">
        <v>54</v>
      </c>
      <c r="D2234" s="1">
        <f>MONTH(Tabela6[[#This Row],[DATA]])</f>
        <v>10</v>
      </c>
    </row>
    <row r="2235" spans="1:4" x14ac:dyDescent="0.35">
      <c r="A2235" s="1">
        <v>3342</v>
      </c>
      <c r="B2235" s="2">
        <v>46300</v>
      </c>
      <c r="C2235" s="1" t="s">
        <v>52</v>
      </c>
      <c r="D2235" s="1">
        <f>MONTH(Tabela6[[#This Row],[DATA]])</f>
        <v>10</v>
      </c>
    </row>
    <row r="2236" spans="1:4" x14ac:dyDescent="0.35">
      <c r="A2236" s="1">
        <v>3343</v>
      </c>
      <c r="B2236" s="2">
        <v>46300</v>
      </c>
      <c r="C2236" s="1" t="s">
        <v>54</v>
      </c>
      <c r="D2236" s="1">
        <f>MONTH(Tabela6[[#This Row],[DATA]])</f>
        <v>10</v>
      </c>
    </row>
    <row r="2237" spans="1:4" x14ac:dyDescent="0.35">
      <c r="A2237" s="1">
        <v>3344</v>
      </c>
      <c r="B2237" s="2">
        <v>46300</v>
      </c>
      <c r="C2237" s="1" t="s">
        <v>52</v>
      </c>
      <c r="D2237" s="1">
        <f>MONTH(Tabela6[[#This Row],[DATA]])</f>
        <v>10</v>
      </c>
    </row>
    <row r="2238" spans="1:4" x14ac:dyDescent="0.35">
      <c r="A2238" s="1">
        <v>3345</v>
      </c>
      <c r="B2238" s="2">
        <v>46300</v>
      </c>
      <c r="C2238" s="1" t="s">
        <v>54</v>
      </c>
      <c r="D2238" s="1">
        <f>MONTH(Tabela6[[#This Row],[DATA]])</f>
        <v>10</v>
      </c>
    </row>
    <row r="2239" spans="1:4" x14ac:dyDescent="0.35">
      <c r="A2239" s="1">
        <v>3346</v>
      </c>
      <c r="B2239" s="2">
        <v>46300</v>
      </c>
      <c r="C2239" s="1" t="s">
        <v>52</v>
      </c>
      <c r="D2239" s="1">
        <f>MONTH(Tabela6[[#This Row],[DATA]])</f>
        <v>10</v>
      </c>
    </row>
    <row r="2240" spans="1:4" x14ac:dyDescent="0.35">
      <c r="A2240" s="1">
        <v>3347</v>
      </c>
      <c r="B2240" s="2">
        <v>46300</v>
      </c>
      <c r="C2240" s="1" t="s">
        <v>54</v>
      </c>
      <c r="D2240" s="1">
        <f>MONTH(Tabela6[[#This Row],[DATA]])</f>
        <v>10</v>
      </c>
    </row>
    <row r="2241" spans="1:4" x14ac:dyDescent="0.35">
      <c r="A2241" s="1">
        <v>3348</v>
      </c>
      <c r="B2241" s="2">
        <v>46300</v>
      </c>
      <c r="C2241" s="1" t="s">
        <v>52</v>
      </c>
      <c r="D2241" s="1">
        <f>MONTH(Tabela6[[#This Row],[DATA]])</f>
        <v>10</v>
      </c>
    </row>
    <row r="2242" spans="1:4" x14ac:dyDescent="0.35">
      <c r="A2242" s="1">
        <v>3349</v>
      </c>
      <c r="B2242" s="2">
        <v>46300</v>
      </c>
      <c r="C2242" s="1" t="s">
        <v>54</v>
      </c>
      <c r="D2242" s="1">
        <f>MONTH(Tabela6[[#This Row],[DATA]])</f>
        <v>10</v>
      </c>
    </row>
    <row r="2243" spans="1:4" x14ac:dyDescent="0.35">
      <c r="A2243" s="1">
        <v>3350</v>
      </c>
      <c r="B2243" s="2">
        <v>46300</v>
      </c>
      <c r="C2243" s="1" t="s">
        <v>54</v>
      </c>
      <c r="D2243" s="1">
        <f>MONTH(Tabela6[[#This Row],[DATA]])</f>
        <v>10</v>
      </c>
    </row>
    <row r="2244" spans="1:4" x14ac:dyDescent="0.35">
      <c r="A2244" s="1">
        <v>3351</v>
      </c>
      <c r="B2244" s="2">
        <v>46300</v>
      </c>
      <c r="C2244" s="1" t="s">
        <v>54</v>
      </c>
      <c r="D2244" s="1">
        <f>MONTH(Tabela6[[#This Row],[DATA]])</f>
        <v>10</v>
      </c>
    </row>
    <row r="2245" spans="1:4" x14ac:dyDescent="0.35">
      <c r="A2245" s="1">
        <v>3352</v>
      </c>
      <c r="B2245" s="2">
        <v>46300</v>
      </c>
      <c r="C2245" s="1" t="s">
        <v>52</v>
      </c>
      <c r="D2245" s="1">
        <f>MONTH(Tabela6[[#This Row],[DATA]])</f>
        <v>10</v>
      </c>
    </row>
    <row r="2246" spans="1:4" x14ac:dyDescent="0.35">
      <c r="A2246" s="1">
        <v>3353</v>
      </c>
      <c r="B2246" s="2">
        <v>46300</v>
      </c>
      <c r="C2246" s="1" t="s">
        <v>54</v>
      </c>
      <c r="D2246" s="1">
        <f>MONTH(Tabela6[[#This Row],[DATA]])</f>
        <v>10</v>
      </c>
    </row>
    <row r="2247" spans="1:4" x14ac:dyDescent="0.35">
      <c r="A2247" s="1">
        <v>3354</v>
      </c>
      <c r="B2247" s="2">
        <v>46300</v>
      </c>
      <c r="C2247" s="1" t="s">
        <v>54</v>
      </c>
      <c r="D2247" s="1">
        <f>MONTH(Tabela6[[#This Row],[DATA]])</f>
        <v>10</v>
      </c>
    </row>
    <row r="2248" spans="1:4" x14ac:dyDescent="0.35">
      <c r="A2248" s="1">
        <v>3355</v>
      </c>
      <c r="B2248" s="2">
        <v>46300</v>
      </c>
      <c r="C2248" s="1" t="s">
        <v>54</v>
      </c>
      <c r="D2248" s="1">
        <f>MONTH(Tabela6[[#This Row],[DATA]])</f>
        <v>10</v>
      </c>
    </row>
    <row r="2249" spans="1:4" x14ac:dyDescent="0.35">
      <c r="A2249" s="1">
        <v>3356</v>
      </c>
      <c r="B2249" s="2">
        <v>46300</v>
      </c>
      <c r="C2249" s="1" t="s">
        <v>54</v>
      </c>
      <c r="D2249" s="1">
        <f>MONTH(Tabela6[[#This Row],[DATA]])</f>
        <v>10</v>
      </c>
    </row>
    <row r="2250" spans="1:4" x14ac:dyDescent="0.35">
      <c r="A2250" s="1">
        <v>3357</v>
      </c>
      <c r="B2250" s="2">
        <v>46300</v>
      </c>
      <c r="C2250" s="1" t="s">
        <v>54</v>
      </c>
      <c r="D2250" s="1">
        <f>MONTH(Tabela6[[#This Row],[DATA]])</f>
        <v>10</v>
      </c>
    </row>
    <row r="2251" spans="1:4" x14ac:dyDescent="0.35">
      <c r="A2251" s="1">
        <v>3358</v>
      </c>
      <c r="B2251" s="2">
        <v>46301</v>
      </c>
      <c r="C2251" s="1" t="s">
        <v>61</v>
      </c>
      <c r="D2251" s="1">
        <f>MONTH(Tabela6[[#This Row],[DATA]])</f>
        <v>10</v>
      </c>
    </row>
    <row r="2252" spans="1:4" x14ac:dyDescent="0.35">
      <c r="A2252" s="1">
        <v>3359</v>
      </c>
      <c r="B2252" s="2">
        <v>46301</v>
      </c>
      <c r="C2252" s="1" t="s">
        <v>64</v>
      </c>
      <c r="D2252" s="1">
        <f>MONTH(Tabela6[[#This Row],[DATA]])</f>
        <v>10</v>
      </c>
    </row>
    <row r="2253" spans="1:4" x14ac:dyDescent="0.35">
      <c r="A2253" s="1">
        <v>3360</v>
      </c>
      <c r="B2253" s="2">
        <v>46301</v>
      </c>
      <c r="C2253" s="1" t="s">
        <v>64</v>
      </c>
      <c r="D2253" s="1">
        <f>MONTH(Tabela6[[#This Row],[DATA]])</f>
        <v>10</v>
      </c>
    </row>
    <row r="2254" spans="1:4" x14ac:dyDescent="0.35">
      <c r="A2254" s="1">
        <v>3361</v>
      </c>
      <c r="B2254" s="2">
        <v>46301</v>
      </c>
      <c r="C2254" s="1" t="s">
        <v>64</v>
      </c>
      <c r="D2254" s="1">
        <f>MONTH(Tabela6[[#This Row],[DATA]])</f>
        <v>10</v>
      </c>
    </row>
    <row r="2255" spans="1:4" x14ac:dyDescent="0.35">
      <c r="A2255" s="1">
        <v>3362</v>
      </c>
      <c r="B2255" s="2">
        <v>46301</v>
      </c>
      <c r="C2255" s="1" t="s">
        <v>64</v>
      </c>
      <c r="D2255" s="1">
        <f>MONTH(Tabela6[[#This Row],[DATA]])</f>
        <v>10</v>
      </c>
    </row>
    <row r="2256" spans="1:4" x14ac:dyDescent="0.35">
      <c r="A2256" s="1">
        <v>3363</v>
      </c>
      <c r="B2256" s="2">
        <v>46301</v>
      </c>
      <c r="C2256" s="1" t="s">
        <v>64</v>
      </c>
      <c r="D2256" s="1">
        <f>MONTH(Tabela6[[#This Row],[DATA]])</f>
        <v>10</v>
      </c>
    </row>
    <row r="2257" spans="1:4" x14ac:dyDescent="0.35">
      <c r="A2257" s="1">
        <v>3364</v>
      </c>
      <c r="B2257" s="2">
        <v>46301</v>
      </c>
      <c r="C2257" s="1" t="s">
        <v>64</v>
      </c>
      <c r="D2257" s="1">
        <f>MONTH(Tabela6[[#This Row],[DATA]])</f>
        <v>10</v>
      </c>
    </row>
    <row r="2258" spans="1:4" x14ac:dyDescent="0.35">
      <c r="A2258" s="1">
        <v>3365</v>
      </c>
      <c r="B2258" s="2">
        <v>46301</v>
      </c>
      <c r="C2258" s="1" t="s">
        <v>64</v>
      </c>
      <c r="D2258" s="1">
        <f>MONTH(Tabela6[[#This Row],[DATA]])</f>
        <v>10</v>
      </c>
    </row>
    <row r="2259" spans="1:4" x14ac:dyDescent="0.35">
      <c r="A2259" s="1">
        <v>3366</v>
      </c>
      <c r="B2259" s="2">
        <v>46301</v>
      </c>
      <c r="C2259" s="1" t="s">
        <v>64</v>
      </c>
      <c r="D2259" s="1">
        <f>MONTH(Tabela6[[#This Row],[DATA]])</f>
        <v>10</v>
      </c>
    </row>
    <row r="2260" spans="1:4" x14ac:dyDescent="0.35">
      <c r="A2260" s="1">
        <v>3368</v>
      </c>
      <c r="B2260" s="2">
        <v>46301</v>
      </c>
      <c r="C2260" s="1" t="s">
        <v>51</v>
      </c>
      <c r="D2260" s="1">
        <f>MONTH(Tabela6[[#This Row],[DATA]])</f>
        <v>10</v>
      </c>
    </row>
    <row r="2261" spans="1:4" x14ac:dyDescent="0.35">
      <c r="A2261" s="1">
        <v>3370</v>
      </c>
      <c r="B2261" s="2">
        <v>46301</v>
      </c>
      <c r="C2261" s="1" t="s">
        <v>64</v>
      </c>
      <c r="D2261" s="1">
        <f>MONTH(Tabela6[[#This Row],[DATA]])</f>
        <v>10</v>
      </c>
    </row>
    <row r="2262" spans="1:4" x14ac:dyDescent="0.35">
      <c r="A2262" s="1">
        <v>3372</v>
      </c>
      <c r="B2262" s="2">
        <v>46301</v>
      </c>
      <c r="C2262" s="1" t="s">
        <v>64</v>
      </c>
      <c r="D2262" s="1">
        <f>MONTH(Tabela6[[#This Row],[DATA]])</f>
        <v>10</v>
      </c>
    </row>
    <row r="2263" spans="1:4" x14ac:dyDescent="0.35">
      <c r="A2263" s="1">
        <v>3373</v>
      </c>
      <c r="B2263" s="2">
        <v>46301</v>
      </c>
      <c r="C2263" s="1" t="s">
        <v>54</v>
      </c>
      <c r="D2263" s="1">
        <f>MONTH(Tabela6[[#This Row],[DATA]])</f>
        <v>10</v>
      </c>
    </row>
    <row r="2264" spans="1:4" x14ac:dyDescent="0.35">
      <c r="A2264" s="1">
        <v>3374</v>
      </c>
      <c r="B2264" s="2">
        <v>46301</v>
      </c>
      <c r="C2264" s="1" t="s">
        <v>54</v>
      </c>
      <c r="D2264" s="1">
        <f>MONTH(Tabela6[[#This Row],[DATA]])</f>
        <v>10</v>
      </c>
    </row>
    <row r="2265" spans="1:4" x14ac:dyDescent="0.35">
      <c r="A2265" s="1">
        <v>3375</v>
      </c>
      <c r="B2265" s="2">
        <v>46301</v>
      </c>
      <c r="C2265" s="1" t="s">
        <v>54</v>
      </c>
      <c r="D2265" s="1">
        <f>MONTH(Tabela6[[#This Row],[DATA]])</f>
        <v>10</v>
      </c>
    </row>
    <row r="2266" spans="1:4" x14ac:dyDescent="0.35">
      <c r="A2266" s="1">
        <v>3376</v>
      </c>
      <c r="B2266" s="2">
        <v>46301</v>
      </c>
      <c r="C2266" s="1" t="s">
        <v>54</v>
      </c>
      <c r="D2266" s="1">
        <f>MONTH(Tabela6[[#This Row],[DATA]])</f>
        <v>10</v>
      </c>
    </row>
    <row r="2267" spans="1:4" x14ac:dyDescent="0.35">
      <c r="A2267" s="1">
        <v>3377</v>
      </c>
      <c r="B2267" s="2">
        <v>46301</v>
      </c>
      <c r="C2267" s="1" t="s">
        <v>54</v>
      </c>
      <c r="D2267" s="1">
        <f>MONTH(Tabela6[[#This Row],[DATA]])</f>
        <v>10</v>
      </c>
    </row>
    <row r="2268" spans="1:4" x14ac:dyDescent="0.35">
      <c r="A2268" s="1">
        <v>3378</v>
      </c>
      <c r="B2268" s="2">
        <v>46301</v>
      </c>
      <c r="C2268" s="1" t="s">
        <v>54</v>
      </c>
      <c r="D2268" s="1">
        <f>MONTH(Tabela6[[#This Row],[DATA]])</f>
        <v>10</v>
      </c>
    </row>
    <row r="2269" spans="1:4" x14ac:dyDescent="0.35">
      <c r="A2269" s="1">
        <v>3379</v>
      </c>
      <c r="B2269" s="2">
        <v>46301</v>
      </c>
      <c r="C2269" s="1" t="s">
        <v>54</v>
      </c>
      <c r="D2269" s="1">
        <f>MONTH(Tabela6[[#This Row],[DATA]])</f>
        <v>10</v>
      </c>
    </row>
    <row r="2270" spans="1:4" x14ac:dyDescent="0.35">
      <c r="A2270" s="1">
        <v>3380</v>
      </c>
      <c r="B2270" s="2">
        <v>46301</v>
      </c>
      <c r="C2270" s="1" t="s">
        <v>54</v>
      </c>
      <c r="D2270" s="1">
        <f>MONTH(Tabela6[[#This Row],[DATA]])</f>
        <v>10</v>
      </c>
    </row>
    <row r="2271" spans="1:4" x14ac:dyDescent="0.35">
      <c r="A2271" s="1">
        <v>3381</v>
      </c>
      <c r="B2271" s="2">
        <v>46301</v>
      </c>
      <c r="C2271" s="1" t="s">
        <v>54</v>
      </c>
      <c r="D2271" s="1">
        <f>MONTH(Tabela6[[#This Row],[DATA]])</f>
        <v>10</v>
      </c>
    </row>
    <row r="2272" spans="1:4" x14ac:dyDescent="0.35">
      <c r="A2272" s="1">
        <v>3382</v>
      </c>
      <c r="B2272" s="2">
        <v>46301</v>
      </c>
      <c r="C2272" s="1" t="s">
        <v>54</v>
      </c>
      <c r="D2272" s="1">
        <f>MONTH(Tabela6[[#This Row],[DATA]])</f>
        <v>10</v>
      </c>
    </row>
    <row r="2273" spans="1:4" x14ac:dyDescent="0.35">
      <c r="A2273" s="1">
        <v>3383</v>
      </c>
      <c r="B2273" s="2">
        <v>46301</v>
      </c>
      <c r="C2273" s="1" t="s">
        <v>54</v>
      </c>
      <c r="D2273" s="1">
        <f>MONTH(Tabela6[[#This Row],[DATA]])</f>
        <v>10</v>
      </c>
    </row>
    <row r="2274" spans="1:4" x14ac:dyDescent="0.35">
      <c r="A2274" s="1">
        <v>3385</v>
      </c>
      <c r="B2274" s="2">
        <v>46301</v>
      </c>
      <c r="C2274" s="1" t="s">
        <v>61</v>
      </c>
      <c r="D2274" s="1">
        <f>MONTH(Tabela6[[#This Row],[DATA]])</f>
        <v>10</v>
      </c>
    </row>
    <row r="2275" spans="1:4" x14ac:dyDescent="0.35">
      <c r="A2275" s="1">
        <v>3387</v>
      </c>
      <c r="B2275" s="2">
        <v>46301</v>
      </c>
      <c r="C2275" s="1" t="s">
        <v>61</v>
      </c>
      <c r="D2275" s="1">
        <f>MONTH(Tabela6[[#This Row],[DATA]])</f>
        <v>10</v>
      </c>
    </row>
    <row r="2276" spans="1:4" x14ac:dyDescent="0.35">
      <c r="A2276" s="1">
        <v>3390</v>
      </c>
      <c r="B2276" s="2">
        <v>46301</v>
      </c>
      <c r="C2276" s="1" t="s">
        <v>61</v>
      </c>
      <c r="D2276" s="1">
        <f>MONTH(Tabela6[[#This Row],[DATA]])</f>
        <v>10</v>
      </c>
    </row>
    <row r="2277" spans="1:4" x14ac:dyDescent="0.35">
      <c r="A2277" s="1">
        <v>3392</v>
      </c>
      <c r="B2277" s="2">
        <v>46301</v>
      </c>
      <c r="C2277" s="1" t="s">
        <v>61</v>
      </c>
      <c r="D2277" s="1">
        <f>MONTH(Tabela6[[#This Row],[DATA]])</f>
        <v>10</v>
      </c>
    </row>
    <row r="2278" spans="1:4" x14ac:dyDescent="0.35">
      <c r="A2278" s="1">
        <v>3394</v>
      </c>
      <c r="B2278" s="2">
        <v>46301</v>
      </c>
      <c r="C2278" s="1" t="s">
        <v>61</v>
      </c>
      <c r="D2278" s="1">
        <f>MONTH(Tabela6[[#This Row],[DATA]])</f>
        <v>10</v>
      </c>
    </row>
    <row r="2279" spans="1:4" x14ac:dyDescent="0.35">
      <c r="A2279" s="1">
        <v>3397</v>
      </c>
      <c r="B2279" s="2">
        <v>46301</v>
      </c>
      <c r="C2279" s="1" t="s">
        <v>61</v>
      </c>
      <c r="D2279" s="1">
        <f>MONTH(Tabela6[[#This Row],[DATA]])</f>
        <v>10</v>
      </c>
    </row>
    <row r="2280" spans="1:4" x14ac:dyDescent="0.35">
      <c r="A2280" s="1">
        <v>3399</v>
      </c>
      <c r="B2280" s="2">
        <v>46301</v>
      </c>
      <c r="C2280" s="1" t="s">
        <v>61</v>
      </c>
      <c r="D2280" s="1">
        <f>MONTH(Tabela6[[#This Row],[DATA]])</f>
        <v>10</v>
      </c>
    </row>
    <row r="2281" spans="1:4" x14ac:dyDescent="0.35">
      <c r="A2281" s="1">
        <v>3401</v>
      </c>
      <c r="B2281" s="2">
        <v>46302</v>
      </c>
      <c r="C2281" s="1" t="s">
        <v>61</v>
      </c>
      <c r="D2281" s="1">
        <f>MONTH(Tabela6[[#This Row],[DATA]])</f>
        <v>10</v>
      </c>
    </row>
    <row r="2282" spans="1:4" x14ac:dyDescent="0.35">
      <c r="A2282" s="1">
        <v>3402</v>
      </c>
      <c r="B2282" s="2">
        <v>46302</v>
      </c>
      <c r="C2282" s="1" t="s">
        <v>61</v>
      </c>
      <c r="D2282" s="1">
        <f>MONTH(Tabela6[[#This Row],[DATA]])</f>
        <v>10</v>
      </c>
    </row>
    <row r="2283" spans="1:4" x14ac:dyDescent="0.35">
      <c r="A2283" s="1">
        <v>3403</v>
      </c>
      <c r="B2283" s="2">
        <v>46302</v>
      </c>
      <c r="C2283" s="1" t="s">
        <v>64</v>
      </c>
      <c r="D2283" s="1">
        <f>MONTH(Tabela6[[#This Row],[DATA]])</f>
        <v>10</v>
      </c>
    </row>
    <row r="2284" spans="1:4" x14ac:dyDescent="0.35">
      <c r="A2284" s="1">
        <v>3404</v>
      </c>
      <c r="B2284" s="2">
        <v>46302</v>
      </c>
      <c r="C2284" s="1" t="s">
        <v>61</v>
      </c>
      <c r="D2284" s="1">
        <f>MONTH(Tabela6[[#This Row],[DATA]])</f>
        <v>10</v>
      </c>
    </row>
    <row r="2285" spans="1:4" x14ac:dyDescent="0.35">
      <c r="A2285" s="1">
        <v>3405</v>
      </c>
      <c r="B2285" s="2">
        <v>46302</v>
      </c>
      <c r="C2285" s="1" t="s">
        <v>51</v>
      </c>
      <c r="D2285" s="1">
        <f>MONTH(Tabela6[[#This Row],[DATA]])</f>
        <v>10</v>
      </c>
    </row>
    <row r="2286" spans="1:4" x14ac:dyDescent="0.35">
      <c r="A2286" s="1">
        <v>3406</v>
      </c>
      <c r="B2286" s="2">
        <v>46302</v>
      </c>
      <c r="C2286" s="1" t="s">
        <v>51</v>
      </c>
      <c r="D2286" s="1">
        <f>MONTH(Tabela6[[#This Row],[DATA]])</f>
        <v>10</v>
      </c>
    </row>
    <row r="2287" spans="1:4" x14ac:dyDescent="0.35">
      <c r="A2287" s="1">
        <v>3407</v>
      </c>
      <c r="B2287" s="2">
        <v>46302</v>
      </c>
      <c r="C2287" s="1" t="s">
        <v>52</v>
      </c>
      <c r="D2287" s="1">
        <f>MONTH(Tabela6[[#This Row],[DATA]])</f>
        <v>10</v>
      </c>
    </row>
    <row r="2288" spans="1:4" x14ac:dyDescent="0.35">
      <c r="A2288" s="1">
        <v>3408</v>
      </c>
      <c r="B2288" s="2">
        <v>46302</v>
      </c>
      <c r="C2288" s="1" t="s">
        <v>52</v>
      </c>
      <c r="D2288" s="1">
        <f>MONTH(Tabela6[[#This Row],[DATA]])</f>
        <v>10</v>
      </c>
    </row>
    <row r="2289" spans="1:4" x14ac:dyDescent="0.35">
      <c r="A2289" s="1">
        <v>3409</v>
      </c>
      <c r="B2289" s="2">
        <v>46302</v>
      </c>
      <c r="C2289" s="1" t="s">
        <v>52</v>
      </c>
      <c r="D2289" s="1">
        <f>MONTH(Tabela6[[#This Row],[DATA]])</f>
        <v>10</v>
      </c>
    </row>
    <row r="2290" spans="1:4" x14ac:dyDescent="0.35">
      <c r="A2290" s="1">
        <v>3410</v>
      </c>
      <c r="B2290" s="2">
        <v>46302</v>
      </c>
      <c r="C2290" s="1" t="s">
        <v>52</v>
      </c>
      <c r="D2290" s="1">
        <f>MONTH(Tabela6[[#This Row],[DATA]])</f>
        <v>10</v>
      </c>
    </row>
    <row r="2291" spans="1:4" x14ac:dyDescent="0.35">
      <c r="A2291" s="1">
        <v>3411</v>
      </c>
      <c r="B2291" s="2">
        <v>46302</v>
      </c>
      <c r="C2291" s="1" t="s">
        <v>57</v>
      </c>
      <c r="D2291" s="1">
        <f>MONTH(Tabela6[[#This Row],[DATA]])</f>
        <v>10</v>
      </c>
    </row>
    <row r="2292" spans="1:4" x14ac:dyDescent="0.35">
      <c r="A2292" s="1">
        <v>3416</v>
      </c>
      <c r="B2292" s="2">
        <v>46302</v>
      </c>
      <c r="C2292" s="1" t="s">
        <v>64</v>
      </c>
      <c r="D2292" s="1">
        <f>MONTH(Tabela6[[#This Row],[DATA]])</f>
        <v>10</v>
      </c>
    </row>
    <row r="2293" spans="1:4" x14ac:dyDescent="0.35">
      <c r="A2293" s="1">
        <v>3417</v>
      </c>
      <c r="B2293" s="2">
        <v>46303</v>
      </c>
      <c r="C2293" s="1" t="s">
        <v>57</v>
      </c>
      <c r="D2293" s="1">
        <f>MONTH(Tabela6[[#This Row],[DATA]])</f>
        <v>10</v>
      </c>
    </row>
    <row r="2294" spans="1:4" x14ac:dyDescent="0.35">
      <c r="A2294" s="1">
        <v>3418</v>
      </c>
      <c r="B2294" s="2">
        <v>46303</v>
      </c>
      <c r="C2294" s="1" t="s">
        <v>54</v>
      </c>
      <c r="D2294" s="1">
        <f>MONTH(Tabela6[[#This Row],[DATA]])</f>
        <v>10</v>
      </c>
    </row>
    <row r="2295" spans="1:4" x14ac:dyDescent="0.35">
      <c r="A2295" s="1">
        <v>3419</v>
      </c>
      <c r="B2295" s="2">
        <v>46303</v>
      </c>
      <c r="C2295" s="1" t="s">
        <v>54</v>
      </c>
      <c r="D2295" s="1">
        <f>MONTH(Tabela6[[#This Row],[DATA]])</f>
        <v>10</v>
      </c>
    </row>
    <row r="2296" spans="1:4" x14ac:dyDescent="0.35">
      <c r="A2296" s="1">
        <v>3420</v>
      </c>
      <c r="B2296" s="2">
        <v>46303</v>
      </c>
      <c r="C2296" s="1" t="s">
        <v>54</v>
      </c>
      <c r="D2296" s="1">
        <f>MONTH(Tabela6[[#This Row],[DATA]])</f>
        <v>10</v>
      </c>
    </row>
    <row r="2297" spans="1:4" x14ac:dyDescent="0.35">
      <c r="A2297" s="1">
        <v>3421</v>
      </c>
      <c r="B2297" s="2">
        <v>46303</v>
      </c>
      <c r="C2297" s="1" t="s">
        <v>54</v>
      </c>
      <c r="D2297" s="1">
        <f>MONTH(Tabela6[[#This Row],[DATA]])</f>
        <v>10</v>
      </c>
    </row>
    <row r="2298" spans="1:4" x14ac:dyDescent="0.35">
      <c r="A2298" s="1">
        <v>3422</v>
      </c>
      <c r="B2298" s="2">
        <v>46303</v>
      </c>
      <c r="C2298" s="1" t="s">
        <v>64</v>
      </c>
      <c r="D2298" s="1">
        <f>MONTH(Tabela6[[#This Row],[DATA]])</f>
        <v>10</v>
      </c>
    </row>
    <row r="2299" spans="1:4" x14ac:dyDescent="0.35">
      <c r="A2299" s="1">
        <v>3429</v>
      </c>
      <c r="B2299" s="2">
        <v>46303</v>
      </c>
      <c r="C2299" s="1" t="s">
        <v>51</v>
      </c>
      <c r="D2299" s="1">
        <f>MONTH(Tabela6[[#This Row],[DATA]])</f>
        <v>10</v>
      </c>
    </row>
    <row r="2300" spans="1:4" x14ac:dyDescent="0.35">
      <c r="A2300" s="1">
        <v>3430</v>
      </c>
      <c r="B2300" s="2">
        <v>46303</v>
      </c>
      <c r="C2300" s="1" t="s">
        <v>64</v>
      </c>
      <c r="D2300" s="1">
        <f>MONTH(Tabela6[[#This Row],[DATA]])</f>
        <v>10</v>
      </c>
    </row>
    <row r="2301" spans="1:4" x14ac:dyDescent="0.35">
      <c r="A2301" s="1">
        <v>3431</v>
      </c>
      <c r="B2301" s="2">
        <v>46303</v>
      </c>
      <c r="C2301" s="1" t="s">
        <v>64</v>
      </c>
      <c r="D2301" s="1">
        <f>MONTH(Tabela6[[#This Row],[DATA]])</f>
        <v>10</v>
      </c>
    </row>
    <row r="2302" spans="1:4" x14ac:dyDescent="0.35">
      <c r="A2302" s="1">
        <v>3433</v>
      </c>
      <c r="B2302" s="2">
        <v>46303</v>
      </c>
      <c r="C2302" s="1" t="s">
        <v>57</v>
      </c>
      <c r="D2302" s="1">
        <f>MONTH(Tabela6[[#This Row],[DATA]])</f>
        <v>10</v>
      </c>
    </row>
    <row r="2303" spans="1:4" x14ac:dyDescent="0.35">
      <c r="A2303" s="1">
        <v>3434</v>
      </c>
      <c r="B2303" s="2">
        <v>46303</v>
      </c>
      <c r="C2303" s="1" t="s">
        <v>57</v>
      </c>
      <c r="D2303" s="1">
        <f>MONTH(Tabela6[[#This Row],[DATA]])</f>
        <v>10</v>
      </c>
    </row>
    <row r="2304" spans="1:4" x14ac:dyDescent="0.35">
      <c r="A2304" s="1">
        <v>3435</v>
      </c>
      <c r="B2304" s="2">
        <v>46304</v>
      </c>
      <c r="C2304" s="1" t="s">
        <v>61</v>
      </c>
      <c r="D2304" s="1">
        <f>MONTH(Tabela6[[#This Row],[DATA]])</f>
        <v>10</v>
      </c>
    </row>
    <row r="2305" spans="1:4" x14ac:dyDescent="0.35">
      <c r="A2305" s="1">
        <v>3436</v>
      </c>
      <c r="B2305" s="2">
        <v>46304</v>
      </c>
      <c r="C2305" s="1" t="s">
        <v>57</v>
      </c>
      <c r="D2305" s="1">
        <f>MONTH(Tabela6[[#This Row],[DATA]])</f>
        <v>10</v>
      </c>
    </row>
    <row r="2306" spans="1:4" x14ac:dyDescent="0.35">
      <c r="A2306" s="1">
        <v>3437</v>
      </c>
      <c r="B2306" s="2">
        <v>46304</v>
      </c>
      <c r="C2306" s="1" t="s">
        <v>52</v>
      </c>
      <c r="D2306" s="1">
        <f>MONTH(Tabela6[[#This Row],[DATA]])</f>
        <v>10</v>
      </c>
    </row>
    <row r="2307" spans="1:4" x14ac:dyDescent="0.35">
      <c r="A2307" s="1">
        <v>3438</v>
      </c>
      <c r="B2307" s="2">
        <v>46304</v>
      </c>
      <c r="C2307" s="1" t="s">
        <v>52</v>
      </c>
      <c r="D2307" s="1">
        <f>MONTH(Tabela6[[#This Row],[DATA]])</f>
        <v>10</v>
      </c>
    </row>
    <row r="2308" spans="1:4" x14ac:dyDescent="0.35">
      <c r="A2308" s="1">
        <v>3439</v>
      </c>
      <c r="B2308" s="2">
        <v>46304</v>
      </c>
      <c r="C2308" s="1" t="s">
        <v>52</v>
      </c>
      <c r="D2308" s="1">
        <f>MONTH(Tabela6[[#This Row],[DATA]])</f>
        <v>10</v>
      </c>
    </row>
    <row r="2309" spans="1:4" x14ac:dyDescent="0.35">
      <c r="A2309" s="1">
        <v>3440</v>
      </c>
      <c r="B2309" s="2">
        <v>46304</v>
      </c>
      <c r="C2309" s="1" t="s">
        <v>52</v>
      </c>
      <c r="D2309" s="1">
        <f>MONTH(Tabela6[[#This Row],[DATA]])</f>
        <v>10</v>
      </c>
    </row>
    <row r="2310" spans="1:4" x14ac:dyDescent="0.35">
      <c r="A2310" s="1">
        <v>3441</v>
      </c>
      <c r="B2310" s="2">
        <v>46304</v>
      </c>
      <c r="C2310" s="1" t="s">
        <v>52</v>
      </c>
      <c r="D2310" s="1">
        <f>MONTH(Tabela6[[#This Row],[DATA]])</f>
        <v>10</v>
      </c>
    </row>
    <row r="2311" spans="1:4" x14ac:dyDescent="0.35">
      <c r="A2311" s="1">
        <v>3446</v>
      </c>
      <c r="B2311" s="2">
        <v>46304</v>
      </c>
      <c r="C2311" s="1" t="s">
        <v>64</v>
      </c>
      <c r="D2311" s="1">
        <f>MONTH(Tabela6[[#This Row],[DATA]])</f>
        <v>10</v>
      </c>
    </row>
    <row r="2312" spans="1:4" x14ac:dyDescent="0.35">
      <c r="A2312" s="1">
        <v>3447</v>
      </c>
      <c r="B2312" s="2">
        <v>46304</v>
      </c>
      <c r="C2312" s="1" t="s">
        <v>64</v>
      </c>
      <c r="D2312" s="1">
        <f>MONTH(Tabela6[[#This Row],[DATA]])</f>
        <v>10</v>
      </c>
    </row>
    <row r="2313" spans="1:4" x14ac:dyDescent="0.35">
      <c r="A2313" s="1">
        <v>3448</v>
      </c>
      <c r="B2313" s="2">
        <v>46304</v>
      </c>
      <c r="C2313" s="1" t="s">
        <v>54</v>
      </c>
      <c r="D2313" s="1">
        <f>MONTH(Tabela6[[#This Row],[DATA]])</f>
        <v>10</v>
      </c>
    </row>
    <row r="2314" spans="1:4" x14ac:dyDescent="0.35">
      <c r="A2314" s="1">
        <v>3449</v>
      </c>
      <c r="B2314" s="2">
        <v>46304</v>
      </c>
      <c r="C2314" s="1" t="s">
        <v>54</v>
      </c>
      <c r="D2314" s="1">
        <f>MONTH(Tabela6[[#This Row],[DATA]])</f>
        <v>10</v>
      </c>
    </row>
    <row r="2315" spans="1:4" x14ac:dyDescent="0.35">
      <c r="A2315" s="1">
        <v>3450</v>
      </c>
      <c r="B2315" s="2">
        <v>46304</v>
      </c>
      <c r="C2315" s="1" t="s">
        <v>54</v>
      </c>
      <c r="D2315" s="1">
        <f>MONTH(Tabela6[[#This Row],[DATA]])</f>
        <v>10</v>
      </c>
    </row>
    <row r="2316" spans="1:4" x14ac:dyDescent="0.35">
      <c r="A2316" s="1">
        <v>3451</v>
      </c>
      <c r="B2316" s="2">
        <v>46304</v>
      </c>
      <c r="C2316" s="1" t="s">
        <v>54</v>
      </c>
      <c r="D2316" s="1">
        <f>MONTH(Tabela6[[#This Row],[DATA]])</f>
        <v>10</v>
      </c>
    </row>
    <row r="2317" spans="1:4" x14ac:dyDescent="0.35">
      <c r="A2317" s="1">
        <v>3452</v>
      </c>
      <c r="B2317" s="2">
        <v>46304</v>
      </c>
      <c r="C2317" s="1" t="s">
        <v>54</v>
      </c>
      <c r="D2317" s="1">
        <f>MONTH(Tabela6[[#This Row],[DATA]])</f>
        <v>10</v>
      </c>
    </row>
    <row r="2318" spans="1:4" x14ac:dyDescent="0.35">
      <c r="A2318" s="1">
        <v>3453</v>
      </c>
      <c r="B2318" s="2">
        <v>46304</v>
      </c>
      <c r="C2318" s="1" t="s">
        <v>54</v>
      </c>
      <c r="D2318" s="1">
        <f>MONTH(Tabela6[[#This Row],[DATA]])</f>
        <v>10</v>
      </c>
    </row>
    <row r="2319" spans="1:4" x14ac:dyDescent="0.35">
      <c r="A2319" s="1">
        <v>3455</v>
      </c>
      <c r="B2319" s="2">
        <v>46304</v>
      </c>
      <c r="C2319" s="1" t="s">
        <v>61</v>
      </c>
      <c r="D2319" s="1">
        <f>MONTH(Tabela6[[#This Row],[DATA]])</f>
        <v>10</v>
      </c>
    </row>
    <row r="2320" spans="1:4" x14ac:dyDescent="0.35">
      <c r="A2320" s="1">
        <v>3456</v>
      </c>
      <c r="B2320" s="2">
        <v>46308</v>
      </c>
      <c r="C2320" s="1" t="s">
        <v>61</v>
      </c>
      <c r="D2320" s="1">
        <f>MONTH(Tabela6[[#This Row],[DATA]])</f>
        <v>10</v>
      </c>
    </row>
    <row r="2321" spans="1:4" x14ac:dyDescent="0.35">
      <c r="A2321" s="1">
        <v>3457</v>
      </c>
      <c r="B2321" s="2">
        <v>46308</v>
      </c>
      <c r="C2321" s="1" t="s">
        <v>61</v>
      </c>
      <c r="D2321" s="1">
        <f>MONTH(Tabela6[[#This Row],[DATA]])</f>
        <v>10</v>
      </c>
    </row>
    <row r="2322" spans="1:4" x14ac:dyDescent="0.35">
      <c r="A2322" s="1">
        <v>3458</v>
      </c>
      <c r="B2322" s="2">
        <v>46308</v>
      </c>
      <c r="C2322" s="1" t="s">
        <v>61</v>
      </c>
      <c r="D2322" s="1">
        <f>MONTH(Tabela6[[#This Row],[DATA]])</f>
        <v>10</v>
      </c>
    </row>
    <row r="2323" spans="1:4" x14ac:dyDescent="0.35">
      <c r="A2323" s="1">
        <v>3459</v>
      </c>
      <c r="B2323" s="2">
        <v>46308</v>
      </c>
      <c r="C2323" s="1" t="s">
        <v>64</v>
      </c>
      <c r="D2323" s="1">
        <f>MONTH(Tabela6[[#This Row],[DATA]])</f>
        <v>10</v>
      </c>
    </row>
    <row r="2324" spans="1:4" x14ac:dyDescent="0.35">
      <c r="A2324" s="1">
        <v>3460</v>
      </c>
      <c r="B2324" s="2">
        <v>46308</v>
      </c>
      <c r="C2324" s="1" t="s">
        <v>61</v>
      </c>
      <c r="D2324" s="1">
        <f>MONTH(Tabela6[[#This Row],[DATA]])</f>
        <v>10</v>
      </c>
    </row>
    <row r="2325" spans="1:4" x14ac:dyDescent="0.35">
      <c r="A2325" s="1">
        <v>3464</v>
      </c>
      <c r="B2325" s="2">
        <v>46308</v>
      </c>
      <c r="C2325" s="1" t="s">
        <v>62</v>
      </c>
      <c r="D2325" s="1">
        <f>MONTH(Tabela6[[#This Row],[DATA]])</f>
        <v>10</v>
      </c>
    </row>
    <row r="2326" spans="1:4" x14ac:dyDescent="0.35">
      <c r="A2326" s="1">
        <v>3465</v>
      </c>
      <c r="B2326" s="2">
        <v>46308</v>
      </c>
      <c r="C2326" s="1" t="s">
        <v>62</v>
      </c>
      <c r="D2326" s="1">
        <f>MONTH(Tabela6[[#This Row],[DATA]])</f>
        <v>10</v>
      </c>
    </row>
    <row r="2327" spans="1:4" x14ac:dyDescent="0.35">
      <c r="A2327" s="1">
        <v>3466</v>
      </c>
      <c r="B2327" s="2">
        <v>46308</v>
      </c>
      <c r="C2327" s="1" t="s">
        <v>62</v>
      </c>
      <c r="D2327" s="1">
        <f>MONTH(Tabela6[[#This Row],[DATA]])</f>
        <v>10</v>
      </c>
    </row>
    <row r="2328" spans="1:4" x14ac:dyDescent="0.35">
      <c r="A2328" s="1">
        <v>3467</v>
      </c>
      <c r="B2328" s="2">
        <v>46308</v>
      </c>
      <c r="C2328" s="1" t="s">
        <v>62</v>
      </c>
      <c r="D2328" s="1">
        <f>MONTH(Tabela6[[#This Row],[DATA]])</f>
        <v>10</v>
      </c>
    </row>
    <row r="2329" spans="1:4" x14ac:dyDescent="0.35">
      <c r="A2329" s="1">
        <v>3468</v>
      </c>
      <c r="B2329" s="2">
        <v>46308</v>
      </c>
      <c r="C2329" s="1" t="s">
        <v>62</v>
      </c>
      <c r="D2329" s="1">
        <f>MONTH(Tabela6[[#This Row],[DATA]])</f>
        <v>10</v>
      </c>
    </row>
    <row r="2330" spans="1:4" x14ac:dyDescent="0.35">
      <c r="A2330" s="1">
        <v>3469</v>
      </c>
      <c r="B2330" s="2">
        <v>46308</v>
      </c>
      <c r="C2330" s="1" t="s">
        <v>54</v>
      </c>
      <c r="D2330" s="1">
        <f>MONTH(Tabela6[[#This Row],[DATA]])</f>
        <v>10</v>
      </c>
    </row>
    <row r="2331" spans="1:4" x14ac:dyDescent="0.35">
      <c r="A2331" s="1">
        <v>3470</v>
      </c>
      <c r="B2331" s="2">
        <v>46308</v>
      </c>
      <c r="C2331" s="1" t="s">
        <v>54</v>
      </c>
      <c r="D2331" s="1">
        <f>MONTH(Tabela6[[#This Row],[DATA]])</f>
        <v>10</v>
      </c>
    </row>
    <row r="2332" spans="1:4" x14ac:dyDescent="0.35">
      <c r="A2332" s="1">
        <v>3471</v>
      </c>
      <c r="B2332" s="2">
        <v>46308</v>
      </c>
      <c r="C2332" s="1" t="s">
        <v>54</v>
      </c>
      <c r="D2332" s="1">
        <f>MONTH(Tabela6[[#This Row],[DATA]])</f>
        <v>10</v>
      </c>
    </row>
    <row r="2333" spans="1:4" x14ac:dyDescent="0.35">
      <c r="A2333" s="1">
        <v>3472</v>
      </c>
      <c r="B2333" s="2">
        <v>46308</v>
      </c>
      <c r="C2333" s="1" t="s">
        <v>54</v>
      </c>
      <c r="D2333" s="1">
        <f>MONTH(Tabela6[[#This Row],[DATA]])</f>
        <v>10</v>
      </c>
    </row>
    <row r="2334" spans="1:4" x14ac:dyDescent="0.35">
      <c r="A2334" s="1">
        <v>3473</v>
      </c>
      <c r="B2334" s="2">
        <v>46308</v>
      </c>
      <c r="C2334" s="1" t="s">
        <v>54</v>
      </c>
      <c r="D2334" s="1">
        <f>MONTH(Tabela6[[#This Row],[DATA]])</f>
        <v>10</v>
      </c>
    </row>
    <row r="2335" spans="1:4" x14ac:dyDescent="0.35">
      <c r="A2335" s="1">
        <v>3474</v>
      </c>
      <c r="B2335" s="2">
        <v>46308</v>
      </c>
      <c r="C2335" s="1" t="s">
        <v>54</v>
      </c>
      <c r="D2335" s="1">
        <f>MONTH(Tabela6[[#This Row],[DATA]])</f>
        <v>10</v>
      </c>
    </row>
    <row r="2336" spans="1:4" x14ac:dyDescent="0.35">
      <c r="A2336" s="1">
        <v>3475</v>
      </c>
      <c r="B2336" s="2">
        <v>46308</v>
      </c>
      <c r="C2336" s="1" t="s">
        <v>54</v>
      </c>
      <c r="D2336" s="1">
        <f>MONTH(Tabela6[[#This Row],[DATA]])</f>
        <v>10</v>
      </c>
    </row>
    <row r="2337" spans="1:4" x14ac:dyDescent="0.35">
      <c r="A2337" s="1">
        <v>3476</v>
      </c>
      <c r="B2337" s="2">
        <v>46308</v>
      </c>
      <c r="C2337" s="1" t="s">
        <v>54</v>
      </c>
      <c r="D2337" s="1">
        <f>MONTH(Tabela6[[#This Row],[DATA]])</f>
        <v>10</v>
      </c>
    </row>
    <row r="2338" spans="1:4" x14ac:dyDescent="0.35">
      <c r="A2338" s="1">
        <v>3477</v>
      </c>
      <c r="B2338" s="2">
        <v>46308</v>
      </c>
      <c r="C2338" s="1" t="s">
        <v>54</v>
      </c>
      <c r="D2338" s="1">
        <f>MONTH(Tabela6[[#This Row],[DATA]])</f>
        <v>10</v>
      </c>
    </row>
    <row r="2339" spans="1:4" x14ac:dyDescent="0.35">
      <c r="A2339" s="1">
        <v>3478</v>
      </c>
      <c r="B2339" s="2">
        <v>46308</v>
      </c>
      <c r="C2339" s="1" t="s">
        <v>54</v>
      </c>
      <c r="D2339" s="1">
        <f>MONTH(Tabela6[[#This Row],[DATA]])</f>
        <v>10</v>
      </c>
    </row>
    <row r="2340" spans="1:4" x14ac:dyDescent="0.35">
      <c r="A2340" s="1">
        <v>3479</v>
      </c>
      <c r="B2340" s="2">
        <v>46308</v>
      </c>
      <c r="C2340" s="1" t="s">
        <v>54</v>
      </c>
      <c r="D2340" s="1">
        <f>MONTH(Tabela6[[#This Row],[DATA]])</f>
        <v>10</v>
      </c>
    </row>
    <row r="2341" spans="1:4" x14ac:dyDescent="0.35">
      <c r="A2341" s="1">
        <v>3480</v>
      </c>
      <c r="B2341" s="2">
        <v>46308</v>
      </c>
      <c r="C2341" s="1" t="s">
        <v>62</v>
      </c>
      <c r="D2341" s="1">
        <f>MONTH(Tabela6[[#This Row],[DATA]])</f>
        <v>10</v>
      </c>
    </row>
    <row r="2342" spans="1:4" x14ac:dyDescent="0.35">
      <c r="A2342" s="1">
        <v>3481</v>
      </c>
      <c r="B2342" s="2">
        <v>46308</v>
      </c>
      <c r="C2342" s="1" t="s">
        <v>54</v>
      </c>
      <c r="D2342" s="1">
        <f>MONTH(Tabela6[[#This Row],[DATA]])</f>
        <v>10</v>
      </c>
    </row>
    <row r="2343" spans="1:4" x14ac:dyDescent="0.35">
      <c r="A2343" s="1">
        <v>3482</v>
      </c>
      <c r="B2343" s="2">
        <v>46308</v>
      </c>
      <c r="C2343" s="1" t="s">
        <v>54</v>
      </c>
      <c r="D2343" s="1">
        <f>MONTH(Tabela6[[#This Row],[DATA]])</f>
        <v>10</v>
      </c>
    </row>
    <row r="2344" spans="1:4" x14ac:dyDescent="0.35">
      <c r="A2344" s="1">
        <v>3483</v>
      </c>
      <c r="B2344" s="2">
        <v>46308</v>
      </c>
      <c r="C2344" s="1" t="s">
        <v>54</v>
      </c>
      <c r="D2344" s="1">
        <f>MONTH(Tabela6[[#This Row],[DATA]])</f>
        <v>10</v>
      </c>
    </row>
    <row r="2345" spans="1:4" x14ac:dyDescent="0.35">
      <c r="A2345" s="1">
        <v>3484</v>
      </c>
      <c r="B2345" s="2">
        <v>46308</v>
      </c>
      <c r="C2345" s="1" t="s">
        <v>54</v>
      </c>
      <c r="D2345" s="1">
        <f>MONTH(Tabela6[[#This Row],[DATA]])</f>
        <v>10</v>
      </c>
    </row>
    <row r="2346" spans="1:4" x14ac:dyDescent="0.35">
      <c r="A2346" s="1">
        <v>3485</v>
      </c>
      <c r="B2346" s="2">
        <v>46308</v>
      </c>
      <c r="C2346" s="1" t="s">
        <v>54</v>
      </c>
      <c r="D2346" s="1">
        <f>MONTH(Tabela6[[#This Row],[DATA]])</f>
        <v>10</v>
      </c>
    </row>
    <row r="2347" spans="1:4" x14ac:dyDescent="0.35">
      <c r="A2347" s="1">
        <v>3486</v>
      </c>
      <c r="B2347" s="2">
        <v>46308</v>
      </c>
      <c r="C2347" s="1" t="s">
        <v>54</v>
      </c>
      <c r="D2347" s="1">
        <f>MONTH(Tabela6[[#This Row],[DATA]])</f>
        <v>10</v>
      </c>
    </row>
    <row r="2348" spans="1:4" x14ac:dyDescent="0.35">
      <c r="A2348" s="1">
        <v>3487</v>
      </c>
      <c r="B2348" s="2">
        <v>46309</v>
      </c>
      <c r="C2348" s="1" t="s">
        <v>62</v>
      </c>
      <c r="D2348" s="1">
        <f>MONTH(Tabela6[[#This Row],[DATA]])</f>
        <v>10</v>
      </c>
    </row>
    <row r="2349" spans="1:4" x14ac:dyDescent="0.35">
      <c r="A2349" s="1">
        <v>3488</v>
      </c>
      <c r="B2349" s="2">
        <v>46309</v>
      </c>
      <c r="C2349" s="1" t="s">
        <v>57</v>
      </c>
      <c r="D2349" s="1">
        <f>MONTH(Tabela6[[#This Row],[DATA]])</f>
        <v>10</v>
      </c>
    </row>
    <row r="2350" spans="1:4" x14ac:dyDescent="0.35">
      <c r="A2350" s="1">
        <v>3489</v>
      </c>
      <c r="B2350" s="2">
        <v>46309</v>
      </c>
      <c r="C2350" s="1" t="s">
        <v>61</v>
      </c>
      <c r="D2350" s="1">
        <f>MONTH(Tabela6[[#This Row],[DATA]])</f>
        <v>10</v>
      </c>
    </row>
    <row r="2351" spans="1:4" x14ac:dyDescent="0.35">
      <c r="A2351" s="1">
        <v>3490</v>
      </c>
      <c r="B2351" s="2">
        <v>46309</v>
      </c>
      <c r="C2351" s="1" t="s">
        <v>64</v>
      </c>
      <c r="D2351" s="1">
        <f>MONTH(Tabela6[[#This Row],[DATA]])</f>
        <v>10</v>
      </c>
    </row>
    <row r="2352" spans="1:4" x14ac:dyDescent="0.35">
      <c r="A2352" s="1">
        <v>3491</v>
      </c>
      <c r="B2352" s="2">
        <v>46309</v>
      </c>
      <c r="C2352" s="1" t="s">
        <v>62</v>
      </c>
      <c r="D2352" s="1">
        <f>MONTH(Tabela6[[#This Row],[DATA]])</f>
        <v>10</v>
      </c>
    </row>
    <row r="2353" spans="1:4" x14ac:dyDescent="0.35">
      <c r="A2353" s="1">
        <v>3492</v>
      </c>
      <c r="B2353" s="2">
        <v>46309</v>
      </c>
      <c r="C2353" s="1" t="s">
        <v>51</v>
      </c>
      <c r="D2353" s="1">
        <f>MONTH(Tabela6[[#This Row],[DATA]])</f>
        <v>10</v>
      </c>
    </row>
    <row r="2354" spans="1:4" x14ac:dyDescent="0.35">
      <c r="A2354" s="1">
        <v>3493</v>
      </c>
      <c r="B2354" s="2">
        <v>46309</v>
      </c>
      <c r="C2354" s="1" t="s">
        <v>62</v>
      </c>
      <c r="D2354" s="1">
        <f>MONTH(Tabela6[[#This Row],[DATA]])</f>
        <v>10</v>
      </c>
    </row>
    <row r="2355" spans="1:4" x14ac:dyDescent="0.35">
      <c r="A2355" s="1">
        <v>3494</v>
      </c>
      <c r="B2355" s="2">
        <v>46309</v>
      </c>
      <c r="C2355" s="1" t="s">
        <v>51</v>
      </c>
      <c r="D2355" s="1">
        <f>MONTH(Tabela6[[#This Row],[DATA]])</f>
        <v>10</v>
      </c>
    </row>
    <row r="2356" spans="1:4" x14ac:dyDescent="0.35">
      <c r="A2356" s="1">
        <v>3495</v>
      </c>
      <c r="B2356" s="2">
        <v>46309</v>
      </c>
      <c r="C2356" s="1" t="s">
        <v>62</v>
      </c>
      <c r="D2356" s="1">
        <f>MONTH(Tabela6[[#This Row],[DATA]])</f>
        <v>10</v>
      </c>
    </row>
    <row r="2357" spans="1:4" x14ac:dyDescent="0.35">
      <c r="A2357" s="1">
        <v>3496</v>
      </c>
      <c r="B2357" s="2">
        <v>46309</v>
      </c>
      <c r="C2357" s="1" t="s">
        <v>62</v>
      </c>
      <c r="D2357" s="1">
        <f>MONTH(Tabela6[[#This Row],[DATA]])</f>
        <v>10</v>
      </c>
    </row>
    <row r="2358" spans="1:4" x14ac:dyDescent="0.35">
      <c r="A2358" s="1">
        <v>3497</v>
      </c>
      <c r="B2358" s="2">
        <v>46309</v>
      </c>
      <c r="C2358" s="1" t="s">
        <v>62</v>
      </c>
      <c r="D2358" s="1">
        <f>MONTH(Tabela6[[#This Row],[DATA]])</f>
        <v>10</v>
      </c>
    </row>
    <row r="2359" spans="1:4" x14ac:dyDescent="0.35">
      <c r="A2359" s="1">
        <v>3498</v>
      </c>
      <c r="B2359" s="2">
        <v>46309</v>
      </c>
      <c r="C2359" s="1" t="s">
        <v>54</v>
      </c>
      <c r="D2359" s="1">
        <f>MONTH(Tabela6[[#This Row],[DATA]])</f>
        <v>10</v>
      </c>
    </row>
    <row r="2360" spans="1:4" x14ac:dyDescent="0.35">
      <c r="A2360" s="1">
        <v>3499</v>
      </c>
      <c r="B2360" s="2">
        <v>46309</v>
      </c>
      <c r="C2360" s="1" t="s">
        <v>54</v>
      </c>
      <c r="D2360" s="1">
        <f>MONTH(Tabela6[[#This Row],[DATA]])</f>
        <v>10</v>
      </c>
    </row>
    <row r="2361" spans="1:4" x14ac:dyDescent="0.35">
      <c r="A2361" s="1">
        <v>3500</v>
      </c>
      <c r="B2361" s="2">
        <v>46309</v>
      </c>
      <c r="C2361" s="1" t="s">
        <v>54</v>
      </c>
      <c r="D2361" s="1">
        <f>MONTH(Tabela6[[#This Row],[DATA]])</f>
        <v>10</v>
      </c>
    </row>
    <row r="2362" spans="1:4" x14ac:dyDescent="0.35">
      <c r="A2362" s="1">
        <v>3501</v>
      </c>
      <c r="B2362" s="2">
        <v>46309</v>
      </c>
      <c r="C2362" s="1" t="s">
        <v>54</v>
      </c>
      <c r="D2362" s="1">
        <f>MONTH(Tabela6[[#This Row],[DATA]])</f>
        <v>10</v>
      </c>
    </row>
    <row r="2363" spans="1:4" x14ac:dyDescent="0.35">
      <c r="A2363" s="1">
        <v>3503</v>
      </c>
      <c r="B2363" s="2">
        <v>46309</v>
      </c>
      <c r="C2363" s="1" t="s">
        <v>52</v>
      </c>
      <c r="D2363" s="1">
        <f>MONTH(Tabela6[[#This Row],[DATA]])</f>
        <v>10</v>
      </c>
    </row>
    <row r="2364" spans="1:4" x14ac:dyDescent="0.35">
      <c r="A2364" s="1">
        <v>3504</v>
      </c>
      <c r="B2364" s="2">
        <v>46309</v>
      </c>
      <c r="C2364" s="1" t="s">
        <v>52</v>
      </c>
      <c r="D2364" s="1">
        <f>MONTH(Tabela6[[#This Row],[DATA]])</f>
        <v>10</v>
      </c>
    </row>
    <row r="2365" spans="1:4" x14ac:dyDescent="0.35">
      <c r="A2365" s="1">
        <v>3505</v>
      </c>
      <c r="B2365" s="2">
        <v>46309</v>
      </c>
      <c r="C2365" s="1" t="s">
        <v>52</v>
      </c>
      <c r="D2365" s="1">
        <f>MONTH(Tabela6[[#This Row],[DATA]])</f>
        <v>10</v>
      </c>
    </row>
    <row r="2366" spans="1:4" x14ac:dyDescent="0.35">
      <c r="A2366" s="1">
        <v>3506</v>
      </c>
      <c r="B2366" s="2">
        <v>46309</v>
      </c>
      <c r="C2366" s="1" t="s">
        <v>52</v>
      </c>
      <c r="D2366" s="1">
        <f>MONTH(Tabela6[[#This Row],[DATA]])</f>
        <v>10</v>
      </c>
    </row>
    <row r="2367" spans="1:4" x14ac:dyDescent="0.35">
      <c r="A2367" s="1">
        <v>3509</v>
      </c>
      <c r="B2367" s="2">
        <v>46309</v>
      </c>
      <c r="C2367" s="1" t="s">
        <v>52</v>
      </c>
      <c r="D2367" s="1">
        <f>MONTH(Tabela6[[#This Row],[DATA]])</f>
        <v>10</v>
      </c>
    </row>
    <row r="2368" spans="1:4" x14ac:dyDescent="0.35">
      <c r="A2368" s="1">
        <v>3510</v>
      </c>
      <c r="B2368" s="2">
        <v>46309</v>
      </c>
      <c r="C2368" s="1" t="s">
        <v>52</v>
      </c>
      <c r="D2368" s="1">
        <f>MONTH(Tabela6[[#This Row],[DATA]])</f>
        <v>10</v>
      </c>
    </row>
    <row r="2369" spans="1:4" x14ac:dyDescent="0.35">
      <c r="A2369" s="1">
        <v>3512</v>
      </c>
      <c r="B2369" s="2">
        <v>46309</v>
      </c>
      <c r="C2369" s="1" t="s">
        <v>52</v>
      </c>
      <c r="D2369" s="1">
        <f>MONTH(Tabela6[[#This Row],[DATA]])</f>
        <v>10</v>
      </c>
    </row>
    <row r="2370" spans="1:4" x14ac:dyDescent="0.35">
      <c r="A2370" s="1">
        <v>3513</v>
      </c>
      <c r="B2370" s="2">
        <v>46310</v>
      </c>
      <c r="C2370" s="1" t="s">
        <v>64</v>
      </c>
      <c r="D2370" s="1">
        <f>MONTH(Tabela6[[#This Row],[DATA]])</f>
        <v>10</v>
      </c>
    </row>
    <row r="2371" spans="1:4" x14ac:dyDescent="0.35">
      <c r="A2371" s="1">
        <v>3514</v>
      </c>
      <c r="B2371" s="2">
        <v>46310</v>
      </c>
      <c r="C2371" s="1" t="s">
        <v>64</v>
      </c>
      <c r="D2371" s="1">
        <f>MONTH(Tabela6[[#This Row],[DATA]])</f>
        <v>10</v>
      </c>
    </row>
    <row r="2372" spans="1:4" x14ac:dyDescent="0.35">
      <c r="A2372" s="1">
        <v>3515</v>
      </c>
      <c r="B2372" s="2">
        <v>46310</v>
      </c>
      <c r="C2372" s="1" t="s">
        <v>64</v>
      </c>
      <c r="D2372" s="1">
        <f>MONTH(Tabela6[[#This Row],[DATA]])</f>
        <v>10</v>
      </c>
    </row>
    <row r="2373" spans="1:4" x14ac:dyDescent="0.35">
      <c r="A2373" s="1">
        <v>3516</v>
      </c>
      <c r="B2373" s="2">
        <v>46310</v>
      </c>
      <c r="C2373" s="1" t="s">
        <v>64</v>
      </c>
      <c r="D2373" s="1">
        <f>MONTH(Tabela6[[#This Row],[DATA]])</f>
        <v>10</v>
      </c>
    </row>
    <row r="2374" spans="1:4" x14ac:dyDescent="0.35">
      <c r="A2374" s="1">
        <v>3517</v>
      </c>
      <c r="B2374" s="2">
        <v>46310</v>
      </c>
      <c r="C2374" s="1" t="s">
        <v>51</v>
      </c>
      <c r="D2374" s="1">
        <f>MONTH(Tabela6[[#This Row],[DATA]])</f>
        <v>10</v>
      </c>
    </row>
    <row r="2375" spans="1:4" x14ac:dyDescent="0.35">
      <c r="A2375" s="1">
        <v>3518</v>
      </c>
      <c r="B2375" s="2">
        <v>46310</v>
      </c>
      <c r="C2375" s="1" t="s">
        <v>51</v>
      </c>
      <c r="D2375" s="1">
        <f>MONTH(Tabela6[[#This Row],[DATA]])</f>
        <v>10</v>
      </c>
    </row>
    <row r="2376" spans="1:4" x14ac:dyDescent="0.35">
      <c r="A2376" s="1">
        <v>3520</v>
      </c>
      <c r="B2376" s="2">
        <v>46310</v>
      </c>
      <c r="C2376" s="1" t="s">
        <v>52</v>
      </c>
      <c r="D2376" s="1">
        <f>MONTH(Tabela6[[#This Row],[DATA]])</f>
        <v>10</v>
      </c>
    </row>
    <row r="2377" spans="1:4" x14ac:dyDescent="0.35">
      <c r="A2377" s="1">
        <v>3521</v>
      </c>
      <c r="B2377" s="2">
        <v>46310</v>
      </c>
      <c r="C2377" s="1" t="s">
        <v>52</v>
      </c>
      <c r="D2377" s="1">
        <f>MONTH(Tabela6[[#This Row],[DATA]])</f>
        <v>10</v>
      </c>
    </row>
    <row r="2378" spans="1:4" x14ac:dyDescent="0.35">
      <c r="A2378" s="1">
        <v>3522</v>
      </c>
      <c r="B2378" s="2">
        <v>46310</v>
      </c>
      <c r="C2378" s="1" t="s">
        <v>52</v>
      </c>
      <c r="D2378" s="1">
        <f>MONTH(Tabela6[[#This Row],[DATA]])</f>
        <v>10</v>
      </c>
    </row>
    <row r="2379" spans="1:4" x14ac:dyDescent="0.35">
      <c r="A2379" s="1">
        <v>3523</v>
      </c>
      <c r="B2379" s="2">
        <v>46310</v>
      </c>
      <c r="C2379" s="1" t="s">
        <v>52</v>
      </c>
      <c r="D2379" s="1">
        <f>MONTH(Tabela6[[#This Row],[DATA]])</f>
        <v>10</v>
      </c>
    </row>
    <row r="2380" spans="1:4" x14ac:dyDescent="0.35">
      <c r="A2380" s="1">
        <v>3524</v>
      </c>
      <c r="B2380" s="2">
        <v>46310</v>
      </c>
      <c r="C2380" s="1" t="s">
        <v>62</v>
      </c>
      <c r="D2380" s="1">
        <f>MONTH(Tabela6[[#This Row],[DATA]])</f>
        <v>10</v>
      </c>
    </row>
    <row r="2381" spans="1:4" x14ac:dyDescent="0.35">
      <c r="A2381" s="1">
        <v>3525</v>
      </c>
      <c r="B2381" s="2">
        <v>46311</v>
      </c>
      <c r="C2381" s="1" t="s">
        <v>64</v>
      </c>
      <c r="D2381" s="1">
        <f>MONTH(Tabela6[[#This Row],[DATA]])</f>
        <v>10</v>
      </c>
    </row>
    <row r="2382" spans="1:4" x14ac:dyDescent="0.35">
      <c r="A2382" s="1">
        <v>3526</v>
      </c>
      <c r="B2382" s="2">
        <v>46311</v>
      </c>
      <c r="C2382" s="1" t="s">
        <v>64</v>
      </c>
      <c r="D2382" s="1">
        <f>MONTH(Tabela6[[#This Row],[DATA]])</f>
        <v>10</v>
      </c>
    </row>
    <row r="2383" spans="1:4" x14ac:dyDescent="0.35">
      <c r="A2383" s="1">
        <v>3527</v>
      </c>
      <c r="B2383" s="2">
        <v>46311</v>
      </c>
      <c r="C2383" s="1" t="s">
        <v>64</v>
      </c>
      <c r="D2383" s="1">
        <f>MONTH(Tabela6[[#This Row],[DATA]])</f>
        <v>10</v>
      </c>
    </row>
    <row r="2384" spans="1:4" x14ac:dyDescent="0.35">
      <c r="A2384" s="1">
        <v>3528</v>
      </c>
      <c r="B2384" s="2">
        <v>46311</v>
      </c>
      <c r="C2384" s="1" t="s">
        <v>61</v>
      </c>
      <c r="D2384" s="1">
        <f>MONTH(Tabela6[[#This Row],[DATA]])</f>
        <v>10</v>
      </c>
    </row>
    <row r="2385" spans="1:4" x14ac:dyDescent="0.35">
      <c r="A2385" s="1">
        <v>3530</v>
      </c>
      <c r="B2385" s="2">
        <v>46311</v>
      </c>
      <c r="C2385" s="1" t="s">
        <v>64</v>
      </c>
      <c r="D2385" s="1">
        <f>MONTH(Tabela6[[#This Row],[DATA]])</f>
        <v>10</v>
      </c>
    </row>
    <row r="2386" spans="1:4" x14ac:dyDescent="0.35">
      <c r="A2386" s="1">
        <v>3531</v>
      </c>
      <c r="B2386" s="2">
        <v>46311</v>
      </c>
      <c r="C2386" s="1" t="s">
        <v>64</v>
      </c>
      <c r="D2386" s="1">
        <f>MONTH(Tabela6[[#This Row],[DATA]])</f>
        <v>10</v>
      </c>
    </row>
    <row r="2387" spans="1:4" x14ac:dyDescent="0.35">
      <c r="A2387" s="1">
        <v>3532</v>
      </c>
      <c r="B2387" s="2">
        <v>46311</v>
      </c>
      <c r="C2387" s="1" t="s">
        <v>64</v>
      </c>
      <c r="D2387" s="1">
        <f>MONTH(Tabela6[[#This Row],[DATA]])</f>
        <v>10</v>
      </c>
    </row>
    <row r="2388" spans="1:4" x14ac:dyDescent="0.35">
      <c r="A2388" s="1">
        <v>3533</v>
      </c>
      <c r="B2388" s="2">
        <v>46311</v>
      </c>
      <c r="C2388" s="1" t="s">
        <v>64</v>
      </c>
      <c r="D2388" s="1">
        <f>MONTH(Tabela6[[#This Row],[DATA]])</f>
        <v>10</v>
      </c>
    </row>
    <row r="2389" spans="1:4" x14ac:dyDescent="0.35">
      <c r="A2389" s="1">
        <v>3534</v>
      </c>
      <c r="B2389" s="2">
        <v>46311</v>
      </c>
      <c r="C2389" s="1" t="s">
        <v>64</v>
      </c>
      <c r="D2389" s="1">
        <f>MONTH(Tabela6[[#This Row],[DATA]])</f>
        <v>10</v>
      </c>
    </row>
    <row r="2390" spans="1:4" x14ac:dyDescent="0.35">
      <c r="A2390" s="1">
        <v>3535</v>
      </c>
      <c r="B2390" s="2">
        <v>46311</v>
      </c>
      <c r="C2390" s="1" t="s">
        <v>52</v>
      </c>
      <c r="D2390" s="1">
        <f>MONTH(Tabela6[[#This Row],[DATA]])</f>
        <v>10</v>
      </c>
    </row>
    <row r="2391" spans="1:4" x14ac:dyDescent="0.35">
      <c r="A2391" s="1">
        <v>3536</v>
      </c>
      <c r="B2391" s="2">
        <v>46311</v>
      </c>
      <c r="C2391" s="1" t="s">
        <v>52</v>
      </c>
      <c r="D2391" s="1">
        <f>MONTH(Tabela6[[#This Row],[DATA]])</f>
        <v>10</v>
      </c>
    </row>
    <row r="2392" spans="1:4" x14ac:dyDescent="0.35">
      <c r="A2392" s="1">
        <v>3537</v>
      </c>
      <c r="B2392" s="2">
        <v>46311</v>
      </c>
      <c r="C2392" s="1" t="s">
        <v>52</v>
      </c>
      <c r="D2392" s="1">
        <f>MONTH(Tabela6[[#This Row],[DATA]])</f>
        <v>10</v>
      </c>
    </row>
    <row r="2393" spans="1:4" x14ac:dyDescent="0.35">
      <c r="A2393" s="1">
        <v>3538</v>
      </c>
      <c r="B2393" s="2">
        <v>46311</v>
      </c>
      <c r="C2393" s="1" t="s">
        <v>52</v>
      </c>
      <c r="D2393" s="1">
        <f>MONTH(Tabela6[[#This Row],[DATA]])</f>
        <v>10</v>
      </c>
    </row>
    <row r="2394" spans="1:4" x14ac:dyDescent="0.35">
      <c r="A2394" s="1">
        <v>3539</v>
      </c>
      <c r="B2394" s="2">
        <v>46311</v>
      </c>
      <c r="C2394" s="1" t="s">
        <v>52</v>
      </c>
      <c r="D2394" s="1">
        <f>MONTH(Tabela6[[#This Row],[DATA]])</f>
        <v>10</v>
      </c>
    </row>
    <row r="2395" spans="1:4" x14ac:dyDescent="0.35">
      <c r="A2395" s="1">
        <v>3540</v>
      </c>
      <c r="B2395" s="2">
        <v>46311</v>
      </c>
      <c r="C2395" s="1" t="s">
        <v>52</v>
      </c>
      <c r="D2395" s="1">
        <f>MONTH(Tabela6[[#This Row],[DATA]])</f>
        <v>10</v>
      </c>
    </row>
    <row r="2396" spans="1:4" x14ac:dyDescent="0.35">
      <c r="A2396" s="1">
        <v>3546</v>
      </c>
      <c r="B2396" s="2">
        <v>46314</v>
      </c>
      <c r="C2396" s="1" t="s">
        <v>52</v>
      </c>
      <c r="D2396" s="1">
        <f>MONTH(Tabela6[[#This Row],[DATA]])</f>
        <v>10</v>
      </c>
    </row>
    <row r="2397" spans="1:4" x14ac:dyDescent="0.35">
      <c r="A2397" s="1">
        <v>3547</v>
      </c>
      <c r="B2397" s="2">
        <v>46314</v>
      </c>
      <c r="C2397" s="1" t="s">
        <v>61</v>
      </c>
      <c r="D2397" s="1">
        <f>MONTH(Tabela6[[#This Row],[DATA]])</f>
        <v>10</v>
      </c>
    </row>
    <row r="2398" spans="1:4" x14ac:dyDescent="0.35">
      <c r="A2398" s="1">
        <v>3548</v>
      </c>
      <c r="B2398" s="2">
        <v>46314</v>
      </c>
      <c r="C2398" s="1" t="s">
        <v>52</v>
      </c>
      <c r="D2398" s="1">
        <f>MONTH(Tabela6[[#This Row],[DATA]])</f>
        <v>10</v>
      </c>
    </row>
    <row r="2399" spans="1:4" x14ac:dyDescent="0.35">
      <c r="A2399" s="1">
        <v>3549</v>
      </c>
      <c r="B2399" s="2">
        <v>46314</v>
      </c>
      <c r="C2399" s="1" t="s">
        <v>52</v>
      </c>
      <c r="D2399" s="1">
        <f>MONTH(Tabela6[[#This Row],[DATA]])</f>
        <v>10</v>
      </c>
    </row>
    <row r="2400" spans="1:4" x14ac:dyDescent="0.35">
      <c r="A2400" s="1">
        <v>3550</v>
      </c>
      <c r="B2400" s="2">
        <v>46314</v>
      </c>
      <c r="C2400" s="1" t="s">
        <v>61</v>
      </c>
      <c r="D2400" s="1">
        <f>MONTH(Tabela6[[#This Row],[DATA]])</f>
        <v>10</v>
      </c>
    </row>
    <row r="2401" spans="1:4" x14ac:dyDescent="0.35">
      <c r="A2401" s="1">
        <v>3551</v>
      </c>
      <c r="B2401" s="2">
        <v>46314</v>
      </c>
      <c r="C2401" s="1" t="s">
        <v>52</v>
      </c>
      <c r="D2401" s="1">
        <f>MONTH(Tabela6[[#This Row],[DATA]])</f>
        <v>10</v>
      </c>
    </row>
    <row r="2402" spans="1:4" x14ac:dyDescent="0.35">
      <c r="A2402" s="1">
        <v>3552</v>
      </c>
      <c r="B2402" s="2">
        <v>46314</v>
      </c>
      <c r="C2402" s="1" t="s">
        <v>51</v>
      </c>
      <c r="D2402" s="1">
        <f>MONTH(Tabela6[[#This Row],[DATA]])</f>
        <v>10</v>
      </c>
    </row>
    <row r="2403" spans="1:4" x14ac:dyDescent="0.35">
      <c r="A2403" s="1">
        <v>3553</v>
      </c>
      <c r="B2403" s="2">
        <v>46314</v>
      </c>
      <c r="C2403" s="1" t="s">
        <v>61</v>
      </c>
      <c r="D2403" s="1">
        <f>MONTH(Tabela6[[#This Row],[DATA]])</f>
        <v>10</v>
      </c>
    </row>
    <row r="2404" spans="1:4" x14ac:dyDescent="0.35">
      <c r="A2404" s="1">
        <v>3554</v>
      </c>
      <c r="B2404" s="2">
        <v>46314</v>
      </c>
      <c r="C2404" s="1" t="s">
        <v>61</v>
      </c>
      <c r="D2404" s="1">
        <f>MONTH(Tabela6[[#This Row],[DATA]])</f>
        <v>10</v>
      </c>
    </row>
    <row r="2405" spans="1:4" x14ac:dyDescent="0.35">
      <c r="A2405" s="1">
        <v>3555</v>
      </c>
      <c r="B2405" s="2">
        <v>46314</v>
      </c>
      <c r="C2405" s="1" t="s">
        <v>57</v>
      </c>
      <c r="D2405" s="1">
        <f>MONTH(Tabela6[[#This Row],[DATA]])</f>
        <v>10</v>
      </c>
    </row>
    <row r="2406" spans="1:4" x14ac:dyDescent="0.35">
      <c r="A2406" s="1">
        <v>3556</v>
      </c>
      <c r="B2406" s="2">
        <v>46314</v>
      </c>
      <c r="C2406" s="1" t="s">
        <v>52</v>
      </c>
      <c r="D2406" s="1">
        <f>MONTH(Tabela6[[#This Row],[DATA]])</f>
        <v>10</v>
      </c>
    </row>
    <row r="2407" spans="1:4" x14ac:dyDescent="0.35">
      <c r="A2407" s="1">
        <v>3557</v>
      </c>
      <c r="B2407" s="2">
        <v>46314</v>
      </c>
      <c r="C2407" s="1" t="s">
        <v>61</v>
      </c>
      <c r="D2407" s="1">
        <f>MONTH(Tabela6[[#This Row],[DATA]])</f>
        <v>10</v>
      </c>
    </row>
    <row r="2408" spans="1:4" x14ac:dyDescent="0.35">
      <c r="A2408" s="1">
        <v>3558</v>
      </c>
      <c r="B2408" s="2">
        <v>46315</v>
      </c>
      <c r="C2408" s="1" t="s">
        <v>52</v>
      </c>
      <c r="D2408" s="1">
        <f>MONTH(Tabela6[[#This Row],[DATA]])</f>
        <v>10</v>
      </c>
    </row>
    <row r="2409" spans="1:4" x14ac:dyDescent="0.35">
      <c r="A2409" s="1">
        <v>3559</v>
      </c>
      <c r="B2409" s="2">
        <v>46315</v>
      </c>
      <c r="C2409" s="1" t="s">
        <v>57</v>
      </c>
      <c r="D2409" s="1">
        <f>MONTH(Tabela6[[#This Row],[DATA]])</f>
        <v>10</v>
      </c>
    </row>
    <row r="2410" spans="1:4" x14ac:dyDescent="0.35">
      <c r="A2410" s="1">
        <v>3560</v>
      </c>
      <c r="B2410" s="2">
        <v>46315</v>
      </c>
      <c r="C2410" s="1" t="s">
        <v>61</v>
      </c>
      <c r="D2410" s="1">
        <f>MONTH(Tabela6[[#This Row],[DATA]])</f>
        <v>10</v>
      </c>
    </row>
    <row r="2411" spans="1:4" x14ac:dyDescent="0.35">
      <c r="A2411" s="1">
        <v>3562</v>
      </c>
      <c r="B2411" s="2">
        <v>46315</v>
      </c>
      <c r="C2411" s="1" t="s">
        <v>51</v>
      </c>
      <c r="D2411" s="1">
        <f>MONTH(Tabela6[[#This Row],[DATA]])</f>
        <v>10</v>
      </c>
    </row>
    <row r="2412" spans="1:4" x14ac:dyDescent="0.35">
      <c r="A2412" s="1">
        <v>3563</v>
      </c>
      <c r="B2412" s="2">
        <v>46315</v>
      </c>
      <c r="C2412" s="1" t="s">
        <v>51</v>
      </c>
      <c r="D2412" s="1">
        <f>MONTH(Tabela6[[#This Row],[DATA]])</f>
        <v>10</v>
      </c>
    </row>
    <row r="2413" spans="1:4" x14ac:dyDescent="0.35">
      <c r="A2413" s="1">
        <v>3564</v>
      </c>
      <c r="B2413" s="2">
        <v>46315</v>
      </c>
      <c r="C2413" s="1" t="s">
        <v>61</v>
      </c>
      <c r="D2413" s="1">
        <f>MONTH(Tabela6[[#This Row],[DATA]])</f>
        <v>10</v>
      </c>
    </row>
    <row r="2414" spans="1:4" x14ac:dyDescent="0.35">
      <c r="A2414" s="1">
        <v>3565</v>
      </c>
      <c r="B2414" s="2">
        <v>46315</v>
      </c>
      <c r="C2414" s="1" t="s">
        <v>64</v>
      </c>
      <c r="D2414" s="1">
        <f>MONTH(Tabela6[[#This Row],[DATA]])</f>
        <v>10</v>
      </c>
    </row>
    <row r="2415" spans="1:4" x14ac:dyDescent="0.35">
      <c r="A2415" s="1">
        <v>3566</v>
      </c>
      <c r="B2415" s="2">
        <v>46315</v>
      </c>
      <c r="C2415" s="1" t="s">
        <v>64</v>
      </c>
      <c r="D2415" s="1">
        <f>MONTH(Tabela6[[#This Row],[DATA]])</f>
        <v>10</v>
      </c>
    </row>
    <row r="2416" spans="1:4" x14ac:dyDescent="0.35">
      <c r="A2416" s="1">
        <v>3567</v>
      </c>
      <c r="B2416" s="2">
        <v>46315</v>
      </c>
      <c r="C2416" s="1" t="s">
        <v>64</v>
      </c>
      <c r="D2416" s="1">
        <f>MONTH(Tabela6[[#This Row],[DATA]])</f>
        <v>10</v>
      </c>
    </row>
    <row r="2417" spans="1:4" x14ac:dyDescent="0.35">
      <c r="A2417" s="1">
        <v>3568</v>
      </c>
      <c r="B2417" s="2">
        <v>46315</v>
      </c>
      <c r="C2417" s="1" t="s">
        <v>64</v>
      </c>
      <c r="D2417" s="1">
        <f>MONTH(Tabela6[[#This Row],[DATA]])</f>
        <v>10</v>
      </c>
    </row>
    <row r="2418" spans="1:4" x14ac:dyDescent="0.35">
      <c r="A2418" s="1">
        <v>3569</v>
      </c>
      <c r="B2418" s="2">
        <v>46315</v>
      </c>
      <c r="C2418" s="1" t="s">
        <v>64</v>
      </c>
      <c r="D2418" s="1">
        <f>MONTH(Tabela6[[#This Row],[DATA]])</f>
        <v>10</v>
      </c>
    </row>
    <row r="2419" spans="1:4" x14ac:dyDescent="0.35">
      <c r="A2419" s="1">
        <v>3570</v>
      </c>
      <c r="B2419" s="2">
        <v>46315</v>
      </c>
      <c r="C2419" s="1" t="s">
        <v>64</v>
      </c>
      <c r="D2419" s="1">
        <f>MONTH(Tabela6[[#This Row],[DATA]])</f>
        <v>10</v>
      </c>
    </row>
    <row r="2420" spans="1:4" x14ac:dyDescent="0.35">
      <c r="A2420" s="1">
        <v>3571</v>
      </c>
      <c r="B2420" s="2">
        <v>46315</v>
      </c>
      <c r="C2420" s="1" t="s">
        <v>64</v>
      </c>
      <c r="D2420" s="1">
        <f>MONTH(Tabela6[[#This Row],[DATA]])</f>
        <v>10</v>
      </c>
    </row>
    <row r="2421" spans="1:4" x14ac:dyDescent="0.35">
      <c r="A2421" s="1">
        <v>3572</v>
      </c>
      <c r="B2421" s="2">
        <v>46315</v>
      </c>
      <c r="C2421" s="1" t="s">
        <v>64</v>
      </c>
      <c r="D2421" s="1">
        <f>MONTH(Tabela6[[#This Row],[DATA]])</f>
        <v>10</v>
      </c>
    </row>
    <row r="2422" spans="1:4" x14ac:dyDescent="0.35">
      <c r="A2422" s="1">
        <v>3573</v>
      </c>
      <c r="B2422" s="2">
        <v>46315</v>
      </c>
      <c r="C2422" s="1" t="s">
        <v>64</v>
      </c>
      <c r="D2422" s="1">
        <f>MONTH(Tabela6[[#This Row],[DATA]])</f>
        <v>10</v>
      </c>
    </row>
    <row r="2423" spans="1:4" x14ac:dyDescent="0.35">
      <c r="A2423" s="1">
        <v>3574</v>
      </c>
      <c r="B2423" s="2">
        <v>46315</v>
      </c>
      <c r="C2423" s="1" t="s">
        <v>51</v>
      </c>
      <c r="D2423" s="1">
        <f>MONTH(Tabela6[[#This Row],[DATA]])</f>
        <v>10</v>
      </c>
    </row>
    <row r="2424" spans="1:4" x14ac:dyDescent="0.35">
      <c r="A2424" s="1">
        <v>3575</v>
      </c>
      <c r="B2424" s="2">
        <v>46315</v>
      </c>
      <c r="C2424" s="1" t="s">
        <v>51</v>
      </c>
      <c r="D2424" s="1">
        <f>MONTH(Tabela6[[#This Row],[DATA]])</f>
        <v>10</v>
      </c>
    </row>
    <row r="2425" spans="1:4" x14ac:dyDescent="0.35">
      <c r="A2425" s="1">
        <v>3576</v>
      </c>
      <c r="B2425" s="2">
        <v>46315</v>
      </c>
      <c r="C2425" s="1" t="s">
        <v>51</v>
      </c>
      <c r="D2425" s="1">
        <f>MONTH(Tabela6[[#This Row],[DATA]])</f>
        <v>10</v>
      </c>
    </row>
    <row r="2426" spans="1:4" x14ac:dyDescent="0.35">
      <c r="A2426" s="1">
        <v>3577</v>
      </c>
      <c r="B2426" s="2">
        <v>46315</v>
      </c>
      <c r="C2426" s="1" t="s">
        <v>51</v>
      </c>
      <c r="D2426" s="1">
        <f>MONTH(Tabela6[[#This Row],[DATA]])</f>
        <v>10</v>
      </c>
    </row>
    <row r="2427" spans="1:4" x14ac:dyDescent="0.35">
      <c r="A2427" s="1">
        <v>3578</v>
      </c>
      <c r="B2427" s="2">
        <v>46315</v>
      </c>
      <c r="C2427" s="1" t="s">
        <v>51</v>
      </c>
      <c r="D2427" s="1">
        <f>MONTH(Tabela6[[#This Row],[DATA]])</f>
        <v>10</v>
      </c>
    </row>
    <row r="2428" spans="1:4" x14ac:dyDescent="0.35">
      <c r="A2428" s="1">
        <v>3579</v>
      </c>
      <c r="B2428" s="2">
        <v>46316</v>
      </c>
      <c r="C2428" s="1" t="s">
        <v>61</v>
      </c>
      <c r="D2428" s="1">
        <f>MONTH(Tabela6[[#This Row],[DATA]])</f>
        <v>10</v>
      </c>
    </row>
    <row r="2429" spans="1:4" x14ac:dyDescent="0.35">
      <c r="A2429" s="1">
        <v>3580</v>
      </c>
      <c r="B2429" s="2">
        <v>46316</v>
      </c>
      <c r="C2429" s="1" t="s">
        <v>52</v>
      </c>
      <c r="D2429" s="1">
        <f>MONTH(Tabela6[[#This Row],[DATA]])</f>
        <v>10</v>
      </c>
    </row>
    <row r="2430" spans="1:4" x14ac:dyDescent="0.35">
      <c r="A2430" s="1">
        <v>3581</v>
      </c>
      <c r="B2430" s="2">
        <v>46316</v>
      </c>
      <c r="C2430" s="1" t="s">
        <v>64</v>
      </c>
      <c r="D2430" s="1">
        <f>MONTH(Tabela6[[#This Row],[DATA]])</f>
        <v>10</v>
      </c>
    </row>
    <row r="2431" spans="1:4" x14ac:dyDescent="0.35">
      <c r="A2431" s="1">
        <v>3584</v>
      </c>
      <c r="B2431" s="2">
        <v>46316</v>
      </c>
      <c r="C2431" s="1" t="s">
        <v>64</v>
      </c>
      <c r="D2431" s="1">
        <f>MONTH(Tabela6[[#This Row],[DATA]])</f>
        <v>10</v>
      </c>
    </row>
    <row r="2432" spans="1:4" x14ac:dyDescent="0.35">
      <c r="A2432" s="1">
        <v>3585</v>
      </c>
      <c r="B2432" s="2">
        <v>46316</v>
      </c>
      <c r="C2432" s="1" t="s">
        <v>52</v>
      </c>
      <c r="D2432" s="1">
        <f>MONTH(Tabela6[[#This Row],[DATA]])</f>
        <v>10</v>
      </c>
    </row>
    <row r="2433" spans="1:4" x14ac:dyDescent="0.35">
      <c r="A2433" s="1">
        <v>3586</v>
      </c>
      <c r="B2433" s="2">
        <v>46316</v>
      </c>
      <c r="C2433" s="1" t="s">
        <v>52</v>
      </c>
      <c r="D2433" s="1">
        <f>MONTH(Tabela6[[#This Row],[DATA]])</f>
        <v>10</v>
      </c>
    </row>
    <row r="2434" spans="1:4" x14ac:dyDescent="0.35">
      <c r="A2434" s="1">
        <v>3587</v>
      </c>
      <c r="B2434" s="2">
        <v>46316</v>
      </c>
      <c r="C2434" s="1" t="s">
        <v>52</v>
      </c>
      <c r="D2434" s="1">
        <f>MONTH(Tabela6[[#This Row],[DATA]])</f>
        <v>10</v>
      </c>
    </row>
    <row r="2435" spans="1:4" x14ac:dyDescent="0.35">
      <c r="A2435" s="1">
        <v>3588</v>
      </c>
      <c r="B2435" s="2">
        <v>46316</v>
      </c>
      <c r="C2435" s="1" t="s">
        <v>52</v>
      </c>
      <c r="D2435" s="1">
        <f>MONTH(Tabela6[[#This Row],[DATA]])</f>
        <v>10</v>
      </c>
    </row>
    <row r="2436" spans="1:4" x14ac:dyDescent="0.35">
      <c r="A2436" s="1">
        <v>3589</v>
      </c>
      <c r="B2436" s="2">
        <v>46316</v>
      </c>
      <c r="C2436" s="1" t="s">
        <v>52</v>
      </c>
      <c r="D2436" s="1">
        <f>MONTH(Tabela6[[#This Row],[DATA]])</f>
        <v>10</v>
      </c>
    </row>
    <row r="2437" spans="1:4" x14ac:dyDescent="0.35">
      <c r="A2437" s="1">
        <v>3590</v>
      </c>
      <c r="B2437" s="2">
        <v>46316</v>
      </c>
      <c r="C2437" s="1" t="s">
        <v>52</v>
      </c>
      <c r="D2437" s="1">
        <f>MONTH(Tabela6[[#This Row],[DATA]])</f>
        <v>10</v>
      </c>
    </row>
    <row r="2438" spans="1:4" x14ac:dyDescent="0.35">
      <c r="A2438" s="1">
        <v>3591</v>
      </c>
      <c r="B2438" s="2">
        <v>46316</v>
      </c>
      <c r="C2438" s="1" t="s">
        <v>52</v>
      </c>
      <c r="D2438" s="1">
        <f>MONTH(Tabela6[[#This Row],[DATA]])</f>
        <v>10</v>
      </c>
    </row>
    <row r="2439" spans="1:4" x14ac:dyDescent="0.35">
      <c r="A2439" s="1">
        <v>3592</v>
      </c>
      <c r="B2439" s="2">
        <v>46316</v>
      </c>
      <c r="C2439" s="1" t="s">
        <v>52</v>
      </c>
      <c r="D2439" s="1">
        <f>MONTH(Tabela6[[#This Row],[DATA]])</f>
        <v>10</v>
      </c>
    </row>
    <row r="2440" spans="1:4" x14ac:dyDescent="0.35">
      <c r="A2440" s="1">
        <v>3593</v>
      </c>
      <c r="B2440" s="2">
        <v>46316</v>
      </c>
      <c r="C2440" s="1" t="s">
        <v>52</v>
      </c>
      <c r="D2440" s="1">
        <f>MONTH(Tabela6[[#This Row],[DATA]])</f>
        <v>10</v>
      </c>
    </row>
    <row r="2441" spans="1:4" x14ac:dyDescent="0.35">
      <c r="A2441" s="1">
        <v>3594</v>
      </c>
      <c r="B2441" s="2">
        <v>46316</v>
      </c>
      <c r="C2441" s="1" t="s">
        <v>52</v>
      </c>
      <c r="D2441" s="1">
        <f>MONTH(Tabela6[[#This Row],[DATA]])</f>
        <v>10</v>
      </c>
    </row>
    <row r="2442" spans="1:4" x14ac:dyDescent="0.35">
      <c r="A2442" s="1">
        <v>3595</v>
      </c>
      <c r="B2442" s="2">
        <v>46316</v>
      </c>
      <c r="C2442" s="1" t="s">
        <v>52</v>
      </c>
      <c r="D2442" s="1">
        <f>MONTH(Tabela6[[#This Row],[DATA]])</f>
        <v>10</v>
      </c>
    </row>
    <row r="2443" spans="1:4" x14ac:dyDescent="0.35">
      <c r="A2443" s="1">
        <v>3596</v>
      </c>
      <c r="B2443" s="2">
        <v>46316</v>
      </c>
      <c r="C2443" s="1" t="s">
        <v>61</v>
      </c>
      <c r="D2443" s="1">
        <f>MONTH(Tabela6[[#This Row],[DATA]])</f>
        <v>10</v>
      </c>
    </row>
    <row r="2444" spans="1:4" x14ac:dyDescent="0.35">
      <c r="A2444" s="1">
        <v>3598</v>
      </c>
      <c r="B2444" s="2">
        <v>46316</v>
      </c>
      <c r="C2444" s="1" t="s">
        <v>51</v>
      </c>
      <c r="D2444" s="1">
        <f>MONTH(Tabela6[[#This Row],[DATA]])</f>
        <v>10</v>
      </c>
    </row>
    <row r="2445" spans="1:4" x14ac:dyDescent="0.35">
      <c r="A2445" s="1">
        <v>3599</v>
      </c>
      <c r="B2445" s="2">
        <v>46316</v>
      </c>
      <c r="C2445" s="1" t="s">
        <v>51</v>
      </c>
      <c r="D2445" s="1">
        <f>MONTH(Tabela6[[#This Row],[DATA]])</f>
        <v>10</v>
      </c>
    </row>
    <row r="2446" spans="1:4" x14ac:dyDescent="0.35">
      <c r="A2446" s="1">
        <v>3600</v>
      </c>
      <c r="B2446" s="2">
        <v>46316</v>
      </c>
      <c r="C2446" s="1" t="s">
        <v>51</v>
      </c>
      <c r="D2446" s="1">
        <f>MONTH(Tabela6[[#This Row],[DATA]])</f>
        <v>10</v>
      </c>
    </row>
    <row r="2447" spans="1:4" x14ac:dyDescent="0.35">
      <c r="A2447" s="1">
        <v>3601</v>
      </c>
      <c r="B2447" s="2">
        <v>46317</v>
      </c>
      <c r="C2447" s="1" t="s">
        <v>57</v>
      </c>
      <c r="D2447" s="1">
        <f>MONTH(Tabela6[[#This Row],[DATA]])</f>
        <v>10</v>
      </c>
    </row>
    <row r="2448" spans="1:4" x14ac:dyDescent="0.35">
      <c r="A2448" s="1">
        <v>3602</v>
      </c>
      <c r="B2448" s="2">
        <v>46317</v>
      </c>
      <c r="C2448" s="1" t="s">
        <v>52</v>
      </c>
      <c r="D2448" s="1">
        <f>MONTH(Tabela6[[#This Row],[DATA]])</f>
        <v>10</v>
      </c>
    </row>
    <row r="2449" spans="1:4" x14ac:dyDescent="0.35">
      <c r="A2449" s="1">
        <v>3603</v>
      </c>
      <c r="B2449" s="2">
        <v>46317</v>
      </c>
      <c r="C2449" s="1" t="s">
        <v>51</v>
      </c>
      <c r="D2449" s="1">
        <f>MONTH(Tabela6[[#This Row],[DATA]])</f>
        <v>10</v>
      </c>
    </row>
    <row r="2450" spans="1:4" x14ac:dyDescent="0.35">
      <c r="A2450" s="1">
        <v>3604</v>
      </c>
      <c r="B2450" s="2">
        <v>46317</v>
      </c>
      <c r="C2450" s="1" t="s">
        <v>51</v>
      </c>
      <c r="D2450" s="1">
        <f>MONTH(Tabela6[[#This Row],[DATA]])</f>
        <v>10</v>
      </c>
    </row>
    <row r="2451" spans="1:4" x14ac:dyDescent="0.35">
      <c r="A2451" s="1">
        <v>3608</v>
      </c>
      <c r="B2451" s="2">
        <v>46318</v>
      </c>
      <c r="C2451" s="1" t="s">
        <v>64</v>
      </c>
      <c r="D2451" s="1">
        <f>MONTH(Tabela6[[#This Row],[DATA]])</f>
        <v>10</v>
      </c>
    </row>
    <row r="2452" spans="1:4" x14ac:dyDescent="0.35">
      <c r="A2452" s="1">
        <v>3609</v>
      </c>
      <c r="B2452" s="2">
        <v>46318</v>
      </c>
      <c r="C2452" s="1" t="s">
        <v>61</v>
      </c>
      <c r="D2452" s="1">
        <f>MONTH(Tabela6[[#This Row],[DATA]])</f>
        <v>10</v>
      </c>
    </row>
    <row r="2453" spans="1:4" x14ac:dyDescent="0.35">
      <c r="A2453" s="1">
        <v>3611</v>
      </c>
      <c r="B2453" s="2">
        <v>46318</v>
      </c>
      <c r="C2453" s="1" t="s">
        <v>61</v>
      </c>
      <c r="D2453" s="1">
        <f>MONTH(Tabela6[[#This Row],[DATA]])</f>
        <v>10</v>
      </c>
    </row>
    <row r="2454" spans="1:4" x14ac:dyDescent="0.35">
      <c r="A2454" s="1">
        <v>3612</v>
      </c>
      <c r="B2454" s="2">
        <v>46321</v>
      </c>
      <c r="C2454" s="1" t="s">
        <v>61</v>
      </c>
      <c r="D2454" s="1">
        <f>MONTH(Tabela6[[#This Row],[DATA]])</f>
        <v>10</v>
      </c>
    </row>
    <row r="2455" spans="1:4" x14ac:dyDescent="0.35">
      <c r="A2455" s="1">
        <v>3613</v>
      </c>
      <c r="B2455" s="2">
        <v>46321</v>
      </c>
      <c r="C2455" s="1" t="s">
        <v>61</v>
      </c>
      <c r="D2455" s="1">
        <f>MONTH(Tabela6[[#This Row],[DATA]])</f>
        <v>10</v>
      </c>
    </row>
    <row r="2456" spans="1:4" x14ac:dyDescent="0.35">
      <c r="A2456" s="1">
        <v>3614</v>
      </c>
      <c r="B2456" s="2">
        <v>46321</v>
      </c>
      <c r="C2456" s="1" t="s">
        <v>61</v>
      </c>
      <c r="D2456" s="1">
        <f>MONTH(Tabela6[[#This Row],[DATA]])</f>
        <v>10</v>
      </c>
    </row>
    <row r="2457" spans="1:4" x14ac:dyDescent="0.35">
      <c r="A2457" s="1">
        <v>3615</v>
      </c>
      <c r="B2457" s="2">
        <v>46321</v>
      </c>
      <c r="C2457" s="1" t="s">
        <v>61</v>
      </c>
      <c r="D2457" s="1">
        <f>MONTH(Tabela6[[#This Row],[DATA]])</f>
        <v>10</v>
      </c>
    </row>
    <row r="2458" spans="1:4" x14ac:dyDescent="0.35">
      <c r="A2458" s="1">
        <v>3617</v>
      </c>
      <c r="B2458" s="2">
        <v>46321</v>
      </c>
      <c r="C2458" s="1" t="s">
        <v>64</v>
      </c>
      <c r="D2458" s="1">
        <f>MONTH(Tabela6[[#This Row],[DATA]])</f>
        <v>10</v>
      </c>
    </row>
    <row r="2459" spans="1:4" x14ac:dyDescent="0.35">
      <c r="A2459" s="1">
        <v>3618</v>
      </c>
      <c r="B2459" s="2">
        <v>46321</v>
      </c>
      <c r="C2459" s="1" t="s">
        <v>64</v>
      </c>
      <c r="D2459" s="1">
        <f>MONTH(Tabela6[[#This Row],[DATA]])</f>
        <v>10</v>
      </c>
    </row>
    <row r="2460" spans="1:4" x14ac:dyDescent="0.35">
      <c r="A2460" s="1">
        <v>3619</v>
      </c>
      <c r="B2460" s="2">
        <v>46321</v>
      </c>
      <c r="C2460" s="1" t="s">
        <v>64</v>
      </c>
      <c r="D2460" s="1">
        <f>MONTH(Tabela6[[#This Row],[DATA]])</f>
        <v>10</v>
      </c>
    </row>
    <row r="2461" spans="1:4" x14ac:dyDescent="0.35">
      <c r="A2461" s="1">
        <v>3620</v>
      </c>
      <c r="B2461" s="2">
        <v>46321</v>
      </c>
      <c r="C2461" s="1" t="s">
        <v>61</v>
      </c>
      <c r="D2461" s="1">
        <f>MONTH(Tabela6[[#This Row],[DATA]])</f>
        <v>10</v>
      </c>
    </row>
    <row r="2462" spans="1:4" x14ac:dyDescent="0.35">
      <c r="A2462" s="1">
        <v>3621</v>
      </c>
      <c r="B2462" s="2">
        <v>46322</v>
      </c>
      <c r="C2462" s="1" t="s">
        <v>61</v>
      </c>
      <c r="D2462" s="1">
        <f>MONTH(Tabela6[[#This Row],[DATA]])</f>
        <v>10</v>
      </c>
    </row>
    <row r="2463" spans="1:4" x14ac:dyDescent="0.35">
      <c r="A2463" s="1">
        <v>3622</v>
      </c>
      <c r="B2463" s="2">
        <v>46322</v>
      </c>
      <c r="C2463" s="1" t="s">
        <v>61</v>
      </c>
      <c r="D2463" s="1">
        <f>MONTH(Tabela6[[#This Row],[DATA]])</f>
        <v>10</v>
      </c>
    </row>
    <row r="2464" spans="1:4" x14ac:dyDescent="0.35">
      <c r="A2464" s="1">
        <v>3623</v>
      </c>
      <c r="B2464" s="2">
        <v>46322</v>
      </c>
      <c r="C2464" s="1" t="s">
        <v>52</v>
      </c>
      <c r="D2464" s="1">
        <f>MONTH(Tabela6[[#This Row],[DATA]])</f>
        <v>10</v>
      </c>
    </row>
    <row r="2465" spans="1:4" x14ac:dyDescent="0.35">
      <c r="A2465" s="1">
        <v>3624</v>
      </c>
      <c r="B2465" s="2">
        <v>46322</v>
      </c>
      <c r="C2465" s="1" t="s">
        <v>64</v>
      </c>
      <c r="D2465" s="1">
        <f>MONTH(Tabela6[[#This Row],[DATA]])</f>
        <v>10</v>
      </c>
    </row>
    <row r="2466" spans="1:4" x14ac:dyDescent="0.35">
      <c r="A2466" s="1">
        <v>3625</v>
      </c>
      <c r="B2466" s="2">
        <v>46322</v>
      </c>
      <c r="C2466" s="1" t="s">
        <v>64</v>
      </c>
      <c r="D2466" s="1">
        <f>MONTH(Tabela6[[#This Row],[DATA]])</f>
        <v>10</v>
      </c>
    </row>
    <row r="2467" spans="1:4" x14ac:dyDescent="0.35">
      <c r="A2467" s="1">
        <v>3626</v>
      </c>
      <c r="B2467" s="2">
        <v>46322</v>
      </c>
      <c r="C2467" s="1" t="s">
        <v>51</v>
      </c>
      <c r="D2467" s="1">
        <f>MONTH(Tabela6[[#This Row],[DATA]])</f>
        <v>10</v>
      </c>
    </row>
    <row r="2468" spans="1:4" x14ac:dyDescent="0.35">
      <c r="A2468" s="1">
        <v>3627</v>
      </c>
      <c r="B2468" s="2">
        <v>46322</v>
      </c>
      <c r="C2468" s="1" t="s">
        <v>61</v>
      </c>
      <c r="D2468" s="1">
        <f>MONTH(Tabela6[[#This Row],[DATA]])</f>
        <v>10</v>
      </c>
    </row>
    <row r="2469" spans="1:4" x14ac:dyDescent="0.35">
      <c r="A2469" s="1">
        <v>3628</v>
      </c>
      <c r="B2469" s="2">
        <v>46323</v>
      </c>
      <c r="C2469" s="1" t="s">
        <v>61</v>
      </c>
      <c r="D2469" s="1">
        <f>MONTH(Tabela6[[#This Row],[DATA]])</f>
        <v>10</v>
      </c>
    </row>
    <row r="2470" spans="1:4" x14ac:dyDescent="0.35">
      <c r="A2470" s="1">
        <v>3629</v>
      </c>
      <c r="B2470" s="2">
        <v>46323</v>
      </c>
      <c r="C2470" s="1" t="s">
        <v>62</v>
      </c>
      <c r="D2470" s="1">
        <f>MONTH(Tabela6[[#This Row],[DATA]])</f>
        <v>10</v>
      </c>
    </row>
    <row r="2471" spans="1:4" x14ac:dyDescent="0.35">
      <c r="A2471" s="1">
        <v>3630</v>
      </c>
      <c r="B2471" s="2">
        <v>46323</v>
      </c>
      <c r="C2471" s="1" t="s">
        <v>52</v>
      </c>
      <c r="D2471" s="1">
        <f>MONTH(Tabela6[[#This Row],[DATA]])</f>
        <v>10</v>
      </c>
    </row>
    <row r="2472" spans="1:4" x14ac:dyDescent="0.35">
      <c r="A2472" s="1">
        <v>3631</v>
      </c>
      <c r="B2472" s="2">
        <v>46323</v>
      </c>
      <c r="C2472" s="1" t="s">
        <v>52</v>
      </c>
      <c r="D2472" s="1">
        <f>MONTH(Tabela6[[#This Row],[DATA]])</f>
        <v>10</v>
      </c>
    </row>
    <row r="2473" spans="1:4" x14ac:dyDescent="0.35">
      <c r="A2473" s="1">
        <v>3632</v>
      </c>
      <c r="B2473" s="2">
        <v>46323</v>
      </c>
      <c r="C2473" s="1" t="s">
        <v>51</v>
      </c>
      <c r="D2473" s="1">
        <f>MONTH(Tabela6[[#This Row],[DATA]])</f>
        <v>10</v>
      </c>
    </row>
    <row r="2474" spans="1:4" x14ac:dyDescent="0.35">
      <c r="A2474" s="1">
        <v>3633</v>
      </c>
      <c r="B2474" s="2">
        <v>46323</v>
      </c>
      <c r="C2474" s="1" t="s">
        <v>52</v>
      </c>
      <c r="D2474" s="1">
        <f>MONTH(Tabela6[[#This Row],[DATA]])</f>
        <v>10</v>
      </c>
    </row>
    <row r="2475" spans="1:4" x14ac:dyDescent="0.35">
      <c r="A2475" s="1">
        <v>3634</v>
      </c>
      <c r="B2475" s="2">
        <v>46323</v>
      </c>
      <c r="C2475" s="1" t="s">
        <v>52</v>
      </c>
      <c r="D2475" s="1">
        <f>MONTH(Tabela6[[#This Row],[DATA]])</f>
        <v>10</v>
      </c>
    </row>
    <row r="2476" spans="1:4" x14ac:dyDescent="0.35">
      <c r="A2476" s="1">
        <v>3635</v>
      </c>
      <c r="B2476" s="2">
        <v>46323</v>
      </c>
      <c r="C2476" s="1" t="s">
        <v>52</v>
      </c>
      <c r="D2476" s="1">
        <f>MONTH(Tabela6[[#This Row],[DATA]])</f>
        <v>10</v>
      </c>
    </row>
    <row r="2477" spans="1:4" x14ac:dyDescent="0.35">
      <c r="A2477" s="1">
        <v>3636</v>
      </c>
      <c r="B2477" s="2">
        <v>46323</v>
      </c>
      <c r="C2477" s="1" t="s">
        <v>52</v>
      </c>
      <c r="D2477" s="1">
        <f>MONTH(Tabela6[[#This Row],[DATA]])</f>
        <v>10</v>
      </c>
    </row>
    <row r="2478" spans="1:4" x14ac:dyDescent="0.35">
      <c r="A2478" s="1">
        <v>3637</v>
      </c>
      <c r="B2478" s="2">
        <v>46323</v>
      </c>
      <c r="C2478" s="1" t="s">
        <v>52</v>
      </c>
      <c r="D2478" s="1">
        <f>MONTH(Tabela6[[#This Row],[DATA]])</f>
        <v>10</v>
      </c>
    </row>
    <row r="2479" spans="1:4" x14ac:dyDescent="0.35">
      <c r="A2479" s="1">
        <v>3638</v>
      </c>
      <c r="B2479" s="2">
        <v>46323</v>
      </c>
      <c r="C2479" s="1" t="s">
        <v>52</v>
      </c>
      <c r="D2479" s="1">
        <f>MONTH(Tabela6[[#This Row],[DATA]])</f>
        <v>10</v>
      </c>
    </row>
    <row r="2480" spans="1:4" x14ac:dyDescent="0.35">
      <c r="A2480" s="1">
        <v>3639</v>
      </c>
      <c r="B2480" s="2">
        <v>46323</v>
      </c>
      <c r="C2480" s="1" t="s">
        <v>52</v>
      </c>
      <c r="D2480" s="1">
        <f>MONTH(Tabela6[[#This Row],[DATA]])</f>
        <v>10</v>
      </c>
    </row>
    <row r="2481" spans="1:4" x14ac:dyDescent="0.35">
      <c r="A2481" s="1">
        <v>3640</v>
      </c>
      <c r="B2481" s="2">
        <v>46323</v>
      </c>
      <c r="C2481" s="1" t="s">
        <v>52</v>
      </c>
      <c r="D2481" s="1">
        <f>MONTH(Tabela6[[#This Row],[DATA]])</f>
        <v>10</v>
      </c>
    </row>
    <row r="2482" spans="1:4" x14ac:dyDescent="0.35">
      <c r="A2482" s="1">
        <v>3644</v>
      </c>
      <c r="B2482" s="2">
        <v>46324</v>
      </c>
      <c r="C2482" s="1" t="s">
        <v>52</v>
      </c>
      <c r="D2482" s="1">
        <f>MONTH(Tabela6[[#This Row],[DATA]])</f>
        <v>10</v>
      </c>
    </row>
    <row r="2483" spans="1:4" x14ac:dyDescent="0.35">
      <c r="A2483" s="1">
        <v>3645</v>
      </c>
      <c r="B2483" s="2">
        <v>46324</v>
      </c>
      <c r="C2483" s="1" t="s">
        <v>61</v>
      </c>
      <c r="D2483" s="1">
        <f>MONTH(Tabela6[[#This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7AD4-13D4-4103-80C5-5F14E5693543}">
  <dimension ref="A1:D242"/>
  <sheetViews>
    <sheetView showGridLines="0" tabSelected="1" topLeftCell="A219" workbookViewId="0">
      <selection activeCell="B242" sqref="B242"/>
    </sheetView>
  </sheetViews>
  <sheetFormatPr defaultRowHeight="10.5" x14ac:dyDescent="0.35"/>
  <cols>
    <col min="1" max="1" width="6.453125" style="1" bestFit="1" customWidth="1"/>
    <col min="2" max="2" width="8.36328125" style="2" bestFit="1" customWidth="1"/>
    <col min="3" max="3" width="26.6328125" style="1" bestFit="1" customWidth="1"/>
    <col min="4" max="16384" width="8.72656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30</v>
      </c>
      <c r="B2" s="2">
        <v>46028</v>
      </c>
      <c r="C2" s="1" t="s">
        <v>24</v>
      </c>
      <c r="D2" s="1">
        <f>MONTH(Tabela9[[#This Row],[DATA]])</f>
        <v>1</v>
      </c>
    </row>
    <row r="3" spans="1:4" x14ac:dyDescent="0.35">
      <c r="A3" s="1">
        <v>30</v>
      </c>
      <c r="B3" s="2">
        <v>46028</v>
      </c>
      <c r="C3" s="1" t="s">
        <v>24</v>
      </c>
      <c r="D3" s="1">
        <f>MONTH(Tabela9[[#This Row],[DATA]])</f>
        <v>1</v>
      </c>
    </row>
    <row r="4" spans="1:4" x14ac:dyDescent="0.35">
      <c r="A4" s="1">
        <v>31</v>
      </c>
      <c r="B4" s="2">
        <v>46036</v>
      </c>
      <c r="C4" s="1" t="s">
        <v>34</v>
      </c>
      <c r="D4" s="1">
        <f>MONTH(Tabela9[[#This Row],[DATA]])</f>
        <v>1</v>
      </c>
    </row>
    <row r="5" spans="1:4" x14ac:dyDescent="0.35">
      <c r="A5" s="1">
        <v>31</v>
      </c>
      <c r="B5" s="2">
        <v>46036</v>
      </c>
      <c r="C5" s="1" t="s">
        <v>34</v>
      </c>
      <c r="D5" s="1">
        <f>MONTH(Tabela9[[#This Row],[DATA]])</f>
        <v>1</v>
      </c>
    </row>
    <row r="6" spans="1:4" x14ac:dyDescent="0.35">
      <c r="A6" s="1">
        <v>32</v>
      </c>
      <c r="B6" s="2">
        <v>46042</v>
      </c>
      <c r="C6" s="1" t="s">
        <v>34</v>
      </c>
      <c r="D6" s="1">
        <f>MONTH(Tabela9[[#This Row],[DATA]])</f>
        <v>1</v>
      </c>
    </row>
    <row r="7" spans="1:4" x14ac:dyDescent="0.35">
      <c r="A7" s="1">
        <v>32</v>
      </c>
      <c r="B7" s="2">
        <v>46042</v>
      </c>
      <c r="C7" s="1" t="s">
        <v>34</v>
      </c>
      <c r="D7" s="1">
        <f>MONTH(Tabela9[[#This Row],[DATA]])</f>
        <v>1</v>
      </c>
    </row>
    <row r="8" spans="1:4" x14ac:dyDescent="0.35">
      <c r="A8" s="1">
        <v>33</v>
      </c>
      <c r="B8" s="2">
        <v>46055</v>
      </c>
      <c r="C8" s="1" t="s">
        <v>34</v>
      </c>
      <c r="D8" s="1">
        <f>MONTH(Tabela9[[#This Row],[DATA]])</f>
        <v>2</v>
      </c>
    </row>
    <row r="9" spans="1:4" x14ac:dyDescent="0.35">
      <c r="A9" s="1">
        <v>33</v>
      </c>
      <c r="B9" s="2">
        <v>46055</v>
      </c>
      <c r="C9" s="1" t="s">
        <v>34</v>
      </c>
      <c r="D9" s="1">
        <f>MONTH(Tabela9[[#This Row],[DATA]])</f>
        <v>2</v>
      </c>
    </row>
    <row r="10" spans="1:4" x14ac:dyDescent="0.35">
      <c r="A10" s="1">
        <v>34</v>
      </c>
      <c r="B10" s="2">
        <v>46057</v>
      </c>
      <c r="C10" s="1" t="s">
        <v>5</v>
      </c>
      <c r="D10" s="1">
        <f>MONTH(Tabela9[[#This Row],[DATA]])</f>
        <v>2</v>
      </c>
    </row>
    <row r="11" spans="1:4" x14ac:dyDescent="0.35">
      <c r="A11" s="1">
        <v>34</v>
      </c>
      <c r="B11" s="2">
        <v>46057</v>
      </c>
      <c r="C11" s="1" t="s">
        <v>5</v>
      </c>
      <c r="D11" s="1">
        <f>MONTH(Tabela9[[#This Row],[DATA]])</f>
        <v>2</v>
      </c>
    </row>
    <row r="12" spans="1:4" x14ac:dyDescent="0.35">
      <c r="A12" s="1">
        <v>35</v>
      </c>
      <c r="B12" s="2">
        <v>46065</v>
      </c>
      <c r="C12" s="1" t="s">
        <v>34</v>
      </c>
      <c r="D12" s="1">
        <f>MONTH(Tabela9[[#This Row],[DATA]])</f>
        <v>2</v>
      </c>
    </row>
    <row r="13" spans="1:4" x14ac:dyDescent="0.35">
      <c r="A13" s="1">
        <v>35</v>
      </c>
      <c r="B13" s="2">
        <v>46065</v>
      </c>
      <c r="C13" s="1" t="s">
        <v>34</v>
      </c>
      <c r="D13" s="1">
        <f>MONTH(Tabela9[[#This Row],[DATA]])</f>
        <v>2</v>
      </c>
    </row>
    <row r="14" spans="1:4" x14ac:dyDescent="0.35">
      <c r="A14" s="1">
        <v>36</v>
      </c>
      <c r="B14" s="2">
        <v>46087</v>
      </c>
      <c r="C14" s="1" t="s">
        <v>5</v>
      </c>
      <c r="D14" s="1">
        <f>MONTH(Tabela9[[#This Row],[DATA]])</f>
        <v>3</v>
      </c>
    </row>
    <row r="15" spans="1:4" x14ac:dyDescent="0.35">
      <c r="A15" s="1">
        <v>37</v>
      </c>
      <c r="B15" s="2">
        <v>46087</v>
      </c>
      <c r="C15" s="1" t="s">
        <v>9</v>
      </c>
      <c r="D15" s="1">
        <f>MONTH(Tabela9[[#This Row],[DATA]])</f>
        <v>3</v>
      </c>
    </row>
    <row r="16" spans="1:4" x14ac:dyDescent="0.35">
      <c r="A16" s="1">
        <v>36</v>
      </c>
      <c r="B16" s="2">
        <v>46087</v>
      </c>
      <c r="C16" s="1" t="s">
        <v>5</v>
      </c>
      <c r="D16" s="1">
        <f>MONTH(Tabela9[[#This Row],[DATA]])</f>
        <v>3</v>
      </c>
    </row>
    <row r="17" spans="1:4" x14ac:dyDescent="0.35">
      <c r="A17" s="1">
        <v>37</v>
      </c>
      <c r="B17" s="2">
        <v>46087</v>
      </c>
      <c r="C17" s="1" t="s">
        <v>9</v>
      </c>
      <c r="D17" s="1">
        <f>MONTH(Tabela9[[#This Row],[DATA]])</f>
        <v>3</v>
      </c>
    </row>
    <row r="18" spans="1:4" x14ac:dyDescent="0.35">
      <c r="A18" s="1">
        <v>38</v>
      </c>
      <c r="B18" s="2">
        <v>46092</v>
      </c>
      <c r="C18" s="1" t="s">
        <v>28</v>
      </c>
      <c r="D18" s="1">
        <f>MONTH(Tabela9[[#This Row],[DATA]])</f>
        <v>3</v>
      </c>
    </row>
    <row r="19" spans="1:4" x14ac:dyDescent="0.35">
      <c r="A19" s="1">
        <v>39</v>
      </c>
      <c r="B19" s="2">
        <v>46092</v>
      </c>
      <c r="C19" s="1" t="s">
        <v>9</v>
      </c>
      <c r="D19" s="1">
        <f>MONTH(Tabela9[[#This Row],[DATA]])</f>
        <v>3</v>
      </c>
    </row>
    <row r="20" spans="1:4" x14ac:dyDescent="0.35">
      <c r="A20" s="1">
        <v>38</v>
      </c>
      <c r="B20" s="2">
        <v>46092</v>
      </c>
      <c r="C20" s="1" t="s">
        <v>28</v>
      </c>
      <c r="D20" s="1">
        <f>MONTH(Tabela9[[#This Row],[DATA]])</f>
        <v>3</v>
      </c>
    </row>
    <row r="21" spans="1:4" x14ac:dyDescent="0.35">
      <c r="A21" s="1">
        <v>39</v>
      </c>
      <c r="B21" s="2">
        <v>46092</v>
      </c>
      <c r="C21" s="1" t="s">
        <v>9</v>
      </c>
      <c r="D21" s="1">
        <f>MONTH(Tabela9[[#This Row],[DATA]])</f>
        <v>3</v>
      </c>
    </row>
    <row r="22" spans="1:4" x14ac:dyDescent="0.35">
      <c r="A22" s="1">
        <v>40</v>
      </c>
      <c r="B22" s="2">
        <v>46097</v>
      </c>
      <c r="C22" s="1" t="s">
        <v>28</v>
      </c>
      <c r="D22" s="1">
        <f>MONTH(Tabela9[[#This Row],[DATA]])</f>
        <v>3</v>
      </c>
    </row>
    <row r="23" spans="1:4" x14ac:dyDescent="0.35">
      <c r="A23" s="1">
        <v>40</v>
      </c>
      <c r="B23" s="2">
        <v>46097</v>
      </c>
      <c r="C23" s="1" t="s">
        <v>28</v>
      </c>
      <c r="D23" s="1">
        <f>MONTH(Tabela9[[#This Row],[DATA]])</f>
        <v>3</v>
      </c>
    </row>
    <row r="24" spans="1:4" x14ac:dyDescent="0.35">
      <c r="A24" s="1">
        <v>41</v>
      </c>
      <c r="B24" s="2">
        <v>46098</v>
      </c>
      <c r="C24" s="1" t="s">
        <v>9</v>
      </c>
      <c r="D24" s="1">
        <f>MONTH(Tabela9[[#This Row],[DATA]])</f>
        <v>3</v>
      </c>
    </row>
    <row r="25" spans="1:4" x14ac:dyDescent="0.35">
      <c r="A25" s="1">
        <v>41</v>
      </c>
      <c r="B25" s="2">
        <v>46098</v>
      </c>
      <c r="C25" s="1" t="s">
        <v>9</v>
      </c>
      <c r="D25" s="1">
        <f>MONTH(Tabela9[[#This Row],[DATA]])</f>
        <v>3</v>
      </c>
    </row>
    <row r="26" spans="1:4" x14ac:dyDescent="0.35">
      <c r="A26" s="1">
        <v>42</v>
      </c>
      <c r="B26" s="2">
        <v>46105</v>
      </c>
      <c r="C26" s="1" t="s">
        <v>9</v>
      </c>
      <c r="D26" s="1">
        <f>MONTH(Tabela9[[#This Row],[DATA]])</f>
        <v>3</v>
      </c>
    </row>
    <row r="27" spans="1:4" x14ac:dyDescent="0.35">
      <c r="A27" s="1">
        <v>42</v>
      </c>
      <c r="B27" s="2">
        <v>46105</v>
      </c>
      <c r="C27" s="1" t="s">
        <v>9</v>
      </c>
      <c r="D27" s="1">
        <f>MONTH(Tabela9[[#This Row],[DATA]])</f>
        <v>3</v>
      </c>
    </row>
    <row r="28" spans="1:4" x14ac:dyDescent="0.35">
      <c r="A28" s="1">
        <v>43</v>
      </c>
      <c r="B28" s="2">
        <v>46106</v>
      </c>
      <c r="C28" s="1" t="s">
        <v>28</v>
      </c>
      <c r="D28" s="1">
        <f>MONTH(Tabela9[[#This Row],[DATA]])</f>
        <v>3</v>
      </c>
    </row>
    <row r="29" spans="1:4" x14ac:dyDescent="0.35">
      <c r="A29" s="1">
        <v>43</v>
      </c>
      <c r="B29" s="2">
        <v>46106</v>
      </c>
      <c r="C29" s="1" t="s">
        <v>28</v>
      </c>
      <c r="D29" s="1">
        <f>MONTH(Tabela9[[#This Row],[DATA]])</f>
        <v>3</v>
      </c>
    </row>
    <row r="30" spans="1:4" x14ac:dyDescent="0.35">
      <c r="A30" s="1">
        <v>44</v>
      </c>
      <c r="B30" s="2">
        <v>46112</v>
      </c>
      <c r="C30" s="1" t="s">
        <v>9</v>
      </c>
      <c r="D30" s="1">
        <f>MONTH(Tabela9[[#This Row],[DATA]])</f>
        <v>3</v>
      </c>
    </row>
    <row r="31" spans="1:4" x14ac:dyDescent="0.35">
      <c r="A31" s="1">
        <v>44</v>
      </c>
      <c r="B31" s="2">
        <v>46112</v>
      </c>
      <c r="C31" s="1" t="s">
        <v>9</v>
      </c>
      <c r="D31" s="1">
        <f>MONTH(Tabela9[[#This Row],[DATA]])</f>
        <v>3</v>
      </c>
    </row>
    <row r="32" spans="1:4" x14ac:dyDescent="0.35">
      <c r="A32" s="1">
        <v>45</v>
      </c>
      <c r="B32" s="2">
        <v>46120</v>
      </c>
      <c r="C32" s="1" t="s">
        <v>28</v>
      </c>
      <c r="D32" s="1">
        <f>MONTH(Tabela9[[#This Row],[DATA]])</f>
        <v>4</v>
      </c>
    </row>
    <row r="33" spans="1:4" x14ac:dyDescent="0.35">
      <c r="A33" s="1">
        <v>45</v>
      </c>
      <c r="B33" s="2">
        <v>46120</v>
      </c>
      <c r="C33" s="1" t="s">
        <v>28</v>
      </c>
      <c r="D33" s="1">
        <f>MONTH(Tabela9[[#This Row],[DATA]])</f>
        <v>4</v>
      </c>
    </row>
    <row r="34" spans="1:4" x14ac:dyDescent="0.35">
      <c r="A34" s="1">
        <v>46</v>
      </c>
      <c r="B34" s="2">
        <v>46125</v>
      </c>
      <c r="C34" s="1" t="s">
        <v>5</v>
      </c>
      <c r="D34" s="1">
        <f>MONTH(Tabela9[[#This Row],[DATA]])</f>
        <v>4</v>
      </c>
    </row>
    <row r="35" spans="1:4" x14ac:dyDescent="0.35">
      <c r="A35" s="1">
        <v>46</v>
      </c>
      <c r="B35" s="2">
        <v>46125</v>
      </c>
      <c r="C35" s="1" t="s">
        <v>5</v>
      </c>
      <c r="D35" s="1">
        <f>MONTH(Tabela9[[#This Row],[DATA]])</f>
        <v>4</v>
      </c>
    </row>
    <row r="36" spans="1:4" x14ac:dyDescent="0.35">
      <c r="A36" s="1">
        <v>47</v>
      </c>
      <c r="B36" s="2">
        <v>46126</v>
      </c>
      <c r="C36" s="1" t="s">
        <v>69</v>
      </c>
      <c r="D36" s="1">
        <f>MONTH(Tabela9[[#This Row],[DATA]])</f>
        <v>4</v>
      </c>
    </row>
    <row r="37" spans="1:4" x14ac:dyDescent="0.35">
      <c r="A37" s="1">
        <v>48</v>
      </c>
      <c r="B37" s="2">
        <v>46126</v>
      </c>
      <c r="C37" s="1" t="s">
        <v>69</v>
      </c>
      <c r="D37" s="1">
        <f>MONTH(Tabela9[[#This Row],[DATA]])</f>
        <v>4</v>
      </c>
    </row>
    <row r="38" spans="1:4" x14ac:dyDescent="0.35">
      <c r="A38" s="1">
        <v>49</v>
      </c>
      <c r="B38" s="2">
        <v>46126</v>
      </c>
      <c r="C38" s="1" t="s">
        <v>69</v>
      </c>
      <c r="D38" s="1">
        <f>MONTH(Tabela9[[#This Row],[DATA]])</f>
        <v>4</v>
      </c>
    </row>
    <row r="39" spans="1:4" x14ac:dyDescent="0.35">
      <c r="A39" s="1">
        <v>47</v>
      </c>
      <c r="B39" s="2">
        <v>46126</v>
      </c>
      <c r="C39" s="1" t="s">
        <v>69</v>
      </c>
      <c r="D39" s="1">
        <f>MONTH(Tabela9[[#This Row],[DATA]])</f>
        <v>4</v>
      </c>
    </row>
    <row r="40" spans="1:4" x14ac:dyDescent="0.35">
      <c r="A40" s="1">
        <v>48</v>
      </c>
      <c r="B40" s="2">
        <v>46126</v>
      </c>
      <c r="C40" s="1" t="s">
        <v>69</v>
      </c>
      <c r="D40" s="1">
        <f>MONTH(Tabela9[[#This Row],[DATA]])</f>
        <v>4</v>
      </c>
    </row>
    <row r="41" spans="1:4" x14ac:dyDescent="0.35">
      <c r="A41" s="1">
        <v>49</v>
      </c>
      <c r="B41" s="2">
        <v>46126</v>
      </c>
      <c r="C41" s="1" t="s">
        <v>69</v>
      </c>
      <c r="D41" s="1">
        <f>MONTH(Tabela9[[#This Row],[DATA]])</f>
        <v>4</v>
      </c>
    </row>
    <row r="42" spans="1:4" x14ac:dyDescent="0.35">
      <c r="A42" s="1">
        <v>50</v>
      </c>
      <c r="B42" s="2">
        <v>46127</v>
      </c>
      <c r="C42" s="1" t="s">
        <v>22</v>
      </c>
      <c r="D42" s="1">
        <f>MONTH(Tabela9[[#This Row],[DATA]])</f>
        <v>4</v>
      </c>
    </row>
    <row r="43" spans="1:4" x14ac:dyDescent="0.35">
      <c r="A43" s="1">
        <v>50</v>
      </c>
      <c r="B43" s="2">
        <v>46127</v>
      </c>
      <c r="C43" s="1" t="s">
        <v>22</v>
      </c>
      <c r="D43" s="1">
        <f>MONTH(Tabela9[[#This Row],[DATA]])</f>
        <v>4</v>
      </c>
    </row>
    <row r="44" spans="1:4" x14ac:dyDescent="0.35">
      <c r="A44" s="1">
        <v>51</v>
      </c>
      <c r="B44" s="2">
        <v>46128</v>
      </c>
      <c r="C44" s="1" t="s">
        <v>22</v>
      </c>
      <c r="D44" s="1">
        <f>MONTH(Tabela9[[#This Row],[DATA]])</f>
        <v>4</v>
      </c>
    </row>
    <row r="45" spans="1:4" x14ac:dyDescent="0.35">
      <c r="A45" s="1">
        <v>51</v>
      </c>
      <c r="B45" s="2">
        <v>46128</v>
      </c>
      <c r="C45" s="1" t="s">
        <v>22</v>
      </c>
      <c r="D45" s="1">
        <f>MONTH(Tabela9[[#This Row],[DATA]])</f>
        <v>4</v>
      </c>
    </row>
    <row r="46" spans="1:4" x14ac:dyDescent="0.35">
      <c r="A46" s="1">
        <v>52</v>
      </c>
      <c r="B46" s="2">
        <v>46130</v>
      </c>
      <c r="C46" s="1" t="s">
        <v>69</v>
      </c>
      <c r="D46" s="1">
        <f>MONTH(Tabela9[[#This Row],[DATA]])</f>
        <v>4</v>
      </c>
    </row>
    <row r="47" spans="1:4" x14ac:dyDescent="0.35">
      <c r="A47" s="1">
        <v>53</v>
      </c>
      <c r="B47" s="2">
        <v>46130</v>
      </c>
      <c r="C47" s="1" t="s">
        <v>70</v>
      </c>
      <c r="D47" s="1">
        <f>MONTH(Tabela9[[#This Row],[DATA]])</f>
        <v>4</v>
      </c>
    </row>
    <row r="48" spans="1:4" x14ac:dyDescent="0.35">
      <c r="A48" s="1">
        <v>52</v>
      </c>
      <c r="B48" s="2">
        <v>46130</v>
      </c>
      <c r="C48" s="1" t="s">
        <v>69</v>
      </c>
      <c r="D48" s="1">
        <f>MONTH(Tabela9[[#This Row],[DATA]])</f>
        <v>4</v>
      </c>
    </row>
    <row r="49" spans="1:4" x14ac:dyDescent="0.35">
      <c r="A49" s="1">
        <v>53</v>
      </c>
      <c r="B49" s="2">
        <v>46130</v>
      </c>
      <c r="C49" s="1" t="s">
        <v>70</v>
      </c>
      <c r="D49" s="1">
        <f>MONTH(Tabela9[[#This Row],[DATA]])</f>
        <v>4</v>
      </c>
    </row>
    <row r="50" spans="1:4" x14ac:dyDescent="0.35">
      <c r="A50" s="1">
        <v>54</v>
      </c>
      <c r="B50" s="2">
        <v>46132</v>
      </c>
      <c r="C50" s="1" t="s">
        <v>6</v>
      </c>
      <c r="D50" s="1">
        <f>MONTH(Tabela9[[#This Row],[DATA]])</f>
        <v>4</v>
      </c>
    </row>
    <row r="51" spans="1:4" x14ac:dyDescent="0.35">
      <c r="A51" s="1">
        <v>55</v>
      </c>
      <c r="B51" s="2">
        <v>46132</v>
      </c>
      <c r="C51" s="1" t="s">
        <v>28</v>
      </c>
      <c r="D51" s="1">
        <f>MONTH(Tabela9[[#This Row],[DATA]])</f>
        <v>4</v>
      </c>
    </row>
    <row r="52" spans="1:4" x14ac:dyDescent="0.35">
      <c r="A52" s="1">
        <v>54</v>
      </c>
      <c r="B52" s="2">
        <v>46132</v>
      </c>
      <c r="C52" s="1" t="s">
        <v>6</v>
      </c>
      <c r="D52" s="1">
        <f>MONTH(Tabela9[[#This Row],[DATA]])</f>
        <v>4</v>
      </c>
    </row>
    <row r="53" spans="1:4" x14ac:dyDescent="0.35">
      <c r="A53" s="1">
        <v>55</v>
      </c>
      <c r="B53" s="2">
        <v>46132</v>
      </c>
      <c r="C53" s="1" t="s">
        <v>28</v>
      </c>
      <c r="D53" s="1">
        <f>MONTH(Tabela9[[#This Row],[DATA]])</f>
        <v>4</v>
      </c>
    </row>
    <row r="54" spans="1:4" x14ac:dyDescent="0.35">
      <c r="A54" s="1">
        <v>56</v>
      </c>
      <c r="B54" s="2">
        <v>46133</v>
      </c>
      <c r="C54" s="1" t="s">
        <v>69</v>
      </c>
      <c r="D54" s="1">
        <f>MONTH(Tabela9[[#This Row],[DATA]])</f>
        <v>4</v>
      </c>
    </row>
    <row r="55" spans="1:4" x14ac:dyDescent="0.35">
      <c r="A55" s="1">
        <v>56</v>
      </c>
      <c r="B55" s="2">
        <v>46133</v>
      </c>
      <c r="C55" s="1" t="s">
        <v>69</v>
      </c>
      <c r="D55" s="1">
        <f>MONTH(Tabela9[[#This Row],[DATA]])</f>
        <v>4</v>
      </c>
    </row>
    <row r="56" spans="1:4" x14ac:dyDescent="0.35">
      <c r="A56" s="1">
        <v>57</v>
      </c>
      <c r="B56" s="2">
        <v>46134</v>
      </c>
      <c r="C56" s="1" t="s">
        <v>69</v>
      </c>
      <c r="D56" s="1">
        <f>MONTH(Tabela9[[#This Row],[DATA]])</f>
        <v>4</v>
      </c>
    </row>
    <row r="57" spans="1:4" x14ac:dyDescent="0.35">
      <c r="A57" s="1">
        <v>57</v>
      </c>
      <c r="B57" s="2">
        <v>46134</v>
      </c>
      <c r="C57" s="1" t="s">
        <v>69</v>
      </c>
      <c r="D57" s="1">
        <f>MONTH(Tabela9[[#This Row],[DATA]])</f>
        <v>4</v>
      </c>
    </row>
    <row r="58" spans="1:4" x14ac:dyDescent="0.35">
      <c r="A58" s="1">
        <v>58</v>
      </c>
      <c r="B58" s="2">
        <v>46136</v>
      </c>
      <c r="C58" s="1" t="s">
        <v>24</v>
      </c>
      <c r="D58" s="1">
        <f>MONTH(Tabela9[[#This Row],[DATA]])</f>
        <v>4</v>
      </c>
    </row>
    <row r="59" spans="1:4" x14ac:dyDescent="0.35">
      <c r="A59" s="1">
        <v>59</v>
      </c>
      <c r="B59" s="2">
        <v>46136</v>
      </c>
      <c r="C59" s="1" t="s">
        <v>9</v>
      </c>
      <c r="D59" s="1">
        <f>MONTH(Tabela9[[#This Row],[DATA]])</f>
        <v>4</v>
      </c>
    </row>
    <row r="60" spans="1:4" x14ac:dyDescent="0.35">
      <c r="A60" s="1">
        <v>60</v>
      </c>
      <c r="B60" s="2">
        <v>46136</v>
      </c>
      <c r="C60" s="1" t="s">
        <v>24</v>
      </c>
      <c r="D60" s="1">
        <f>MONTH(Tabela9[[#This Row],[DATA]])</f>
        <v>4</v>
      </c>
    </row>
    <row r="61" spans="1:4" x14ac:dyDescent="0.35">
      <c r="A61" s="1">
        <v>61</v>
      </c>
      <c r="B61" s="2">
        <v>46136</v>
      </c>
      <c r="C61" s="1" t="s">
        <v>9</v>
      </c>
      <c r="D61" s="1">
        <f>MONTH(Tabela9[[#This Row],[DATA]])</f>
        <v>4</v>
      </c>
    </row>
    <row r="62" spans="1:4" x14ac:dyDescent="0.35">
      <c r="A62" s="1">
        <v>62</v>
      </c>
      <c r="B62" s="2">
        <v>46136</v>
      </c>
      <c r="C62" s="1" t="s">
        <v>24</v>
      </c>
      <c r="D62" s="1">
        <f>MONTH(Tabela9[[#This Row],[DATA]])</f>
        <v>4</v>
      </c>
    </row>
    <row r="63" spans="1:4" x14ac:dyDescent="0.35">
      <c r="A63" s="1">
        <v>63</v>
      </c>
      <c r="B63" s="2">
        <v>46136</v>
      </c>
      <c r="C63" s="1" t="s">
        <v>24</v>
      </c>
      <c r="D63" s="1">
        <f>MONTH(Tabela9[[#This Row],[DATA]])</f>
        <v>4</v>
      </c>
    </row>
    <row r="64" spans="1:4" x14ac:dyDescent="0.35">
      <c r="A64" s="1">
        <v>64</v>
      </c>
      <c r="B64" s="2">
        <v>46136</v>
      </c>
      <c r="C64" s="1" t="s">
        <v>24</v>
      </c>
      <c r="D64" s="1">
        <f>MONTH(Tabela9[[#This Row],[DATA]])</f>
        <v>4</v>
      </c>
    </row>
    <row r="65" spans="1:4" x14ac:dyDescent="0.35">
      <c r="A65" s="1">
        <v>65</v>
      </c>
      <c r="B65" s="2">
        <v>46136</v>
      </c>
      <c r="C65" s="1" t="s">
        <v>24</v>
      </c>
      <c r="D65" s="1">
        <f>MONTH(Tabela9[[#This Row],[DATA]])</f>
        <v>4</v>
      </c>
    </row>
    <row r="66" spans="1:4" x14ac:dyDescent="0.35">
      <c r="A66" s="1">
        <v>66</v>
      </c>
      <c r="B66" s="2">
        <v>46136</v>
      </c>
      <c r="C66" s="1" t="s">
        <v>24</v>
      </c>
      <c r="D66" s="1">
        <f>MONTH(Tabela9[[#This Row],[DATA]])</f>
        <v>4</v>
      </c>
    </row>
    <row r="67" spans="1:4" x14ac:dyDescent="0.35">
      <c r="A67" s="1">
        <v>58</v>
      </c>
      <c r="B67" s="2">
        <v>46136</v>
      </c>
      <c r="C67" s="1" t="s">
        <v>24</v>
      </c>
      <c r="D67" s="1">
        <f>MONTH(Tabela9[[#This Row],[DATA]])</f>
        <v>4</v>
      </c>
    </row>
    <row r="68" spans="1:4" x14ac:dyDescent="0.35">
      <c r="A68" s="1">
        <v>59</v>
      </c>
      <c r="B68" s="2">
        <v>46136</v>
      </c>
      <c r="C68" s="1" t="s">
        <v>9</v>
      </c>
      <c r="D68" s="1">
        <f>MONTH(Tabela9[[#This Row],[DATA]])</f>
        <v>4</v>
      </c>
    </row>
    <row r="69" spans="1:4" x14ac:dyDescent="0.35">
      <c r="A69" s="1">
        <v>60</v>
      </c>
      <c r="B69" s="2">
        <v>46136</v>
      </c>
      <c r="C69" s="1" t="s">
        <v>24</v>
      </c>
      <c r="D69" s="1">
        <f>MONTH(Tabela9[[#This Row],[DATA]])</f>
        <v>4</v>
      </c>
    </row>
    <row r="70" spans="1:4" x14ac:dyDescent="0.35">
      <c r="A70" s="1">
        <v>61</v>
      </c>
      <c r="B70" s="2">
        <v>46136</v>
      </c>
      <c r="C70" s="1" t="s">
        <v>9</v>
      </c>
      <c r="D70" s="1">
        <f>MONTH(Tabela9[[#This Row],[DATA]])</f>
        <v>4</v>
      </c>
    </row>
    <row r="71" spans="1:4" x14ac:dyDescent="0.35">
      <c r="A71" s="1">
        <v>62</v>
      </c>
      <c r="B71" s="2">
        <v>46136</v>
      </c>
      <c r="C71" s="1" t="s">
        <v>24</v>
      </c>
      <c r="D71" s="1">
        <f>MONTH(Tabela9[[#This Row],[DATA]])</f>
        <v>4</v>
      </c>
    </row>
    <row r="72" spans="1:4" x14ac:dyDescent="0.35">
      <c r="A72" s="1">
        <v>63</v>
      </c>
      <c r="B72" s="2">
        <v>46136</v>
      </c>
      <c r="C72" s="1" t="s">
        <v>24</v>
      </c>
      <c r="D72" s="1">
        <f>MONTH(Tabela9[[#This Row],[DATA]])</f>
        <v>4</v>
      </c>
    </row>
    <row r="73" spans="1:4" x14ac:dyDescent="0.35">
      <c r="A73" s="1">
        <v>64</v>
      </c>
      <c r="B73" s="2">
        <v>46136</v>
      </c>
      <c r="C73" s="1" t="s">
        <v>24</v>
      </c>
      <c r="D73" s="1">
        <f>MONTH(Tabela9[[#This Row],[DATA]])</f>
        <v>4</v>
      </c>
    </row>
    <row r="74" spans="1:4" x14ac:dyDescent="0.35">
      <c r="A74" s="1">
        <v>65</v>
      </c>
      <c r="B74" s="2">
        <v>46136</v>
      </c>
      <c r="C74" s="1" t="s">
        <v>24</v>
      </c>
      <c r="D74" s="1">
        <f>MONTH(Tabela9[[#This Row],[DATA]])</f>
        <v>4</v>
      </c>
    </row>
    <row r="75" spans="1:4" x14ac:dyDescent="0.35">
      <c r="A75" s="1">
        <v>66</v>
      </c>
      <c r="B75" s="2">
        <v>46136</v>
      </c>
      <c r="C75" s="1" t="s">
        <v>24</v>
      </c>
      <c r="D75" s="1">
        <f>MONTH(Tabela9[[#This Row],[DATA]])</f>
        <v>4</v>
      </c>
    </row>
    <row r="76" spans="1:4" x14ac:dyDescent="0.35">
      <c r="A76" s="1">
        <v>67</v>
      </c>
      <c r="B76" s="2">
        <v>46139</v>
      </c>
      <c r="C76" s="1" t="s">
        <v>24</v>
      </c>
      <c r="D76" s="1">
        <f>MONTH(Tabela9[[#This Row],[DATA]])</f>
        <v>4</v>
      </c>
    </row>
    <row r="77" spans="1:4" x14ac:dyDescent="0.35">
      <c r="A77" s="1">
        <v>67</v>
      </c>
      <c r="B77" s="2">
        <v>46139</v>
      </c>
      <c r="C77" s="1" t="s">
        <v>24</v>
      </c>
      <c r="D77" s="1">
        <f>MONTH(Tabela9[[#This Row],[DATA]])</f>
        <v>4</v>
      </c>
    </row>
    <row r="78" spans="1:4" x14ac:dyDescent="0.35">
      <c r="A78" s="1">
        <v>68</v>
      </c>
      <c r="B78" s="2">
        <v>46142</v>
      </c>
      <c r="C78" s="1" t="s">
        <v>28</v>
      </c>
      <c r="D78" s="1">
        <f>MONTH(Tabela9[[#This Row],[DATA]])</f>
        <v>4</v>
      </c>
    </row>
    <row r="79" spans="1:4" x14ac:dyDescent="0.35">
      <c r="A79" s="1">
        <v>68</v>
      </c>
      <c r="B79" s="2">
        <v>46142</v>
      </c>
      <c r="C79" s="1" t="s">
        <v>28</v>
      </c>
      <c r="D79" s="1">
        <f>MONTH(Tabela9[[#This Row],[DATA]])</f>
        <v>4</v>
      </c>
    </row>
    <row r="80" spans="1:4" x14ac:dyDescent="0.35">
      <c r="A80" s="1">
        <v>69</v>
      </c>
      <c r="B80" s="2">
        <v>46148</v>
      </c>
      <c r="C80" s="1" t="s">
        <v>24</v>
      </c>
      <c r="D80" s="1">
        <f>MONTH(Tabela9[[#This Row],[DATA]])</f>
        <v>5</v>
      </c>
    </row>
    <row r="81" spans="1:4" x14ac:dyDescent="0.35">
      <c r="A81" s="1">
        <v>70</v>
      </c>
      <c r="B81" s="2">
        <v>46148</v>
      </c>
      <c r="C81" s="1" t="s">
        <v>24</v>
      </c>
      <c r="D81" s="1">
        <f>MONTH(Tabela9[[#This Row],[DATA]])</f>
        <v>5</v>
      </c>
    </row>
    <row r="82" spans="1:4" x14ac:dyDescent="0.35">
      <c r="A82" s="1">
        <v>71</v>
      </c>
      <c r="B82" s="2">
        <v>46148</v>
      </c>
      <c r="C82" s="1" t="s">
        <v>24</v>
      </c>
      <c r="D82" s="1">
        <f>MONTH(Tabela9[[#This Row],[DATA]])</f>
        <v>5</v>
      </c>
    </row>
    <row r="83" spans="1:4" x14ac:dyDescent="0.35">
      <c r="A83" s="1">
        <v>72</v>
      </c>
      <c r="B83" s="2">
        <v>46148</v>
      </c>
      <c r="C83" s="1" t="s">
        <v>24</v>
      </c>
      <c r="D83" s="1">
        <f>MONTH(Tabela9[[#This Row],[DATA]])</f>
        <v>5</v>
      </c>
    </row>
    <row r="84" spans="1:4" x14ac:dyDescent="0.35">
      <c r="A84" s="1">
        <v>73</v>
      </c>
      <c r="B84" s="2">
        <v>46148</v>
      </c>
      <c r="C84" s="1" t="s">
        <v>5</v>
      </c>
      <c r="D84" s="1">
        <f>MONTH(Tabela9[[#This Row],[DATA]])</f>
        <v>5</v>
      </c>
    </row>
    <row r="85" spans="1:4" x14ac:dyDescent="0.35">
      <c r="A85" s="1">
        <v>69</v>
      </c>
      <c r="B85" s="2">
        <v>46148</v>
      </c>
      <c r="C85" s="1" t="s">
        <v>24</v>
      </c>
      <c r="D85" s="1">
        <f>MONTH(Tabela9[[#This Row],[DATA]])</f>
        <v>5</v>
      </c>
    </row>
    <row r="86" spans="1:4" x14ac:dyDescent="0.35">
      <c r="A86" s="1">
        <v>70</v>
      </c>
      <c r="B86" s="2">
        <v>46148</v>
      </c>
      <c r="C86" s="1" t="s">
        <v>24</v>
      </c>
      <c r="D86" s="1">
        <f>MONTH(Tabela9[[#This Row],[DATA]])</f>
        <v>5</v>
      </c>
    </row>
    <row r="87" spans="1:4" x14ac:dyDescent="0.35">
      <c r="A87" s="1">
        <v>71</v>
      </c>
      <c r="B87" s="2">
        <v>46148</v>
      </c>
      <c r="C87" s="1" t="s">
        <v>24</v>
      </c>
      <c r="D87" s="1">
        <f>MONTH(Tabela9[[#This Row],[DATA]])</f>
        <v>5</v>
      </c>
    </row>
    <row r="88" spans="1:4" x14ac:dyDescent="0.35">
      <c r="A88" s="1">
        <v>72</v>
      </c>
      <c r="B88" s="2">
        <v>46148</v>
      </c>
      <c r="C88" s="1" t="s">
        <v>24</v>
      </c>
      <c r="D88" s="1">
        <f>MONTH(Tabela9[[#This Row],[DATA]])</f>
        <v>5</v>
      </c>
    </row>
    <row r="89" spans="1:4" x14ac:dyDescent="0.35">
      <c r="A89" s="1">
        <v>73</v>
      </c>
      <c r="B89" s="2">
        <v>46148</v>
      </c>
      <c r="C89" s="1" t="s">
        <v>5</v>
      </c>
      <c r="D89" s="1">
        <f>MONTH(Tabela9[[#This Row],[DATA]])</f>
        <v>5</v>
      </c>
    </row>
    <row r="90" spans="1:4" x14ac:dyDescent="0.35">
      <c r="A90" s="1">
        <v>74</v>
      </c>
      <c r="B90" s="2">
        <v>46149</v>
      </c>
      <c r="C90" s="1" t="s">
        <v>24</v>
      </c>
      <c r="D90" s="1">
        <f>MONTH(Tabela9[[#This Row],[DATA]])</f>
        <v>5</v>
      </c>
    </row>
    <row r="91" spans="1:4" x14ac:dyDescent="0.35">
      <c r="A91" s="1">
        <v>75</v>
      </c>
      <c r="B91" s="2">
        <v>46149</v>
      </c>
      <c r="C91" s="1" t="s">
        <v>9</v>
      </c>
      <c r="D91" s="1">
        <f>MONTH(Tabela9[[#This Row],[DATA]])</f>
        <v>5</v>
      </c>
    </row>
    <row r="92" spans="1:4" x14ac:dyDescent="0.35">
      <c r="A92" s="1">
        <v>76</v>
      </c>
      <c r="B92" s="2">
        <v>46149</v>
      </c>
      <c r="C92" s="1" t="s">
        <v>9</v>
      </c>
      <c r="D92" s="1">
        <f>MONTH(Tabela9[[#This Row],[DATA]])</f>
        <v>5</v>
      </c>
    </row>
    <row r="93" spans="1:4" x14ac:dyDescent="0.35">
      <c r="A93" s="1">
        <v>77</v>
      </c>
      <c r="B93" s="2">
        <v>46149</v>
      </c>
      <c r="C93" s="1" t="s">
        <v>9</v>
      </c>
      <c r="D93" s="1">
        <f>MONTH(Tabela9[[#This Row],[DATA]])</f>
        <v>5</v>
      </c>
    </row>
    <row r="94" spans="1:4" x14ac:dyDescent="0.35">
      <c r="A94" s="1">
        <v>74</v>
      </c>
      <c r="B94" s="2">
        <v>46149</v>
      </c>
      <c r="C94" s="1" t="s">
        <v>24</v>
      </c>
      <c r="D94" s="1">
        <f>MONTH(Tabela9[[#This Row],[DATA]])</f>
        <v>5</v>
      </c>
    </row>
    <row r="95" spans="1:4" x14ac:dyDescent="0.35">
      <c r="A95" s="1">
        <v>75</v>
      </c>
      <c r="B95" s="2">
        <v>46149</v>
      </c>
      <c r="C95" s="1" t="s">
        <v>9</v>
      </c>
      <c r="D95" s="1">
        <f>MONTH(Tabela9[[#This Row],[DATA]])</f>
        <v>5</v>
      </c>
    </row>
    <row r="96" spans="1:4" x14ac:dyDescent="0.35">
      <c r="A96" s="1">
        <v>76</v>
      </c>
      <c r="B96" s="2">
        <v>46149</v>
      </c>
      <c r="C96" s="1" t="s">
        <v>9</v>
      </c>
      <c r="D96" s="1">
        <f>MONTH(Tabela9[[#This Row],[DATA]])</f>
        <v>5</v>
      </c>
    </row>
    <row r="97" spans="1:4" x14ac:dyDescent="0.35">
      <c r="A97" s="1">
        <v>77</v>
      </c>
      <c r="B97" s="2">
        <v>46149</v>
      </c>
      <c r="C97" s="1" t="s">
        <v>9</v>
      </c>
      <c r="D97" s="1">
        <f>MONTH(Tabela9[[#This Row],[DATA]])</f>
        <v>5</v>
      </c>
    </row>
    <row r="98" spans="1:4" x14ac:dyDescent="0.35">
      <c r="A98" s="1">
        <v>78</v>
      </c>
      <c r="B98" s="2">
        <v>46150</v>
      </c>
      <c r="C98" s="1" t="s">
        <v>24</v>
      </c>
      <c r="D98" s="1">
        <f>MONTH(Tabela9[[#This Row],[DATA]])</f>
        <v>5</v>
      </c>
    </row>
    <row r="99" spans="1:4" x14ac:dyDescent="0.35">
      <c r="A99" s="1">
        <v>78</v>
      </c>
      <c r="B99" s="2">
        <v>46150</v>
      </c>
      <c r="C99" s="1" t="s">
        <v>24</v>
      </c>
      <c r="D99" s="1">
        <f>MONTH(Tabela9[[#This Row],[DATA]])</f>
        <v>5</v>
      </c>
    </row>
    <row r="100" spans="1:4" x14ac:dyDescent="0.35">
      <c r="A100" s="1">
        <v>79</v>
      </c>
      <c r="B100" s="2">
        <v>46154</v>
      </c>
      <c r="C100" s="1" t="s">
        <v>28</v>
      </c>
      <c r="D100" s="1">
        <f>MONTH(Tabela9[[#This Row],[DATA]])</f>
        <v>5</v>
      </c>
    </row>
    <row r="101" spans="1:4" x14ac:dyDescent="0.35">
      <c r="A101" s="1">
        <v>80</v>
      </c>
      <c r="B101" s="2">
        <v>46154</v>
      </c>
      <c r="C101" s="1" t="s">
        <v>24</v>
      </c>
      <c r="D101" s="1">
        <f>MONTH(Tabela9[[#This Row],[DATA]])</f>
        <v>5</v>
      </c>
    </row>
    <row r="102" spans="1:4" x14ac:dyDescent="0.35">
      <c r="A102" s="1">
        <v>79</v>
      </c>
      <c r="B102" s="2">
        <v>46154</v>
      </c>
      <c r="C102" s="1" t="s">
        <v>28</v>
      </c>
      <c r="D102" s="1">
        <f>MONTH(Tabela9[[#This Row],[DATA]])</f>
        <v>5</v>
      </c>
    </row>
    <row r="103" spans="1:4" x14ac:dyDescent="0.35">
      <c r="A103" s="1">
        <v>80</v>
      </c>
      <c r="B103" s="2">
        <v>46154</v>
      </c>
      <c r="C103" s="1" t="s">
        <v>24</v>
      </c>
      <c r="D103" s="1">
        <f>MONTH(Tabela9[[#This Row],[DATA]])</f>
        <v>5</v>
      </c>
    </row>
    <row r="104" spans="1:4" x14ac:dyDescent="0.35">
      <c r="A104" s="1">
        <v>81</v>
      </c>
      <c r="B104" s="2">
        <v>46155</v>
      </c>
      <c r="C104" s="1" t="s">
        <v>9</v>
      </c>
      <c r="D104" s="1">
        <f>MONTH(Tabela9[[#This Row],[DATA]])</f>
        <v>5</v>
      </c>
    </row>
    <row r="105" spans="1:4" x14ac:dyDescent="0.35">
      <c r="A105" s="1">
        <v>82</v>
      </c>
      <c r="B105" s="2">
        <v>46155</v>
      </c>
      <c r="C105" s="1" t="s">
        <v>9</v>
      </c>
      <c r="D105" s="1">
        <f>MONTH(Tabela9[[#This Row],[DATA]])</f>
        <v>5</v>
      </c>
    </row>
    <row r="106" spans="1:4" x14ac:dyDescent="0.35">
      <c r="A106" s="1">
        <v>81</v>
      </c>
      <c r="B106" s="2">
        <v>46155</v>
      </c>
      <c r="C106" s="1" t="s">
        <v>9</v>
      </c>
      <c r="D106" s="1">
        <f>MONTH(Tabela9[[#This Row],[DATA]])</f>
        <v>5</v>
      </c>
    </row>
    <row r="107" spans="1:4" x14ac:dyDescent="0.35">
      <c r="A107" s="1">
        <v>82</v>
      </c>
      <c r="B107" s="2">
        <v>46155</v>
      </c>
      <c r="C107" s="1" t="s">
        <v>9</v>
      </c>
      <c r="D107" s="1">
        <f>MONTH(Tabela9[[#This Row],[DATA]])</f>
        <v>5</v>
      </c>
    </row>
    <row r="108" spans="1:4" x14ac:dyDescent="0.35">
      <c r="A108" s="1">
        <v>83</v>
      </c>
      <c r="B108" s="2">
        <v>46157</v>
      </c>
      <c r="C108" s="1" t="s">
        <v>9</v>
      </c>
      <c r="D108" s="1">
        <f>MONTH(Tabela9[[#This Row],[DATA]])</f>
        <v>5</v>
      </c>
    </row>
    <row r="109" spans="1:4" x14ac:dyDescent="0.35">
      <c r="A109" s="1">
        <v>83</v>
      </c>
      <c r="B109" s="2">
        <v>46157</v>
      </c>
      <c r="C109" s="1" t="s">
        <v>9</v>
      </c>
      <c r="D109" s="1">
        <f>MONTH(Tabela9[[#This Row],[DATA]])</f>
        <v>5</v>
      </c>
    </row>
    <row r="110" spans="1:4" x14ac:dyDescent="0.35">
      <c r="A110" s="1">
        <v>84</v>
      </c>
      <c r="B110" s="2">
        <v>46160</v>
      </c>
      <c r="C110" s="1" t="s">
        <v>28</v>
      </c>
      <c r="D110" s="1">
        <f>MONTH(Tabela9[[#This Row],[DATA]])</f>
        <v>5</v>
      </c>
    </row>
    <row r="111" spans="1:4" x14ac:dyDescent="0.35">
      <c r="A111" s="1">
        <v>84</v>
      </c>
      <c r="B111" s="2">
        <v>46160</v>
      </c>
      <c r="C111" s="1" t="s">
        <v>28</v>
      </c>
      <c r="D111" s="1">
        <f>MONTH(Tabela9[[#This Row],[DATA]])</f>
        <v>5</v>
      </c>
    </row>
    <row r="112" spans="1:4" x14ac:dyDescent="0.35">
      <c r="A112" s="1">
        <v>85</v>
      </c>
      <c r="B112" s="2">
        <v>46161</v>
      </c>
      <c r="C112" s="1" t="s">
        <v>24</v>
      </c>
      <c r="D112" s="1">
        <f>MONTH(Tabela9[[#This Row],[DATA]])</f>
        <v>5</v>
      </c>
    </row>
    <row r="113" spans="1:4" x14ac:dyDescent="0.35">
      <c r="A113" s="1">
        <v>86</v>
      </c>
      <c r="B113" s="2">
        <v>46161</v>
      </c>
      <c r="C113" s="1" t="s">
        <v>24</v>
      </c>
      <c r="D113" s="1">
        <f>MONTH(Tabela9[[#This Row],[DATA]])</f>
        <v>5</v>
      </c>
    </row>
    <row r="114" spans="1:4" x14ac:dyDescent="0.35">
      <c r="A114" s="1">
        <v>87</v>
      </c>
      <c r="B114" s="2">
        <v>46161</v>
      </c>
      <c r="C114" s="1" t="s">
        <v>9</v>
      </c>
      <c r="D114" s="1">
        <f>MONTH(Tabela9[[#This Row],[DATA]])</f>
        <v>5</v>
      </c>
    </row>
    <row r="115" spans="1:4" x14ac:dyDescent="0.35">
      <c r="A115" s="1">
        <v>85</v>
      </c>
      <c r="B115" s="2">
        <v>46161</v>
      </c>
      <c r="C115" s="1" t="s">
        <v>24</v>
      </c>
      <c r="D115" s="1">
        <f>MONTH(Tabela9[[#This Row],[DATA]])</f>
        <v>5</v>
      </c>
    </row>
    <row r="116" spans="1:4" x14ac:dyDescent="0.35">
      <c r="A116" s="1">
        <v>86</v>
      </c>
      <c r="B116" s="2">
        <v>46161</v>
      </c>
      <c r="C116" s="1" t="s">
        <v>24</v>
      </c>
      <c r="D116" s="1">
        <f>MONTH(Tabela9[[#This Row],[DATA]])</f>
        <v>5</v>
      </c>
    </row>
    <row r="117" spans="1:4" x14ac:dyDescent="0.35">
      <c r="A117" s="1">
        <v>87</v>
      </c>
      <c r="B117" s="2">
        <v>46161</v>
      </c>
      <c r="C117" s="1" t="s">
        <v>9</v>
      </c>
      <c r="D117" s="1">
        <f>MONTH(Tabela9[[#This Row],[DATA]])</f>
        <v>5</v>
      </c>
    </row>
    <row r="118" spans="1:4" x14ac:dyDescent="0.35">
      <c r="A118" s="1">
        <v>88</v>
      </c>
      <c r="B118" s="2">
        <v>46162</v>
      </c>
      <c r="C118" s="1" t="s">
        <v>24</v>
      </c>
      <c r="D118" s="1">
        <f>MONTH(Tabela9[[#This Row],[DATA]])</f>
        <v>5</v>
      </c>
    </row>
    <row r="119" spans="1:4" x14ac:dyDescent="0.35">
      <c r="A119" s="1">
        <v>88</v>
      </c>
      <c r="B119" s="2">
        <v>46162</v>
      </c>
      <c r="C119" s="1" t="s">
        <v>24</v>
      </c>
      <c r="D119" s="1">
        <f>MONTH(Tabela9[[#This Row],[DATA]])</f>
        <v>5</v>
      </c>
    </row>
    <row r="120" spans="1:4" x14ac:dyDescent="0.35">
      <c r="A120" s="1">
        <v>89</v>
      </c>
      <c r="B120" s="2">
        <v>46163</v>
      </c>
      <c r="C120" s="1" t="s">
        <v>28</v>
      </c>
      <c r="D120" s="1">
        <f>MONTH(Tabela9[[#This Row],[DATA]])</f>
        <v>5</v>
      </c>
    </row>
    <row r="121" spans="1:4" x14ac:dyDescent="0.35">
      <c r="A121" s="1">
        <v>89</v>
      </c>
      <c r="B121" s="2">
        <v>46163</v>
      </c>
      <c r="C121" s="1" t="s">
        <v>28</v>
      </c>
      <c r="D121" s="1">
        <f>MONTH(Tabela9[[#This Row],[DATA]])</f>
        <v>5</v>
      </c>
    </row>
    <row r="122" spans="1:4" x14ac:dyDescent="0.35">
      <c r="A122" s="1">
        <v>90</v>
      </c>
      <c r="B122" s="2">
        <v>46164</v>
      </c>
      <c r="C122" s="1" t="s">
        <v>24</v>
      </c>
      <c r="D122" s="1">
        <f>MONTH(Tabela9[[#This Row],[DATA]])</f>
        <v>5</v>
      </c>
    </row>
    <row r="123" spans="1:4" x14ac:dyDescent="0.35">
      <c r="A123" s="1">
        <v>90</v>
      </c>
      <c r="B123" s="2">
        <v>46164</v>
      </c>
      <c r="C123" s="1" t="s">
        <v>24</v>
      </c>
      <c r="D123" s="1">
        <f>MONTH(Tabela9[[#This Row],[DATA]])</f>
        <v>5</v>
      </c>
    </row>
    <row r="124" spans="1:4" x14ac:dyDescent="0.35">
      <c r="A124" s="1">
        <v>91</v>
      </c>
      <c r="B124" s="2">
        <v>46167</v>
      </c>
      <c r="C124" s="1" t="s">
        <v>9</v>
      </c>
      <c r="D124" s="1">
        <f>MONTH(Tabela9[[#This Row],[DATA]])</f>
        <v>5</v>
      </c>
    </row>
    <row r="125" spans="1:4" x14ac:dyDescent="0.35">
      <c r="A125" s="1">
        <v>91</v>
      </c>
      <c r="B125" s="2">
        <v>46167</v>
      </c>
      <c r="C125" s="1" t="s">
        <v>9</v>
      </c>
      <c r="D125" s="1">
        <f>MONTH(Tabela9[[#This Row],[DATA]])</f>
        <v>5</v>
      </c>
    </row>
    <row r="126" spans="1:4" x14ac:dyDescent="0.35">
      <c r="A126" s="1">
        <v>92</v>
      </c>
      <c r="B126" s="2">
        <v>46169</v>
      </c>
      <c r="C126" s="1" t="s">
        <v>24</v>
      </c>
      <c r="D126" s="1">
        <f>MONTH(Tabela9[[#This Row],[DATA]])</f>
        <v>5</v>
      </c>
    </row>
    <row r="127" spans="1:4" x14ac:dyDescent="0.35">
      <c r="A127" s="1">
        <v>93</v>
      </c>
      <c r="B127" s="2">
        <v>46169</v>
      </c>
      <c r="C127" s="1" t="s">
        <v>28</v>
      </c>
      <c r="D127" s="1">
        <f>MONTH(Tabela9[[#This Row],[DATA]])</f>
        <v>5</v>
      </c>
    </row>
    <row r="128" spans="1:4" x14ac:dyDescent="0.35">
      <c r="A128" s="1">
        <v>92</v>
      </c>
      <c r="B128" s="2">
        <v>46169</v>
      </c>
      <c r="C128" s="1" t="s">
        <v>24</v>
      </c>
      <c r="D128" s="1">
        <f>MONTH(Tabela9[[#This Row],[DATA]])</f>
        <v>5</v>
      </c>
    </row>
    <row r="129" spans="1:4" x14ac:dyDescent="0.35">
      <c r="A129" s="1">
        <v>93</v>
      </c>
      <c r="B129" s="2">
        <v>46169</v>
      </c>
      <c r="C129" s="1" t="s">
        <v>28</v>
      </c>
      <c r="D129" s="1">
        <f>MONTH(Tabela9[[#This Row],[DATA]])</f>
        <v>5</v>
      </c>
    </row>
    <row r="130" spans="1:4" x14ac:dyDescent="0.35">
      <c r="A130" s="1">
        <v>94</v>
      </c>
      <c r="B130" s="2">
        <v>46170</v>
      </c>
      <c r="C130" s="1" t="s">
        <v>24</v>
      </c>
      <c r="D130" s="1">
        <f>MONTH(Tabela9[[#This Row],[DATA]])</f>
        <v>5</v>
      </c>
    </row>
    <row r="131" spans="1:4" x14ac:dyDescent="0.35">
      <c r="A131" s="1">
        <v>94</v>
      </c>
      <c r="B131" s="2">
        <v>46170</v>
      </c>
      <c r="C131" s="1" t="s">
        <v>24</v>
      </c>
      <c r="D131" s="1">
        <f>MONTH(Tabela9[[#This Row],[DATA]])</f>
        <v>5</v>
      </c>
    </row>
    <row r="132" spans="1:4" x14ac:dyDescent="0.35">
      <c r="A132" s="1">
        <v>95</v>
      </c>
      <c r="B132" s="2">
        <v>46171</v>
      </c>
      <c r="C132" s="1" t="s">
        <v>69</v>
      </c>
      <c r="D132" s="1">
        <f>MONTH(Tabela9[[#This Row],[DATA]])</f>
        <v>5</v>
      </c>
    </row>
    <row r="133" spans="1:4" x14ac:dyDescent="0.35">
      <c r="A133" s="1">
        <v>96</v>
      </c>
      <c r="B133" s="2">
        <v>46171</v>
      </c>
      <c r="C133" s="1" t="s">
        <v>9</v>
      </c>
      <c r="D133" s="1">
        <f>MONTH(Tabela9[[#This Row],[DATA]])</f>
        <v>5</v>
      </c>
    </row>
    <row r="134" spans="1:4" x14ac:dyDescent="0.35">
      <c r="A134" s="1">
        <v>95</v>
      </c>
      <c r="B134" s="2">
        <v>46171</v>
      </c>
      <c r="C134" s="1" t="s">
        <v>69</v>
      </c>
      <c r="D134" s="1">
        <f>MONTH(Tabela9[[#This Row],[DATA]])</f>
        <v>5</v>
      </c>
    </row>
    <row r="135" spans="1:4" x14ac:dyDescent="0.35">
      <c r="A135" s="1">
        <v>96</v>
      </c>
      <c r="B135" s="2">
        <v>46171</v>
      </c>
      <c r="C135" s="1" t="s">
        <v>9</v>
      </c>
      <c r="D135" s="1">
        <f>MONTH(Tabela9[[#This Row],[DATA]])</f>
        <v>5</v>
      </c>
    </row>
    <row r="136" spans="1:4" x14ac:dyDescent="0.35">
      <c r="A136" s="1">
        <v>97</v>
      </c>
      <c r="B136" s="2">
        <v>46192</v>
      </c>
      <c r="C136" s="1" t="s">
        <v>9</v>
      </c>
      <c r="D136" s="1">
        <f>MONTH(Tabela9[[#This Row],[DATA]])</f>
        <v>6</v>
      </c>
    </row>
    <row r="137" spans="1:4" x14ac:dyDescent="0.35">
      <c r="A137" s="1">
        <v>97</v>
      </c>
      <c r="B137" s="2">
        <v>46192</v>
      </c>
      <c r="C137" s="1" t="s">
        <v>9</v>
      </c>
      <c r="D137" s="1">
        <f>MONTH(Tabela9[[#This Row],[DATA]])</f>
        <v>6</v>
      </c>
    </row>
    <row r="138" spans="1:4" x14ac:dyDescent="0.35">
      <c r="A138" s="1">
        <v>98</v>
      </c>
      <c r="B138" s="2">
        <v>46197</v>
      </c>
      <c r="C138" s="1" t="s">
        <v>24</v>
      </c>
      <c r="D138" s="1">
        <f>MONTH(Tabela9[[#This Row],[DATA]])</f>
        <v>6</v>
      </c>
    </row>
    <row r="139" spans="1:4" x14ac:dyDescent="0.35">
      <c r="A139" s="1">
        <v>98</v>
      </c>
      <c r="B139" s="2">
        <v>46197</v>
      </c>
      <c r="C139" s="1" t="s">
        <v>24</v>
      </c>
      <c r="D139" s="1">
        <f>MONTH(Tabela9[[#This Row],[DATA]])</f>
        <v>6</v>
      </c>
    </row>
    <row r="140" spans="1:4" x14ac:dyDescent="0.35">
      <c r="A140" s="1">
        <v>99</v>
      </c>
      <c r="B140" s="2">
        <v>46200</v>
      </c>
      <c r="C140" s="1" t="s">
        <v>69</v>
      </c>
      <c r="D140" s="1">
        <f>MONTH(Tabela9[[#This Row],[DATA]])</f>
        <v>6</v>
      </c>
    </row>
    <row r="141" spans="1:4" x14ac:dyDescent="0.35">
      <c r="A141" s="1">
        <v>99</v>
      </c>
      <c r="B141" s="2">
        <v>46200</v>
      </c>
      <c r="C141" s="1" t="s">
        <v>69</v>
      </c>
      <c r="D141" s="1">
        <f>MONTH(Tabela9[[#This Row],[DATA]])</f>
        <v>6</v>
      </c>
    </row>
    <row r="142" spans="1:4" x14ac:dyDescent="0.35">
      <c r="A142" s="1">
        <v>100</v>
      </c>
      <c r="B142" s="2">
        <v>46203</v>
      </c>
      <c r="C142" s="1" t="s">
        <v>69</v>
      </c>
      <c r="D142" s="1">
        <f>MONTH(Tabela9[[#This Row],[DATA]])</f>
        <v>6</v>
      </c>
    </row>
    <row r="143" spans="1:4" x14ac:dyDescent="0.35">
      <c r="A143" s="1">
        <v>101</v>
      </c>
      <c r="B143" s="2">
        <v>46203</v>
      </c>
      <c r="C143" s="1" t="s">
        <v>69</v>
      </c>
      <c r="D143" s="1">
        <f>MONTH(Tabela9[[#This Row],[DATA]])</f>
        <v>6</v>
      </c>
    </row>
    <row r="144" spans="1:4" x14ac:dyDescent="0.35">
      <c r="A144" s="1">
        <v>100</v>
      </c>
      <c r="B144" s="2">
        <v>46203</v>
      </c>
      <c r="C144" s="1" t="s">
        <v>69</v>
      </c>
      <c r="D144" s="1">
        <f>MONTH(Tabela9[[#This Row],[DATA]])</f>
        <v>6</v>
      </c>
    </row>
    <row r="145" spans="1:4" x14ac:dyDescent="0.35">
      <c r="A145" s="1">
        <v>101</v>
      </c>
      <c r="B145" s="2">
        <v>46203</v>
      </c>
      <c r="C145" s="1" t="s">
        <v>69</v>
      </c>
      <c r="D145" s="1">
        <f>MONTH(Tabela9[[#This Row],[DATA]])</f>
        <v>6</v>
      </c>
    </row>
    <row r="146" spans="1:4" x14ac:dyDescent="0.35">
      <c r="A146" s="1">
        <v>102</v>
      </c>
      <c r="B146" s="2">
        <v>46204</v>
      </c>
      <c r="C146" s="1" t="s">
        <v>9</v>
      </c>
      <c r="D146" s="1">
        <f>MONTH(Tabela9[[#This Row],[DATA]])</f>
        <v>7</v>
      </c>
    </row>
    <row r="147" spans="1:4" x14ac:dyDescent="0.35">
      <c r="A147" s="1">
        <v>103</v>
      </c>
      <c r="B147" s="2">
        <v>46204</v>
      </c>
      <c r="C147" s="1" t="s">
        <v>9</v>
      </c>
      <c r="D147" s="1">
        <f>MONTH(Tabela9[[#This Row],[DATA]])</f>
        <v>7</v>
      </c>
    </row>
    <row r="148" spans="1:4" x14ac:dyDescent="0.35">
      <c r="A148" s="1">
        <v>104</v>
      </c>
      <c r="B148" s="2">
        <v>46204</v>
      </c>
      <c r="C148" s="1" t="s">
        <v>69</v>
      </c>
      <c r="D148" s="1">
        <f>MONTH(Tabela9[[#This Row],[DATA]])</f>
        <v>7</v>
      </c>
    </row>
    <row r="149" spans="1:4" x14ac:dyDescent="0.35">
      <c r="A149" s="1">
        <v>102</v>
      </c>
      <c r="B149" s="2">
        <v>46204</v>
      </c>
      <c r="C149" s="1" t="s">
        <v>9</v>
      </c>
      <c r="D149" s="1">
        <f>MONTH(Tabela9[[#This Row],[DATA]])</f>
        <v>7</v>
      </c>
    </row>
    <row r="150" spans="1:4" x14ac:dyDescent="0.35">
      <c r="A150" s="1">
        <v>103</v>
      </c>
      <c r="B150" s="2">
        <v>46204</v>
      </c>
      <c r="C150" s="1" t="s">
        <v>9</v>
      </c>
      <c r="D150" s="1">
        <f>MONTH(Tabela9[[#This Row],[DATA]])</f>
        <v>7</v>
      </c>
    </row>
    <row r="151" spans="1:4" x14ac:dyDescent="0.35">
      <c r="A151" s="1">
        <v>104</v>
      </c>
      <c r="B151" s="2">
        <v>46204</v>
      </c>
      <c r="C151" s="1" t="s">
        <v>69</v>
      </c>
      <c r="D151" s="1">
        <f>MONTH(Tabela9[[#This Row],[DATA]])</f>
        <v>7</v>
      </c>
    </row>
    <row r="152" spans="1:4" x14ac:dyDescent="0.35">
      <c r="A152" s="1">
        <v>105</v>
      </c>
      <c r="B152" s="2">
        <v>46206</v>
      </c>
      <c r="C152" s="1" t="s">
        <v>71</v>
      </c>
      <c r="D152" s="1">
        <f>MONTH(Tabela9[[#This Row],[DATA]])</f>
        <v>7</v>
      </c>
    </row>
    <row r="153" spans="1:4" x14ac:dyDescent="0.35">
      <c r="A153" s="1">
        <v>106</v>
      </c>
      <c r="B153" s="2">
        <v>46206</v>
      </c>
      <c r="C153" s="1" t="s">
        <v>72</v>
      </c>
      <c r="D153" s="1">
        <f>MONTH(Tabela9[[#This Row],[DATA]])</f>
        <v>7</v>
      </c>
    </row>
    <row r="154" spans="1:4" x14ac:dyDescent="0.35">
      <c r="A154" s="1">
        <v>105</v>
      </c>
      <c r="B154" s="2">
        <v>46206</v>
      </c>
      <c r="C154" s="1" t="s">
        <v>71</v>
      </c>
      <c r="D154" s="1">
        <f>MONTH(Tabela9[[#This Row],[DATA]])</f>
        <v>7</v>
      </c>
    </row>
    <row r="155" spans="1:4" x14ac:dyDescent="0.35">
      <c r="A155" s="1">
        <v>106</v>
      </c>
      <c r="B155" s="2">
        <v>46206</v>
      </c>
      <c r="C155" s="1" t="s">
        <v>72</v>
      </c>
      <c r="D155" s="1">
        <f>MONTH(Tabela9[[#This Row],[DATA]])</f>
        <v>7</v>
      </c>
    </row>
    <row r="156" spans="1:4" x14ac:dyDescent="0.35">
      <c r="A156" s="1">
        <v>107</v>
      </c>
      <c r="B156" s="2">
        <v>46225</v>
      </c>
      <c r="C156" s="1" t="s">
        <v>73</v>
      </c>
      <c r="D156" s="1">
        <f>MONTH(Tabela9[[#This Row],[DATA]])</f>
        <v>7</v>
      </c>
    </row>
    <row r="157" spans="1:4" x14ac:dyDescent="0.35">
      <c r="A157" s="1">
        <v>108</v>
      </c>
      <c r="B157" s="2">
        <v>46225</v>
      </c>
      <c r="C157" s="1" t="s">
        <v>73</v>
      </c>
      <c r="D157" s="1">
        <f>MONTH(Tabela9[[#This Row],[DATA]])</f>
        <v>7</v>
      </c>
    </row>
    <row r="158" spans="1:4" x14ac:dyDescent="0.35">
      <c r="A158" s="1">
        <v>109</v>
      </c>
      <c r="B158" s="2">
        <v>46225</v>
      </c>
      <c r="C158" s="1" t="s">
        <v>73</v>
      </c>
      <c r="D158" s="1">
        <f>MONTH(Tabela9[[#This Row],[DATA]])</f>
        <v>7</v>
      </c>
    </row>
    <row r="159" spans="1:4" x14ac:dyDescent="0.35">
      <c r="A159" s="1">
        <v>107</v>
      </c>
      <c r="B159" s="2">
        <v>46225</v>
      </c>
      <c r="C159" s="1" t="s">
        <v>73</v>
      </c>
      <c r="D159" s="1">
        <f>MONTH(Tabela9[[#This Row],[DATA]])</f>
        <v>7</v>
      </c>
    </row>
    <row r="160" spans="1:4" x14ac:dyDescent="0.35">
      <c r="A160" s="1">
        <v>108</v>
      </c>
      <c r="B160" s="2">
        <v>46225</v>
      </c>
      <c r="C160" s="1" t="s">
        <v>73</v>
      </c>
      <c r="D160" s="1">
        <f>MONTH(Tabela9[[#This Row],[DATA]])</f>
        <v>7</v>
      </c>
    </row>
    <row r="161" spans="1:4" x14ac:dyDescent="0.35">
      <c r="A161" s="1">
        <v>109</v>
      </c>
      <c r="B161" s="2">
        <v>46225</v>
      </c>
      <c r="C161" s="1" t="s">
        <v>73</v>
      </c>
      <c r="D161" s="1">
        <f>MONTH(Tabela9[[#This Row],[DATA]])</f>
        <v>7</v>
      </c>
    </row>
    <row r="162" spans="1:4" x14ac:dyDescent="0.35">
      <c r="A162" s="1">
        <v>110</v>
      </c>
      <c r="B162" s="2">
        <v>46231</v>
      </c>
      <c r="C162" s="1" t="s">
        <v>3</v>
      </c>
      <c r="D162" s="1">
        <f>MONTH(Tabela9[[#This Row],[DATA]])</f>
        <v>7</v>
      </c>
    </row>
    <row r="163" spans="1:4" x14ac:dyDescent="0.35">
      <c r="A163" s="1">
        <v>110</v>
      </c>
      <c r="B163" s="2">
        <v>46231</v>
      </c>
      <c r="C163" s="1" t="s">
        <v>3</v>
      </c>
      <c r="D163" s="1">
        <f>MONTH(Tabela9[[#This Row],[DATA]])</f>
        <v>7</v>
      </c>
    </row>
    <row r="164" spans="1:4" x14ac:dyDescent="0.35">
      <c r="A164" s="1">
        <v>111</v>
      </c>
      <c r="B164" s="2">
        <v>46238</v>
      </c>
      <c r="C164" s="1" t="s">
        <v>3</v>
      </c>
      <c r="D164" s="1">
        <f>MONTH(Tabela9[[#This Row],[DATA]])</f>
        <v>8</v>
      </c>
    </row>
    <row r="165" spans="1:4" x14ac:dyDescent="0.35">
      <c r="A165" s="1">
        <v>111</v>
      </c>
      <c r="B165" s="2">
        <v>46238</v>
      </c>
      <c r="C165" s="1" t="s">
        <v>3</v>
      </c>
      <c r="D165" s="1">
        <f>MONTH(Tabela9[[#This Row],[DATA]])</f>
        <v>8</v>
      </c>
    </row>
    <row r="166" spans="1:4" x14ac:dyDescent="0.35">
      <c r="A166" s="1">
        <v>112</v>
      </c>
      <c r="B166" s="2">
        <v>46239</v>
      </c>
      <c r="C166" s="1" t="s">
        <v>73</v>
      </c>
      <c r="D166" s="1">
        <f>MONTH(Tabela9[[#This Row],[DATA]])</f>
        <v>8</v>
      </c>
    </row>
    <row r="167" spans="1:4" x14ac:dyDescent="0.35">
      <c r="A167" s="1">
        <v>112</v>
      </c>
      <c r="B167" s="2">
        <v>46239</v>
      </c>
      <c r="C167" s="1" t="s">
        <v>73</v>
      </c>
      <c r="D167" s="1">
        <f>MONTH(Tabela9[[#This Row],[DATA]])</f>
        <v>8</v>
      </c>
    </row>
    <row r="168" spans="1:4" x14ac:dyDescent="0.35">
      <c r="A168" s="1">
        <v>113</v>
      </c>
      <c r="B168" s="2">
        <v>46240</v>
      </c>
      <c r="C168" s="1" t="s">
        <v>24</v>
      </c>
      <c r="D168" s="1">
        <f>MONTH(Tabela9[[#This Row],[DATA]])</f>
        <v>8</v>
      </c>
    </row>
    <row r="169" spans="1:4" x14ac:dyDescent="0.35">
      <c r="A169" s="1">
        <v>114</v>
      </c>
      <c r="B169" s="2">
        <v>46240</v>
      </c>
      <c r="C169" s="1" t="s">
        <v>73</v>
      </c>
      <c r="D169" s="1">
        <f>MONTH(Tabela9[[#This Row],[DATA]])</f>
        <v>8</v>
      </c>
    </row>
    <row r="170" spans="1:4" x14ac:dyDescent="0.35">
      <c r="A170" s="1">
        <v>113</v>
      </c>
      <c r="B170" s="2">
        <v>46240</v>
      </c>
      <c r="C170" s="1" t="s">
        <v>24</v>
      </c>
      <c r="D170" s="1">
        <f>MONTH(Tabela9[[#This Row],[DATA]])</f>
        <v>8</v>
      </c>
    </row>
    <row r="171" spans="1:4" x14ac:dyDescent="0.35">
      <c r="A171" s="1">
        <v>114</v>
      </c>
      <c r="B171" s="2">
        <v>46240</v>
      </c>
      <c r="C171" s="1" t="s">
        <v>73</v>
      </c>
      <c r="D171" s="1">
        <f>MONTH(Tabela9[[#This Row],[DATA]])</f>
        <v>8</v>
      </c>
    </row>
    <row r="172" spans="1:4" x14ac:dyDescent="0.35">
      <c r="A172" s="1">
        <v>115</v>
      </c>
      <c r="B172" s="2">
        <v>46251</v>
      </c>
      <c r="C172" s="1" t="s">
        <v>3</v>
      </c>
      <c r="D172" s="1">
        <f>MONTH(Tabela9[[#This Row],[DATA]])</f>
        <v>8</v>
      </c>
    </row>
    <row r="173" spans="1:4" x14ac:dyDescent="0.35">
      <c r="A173" s="1">
        <v>116</v>
      </c>
      <c r="B173" s="2">
        <v>46251</v>
      </c>
      <c r="C173" s="1" t="s">
        <v>3</v>
      </c>
      <c r="D173" s="1">
        <f>MONTH(Tabela9[[#This Row],[DATA]])</f>
        <v>8</v>
      </c>
    </row>
    <row r="174" spans="1:4" x14ac:dyDescent="0.35">
      <c r="A174" s="1">
        <v>115</v>
      </c>
      <c r="B174" s="2">
        <v>46251</v>
      </c>
      <c r="C174" s="1" t="s">
        <v>3</v>
      </c>
      <c r="D174" s="1">
        <f>MONTH(Tabela9[[#This Row],[DATA]])</f>
        <v>8</v>
      </c>
    </row>
    <row r="175" spans="1:4" x14ac:dyDescent="0.35">
      <c r="A175" s="1">
        <v>116</v>
      </c>
      <c r="B175" s="2">
        <v>46251</v>
      </c>
      <c r="C175" s="1" t="s">
        <v>3</v>
      </c>
      <c r="D175" s="1">
        <f>MONTH(Tabela9[[#This Row],[DATA]])</f>
        <v>8</v>
      </c>
    </row>
    <row r="176" spans="1:4" x14ac:dyDescent="0.35">
      <c r="A176" s="1">
        <v>117</v>
      </c>
      <c r="B176" s="2">
        <v>46252</v>
      </c>
      <c r="C176" s="1" t="s">
        <v>3</v>
      </c>
      <c r="D176" s="1">
        <f>MONTH(Tabela9[[#This Row],[DATA]])</f>
        <v>8</v>
      </c>
    </row>
    <row r="177" spans="1:4" x14ac:dyDescent="0.35">
      <c r="A177" s="1">
        <v>118</v>
      </c>
      <c r="B177" s="2">
        <v>46252</v>
      </c>
      <c r="C177" s="1" t="s">
        <v>3</v>
      </c>
      <c r="D177" s="1">
        <f>MONTH(Tabela9[[#This Row],[DATA]])</f>
        <v>8</v>
      </c>
    </row>
    <row r="178" spans="1:4" x14ac:dyDescent="0.35">
      <c r="A178" s="1">
        <v>117</v>
      </c>
      <c r="B178" s="2">
        <v>46252</v>
      </c>
      <c r="C178" s="1" t="s">
        <v>3</v>
      </c>
      <c r="D178" s="1">
        <f>MONTH(Tabela9[[#This Row],[DATA]])</f>
        <v>8</v>
      </c>
    </row>
    <row r="179" spans="1:4" x14ac:dyDescent="0.35">
      <c r="A179" s="1">
        <v>118</v>
      </c>
      <c r="B179" s="2">
        <v>46252</v>
      </c>
      <c r="C179" s="1" t="s">
        <v>3</v>
      </c>
      <c r="D179" s="1">
        <f>MONTH(Tabela9[[#This Row],[DATA]])</f>
        <v>8</v>
      </c>
    </row>
    <row r="180" spans="1:4" x14ac:dyDescent="0.35">
      <c r="A180" s="1">
        <v>119</v>
      </c>
      <c r="B180" s="2">
        <v>46253</v>
      </c>
      <c r="C180" s="1" t="s">
        <v>73</v>
      </c>
      <c r="D180" s="1">
        <f>MONTH(Tabela9[[#This Row],[DATA]])</f>
        <v>8</v>
      </c>
    </row>
    <row r="181" spans="1:4" x14ac:dyDescent="0.35">
      <c r="A181" s="1">
        <v>120</v>
      </c>
      <c r="B181" s="2">
        <v>46253</v>
      </c>
      <c r="C181" s="1" t="s">
        <v>73</v>
      </c>
      <c r="D181" s="1">
        <f>MONTH(Tabela9[[#This Row],[DATA]])</f>
        <v>8</v>
      </c>
    </row>
    <row r="182" spans="1:4" x14ac:dyDescent="0.35">
      <c r="A182" s="1">
        <v>121</v>
      </c>
      <c r="B182" s="2">
        <v>46253</v>
      </c>
      <c r="C182" s="1" t="s">
        <v>73</v>
      </c>
      <c r="D182" s="1">
        <f>MONTH(Tabela9[[#This Row],[DATA]])</f>
        <v>8</v>
      </c>
    </row>
    <row r="183" spans="1:4" x14ac:dyDescent="0.35">
      <c r="A183" s="1">
        <v>122</v>
      </c>
      <c r="B183" s="2">
        <v>46253</v>
      </c>
      <c r="C183" s="1" t="s">
        <v>73</v>
      </c>
      <c r="D183" s="1">
        <f>MONTH(Tabela9[[#This Row],[DATA]])</f>
        <v>8</v>
      </c>
    </row>
    <row r="184" spans="1:4" x14ac:dyDescent="0.35">
      <c r="A184" s="1">
        <v>123</v>
      </c>
      <c r="B184" s="2">
        <v>46253</v>
      </c>
      <c r="C184" s="1" t="s">
        <v>73</v>
      </c>
      <c r="D184" s="1">
        <f>MONTH(Tabela9[[#This Row],[DATA]])</f>
        <v>8</v>
      </c>
    </row>
    <row r="185" spans="1:4" x14ac:dyDescent="0.35">
      <c r="A185" s="1">
        <v>124</v>
      </c>
      <c r="B185" s="2">
        <v>46253</v>
      </c>
      <c r="C185" s="1" t="s">
        <v>73</v>
      </c>
      <c r="D185" s="1">
        <f>MONTH(Tabela9[[#This Row],[DATA]])</f>
        <v>8</v>
      </c>
    </row>
    <row r="186" spans="1:4" x14ac:dyDescent="0.35">
      <c r="A186" s="1">
        <v>125</v>
      </c>
      <c r="B186" s="2">
        <v>46253</v>
      </c>
      <c r="C186" s="1" t="s">
        <v>73</v>
      </c>
      <c r="D186" s="1">
        <f>MONTH(Tabela9[[#This Row],[DATA]])</f>
        <v>8</v>
      </c>
    </row>
    <row r="187" spans="1:4" x14ac:dyDescent="0.35">
      <c r="A187" s="1">
        <v>126</v>
      </c>
      <c r="B187" s="2">
        <v>46253</v>
      </c>
      <c r="C187" s="1" t="s">
        <v>73</v>
      </c>
      <c r="D187" s="1">
        <f>MONTH(Tabela9[[#This Row],[DATA]])</f>
        <v>8</v>
      </c>
    </row>
    <row r="188" spans="1:4" x14ac:dyDescent="0.35">
      <c r="A188" s="1">
        <v>127</v>
      </c>
      <c r="B188" s="2">
        <v>46253</v>
      </c>
      <c r="C188" s="1" t="s">
        <v>73</v>
      </c>
      <c r="D188" s="1">
        <f>MONTH(Tabela9[[#This Row],[DATA]])</f>
        <v>8</v>
      </c>
    </row>
    <row r="189" spans="1:4" x14ac:dyDescent="0.35">
      <c r="A189" s="1">
        <v>128</v>
      </c>
      <c r="B189" s="2">
        <v>46253</v>
      </c>
      <c r="C189" s="1" t="s">
        <v>73</v>
      </c>
      <c r="D189" s="1">
        <f>MONTH(Tabela9[[#This Row],[DATA]])</f>
        <v>8</v>
      </c>
    </row>
    <row r="190" spans="1:4" x14ac:dyDescent="0.35">
      <c r="A190" s="1">
        <v>129</v>
      </c>
      <c r="B190" s="2">
        <v>46253</v>
      </c>
      <c r="C190" s="1" t="s">
        <v>73</v>
      </c>
      <c r="D190" s="1">
        <f>MONTH(Tabela9[[#This Row],[DATA]])</f>
        <v>8</v>
      </c>
    </row>
    <row r="191" spans="1:4" x14ac:dyDescent="0.35">
      <c r="A191" s="1">
        <v>119</v>
      </c>
      <c r="B191" s="2">
        <v>46253</v>
      </c>
      <c r="C191" s="1" t="s">
        <v>73</v>
      </c>
      <c r="D191" s="1">
        <f>MONTH(Tabela9[[#This Row],[DATA]])</f>
        <v>8</v>
      </c>
    </row>
    <row r="192" spans="1:4" x14ac:dyDescent="0.35">
      <c r="A192" s="1">
        <v>120</v>
      </c>
      <c r="B192" s="2">
        <v>46253</v>
      </c>
      <c r="C192" s="1" t="s">
        <v>73</v>
      </c>
      <c r="D192" s="1">
        <f>MONTH(Tabela9[[#This Row],[DATA]])</f>
        <v>8</v>
      </c>
    </row>
    <row r="193" spans="1:4" x14ac:dyDescent="0.35">
      <c r="A193" s="1">
        <v>121</v>
      </c>
      <c r="B193" s="2">
        <v>46253</v>
      </c>
      <c r="C193" s="1" t="s">
        <v>73</v>
      </c>
      <c r="D193" s="1">
        <f>MONTH(Tabela9[[#This Row],[DATA]])</f>
        <v>8</v>
      </c>
    </row>
    <row r="194" spans="1:4" x14ac:dyDescent="0.35">
      <c r="A194" s="1">
        <v>122</v>
      </c>
      <c r="B194" s="2">
        <v>46253</v>
      </c>
      <c r="C194" s="1" t="s">
        <v>73</v>
      </c>
      <c r="D194" s="1">
        <f>MONTH(Tabela9[[#This Row],[DATA]])</f>
        <v>8</v>
      </c>
    </row>
    <row r="195" spans="1:4" x14ac:dyDescent="0.35">
      <c r="A195" s="1">
        <v>123</v>
      </c>
      <c r="B195" s="2">
        <v>46253</v>
      </c>
      <c r="C195" s="1" t="s">
        <v>73</v>
      </c>
      <c r="D195" s="1">
        <f>MONTH(Tabela9[[#This Row],[DATA]])</f>
        <v>8</v>
      </c>
    </row>
    <row r="196" spans="1:4" x14ac:dyDescent="0.35">
      <c r="A196" s="1">
        <v>124</v>
      </c>
      <c r="B196" s="2">
        <v>46253</v>
      </c>
      <c r="C196" s="1" t="s">
        <v>73</v>
      </c>
      <c r="D196" s="1">
        <f>MONTH(Tabela9[[#This Row],[DATA]])</f>
        <v>8</v>
      </c>
    </row>
    <row r="197" spans="1:4" x14ac:dyDescent="0.35">
      <c r="A197" s="1">
        <v>125</v>
      </c>
      <c r="B197" s="2">
        <v>46253</v>
      </c>
      <c r="C197" s="1" t="s">
        <v>73</v>
      </c>
      <c r="D197" s="1">
        <f>MONTH(Tabela9[[#This Row],[DATA]])</f>
        <v>8</v>
      </c>
    </row>
    <row r="198" spans="1:4" x14ac:dyDescent="0.35">
      <c r="A198" s="1">
        <v>126</v>
      </c>
      <c r="B198" s="2">
        <v>46253</v>
      </c>
      <c r="C198" s="1" t="s">
        <v>73</v>
      </c>
      <c r="D198" s="1">
        <f>MONTH(Tabela9[[#This Row],[DATA]])</f>
        <v>8</v>
      </c>
    </row>
    <row r="199" spans="1:4" x14ac:dyDescent="0.35">
      <c r="A199" s="1">
        <v>127</v>
      </c>
      <c r="B199" s="2">
        <v>46253</v>
      </c>
      <c r="C199" s="1" t="s">
        <v>73</v>
      </c>
      <c r="D199" s="1">
        <f>MONTH(Tabela9[[#This Row],[DATA]])</f>
        <v>8</v>
      </c>
    </row>
    <row r="200" spans="1:4" x14ac:dyDescent="0.35">
      <c r="A200" s="1">
        <v>128</v>
      </c>
      <c r="B200" s="2">
        <v>46253</v>
      </c>
      <c r="C200" s="1" t="s">
        <v>73</v>
      </c>
      <c r="D200" s="1">
        <f>MONTH(Tabela9[[#This Row],[DATA]])</f>
        <v>8</v>
      </c>
    </row>
    <row r="201" spans="1:4" x14ac:dyDescent="0.35">
      <c r="A201" s="1">
        <v>129</v>
      </c>
      <c r="B201" s="2">
        <v>46253</v>
      </c>
      <c r="C201" s="1" t="s">
        <v>73</v>
      </c>
      <c r="D201" s="1">
        <f>MONTH(Tabela9[[#This Row],[DATA]])</f>
        <v>8</v>
      </c>
    </row>
    <row r="202" spans="1:4" x14ac:dyDescent="0.35">
      <c r="A202" s="1">
        <v>130</v>
      </c>
      <c r="B202" s="2">
        <v>46254</v>
      </c>
      <c r="C202" s="1" t="s">
        <v>73</v>
      </c>
      <c r="D202" s="1">
        <f>MONTH(Tabela9[[#This Row],[DATA]])</f>
        <v>8</v>
      </c>
    </row>
    <row r="203" spans="1:4" x14ac:dyDescent="0.35">
      <c r="A203" s="1">
        <v>130</v>
      </c>
      <c r="B203" s="2">
        <v>46254</v>
      </c>
      <c r="C203" s="1" t="s">
        <v>73</v>
      </c>
      <c r="D203" s="1">
        <f>MONTH(Tabela9[[#This Row],[DATA]])</f>
        <v>8</v>
      </c>
    </row>
    <row r="204" spans="1:4" x14ac:dyDescent="0.35">
      <c r="A204" s="1">
        <v>131</v>
      </c>
      <c r="B204" s="2">
        <v>46259</v>
      </c>
      <c r="C204" s="1" t="s">
        <v>24</v>
      </c>
      <c r="D204" s="1">
        <f>MONTH(Tabela9[[#This Row],[DATA]])</f>
        <v>8</v>
      </c>
    </row>
    <row r="205" spans="1:4" x14ac:dyDescent="0.35">
      <c r="A205" s="1">
        <v>131</v>
      </c>
      <c r="B205" s="2">
        <v>46259</v>
      </c>
      <c r="C205" s="1" t="s">
        <v>24</v>
      </c>
      <c r="D205" s="1">
        <f>MONTH(Tabela9[[#This Row],[DATA]])</f>
        <v>8</v>
      </c>
    </row>
    <row r="206" spans="1:4" x14ac:dyDescent="0.35">
      <c r="A206" s="1">
        <v>132</v>
      </c>
      <c r="B206" s="2">
        <v>46260</v>
      </c>
      <c r="C206" s="1" t="s">
        <v>3</v>
      </c>
      <c r="D206" s="1">
        <f>MONTH(Tabela9[[#This Row],[DATA]])</f>
        <v>8</v>
      </c>
    </row>
    <row r="207" spans="1:4" x14ac:dyDescent="0.35">
      <c r="A207" s="1">
        <v>132</v>
      </c>
      <c r="B207" s="2">
        <v>46260</v>
      </c>
      <c r="C207" s="1" t="s">
        <v>3</v>
      </c>
      <c r="D207" s="1">
        <f>MONTH(Tabela9[[#This Row],[DATA]])</f>
        <v>8</v>
      </c>
    </row>
    <row r="208" spans="1:4" x14ac:dyDescent="0.35">
      <c r="A208" s="1">
        <v>133</v>
      </c>
      <c r="B208" s="2">
        <v>46261</v>
      </c>
      <c r="C208" s="1" t="s">
        <v>3</v>
      </c>
      <c r="D208" s="1">
        <f>MONTH(Tabela9[[#This Row],[DATA]])</f>
        <v>8</v>
      </c>
    </row>
    <row r="209" spans="1:4" x14ac:dyDescent="0.35">
      <c r="A209" s="1">
        <v>133</v>
      </c>
      <c r="B209" s="2">
        <v>46261</v>
      </c>
      <c r="C209" s="1" t="s">
        <v>3</v>
      </c>
      <c r="D209" s="1">
        <f>MONTH(Tabela9[[#This Row],[DATA]])</f>
        <v>8</v>
      </c>
    </row>
    <row r="210" spans="1:4" x14ac:dyDescent="0.35">
      <c r="A210" s="1">
        <v>134</v>
      </c>
      <c r="B210" s="2">
        <v>46282</v>
      </c>
      <c r="C210" s="1" t="s">
        <v>3</v>
      </c>
      <c r="D210" s="1">
        <f>MONTH(Tabela9[[#This Row],[DATA]])</f>
        <v>9</v>
      </c>
    </row>
    <row r="211" spans="1:4" x14ac:dyDescent="0.35">
      <c r="A211" s="1">
        <v>134</v>
      </c>
      <c r="B211" s="2">
        <v>46282</v>
      </c>
      <c r="C211" s="1" t="s">
        <v>3</v>
      </c>
      <c r="D211" s="1">
        <f>MONTH(Tabela9[[#This Row],[DATA]])</f>
        <v>9</v>
      </c>
    </row>
    <row r="212" spans="1:4" x14ac:dyDescent="0.35">
      <c r="A212" s="1">
        <v>135</v>
      </c>
      <c r="B212" s="2">
        <v>46286</v>
      </c>
      <c r="C212" s="1" t="s">
        <v>3</v>
      </c>
      <c r="D212" s="1">
        <f>MONTH(Tabela9[[#This Row],[DATA]])</f>
        <v>9</v>
      </c>
    </row>
    <row r="213" spans="1:4" x14ac:dyDescent="0.35">
      <c r="A213" s="1">
        <v>135</v>
      </c>
      <c r="B213" s="2">
        <v>46286</v>
      </c>
      <c r="C213" s="1" t="s">
        <v>3</v>
      </c>
      <c r="D213" s="1">
        <f>MONTH(Tabela9[[#This Row],[DATA]])</f>
        <v>9</v>
      </c>
    </row>
    <row r="214" spans="1:4" x14ac:dyDescent="0.35">
      <c r="A214" s="1">
        <v>136</v>
      </c>
      <c r="B214" s="2">
        <v>46296</v>
      </c>
      <c r="C214" s="1" t="s">
        <v>22</v>
      </c>
      <c r="D214" s="1">
        <f>MONTH(Tabela9[[#This Row],[DATA]])</f>
        <v>10</v>
      </c>
    </row>
    <row r="215" spans="1:4" x14ac:dyDescent="0.35">
      <c r="A215" s="1">
        <v>137</v>
      </c>
      <c r="B215" s="2">
        <v>46297</v>
      </c>
      <c r="C215" s="1" t="s">
        <v>22</v>
      </c>
      <c r="D215" s="1">
        <f>MONTH(Tabela9[[#This Row],[DATA]])</f>
        <v>10</v>
      </c>
    </row>
    <row r="216" spans="1:4" x14ac:dyDescent="0.35">
      <c r="A216" s="1">
        <v>138</v>
      </c>
      <c r="B216" s="2">
        <v>46300</v>
      </c>
      <c r="C216" s="1" t="s">
        <v>3</v>
      </c>
      <c r="D216" s="1">
        <f>MONTH(Tabela9[[#This Row],[DATA]])</f>
        <v>10</v>
      </c>
    </row>
    <row r="217" spans="1:4" x14ac:dyDescent="0.35">
      <c r="A217" s="1">
        <v>139</v>
      </c>
      <c r="B217" s="2">
        <v>46301</v>
      </c>
      <c r="C217" s="1" t="s">
        <v>73</v>
      </c>
      <c r="D217" s="1">
        <f>MONTH(Tabela9[[#This Row],[DATA]])</f>
        <v>10</v>
      </c>
    </row>
    <row r="218" spans="1:4" x14ac:dyDescent="0.35">
      <c r="A218" s="1">
        <v>140</v>
      </c>
      <c r="B218" s="2">
        <v>46301</v>
      </c>
      <c r="C218" s="1" t="s">
        <v>24</v>
      </c>
      <c r="D218" s="1">
        <f>MONTH(Tabela9[[#This Row],[DATA]])</f>
        <v>10</v>
      </c>
    </row>
    <row r="219" spans="1:4" x14ac:dyDescent="0.35">
      <c r="A219" s="1">
        <v>141</v>
      </c>
      <c r="B219" s="2">
        <v>46302</v>
      </c>
      <c r="C219" s="1" t="s">
        <v>3</v>
      </c>
      <c r="D219" s="1">
        <f>MONTH(Tabela9[[#This Row],[DATA]])</f>
        <v>10</v>
      </c>
    </row>
    <row r="220" spans="1:4" x14ac:dyDescent="0.35">
      <c r="A220" s="1">
        <v>142</v>
      </c>
      <c r="B220" s="2">
        <v>46303</v>
      </c>
      <c r="C220" s="1" t="s">
        <v>21</v>
      </c>
      <c r="D220" s="1">
        <f>MONTH(Tabela9[[#This Row],[DATA]])</f>
        <v>10</v>
      </c>
    </row>
    <row r="221" spans="1:4" x14ac:dyDescent="0.35">
      <c r="A221" s="1">
        <v>143</v>
      </c>
      <c r="B221" s="2">
        <v>46308</v>
      </c>
      <c r="C221" s="1" t="s">
        <v>24</v>
      </c>
      <c r="D221" s="1">
        <f>MONTH(Tabela9[[#This Row],[DATA]])</f>
        <v>10</v>
      </c>
    </row>
    <row r="222" spans="1:4" x14ac:dyDescent="0.35">
      <c r="A222" s="1">
        <v>144</v>
      </c>
      <c r="B222" s="2">
        <v>46308</v>
      </c>
      <c r="C222" s="1" t="s">
        <v>3</v>
      </c>
      <c r="D222" s="1">
        <f>MONTH(Tabela9[[#This Row],[DATA]])</f>
        <v>10</v>
      </c>
    </row>
    <row r="223" spans="1:4" x14ac:dyDescent="0.35">
      <c r="A223" s="1">
        <v>145</v>
      </c>
      <c r="B223" s="2">
        <v>46309</v>
      </c>
      <c r="C223" s="1" t="s">
        <v>28</v>
      </c>
      <c r="D223" s="1">
        <f>MONTH(Tabela9[[#This Row],[DATA]])</f>
        <v>10</v>
      </c>
    </row>
    <row r="224" spans="1:4" x14ac:dyDescent="0.35">
      <c r="A224" s="1">
        <v>146</v>
      </c>
      <c r="B224" s="2">
        <v>46310</v>
      </c>
      <c r="C224" s="1" t="s">
        <v>9</v>
      </c>
      <c r="D224" s="1">
        <f>MONTH(Tabela9[[#This Row],[DATA]])</f>
        <v>10</v>
      </c>
    </row>
    <row r="225" spans="1:4" x14ac:dyDescent="0.35">
      <c r="A225" s="1">
        <v>147</v>
      </c>
      <c r="B225" s="2">
        <v>46310</v>
      </c>
      <c r="C225" s="1" t="s">
        <v>3</v>
      </c>
      <c r="D225" s="1">
        <f>MONTH(Tabela9[[#This Row],[DATA]])</f>
        <v>10</v>
      </c>
    </row>
    <row r="226" spans="1:4" x14ac:dyDescent="0.35">
      <c r="A226" s="1">
        <v>148</v>
      </c>
      <c r="B226" s="2">
        <v>46311</v>
      </c>
      <c r="C226" s="1" t="s">
        <v>3</v>
      </c>
      <c r="D226" s="1">
        <f>MONTH(Tabela9[[#This Row],[DATA]])</f>
        <v>10</v>
      </c>
    </row>
    <row r="227" spans="1:4" x14ac:dyDescent="0.35">
      <c r="A227" s="1">
        <v>149</v>
      </c>
      <c r="B227" s="2">
        <v>46303</v>
      </c>
      <c r="C227" s="1" t="s">
        <v>28</v>
      </c>
      <c r="D227" s="1">
        <f>MONTH(Tabela9[[#This Row],[DATA]])</f>
        <v>10</v>
      </c>
    </row>
    <row r="228" spans="1:4" x14ac:dyDescent="0.35">
      <c r="A228" s="1">
        <v>150</v>
      </c>
      <c r="B228" s="2">
        <v>46314</v>
      </c>
      <c r="C228" s="1" t="s">
        <v>3</v>
      </c>
      <c r="D228" s="1">
        <f>MONTH(Tabela9[[#This Row],[DATA]])</f>
        <v>10</v>
      </c>
    </row>
    <row r="229" spans="1:4" x14ac:dyDescent="0.35">
      <c r="A229" s="1">
        <v>151</v>
      </c>
      <c r="B229" s="2">
        <v>46315</v>
      </c>
      <c r="C229" s="1" t="s">
        <v>3</v>
      </c>
      <c r="D229" s="1">
        <f>MONTH(Tabela9[[#This Row],[DATA]])</f>
        <v>10</v>
      </c>
    </row>
    <row r="230" spans="1:4" x14ac:dyDescent="0.35">
      <c r="A230" s="1">
        <v>152</v>
      </c>
      <c r="B230" s="2">
        <v>46316</v>
      </c>
      <c r="C230" s="1" t="s">
        <v>9</v>
      </c>
      <c r="D230" s="1">
        <f>MONTH(Tabela9[[#This Row],[DATA]])</f>
        <v>10</v>
      </c>
    </row>
    <row r="231" spans="1:4" x14ac:dyDescent="0.35">
      <c r="A231" s="1">
        <v>153</v>
      </c>
      <c r="B231" s="2">
        <v>46318</v>
      </c>
      <c r="C231" s="1" t="s">
        <v>3</v>
      </c>
      <c r="D231" s="1">
        <f>MONTH(Tabela9[[#This Row],[DATA]])</f>
        <v>10</v>
      </c>
    </row>
    <row r="232" spans="1:4" x14ac:dyDescent="0.35">
      <c r="A232" s="1">
        <v>154</v>
      </c>
      <c r="B232" s="2">
        <v>46321</v>
      </c>
      <c r="C232" s="1" t="s">
        <v>3</v>
      </c>
      <c r="D232" s="1">
        <f>MONTH(Tabela9[[#This Row],[DATA]])</f>
        <v>10</v>
      </c>
    </row>
    <row r="233" spans="1:4" x14ac:dyDescent="0.35">
      <c r="A233" s="1">
        <v>155</v>
      </c>
      <c r="B233" s="2">
        <v>46321</v>
      </c>
      <c r="C233" s="1" t="s">
        <v>21</v>
      </c>
      <c r="D233" s="1">
        <f>MONTH(Tabela9[[#This Row],[DATA]])</f>
        <v>10</v>
      </c>
    </row>
    <row r="234" spans="1:4" x14ac:dyDescent="0.35">
      <c r="A234" s="1">
        <v>156</v>
      </c>
      <c r="B234" s="2">
        <v>46321</v>
      </c>
      <c r="C234" s="1" t="s">
        <v>21</v>
      </c>
      <c r="D234" s="1">
        <f>MONTH(Tabela9[[#This Row],[DATA]])</f>
        <v>10</v>
      </c>
    </row>
    <row r="235" spans="1:4" x14ac:dyDescent="0.35">
      <c r="A235" s="1">
        <v>157</v>
      </c>
      <c r="B235" s="2">
        <v>46321</v>
      </c>
      <c r="C235" s="1" t="s">
        <v>21</v>
      </c>
      <c r="D235" s="1">
        <f>MONTH(Tabela9[[#This Row],[DATA]])</f>
        <v>10</v>
      </c>
    </row>
    <row r="236" spans="1:4" x14ac:dyDescent="0.35">
      <c r="A236" s="1">
        <v>158</v>
      </c>
      <c r="B236" s="2">
        <v>46321</v>
      </c>
      <c r="C236" s="1" t="s">
        <v>21</v>
      </c>
      <c r="D236" s="1">
        <f>MONTH(Tabela9[[#This Row],[DATA]])</f>
        <v>10</v>
      </c>
    </row>
    <row r="237" spans="1:4" x14ac:dyDescent="0.35">
      <c r="A237" s="1">
        <v>159</v>
      </c>
      <c r="B237" s="2">
        <v>46322</v>
      </c>
      <c r="C237" s="1" t="s">
        <v>21</v>
      </c>
      <c r="D237" s="1">
        <f>MONTH(Tabela9[[#This Row],[DATA]])</f>
        <v>10</v>
      </c>
    </row>
    <row r="238" spans="1:4" x14ac:dyDescent="0.35">
      <c r="A238" s="1">
        <v>160</v>
      </c>
      <c r="B238" s="2">
        <v>46322</v>
      </c>
      <c r="C238" s="1" t="s">
        <v>21</v>
      </c>
      <c r="D238" s="1">
        <f>MONTH(Tabela9[[#This Row],[DATA]])</f>
        <v>10</v>
      </c>
    </row>
    <row r="239" spans="1:4" x14ac:dyDescent="0.35">
      <c r="A239" s="1">
        <v>161</v>
      </c>
      <c r="B239" s="2">
        <v>46322</v>
      </c>
      <c r="C239" s="1" t="s">
        <v>21</v>
      </c>
      <c r="D239" s="1">
        <f>MONTH(Tabela9[[#This Row],[DATA]])</f>
        <v>10</v>
      </c>
    </row>
    <row r="240" spans="1:4" x14ac:dyDescent="0.35">
      <c r="A240" s="1">
        <v>162</v>
      </c>
      <c r="B240" s="2">
        <v>46322</v>
      </c>
      <c r="C240" s="1" t="s">
        <v>3</v>
      </c>
      <c r="D240" s="1">
        <f>MONTH(Tabela9[[#This Row],[DATA]])</f>
        <v>10</v>
      </c>
    </row>
    <row r="241" spans="1:4" x14ac:dyDescent="0.35">
      <c r="A241" s="1">
        <v>163</v>
      </c>
      <c r="B241" s="2">
        <v>46322</v>
      </c>
      <c r="C241" s="1" t="s">
        <v>3</v>
      </c>
      <c r="D241" s="1">
        <f>MONTH(Tabela9[[#This Row],[DATA]])</f>
        <v>10</v>
      </c>
    </row>
    <row r="242" spans="1:4" x14ac:dyDescent="0.35">
      <c r="A242" s="1">
        <v>164</v>
      </c>
      <c r="B242" s="2">
        <v>46323</v>
      </c>
      <c r="C242" s="1" t="s">
        <v>21</v>
      </c>
      <c r="D242" s="1">
        <f>MONTH(Tabela9[[#This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4C60-D86A-46FB-A8A7-7198858A708E}">
  <dimension ref="A1:D644"/>
  <sheetViews>
    <sheetView showGridLines="0" workbookViewId="0">
      <selection sqref="A1:D644"/>
    </sheetView>
  </sheetViews>
  <sheetFormatPr defaultRowHeight="10.5" x14ac:dyDescent="0.35"/>
  <cols>
    <col min="1" max="1" width="6.453125" style="1" bestFit="1" customWidth="1"/>
    <col min="2" max="2" width="8.36328125" style="1" bestFit="1" customWidth="1"/>
    <col min="3" max="3" width="25.453125" style="1" bestFit="1" customWidth="1"/>
    <col min="4" max="4" width="12.5429687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66</v>
      </c>
      <c r="D1" s="1" t="s">
        <v>30</v>
      </c>
    </row>
    <row r="2" spans="1:4" hidden="1" x14ac:dyDescent="0.35">
      <c r="A2" s="1">
        <v>1474</v>
      </c>
      <c r="B2" s="2">
        <v>46077</v>
      </c>
      <c r="C2" s="1" t="s">
        <v>74</v>
      </c>
      <c r="D2" s="1">
        <f>IFERROR(VLOOKUP(FISCALIZAÇÃO[[#This Row],[ID]],FISC_ACUM!A:A,1,0),"NOVO")</f>
        <v>1474</v>
      </c>
    </row>
    <row r="3" spans="1:4" hidden="1" x14ac:dyDescent="0.35">
      <c r="A3" s="1">
        <v>1480</v>
      </c>
      <c r="B3" s="2">
        <v>46078</v>
      </c>
      <c r="C3" s="1" t="s">
        <v>74</v>
      </c>
      <c r="D3" s="1">
        <f>IFERROR(VLOOKUP(FISCALIZAÇÃO[[#This Row],[ID]],FISC_ACUM!A:A,1,0),"NOVO")</f>
        <v>1480</v>
      </c>
    </row>
    <row r="4" spans="1:4" hidden="1" x14ac:dyDescent="0.35">
      <c r="A4" s="1">
        <v>1490</v>
      </c>
      <c r="B4" s="2">
        <v>46078</v>
      </c>
      <c r="C4" s="1" t="s">
        <v>24</v>
      </c>
      <c r="D4" s="1">
        <f>IFERROR(VLOOKUP(FISCALIZAÇÃO[[#This Row],[ID]],FISC_ACUM!A:A,1,0),"NOVO")</f>
        <v>1490</v>
      </c>
    </row>
    <row r="5" spans="1:4" hidden="1" x14ac:dyDescent="0.35">
      <c r="A5" s="1">
        <v>1491</v>
      </c>
      <c r="B5" s="2">
        <v>46078</v>
      </c>
      <c r="C5" s="1" t="s">
        <v>9</v>
      </c>
      <c r="D5" s="1">
        <f>IFERROR(VLOOKUP(FISCALIZAÇÃO[[#This Row],[ID]],FISC_ACUM!A:A,1,0),"NOVO")</f>
        <v>1491</v>
      </c>
    </row>
    <row r="6" spans="1:4" hidden="1" x14ac:dyDescent="0.35">
      <c r="A6" s="1">
        <v>1487</v>
      </c>
      <c r="B6" s="2">
        <v>46078</v>
      </c>
      <c r="C6" s="1" t="s">
        <v>24</v>
      </c>
      <c r="D6" s="1">
        <f>IFERROR(VLOOKUP(FISCALIZAÇÃO[[#This Row],[ID]],FISC_ACUM!A:A,1,0),"NOVO")</f>
        <v>1487</v>
      </c>
    </row>
    <row r="7" spans="1:4" hidden="1" x14ac:dyDescent="0.35">
      <c r="A7" s="1">
        <v>1488</v>
      </c>
      <c r="B7" s="2">
        <v>46078</v>
      </c>
      <c r="C7" s="1" t="s">
        <v>34</v>
      </c>
      <c r="D7" s="1">
        <f>IFERROR(VLOOKUP(FISCALIZAÇÃO[[#This Row],[ID]],FISC_ACUM!A:A,1,0),"NOVO")</f>
        <v>1488</v>
      </c>
    </row>
    <row r="8" spans="1:4" hidden="1" x14ac:dyDescent="0.35">
      <c r="A8" s="1">
        <v>1502</v>
      </c>
      <c r="B8" s="2">
        <v>46078</v>
      </c>
      <c r="C8" s="1" t="s">
        <v>34</v>
      </c>
      <c r="D8" s="1">
        <f>IFERROR(VLOOKUP(FISCALIZAÇÃO[[#This Row],[ID]],FISC_ACUM!A:A,1,0),"NOVO")</f>
        <v>1502</v>
      </c>
    </row>
    <row r="9" spans="1:4" hidden="1" x14ac:dyDescent="0.35">
      <c r="A9" s="1">
        <v>1503</v>
      </c>
      <c r="B9" s="2">
        <v>46078</v>
      </c>
      <c r="C9" s="1" t="s">
        <v>34</v>
      </c>
      <c r="D9" s="1">
        <f>IFERROR(VLOOKUP(FISCALIZAÇÃO[[#This Row],[ID]],FISC_ACUM!A:A,1,0),"NOVO")</f>
        <v>1503</v>
      </c>
    </row>
    <row r="10" spans="1:4" hidden="1" x14ac:dyDescent="0.35">
      <c r="A10" s="1">
        <v>1504</v>
      </c>
      <c r="B10" s="2">
        <v>46078</v>
      </c>
      <c r="C10" s="1" t="s">
        <v>9</v>
      </c>
      <c r="D10" s="1">
        <f>IFERROR(VLOOKUP(FISCALIZAÇÃO[[#This Row],[ID]],FISC_ACUM!A:A,1,0),"NOVO")</f>
        <v>1504</v>
      </c>
    </row>
    <row r="11" spans="1:4" hidden="1" x14ac:dyDescent="0.35">
      <c r="A11" s="1">
        <v>1505</v>
      </c>
      <c r="B11" s="2">
        <v>46078</v>
      </c>
      <c r="C11" s="1" t="s">
        <v>9</v>
      </c>
      <c r="D11" s="1">
        <f>IFERROR(VLOOKUP(FISCALIZAÇÃO[[#This Row],[ID]],FISC_ACUM!A:A,1,0),"NOVO")</f>
        <v>1505</v>
      </c>
    </row>
    <row r="12" spans="1:4" hidden="1" x14ac:dyDescent="0.35">
      <c r="A12" s="1">
        <v>1506</v>
      </c>
      <c r="B12" s="2">
        <v>46078</v>
      </c>
      <c r="C12" s="1" t="s">
        <v>9</v>
      </c>
      <c r="D12" s="1">
        <f>IFERROR(VLOOKUP(FISCALIZAÇÃO[[#This Row],[ID]],FISC_ACUM!A:A,1,0),"NOVO")</f>
        <v>1506</v>
      </c>
    </row>
    <row r="13" spans="1:4" hidden="1" x14ac:dyDescent="0.35">
      <c r="A13" s="1">
        <v>1511</v>
      </c>
      <c r="B13" s="2">
        <v>46079</v>
      </c>
      <c r="C13" s="1" t="s">
        <v>33</v>
      </c>
      <c r="D13" s="1">
        <f>IFERROR(VLOOKUP(FISCALIZAÇÃO[[#This Row],[ID]],FISC_ACUM!A:A,1,0),"NOVO")</f>
        <v>1511</v>
      </c>
    </row>
    <row r="14" spans="1:4" hidden="1" x14ac:dyDescent="0.35">
      <c r="A14" s="1">
        <v>1512</v>
      </c>
      <c r="B14" s="2">
        <v>46079</v>
      </c>
      <c r="C14" s="1" t="s">
        <v>21</v>
      </c>
      <c r="D14" s="1">
        <f>IFERROR(VLOOKUP(FISCALIZAÇÃO[[#This Row],[ID]],FISC_ACUM!A:A,1,0),"NOVO")</f>
        <v>1512</v>
      </c>
    </row>
    <row r="15" spans="1:4" hidden="1" x14ac:dyDescent="0.35">
      <c r="A15" s="1">
        <v>1521</v>
      </c>
      <c r="B15" s="2">
        <v>46079</v>
      </c>
      <c r="C15" s="1" t="s">
        <v>9</v>
      </c>
      <c r="D15" s="1">
        <f>IFERROR(VLOOKUP(FISCALIZAÇÃO[[#This Row],[ID]],FISC_ACUM!A:A,1,0),"NOVO")</f>
        <v>1521</v>
      </c>
    </row>
    <row r="16" spans="1:4" hidden="1" x14ac:dyDescent="0.35">
      <c r="A16" s="1">
        <v>1522</v>
      </c>
      <c r="B16" s="2">
        <v>46079</v>
      </c>
      <c r="C16" s="1" t="s">
        <v>5</v>
      </c>
      <c r="D16" s="1">
        <f>IFERROR(VLOOKUP(FISCALIZAÇÃO[[#This Row],[ID]],FISC_ACUM!A:A,1,0),"NOVO")</f>
        <v>1522</v>
      </c>
    </row>
    <row r="17" spans="1:4" hidden="1" x14ac:dyDescent="0.35">
      <c r="A17" s="1">
        <v>1526</v>
      </c>
      <c r="B17" s="2">
        <v>46080</v>
      </c>
      <c r="C17" s="1" t="s">
        <v>9</v>
      </c>
      <c r="D17" s="1">
        <f>IFERROR(VLOOKUP(FISCALIZAÇÃO[[#This Row],[ID]],FISC_ACUM!A:A,1,0),"NOVO")</f>
        <v>1526</v>
      </c>
    </row>
    <row r="18" spans="1:4" hidden="1" x14ac:dyDescent="0.35">
      <c r="A18" s="1">
        <v>1535</v>
      </c>
      <c r="B18" s="2">
        <v>46080</v>
      </c>
      <c r="C18" s="1" t="s">
        <v>34</v>
      </c>
      <c r="D18" s="1">
        <f>IFERROR(VLOOKUP(FISCALIZAÇÃO[[#This Row],[ID]],FISC_ACUM!A:A,1,0),"NOVO")</f>
        <v>1535</v>
      </c>
    </row>
    <row r="19" spans="1:4" hidden="1" x14ac:dyDescent="0.35">
      <c r="A19" s="1">
        <v>1536</v>
      </c>
      <c r="B19" s="2">
        <v>46080</v>
      </c>
      <c r="C19" s="1" t="s">
        <v>5</v>
      </c>
      <c r="D19" s="1">
        <f>IFERROR(VLOOKUP(FISCALIZAÇÃO[[#This Row],[ID]],FISC_ACUM!A:A,1,0),"NOVO")</f>
        <v>1536</v>
      </c>
    </row>
    <row r="20" spans="1:4" hidden="1" x14ac:dyDescent="0.35">
      <c r="A20" s="1">
        <v>1537</v>
      </c>
      <c r="B20" s="2">
        <v>46080</v>
      </c>
      <c r="C20" s="1" t="s">
        <v>5</v>
      </c>
      <c r="D20" s="1">
        <f>IFERROR(VLOOKUP(FISCALIZAÇÃO[[#This Row],[ID]],FISC_ACUM!A:A,1,0),"NOVO")</f>
        <v>1537</v>
      </c>
    </row>
    <row r="21" spans="1:4" hidden="1" x14ac:dyDescent="0.35">
      <c r="A21" s="1">
        <v>1579</v>
      </c>
      <c r="B21" s="2">
        <v>46084</v>
      </c>
      <c r="C21" s="1" t="s">
        <v>34</v>
      </c>
      <c r="D21" s="1">
        <f>IFERROR(VLOOKUP(FISCALIZAÇÃO[[#This Row],[ID]],FISC_ACUM!A:A,1,0),"NOVO")</f>
        <v>1579</v>
      </c>
    </row>
    <row r="22" spans="1:4" hidden="1" x14ac:dyDescent="0.35">
      <c r="A22" s="1">
        <v>1580</v>
      </c>
      <c r="B22" s="2">
        <v>46084</v>
      </c>
      <c r="C22" s="1" t="s">
        <v>5</v>
      </c>
      <c r="D22" s="1">
        <f>IFERROR(VLOOKUP(FISCALIZAÇÃO[[#This Row],[ID]],FISC_ACUM!A:A,1,0),"NOVO")</f>
        <v>1580</v>
      </c>
    </row>
    <row r="23" spans="1:4" hidden="1" x14ac:dyDescent="0.35">
      <c r="A23" s="1">
        <v>1581</v>
      </c>
      <c r="B23" s="2">
        <v>46084</v>
      </c>
      <c r="C23" s="1" t="s">
        <v>34</v>
      </c>
      <c r="D23" s="1">
        <f>IFERROR(VLOOKUP(FISCALIZAÇÃO[[#This Row],[ID]],FISC_ACUM!A:A,1,0),"NOVO")</f>
        <v>1581</v>
      </c>
    </row>
    <row r="24" spans="1:4" hidden="1" x14ac:dyDescent="0.35">
      <c r="A24" s="1">
        <v>1582</v>
      </c>
      <c r="B24" s="2">
        <v>46084</v>
      </c>
      <c r="C24" s="1" t="s">
        <v>33</v>
      </c>
      <c r="D24" s="1">
        <f>IFERROR(VLOOKUP(FISCALIZAÇÃO[[#This Row],[ID]],FISC_ACUM!A:A,1,0),"NOVO")</f>
        <v>1582</v>
      </c>
    </row>
    <row r="25" spans="1:4" hidden="1" x14ac:dyDescent="0.35">
      <c r="A25" s="1">
        <v>1583</v>
      </c>
      <c r="B25" s="2">
        <v>46084</v>
      </c>
      <c r="C25" s="1" t="s">
        <v>5</v>
      </c>
      <c r="D25" s="1">
        <f>IFERROR(VLOOKUP(FISCALIZAÇÃO[[#This Row],[ID]],FISC_ACUM!A:A,1,0),"NOVO")</f>
        <v>1583</v>
      </c>
    </row>
    <row r="26" spans="1:4" hidden="1" x14ac:dyDescent="0.35">
      <c r="A26" s="1">
        <v>1651</v>
      </c>
      <c r="B26" s="2">
        <v>46087</v>
      </c>
      <c r="C26" s="1" t="s">
        <v>28</v>
      </c>
      <c r="D26" s="1">
        <f>IFERROR(VLOOKUP(FISCALIZAÇÃO[[#This Row],[ID]],FISC_ACUM!A:A,1,0),"NOVO")</f>
        <v>1651</v>
      </c>
    </row>
    <row r="27" spans="1:4" hidden="1" x14ac:dyDescent="0.35">
      <c r="A27" s="1">
        <v>1652</v>
      </c>
      <c r="B27" s="2">
        <v>46087</v>
      </c>
      <c r="C27" s="1" t="s">
        <v>33</v>
      </c>
      <c r="D27" s="1">
        <f>IFERROR(VLOOKUP(FISCALIZAÇÃO[[#This Row],[ID]],FISC_ACUM!A:A,1,0),"NOVO")</f>
        <v>1652</v>
      </c>
    </row>
    <row r="28" spans="1:4" hidden="1" x14ac:dyDescent="0.35">
      <c r="A28" s="1">
        <v>1654</v>
      </c>
      <c r="B28" s="2">
        <v>46087</v>
      </c>
      <c r="C28" s="1" t="s">
        <v>5</v>
      </c>
      <c r="D28" s="1">
        <f>IFERROR(VLOOKUP(FISCALIZAÇÃO[[#This Row],[ID]],FISC_ACUM!A:A,1,0),"NOVO")</f>
        <v>1654</v>
      </c>
    </row>
    <row r="29" spans="1:4" hidden="1" x14ac:dyDescent="0.35">
      <c r="A29" s="1">
        <v>1655</v>
      </c>
      <c r="B29" s="2">
        <v>46087</v>
      </c>
      <c r="C29" s="1" t="s">
        <v>5</v>
      </c>
      <c r="D29" s="1">
        <f>IFERROR(VLOOKUP(FISCALIZAÇÃO[[#This Row],[ID]],FISC_ACUM!A:A,1,0),"NOVO")</f>
        <v>1655</v>
      </c>
    </row>
    <row r="30" spans="1:4" hidden="1" x14ac:dyDescent="0.35">
      <c r="A30" s="1">
        <v>1656</v>
      </c>
      <c r="B30" s="2">
        <v>46087</v>
      </c>
      <c r="C30" s="1" t="s">
        <v>5</v>
      </c>
      <c r="D30" s="1">
        <f>IFERROR(VLOOKUP(FISCALIZAÇÃO[[#This Row],[ID]],FISC_ACUM!A:A,1,0),"NOVO")</f>
        <v>1656</v>
      </c>
    </row>
    <row r="31" spans="1:4" hidden="1" x14ac:dyDescent="0.35">
      <c r="A31" s="1">
        <v>1657</v>
      </c>
      <c r="B31" s="2">
        <v>46087</v>
      </c>
      <c r="C31" s="1" t="s">
        <v>21</v>
      </c>
      <c r="D31" s="1">
        <f>IFERROR(VLOOKUP(FISCALIZAÇÃO[[#This Row],[ID]],FISC_ACUM!A:A,1,0),"NOVO")</f>
        <v>1657</v>
      </c>
    </row>
    <row r="32" spans="1:4" hidden="1" x14ac:dyDescent="0.35">
      <c r="A32" s="1">
        <v>1658</v>
      </c>
      <c r="B32" s="2">
        <v>46087</v>
      </c>
      <c r="C32" s="1" t="s">
        <v>24</v>
      </c>
      <c r="D32" s="1">
        <f>IFERROR(VLOOKUP(FISCALIZAÇÃO[[#This Row],[ID]],FISC_ACUM!A:A,1,0),"NOVO")</f>
        <v>1658</v>
      </c>
    </row>
    <row r="33" spans="1:4" hidden="1" x14ac:dyDescent="0.35">
      <c r="A33" s="1">
        <v>1659</v>
      </c>
      <c r="B33" s="2">
        <v>46087</v>
      </c>
      <c r="C33" s="1" t="s">
        <v>24</v>
      </c>
      <c r="D33" s="1">
        <f>IFERROR(VLOOKUP(FISCALIZAÇÃO[[#This Row],[ID]],FISC_ACUM!A:A,1,0),"NOVO")</f>
        <v>1659</v>
      </c>
    </row>
    <row r="34" spans="1:4" hidden="1" x14ac:dyDescent="0.35">
      <c r="A34" s="1">
        <v>1660</v>
      </c>
      <c r="B34" s="2">
        <v>46087</v>
      </c>
      <c r="C34" s="1" t="s">
        <v>28</v>
      </c>
      <c r="D34" s="1">
        <f>IFERROR(VLOOKUP(FISCALIZAÇÃO[[#This Row],[ID]],FISC_ACUM!A:A,1,0),"NOVO")</f>
        <v>1660</v>
      </c>
    </row>
    <row r="35" spans="1:4" hidden="1" x14ac:dyDescent="0.35">
      <c r="A35" s="1">
        <v>1661</v>
      </c>
      <c r="B35" s="2">
        <v>46087</v>
      </c>
      <c r="C35" s="1" t="s">
        <v>24</v>
      </c>
      <c r="D35" s="1">
        <f>IFERROR(VLOOKUP(FISCALIZAÇÃO[[#This Row],[ID]],FISC_ACUM!A:A,1,0),"NOVO")</f>
        <v>1661</v>
      </c>
    </row>
    <row r="36" spans="1:4" hidden="1" x14ac:dyDescent="0.35">
      <c r="A36" s="1">
        <v>1662</v>
      </c>
      <c r="B36" s="2">
        <v>46087</v>
      </c>
      <c r="C36" s="1" t="s">
        <v>9</v>
      </c>
      <c r="D36" s="1">
        <f>IFERROR(VLOOKUP(FISCALIZAÇÃO[[#This Row],[ID]],FISC_ACUM!A:A,1,0),"NOVO")</f>
        <v>1662</v>
      </c>
    </row>
    <row r="37" spans="1:4" hidden="1" x14ac:dyDescent="0.35">
      <c r="A37" s="1">
        <v>1663</v>
      </c>
      <c r="B37" s="2">
        <v>46087</v>
      </c>
      <c r="C37" s="1" t="s">
        <v>9</v>
      </c>
      <c r="D37" s="1">
        <f>IFERROR(VLOOKUP(FISCALIZAÇÃO[[#This Row],[ID]],FISC_ACUM!A:A,1,0),"NOVO")</f>
        <v>1663</v>
      </c>
    </row>
    <row r="38" spans="1:4" hidden="1" x14ac:dyDescent="0.35">
      <c r="A38" s="1">
        <v>1664</v>
      </c>
      <c r="B38" s="2">
        <v>46087</v>
      </c>
      <c r="C38" s="1" t="s">
        <v>24</v>
      </c>
      <c r="D38" s="1">
        <f>IFERROR(VLOOKUP(FISCALIZAÇÃO[[#This Row],[ID]],FISC_ACUM!A:A,1,0),"NOVO")</f>
        <v>1664</v>
      </c>
    </row>
    <row r="39" spans="1:4" hidden="1" x14ac:dyDescent="0.35">
      <c r="A39" s="1">
        <v>1665</v>
      </c>
      <c r="B39" s="2">
        <v>46087</v>
      </c>
      <c r="C39" s="1" t="s">
        <v>33</v>
      </c>
      <c r="D39" s="1">
        <f>IFERROR(VLOOKUP(FISCALIZAÇÃO[[#This Row],[ID]],FISC_ACUM!A:A,1,0),"NOVO")</f>
        <v>1665</v>
      </c>
    </row>
    <row r="40" spans="1:4" hidden="1" x14ac:dyDescent="0.35">
      <c r="A40" s="1">
        <v>1666</v>
      </c>
      <c r="B40" s="2">
        <v>46087</v>
      </c>
      <c r="C40" s="1" t="s">
        <v>33</v>
      </c>
      <c r="D40" s="1">
        <f>IFERROR(VLOOKUP(FISCALIZAÇÃO[[#This Row],[ID]],FISC_ACUM!A:A,1,0),"NOVO")</f>
        <v>1666</v>
      </c>
    </row>
    <row r="41" spans="1:4" hidden="1" x14ac:dyDescent="0.35">
      <c r="A41" s="1">
        <v>1667</v>
      </c>
      <c r="B41" s="2">
        <v>46087</v>
      </c>
      <c r="C41" s="1" t="s">
        <v>33</v>
      </c>
      <c r="D41" s="1">
        <f>IFERROR(VLOOKUP(FISCALIZAÇÃO[[#This Row],[ID]],FISC_ACUM!A:A,1,0),"NOVO")</f>
        <v>1667</v>
      </c>
    </row>
    <row r="42" spans="1:4" hidden="1" x14ac:dyDescent="0.35">
      <c r="A42" s="1">
        <v>1668</v>
      </c>
      <c r="B42" s="2">
        <v>46087</v>
      </c>
      <c r="C42" s="1" t="s">
        <v>28</v>
      </c>
      <c r="D42" s="1">
        <f>IFERROR(VLOOKUP(FISCALIZAÇÃO[[#This Row],[ID]],FISC_ACUM!A:A,1,0),"NOVO")</f>
        <v>1668</v>
      </c>
    </row>
    <row r="43" spans="1:4" hidden="1" x14ac:dyDescent="0.35">
      <c r="A43" s="1">
        <v>1669</v>
      </c>
      <c r="B43" s="2">
        <v>46087</v>
      </c>
      <c r="C43" s="1" t="s">
        <v>22</v>
      </c>
      <c r="D43" s="1">
        <f>IFERROR(VLOOKUP(FISCALIZAÇÃO[[#This Row],[ID]],FISC_ACUM!A:A,1,0),"NOVO")</f>
        <v>1669</v>
      </c>
    </row>
    <row r="44" spans="1:4" hidden="1" x14ac:dyDescent="0.35">
      <c r="A44" s="1">
        <v>1670</v>
      </c>
      <c r="B44" s="2">
        <v>46087</v>
      </c>
      <c r="C44" s="1" t="s">
        <v>33</v>
      </c>
      <c r="D44" s="1">
        <f>IFERROR(VLOOKUP(FISCALIZAÇÃO[[#This Row],[ID]],FISC_ACUM!A:A,1,0),"NOVO")</f>
        <v>1670</v>
      </c>
    </row>
    <row r="45" spans="1:4" hidden="1" x14ac:dyDescent="0.35">
      <c r="A45" s="1">
        <v>1671</v>
      </c>
      <c r="B45" s="2">
        <v>46087</v>
      </c>
      <c r="C45" s="1" t="s">
        <v>33</v>
      </c>
      <c r="D45" s="1">
        <f>IFERROR(VLOOKUP(FISCALIZAÇÃO[[#This Row],[ID]],FISC_ACUM!A:A,1,0),"NOVO")</f>
        <v>1671</v>
      </c>
    </row>
    <row r="46" spans="1:4" hidden="1" x14ac:dyDescent="0.35">
      <c r="A46" s="1">
        <v>1672</v>
      </c>
      <c r="B46" s="2">
        <v>46087</v>
      </c>
      <c r="C46" s="1" t="s">
        <v>33</v>
      </c>
      <c r="D46" s="1">
        <f>IFERROR(VLOOKUP(FISCALIZAÇÃO[[#This Row],[ID]],FISC_ACUM!A:A,1,0),"NOVO")</f>
        <v>1672</v>
      </c>
    </row>
    <row r="47" spans="1:4" hidden="1" x14ac:dyDescent="0.35">
      <c r="A47" s="1">
        <v>1673</v>
      </c>
      <c r="B47" s="2">
        <v>46087</v>
      </c>
      <c r="C47" s="1" t="s">
        <v>22</v>
      </c>
      <c r="D47" s="1">
        <f>IFERROR(VLOOKUP(FISCALIZAÇÃO[[#This Row],[ID]],FISC_ACUM!A:A,1,0),"NOVO")</f>
        <v>1673</v>
      </c>
    </row>
    <row r="48" spans="1:4" hidden="1" x14ac:dyDescent="0.35">
      <c r="A48" s="1">
        <v>1674</v>
      </c>
      <c r="B48" s="2">
        <v>46087</v>
      </c>
      <c r="C48" s="1" t="s">
        <v>22</v>
      </c>
      <c r="D48" s="1">
        <f>IFERROR(VLOOKUP(FISCALIZAÇÃO[[#This Row],[ID]],FISC_ACUM!A:A,1,0),"NOVO")</f>
        <v>1674</v>
      </c>
    </row>
    <row r="49" spans="1:4" hidden="1" x14ac:dyDescent="0.35">
      <c r="A49" s="1">
        <v>1688</v>
      </c>
      <c r="B49" s="2">
        <v>46091</v>
      </c>
      <c r="C49" s="1" t="s">
        <v>28</v>
      </c>
      <c r="D49" s="1">
        <f>IFERROR(VLOOKUP(FISCALIZAÇÃO[[#This Row],[ID]],FISC_ACUM!A:A,1,0),"NOVO")</f>
        <v>1688</v>
      </c>
    </row>
    <row r="50" spans="1:4" hidden="1" x14ac:dyDescent="0.35">
      <c r="A50" s="1">
        <v>1690</v>
      </c>
      <c r="B50" s="2">
        <v>46091</v>
      </c>
      <c r="C50" s="1" t="s">
        <v>5</v>
      </c>
      <c r="D50" s="1">
        <f>IFERROR(VLOOKUP(FISCALIZAÇÃO[[#This Row],[ID]],FISC_ACUM!A:A,1,0),"NOVO")</f>
        <v>1690</v>
      </c>
    </row>
    <row r="51" spans="1:4" hidden="1" x14ac:dyDescent="0.35">
      <c r="A51" s="1">
        <v>1691</v>
      </c>
      <c r="B51" s="2">
        <v>46091</v>
      </c>
      <c r="C51" s="1" t="s">
        <v>21</v>
      </c>
      <c r="D51" s="1">
        <f>IFERROR(VLOOKUP(FISCALIZAÇÃO[[#This Row],[ID]],FISC_ACUM!A:A,1,0),"NOVO")</f>
        <v>1691</v>
      </c>
    </row>
    <row r="52" spans="1:4" hidden="1" x14ac:dyDescent="0.35">
      <c r="A52" s="1">
        <v>1692</v>
      </c>
      <c r="B52" s="2">
        <v>46091</v>
      </c>
      <c r="C52" s="1" t="s">
        <v>28</v>
      </c>
      <c r="D52" s="1">
        <f>IFERROR(VLOOKUP(FISCALIZAÇÃO[[#This Row],[ID]],FISC_ACUM!A:A,1,0),"NOVO")</f>
        <v>1692</v>
      </c>
    </row>
    <row r="53" spans="1:4" hidden="1" x14ac:dyDescent="0.35">
      <c r="A53" s="1">
        <v>1693</v>
      </c>
      <c r="B53" s="2">
        <v>46091</v>
      </c>
      <c r="C53" s="1" t="s">
        <v>22</v>
      </c>
      <c r="D53" s="1">
        <f>IFERROR(VLOOKUP(FISCALIZAÇÃO[[#This Row],[ID]],FISC_ACUM!A:A,1,0),"NOVO")</f>
        <v>1693</v>
      </c>
    </row>
    <row r="54" spans="1:4" hidden="1" x14ac:dyDescent="0.35">
      <c r="A54" s="1">
        <v>1694</v>
      </c>
      <c r="B54" s="2">
        <v>46091</v>
      </c>
      <c r="C54" s="1" t="s">
        <v>22</v>
      </c>
      <c r="D54" s="1">
        <f>IFERROR(VLOOKUP(FISCALIZAÇÃO[[#This Row],[ID]],FISC_ACUM!A:A,1,0),"NOVO")</f>
        <v>1694</v>
      </c>
    </row>
    <row r="55" spans="1:4" hidden="1" x14ac:dyDescent="0.35">
      <c r="A55" s="1">
        <v>1695</v>
      </c>
      <c r="B55" s="2">
        <v>46091</v>
      </c>
      <c r="C55" s="1" t="s">
        <v>21</v>
      </c>
      <c r="D55" s="1">
        <f>IFERROR(VLOOKUP(FISCALIZAÇÃO[[#This Row],[ID]],FISC_ACUM!A:A,1,0),"NOVO")</f>
        <v>1695</v>
      </c>
    </row>
    <row r="56" spans="1:4" hidden="1" x14ac:dyDescent="0.35">
      <c r="A56" s="1">
        <v>1696</v>
      </c>
      <c r="B56" s="2">
        <v>46091</v>
      </c>
      <c r="C56" s="1" t="s">
        <v>21</v>
      </c>
      <c r="D56" s="1">
        <f>IFERROR(VLOOKUP(FISCALIZAÇÃO[[#This Row],[ID]],FISC_ACUM!A:A,1,0),"NOVO")</f>
        <v>1696</v>
      </c>
    </row>
    <row r="57" spans="1:4" hidden="1" x14ac:dyDescent="0.35">
      <c r="A57" s="1">
        <v>1697</v>
      </c>
      <c r="B57" s="2">
        <v>46091</v>
      </c>
      <c r="C57" s="1" t="s">
        <v>21</v>
      </c>
      <c r="D57" s="1">
        <f>IFERROR(VLOOKUP(FISCALIZAÇÃO[[#This Row],[ID]],FISC_ACUM!A:A,1,0),"NOVO")</f>
        <v>1697</v>
      </c>
    </row>
    <row r="58" spans="1:4" hidden="1" x14ac:dyDescent="0.35">
      <c r="A58" s="1">
        <v>1698</v>
      </c>
      <c r="B58" s="2">
        <v>46091</v>
      </c>
      <c r="C58" s="1" t="s">
        <v>22</v>
      </c>
      <c r="D58" s="1">
        <f>IFERROR(VLOOKUP(FISCALIZAÇÃO[[#This Row],[ID]],FISC_ACUM!A:A,1,0),"NOVO")</f>
        <v>1698</v>
      </c>
    </row>
    <row r="59" spans="1:4" hidden="1" x14ac:dyDescent="0.35">
      <c r="A59" s="1">
        <v>1699</v>
      </c>
      <c r="B59" s="2">
        <v>46091</v>
      </c>
      <c r="C59" s="1" t="s">
        <v>22</v>
      </c>
      <c r="D59" s="1">
        <f>IFERROR(VLOOKUP(FISCALIZAÇÃO[[#This Row],[ID]],FISC_ACUM!A:A,1,0),"NOVO")</f>
        <v>1699</v>
      </c>
    </row>
    <row r="60" spans="1:4" hidden="1" x14ac:dyDescent="0.35">
      <c r="A60" s="1">
        <v>1701</v>
      </c>
      <c r="B60" s="2">
        <v>46091</v>
      </c>
      <c r="C60" s="1" t="s">
        <v>21</v>
      </c>
      <c r="D60" s="1">
        <f>IFERROR(VLOOKUP(FISCALIZAÇÃO[[#This Row],[ID]],FISC_ACUM!A:A,1,0),"NOVO")</f>
        <v>1701</v>
      </c>
    </row>
    <row r="61" spans="1:4" hidden="1" x14ac:dyDescent="0.35">
      <c r="A61" s="1">
        <v>1702</v>
      </c>
      <c r="B61" s="2">
        <v>46091</v>
      </c>
      <c r="C61" s="1" t="s">
        <v>28</v>
      </c>
      <c r="D61" s="1">
        <f>IFERROR(VLOOKUP(FISCALIZAÇÃO[[#This Row],[ID]],FISC_ACUM!A:A,1,0),"NOVO")</f>
        <v>1702</v>
      </c>
    </row>
    <row r="62" spans="1:4" hidden="1" x14ac:dyDescent="0.35">
      <c r="A62" s="1">
        <v>1706</v>
      </c>
      <c r="B62" s="2">
        <v>46091</v>
      </c>
      <c r="C62" s="1" t="s">
        <v>75</v>
      </c>
      <c r="D62" s="1">
        <f>IFERROR(VLOOKUP(FISCALIZAÇÃO[[#This Row],[ID]],FISC_ACUM!A:A,1,0),"NOVO")</f>
        <v>1706</v>
      </c>
    </row>
    <row r="63" spans="1:4" hidden="1" x14ac:dyDescent="0.35">
      <c r="A63" s="1">
        <v>1707</v>
      </c>
      <c r="B63" s="2">
        <v>46091</v>
      </c>
      <c r="C63" s="1" t="s">
        <v>75</v>
      </c>
      <c r="D63" s="1">
        <f>IFERROR(VLOOKUP(FISCALIZAÇÃO[[#This Row],[ID]],FISC_ACUM!A:A,1,0),"NOVO")</f>
        <v>1707</v>
      </c>
    </row>
    <row r="64" spans="1:4" hidden="1" x14ac:dyDescent="0.35">
      <c r="A64" s="1">
        <v>1708</v>
      </c>
      <c r="B64" s="2">
        <v>46091</v>
      </c>
      <c r="C64" s="1" t="s">
        <v>75</v>
      </c>
      <c r="D64" s="1">
        <f>IFERROR(VLOOKUP(FISCALIZAÇÃO[[#This Row],[ID]],FISC_ACUM!A:A,1,0),"NOVO")</f>
        <v>1708</v>
      </c>
    </row>
    <row r="65" spans="1:4" hidden="1" x14ac:dyDescent="0.35">
      <c r="A65" s="1">
        <v>1709</v>
      </c>
      <c r="B65" s="2">
        <v>46091</v>
      </c>
      <c r="C65" s="1" t="s">
        <v>75</v>
      </c>
      <c r="D65" s="1">
        <f>IFERROR(VLOOKUP(FISCALIZAÇÃO[[#This Row],[ID]],FISC_ACUM!A:A,1,0),"NOVO")</f>
        <v>1709</v>
      </c>
    </row>
    <row r="66" spans="1:4" hidden="1" x14ac:dyDescent="0.35">
      <c r="A66" s="1">
        <v>1710</v>
      </c>
      <c r="B66" s="2">
        <v>46091</v>
      </c>
      <c r="C66" s="1" t="s">
        <v>75</v>
      </c>
      <c r="D66" s="1">
        <f>IFERROR(VLOOKUP(FISCALIZAÇÃO[[#This Row],[ID]],FISC_ACUM!A:A,1,0),"NOVO")</f>
        <v>1710</v>
      </c>
    </row>
    <row r="67" spans="1:4" hidden="1" x14ac:dyDescent="0.35">
      <c r="A67" s="1">
        <v>1711</v>
      </c>
      <c r="B67" s="2">
        <v>46091</v>
      </c>
      <c r="C67" s="1" t="s">
        <v>75</v>
      </c>
      <c r="D67" s="1">
        <f>IFERROR(VLOOKUP(FISCALIZAÇÃO[[#This Row],[ID]],FISC_ACUM!A:A,1,0),"NOVO")</f>
        <v>1711</v>
      </c>
    </row>
    <row r="68" spans="1:4" hidden="1" x14ac:dyDescent="0.35">
      <c r="A68" s="1">
        <v>1712</v>
      </c>
      <c r="B68" s="2">
        <v>46091</v>
      </c>
      <c r="C68" s="1" t="s">
        <v>75</v>
      </c>
      <c r="D68" s="1">
        <f>IFERROR(VLOOKUP(FISCALIZAÇÃO[[#This Row],[ID]],FISC_ACUM!A:A,1,0),"NOVO")</f>
        <v>1712</v>
      </c>
    </row>
    <row r="69" spans="1:4" hidden="1" x14ac:dyDescent="0.35">
      <c r="A69" s="1">
        <v>1716</v>
      </c>
      <c r="B69" s="2">
        <v>46091</v>
      </c>
      <c r="C69" s="1" t="s">
        <v>24</v>
      </c>
      <c r="D69" s="1">
        <f>IFERROR(VLOOKUP(FISCALIZAÇÃO[[#This Row],[ID]],FISC_ACUM!A:A,1,0),"NOVO")</f>
        <v>1716</v>
      </c>
    </row>
    <row r="70" spans="1:4" hidden="1" x14ac:dyDescent="0.35">
      <c r="A70" s="1">
        <v>1717</v>
      </c>
      <c r="B70" s="2">
        <v>46091</v>
      </c>
      <c r="C70" s="1" t="s">
        <v>22</v>
      </c>
      <c r="D70" s="1">
        <f>IFERROR(VLOOKUP(FISCALIZAÇÃO[[#This Row],[ID]],FISC_ACUM!A:A,1,0),"NOVO")</f>
        <v>1717</v>
      </c>
    </row>
    <row r="71" spans="1:4" hidden="1" x14ac:dyDescent="0.35">
      <c r="A71" s="1">
        <v>1718</v>
      </c>
      <c r="B71" s="2">
        <v>46091</v>
      </c>
      <c r="C71" s="1" t="s">
        <v>24</v>
      </c>
      <c r="D71" s="1">
        <f>IFERROR(VLOOKUP(FISCALIZAÇÃO[[#This Row],[ID]],FISC_ACUM!A:A,1,0),"NOVO")</f>
        <v>1718</v>
      </c>
    </row>
    <row r="72" spans="1:4" hidden="1" x14ac:dyDescent="0.35">
      <c r="A72" s="1">
        <v>1719</v>
      </c>
      <c r="B72" s="2">
        <v>46091</v>
      </c>
      <c r="C72" s="1" t="s">
        <v>24</v>
      </c>
      <c r="D72" s="1">
        <f>IFERROR(VLOOKUP(FISCALIZAÇÃO[[#This Row],[ID]],FISC_ACUM!A:A,1,0),"NOVO")</f>
        <v>1719</v>
      </c>
    </row>
    <row r="73" spans="1:4" hidden="1" x14ac:dyDescent="0.35">
      <c r="A73" s="1">
        <v>1720</v>
      </c>
      <c r="B73" s="2">
        <v>46091</v>
      </c>
      <c r="C73" s="1" t="s">
        <v>24</v>
      </c>
      <c r="D73" s="1">
        <f>IFERROR(VLOOKUP(FISCALIZAÇÃO[[#This Row],[ID]],FISC_ACUM!A:A,1,0),"NOVO")</f>
        <v>1720</v>
      </c>
    </row>
    <row r="74" spans="1:4" hidden="1" x14ac:dyDescent="0.35">
      <c r="A74" s="1">
        <v>1721</v>
      </c>
      <c r="B74" s="2">
        <v>46091</v>
      </c>
      <c r="C74" s="1" t="s">
        <v>24</v>
      </c>
      <c r="D74" s="1">
        <f>IFERROR(VLOOKUP(FISCALIZAÇÃO[[#This Row],[ID]],FISC_ACUM!A:A,1,0),"NOVO")</f>
        <v>1721</v>
      </c>
    </row>
    <row r="75" spans="1:4" hidden="1" x14ac:dyDescent="0.35">
      <c r="A75" s="1">
        <v>1722</v>
      </c>
      <c r="B75" s="2">
        <v>46091</v>
      </c>
      <c r="C75" s="1" t="s">
        <v>33</v>
      </c>
      <c r="D75" s="1">
        <f>IFERROR(VLOOKUP(FISCALIZAÇÃO[[#This Row],[ID]],FISC_ACUM!A:A,1,0),"NOVO")</f>
        <v>1722</v>
      </c>
    </row>
    <row r="76" spans="1:4" hidden="1" x14ac:dyDescent="0.35">
      <c r="A76" s="1">
        <v>1723</v>
      </c>
      <c r="B76" s="2">
        <v>46091</v>
      </c>
      <c r="C76" s="1" t="s">
        <v>5</v>
      </c>
      <c r="D76" s="1">
        <f>IFERROR(VLOOKUP(FISCALIZAÇÃO[[#This Row],[ID]],FISC_ACUM!A:A,1,0),"NOVO")</f>
        <v>1723</v>
      </c>
    </row>
    <row r="77" spans="1:4" hidden="1" x14ac:dyDescent="0.35">
      <c r="A77" s="1">
        <v>1724</v>
      </c>
      <c r="B77" s="2">
        <v>46091</v>
      </c>
      <c r="C77" s="1" t="s">
        <v>28</v>
      </c>
      <c r="D77" s="1">
        <f>IFERROR(VLOOKUP(FISCALIZAÇÃO[[#This Row],[ID]],FISC_ACUM!A:A,1,0),"NOVO")</f>
        <v>1724</v>
      </c>
    </row>
    <row r="78" spans="1:4" hidden="1" x14ac:dyDescent="0.35">
      <c r="A78" s="1">
        <v>1725</v>
      </c>
      <c r="B78" s="2">
        <v>46091</v>
      </c>
      <c r="C78" s="1" t="s">
        <v>28</v>
      </c>
      <c r="D78" s="1">
        <f>IFERROR(VLOOKUP(FISCALIZAÇÃO[[#This Row],[ID]],FISC_ACUM!A:A,1,0),"NOVO")</f>
        <v>1725</v>
      </c>
    </row>
    <row r="79" spans="1:4" hidden="1" x14ac:dyDescent="0.35">
      <c r="A79" s="1">
        <v>1730</v>
      </c>
      <c r="B79" s="2">
        <v>46092</v>
      </c>
      <c r="C79" s="1" t="s">
        <v>28</v>
      </c>
      <c r="D79" s="1">
        <f>IFERROR(VLOOKUP(FISCALIZAÇÃO[[#This Row],[ID]],FISC_ACUM!A:A,1,0),"NOVO")</f>
        <v>1730</v>
      </c>
    </row>
    <row r="80" spans="1:4" hidden="1" x14ac:dyDescent="0.35">
      <c r="A80" s="1">
        <v>1731</v>
      </c>
      <c r="B80" s="2">
        <v>46092</v>
      </c>
      <c r="C80" s="1" t="s">
        <v>33</v>
      </c>
      <c r="D80" s="1">
        <f>IFERROR(VLOOKUP(FISCALIZAÇÃO[[#This Row],[ID]],FISC_ACUM!A:A,1,0),"NOVO")</f>
        <v>1731</v>
      </c>
    </row>
    <row r="81" spans="1:4" hidden="1" x14ac:dyDescent="0.35">
      <c r="A81" s="1">
        <v>1732</v>
      </c>
      <c r="B81" s="2">
        <v>46092</v>
      </c>
      <c r="C81" s="1" t="s">
        <v>5</v>
      </c>
      <c r="D81" s="1">
        <f>IFERROR(VLOOKUP(FISCALIZAÇÃO[[#This Row],[ID]],FISC_ACUM!A:A,1,0),"NOVO")</f>
        <v>1732</v>
      </c>
    </row>
    <row r="82" spans="1:4" hidden="1" x14ac:dyDescent="0.35">
      <c r="A82" s="1">
        <v>1733</v>
      </c>
      <c r="B82" s="2">
        <v>46092</v>
      </c>
      <c r="C82" s="1" t="s">
        <v>5</v>
      </c>
      <c r="D82" s="1">
        <f>IFERROR(VLOOKUP(FISCALIZAÇÃO[[#This Row],[ID]],FISC_ACUM!A:A,1,0),"NOVO")</f>
        <v>1733</v>
      </c>
    </row>
    <row r="83" spans="1:4" hidden="1" x14ac:dyDescent="0.35">
      <c r="A83" s="1">
        <v>1737</v>
      </c>
      <c r="B83" s="2">
        <v>46092</v>
      </c>
      <c r="C83" s="1" t="s">
        <v>33</v>
      </c>
      <c r="D83" s="1">
        <f>IFERROR(VLOOKUP(FISCALIZAÇÃO[[#This Row],[ID]],FISC_ACUM!A:A,1,0),"NOVO")</f>
        <v>1737</v>
      </c>
    </row>
    <row r="84" spans="1:4" hidden="1" x14ac:dyDescent="0.35">
      <c r="A84" s="1">
        <v>1738</v>
      </c>
      <c r="B84" s="2">
        <v>46092</v>
      </c>
      <c r="C84" s="1" t="s">
        <v>33</v>
      </c>
      <c r="D84" s="1">
        <f>IFERROR(VLOOKUP(FISCALIZAÇÃO[[#This Row],[ID]],FISC_ACUM!A:A,1,0),"NOVO")</f>
        <v>1738</v>
      </c>
    </row>
    <row r="85" spans="1:4" hidden="1" x14ac:dyDescent="0.35">
      <c r="A85" s="1">
        <v>1739</v>
      </c>
      <c r="B85" s="2">
        <v>46092</v>
      </c>
      <c r="C85" s="1" t="s">
        <v>34</v>
      </c>
      <c r="D85" s="1">
        <f>IFERROR(VLOOKUP(FISCALIZAÇÃO[[#This Row],[ID]],FISC_ACUM!A:A,1,0),"NOVO")</f>
        <v>1739</v>
      </c>
    </row>
    <row r="86" spans="1:4" hidden="1" x14ac:dyDescent="0.35">
      <c r="A86" s="1">
        <v>1740</v>
      </c>
      <c r="B86" s="2">
        <v>46092</v>
      </c>
      <c r="C86" s="1" t="s">
        <v>22</v>
      </c>
      <c r="D86" s="1">
        <f>IFERROR(VLOOKUP(FISCALIZAÇÃO[[#This Row],[ID]],FISC_ACUM!A:A,1,0),"NOVO")</f>
        <v>1740</v>
      </c>
    </row>
    <row r="87" spans="1:4" hidden="1" x14ac:dyDescent="0.35">
      <c r="A87" s="1">
        <v>1741</v>
      </c>
      <c r="B87" s="2">
        <v>46092</v>
      </c>
      <c r="C87" s="1" t="s">
        <v>22</v>
      </c>
      <c r="D87" s="1">
        <f>IFERROR(VLOOKUP(FISCALIZAÇÃO[[#This Row],[ID]],FISC_ACUM!A:A,1,0),"NOVO")</f>
        <v>1741</v>
      </c>
    </row>
    <row r="88" spans="1:4" hidden="1" x14ac:dyDescent="0.35">
      <c r="A88" s="1">
        <v>1742</v>
      </c>
      <c r="B88" s="2">
        <v>46092</v>
      </c>
      <c r="C88" s="1" t="s">
        <v>22</v>
      </c>
      <c r="D88" s="1">
        <f>IFERROR(VLOOKUP(FISCALIZAÇÃO[[#This Row],[ID]],FISC_ACUM!A:A,1,0),"NOVO")</f>
        <v>1742</v>
      </c>
    </row>
    <row r="89" spans="1:4" hidden="1" x14ac:dyDescent="0.35">
      <c r="A89" s="1">
        <v>1743</v>
      </c>
      <c r="B89" s="2">
        <v>46092</v>
      </c>
      <c r="C89" s="1" t="s">
        <v>22</v>
      </c>
      <c r="D89" s="1">
        <f>IFERROR(VLOOKUP(FISCALIZAÇÃO[[#This Row],[ID]],FISC_ACUM!A:A,1,0),"NOVO")</f>
        <v>1743</v>
      </c>
    </row>
    <row r="90" spans="1:4" hidden="1" x14ac:dyDescent="0.35">
      <c r="A90" s="1">
        <v>1744</v>
      </c>
      <c r="B90" s="2">
        <v>46092</v>
      </c>
      <c r="C90" s="1" t="s">
        <v>21</v>
      </c>
      <c r="D90" s="1">
        <f>IFERROR(VLOOKUP(FISCALIZAÇÃO[[#This Row],[ID]],FISC_ACUM!A:A,1,0),"NOVO")</f>
        <v>1744</v>
      </c>
    </row>
    <row r="91" spans="1:4" hidden="1" x14ac:dyDescent="0.35">
      <c r="A91" s="1">
        <v>1745</v>
      </c>
      <c r="B91" s="2">
        <v>46092</v>
      </c>
      <c r="C91" s="1" t="s">
        <v>21</v>
      </c>
      <c r="D91" s="1">
        <f>IFERROR(VLOOKUP(FISCALIZAÇÃO[[#This Row],[ID]],FISC_ACUM!A:A,1,0),"NOVO")</f>
        <v>1745</v>
      </c>
    </row>
    <row r="92" spans="1:4" hidden="1" x14ac:dyDescent="0.35">
      <c r="A92" s="1">
        <v>1746</v>
      </c>
      <c r="B92" s="2">
        <v>46092</v>
      </c>
      <c r="C92" s="1" t="s">
        <v>24</v>
      </c>
      <c r="D92" s="1">
        <f>IFERROR(VLOOKUP(FISCALIZAÇÃO[[#This Row],[ID]],FISC_ACUM!A:A,1,0),"NOVO")</f>
        <v>1746</v>
      </c>
    </row>
    <row r="93" spans="1:4" hidden="1" x14ac:dyDescent="0.35">
      <c r="A93" s="1">
        <v>1747</v>
      </c>
      <c r="B93" s="2">
        <v>46092</v>
      </c>
      <c r="C93" s="1" t="s">
        <v>24</v>
      </c>
      <c r="D93" s="1">
        <f>IFERROR(VLOOKUP(FISCALIZAÇÃO[[#This Row],[ID]],FISC_ACUM!A:A,1,0),"NOVO")</f>
        <v>1747</v>
      </c>
    </row>
    <row r="94" spans="1:4" hidden="1" x14ac:dyDescent="0.35">
      <c r="A94" s="1">
        <v>1748</v>
      </c>
      <c r="B94" s="2">
        <v>46092</v>
      </c>
      <c r="C94" s="1" t="s">
        <v>5</v>
      </c>
      <c r="D94" s="1">
        <f>IFERROR(VLOOKUP(FISCALIZAÇÃO[[#This Row],[ID]],FISC_ACUM!A:A,1,0),"NOVO")</f>
        <v>1748</v>
      </c>
    </row>
    <row r="95" spans="1:4" hidden="1" x14ac:dyDescent="0.35">
      <c r="A95" s="1">
        <v>1749</v>
      </c>
      <c r="B95" s="2">
        <v>46092</v>
      </c>
      <c r="C95" s="1" t="s">
        <v>28</v>
      </c>
      <c r="D95" s="1">
        <f>IFERROR(VLOOKUP(FISCALIZAÇÃO[[#This Row],[ID]],FISC_ACUM!A:A,1,0),"NOVO")</f>
        <v>1749</v>
      </c>
    </row>
    <row r="96" spans="1:4" hidden="1" x14ac:dyDescent="0.35">
      <c r="A96" s="1">
        <v>1750</v>
      </c>
      <c r="B96" s="2">
        <v>46092</v>
      </c>
      <c r="C96" s="1" t="s">
        <v>28</v>
      </c>
      <c r="D96" s="1">
        <f>IFERROR(VLOOKUP(FISCALIZAÇÃO[[#This Row],[ID]],FISC_ACUM!A:A,1,0),"NOVO")</f>
        <v>1750</v>
      </c>
    </row>
    <row r="97" spans="1:4" hidden="1" x14ac:dyDescent="0.35">
      <c r="A97" s="1">
        <v>1751</v>
      </c>
      <c r="B97" s="2">
        <v>46092</v>
      </c>
      <c r="C97" s="1" t="s">
        <v>28</v>
      </c>
      <c r="D97" s="1">
        <f>IFERROR(VLOOKUP(FISCALIZAÇÃO[[#This Row],[ID]],FISC_ACUM!A:A,1,0),"NOVO")</f>
        <v>1751</v>
      </c>
    </row>
    <row r="98" spans="1:4" hidden="1" x14ac:dyDescent="0.35">
      <c r="A98" s="1">
        <v>1752</v>
      </c>
      <c r="B98" s="2">
        <v>46092</v>
      </c>
      <c r="C98" s="1" t="s">
        <v>33</v>
      </c>
      <c r="D98" s="1">
        <f>IFERROR(VLOOKUP(FISCALIZAÇÃO[[#This Row],[ID]],FISC_ACUM!A:A,1,0),"NOVO")</f>
        <v>1752</v>
      </c>
    </row>
    <row r="99" spans="1:4" hidden="1" x14ac:dyDescent="0.35">
      <c r="A99" s="1">
        <v>1753</v>
      </c>
      <c r="B99" s="2">
        <v>46092</v>
      </c>
      <c r="C99" s="1" t="s">
        <v>5</v>
      </c>
      <c r="D99" s="1">
        <f>IFERROR(VLOOKUP(FISCALIZAÇÃO[[#This Row],[ID]],FISC_ACUM!A:A,1,0),"NOVO")</f>
        <v>1753</v>
      </c>
    </row>
    <row r="100" spans="1:4" hidden="1" x14ac:dyDescent="0.35">
      <c r="A100" s="1">
        <v>1754</v>
      </c>
      <c r="B100" s="2">
        <v>46092</v>
      </c>
      <c r="C100" s="1" t="s">
        <v>22</v>
      </c>
      <c r="D100" s="1">
        <f>IFERROR(VLOOKUP(FISCALIZAÇÃO[[#This Row],[ID]],FISC_ACUM!A:A,1,0),"NOVO")</f>
        <v>1754</v>
      </c>
    </row>
    <row r="101" spans="1:4" hidden="1" x14ac:dyDescent="0.35">
      <c r="A101" s="1">
        <v>1755</v>
      </c>
      <c r="B101" s="2">
        <v>46092</v>
      </c>
      <c r="C101" s="1" t="s">
        <v>22</v>
      </c>
      <c r="D101" s="1">
        <f>IFERROR(VLOOKUP(FISCALIZAÇÃO[[#This Row],[ID]],FISC_ACUM!A:A,1,0),"NOVO")</f>
        <v>1755</v>
      </c>
    </row>
    <row r="102" spans="1:4" hidden="1" x14ac:dyDescent="0.35">
      <c r="A102" s="1">
        <v>1757</v>
      </c>
      <c r="B102" s="2">
        <v>46092</v>
      </c>
      <c r="C102" s="1" t="s">
        <v>33</v>
      </c>
      <c r="D102" s="1">
        <f>IFERROR(VLOOKUP(FISCALIZAÇÃO[[#This Row],[ID]],FISC_ACUM!A:A,1,0),"NOVO")</f>
        <v>1757</v>
      </c>
    </row>
    <row r="103" spans="1:4" hidden="1" x14ac:dyDescent="0.35">
      <c r="A103" s="1">
        <v>1763</v>
      </c>
      <c r="B103" s="2">
        <v>46093</v>
      </c>
      <c r="C103" s="1" t="s">
        <v>22</v>
      </c>
      <c r="D103" s="1">
        <f>IFERROR(VLOOKUP(FISCALIZAÇÃO[[#This Row],[ID]],FISC_ACUM!A:A,1,0),"NOVO")</f>
        <v>1763</v>
      </c>
    </row>
    <row r="104" spans="1:4" hidden="1" x14ac:dyDescent="0.35">
      <c r="A104" s="1">
        <v>1765</v>
      </c>
      <c r="B104" s="2">
        <v>46093</v>
      </c>
      <c r="C104" s="1" t="s">
        <v>33</v>
      </c>
      <c r="D104" s="1">
        <f>IFERROR(VLOOKUP(FISCALIZAÇÃO[[#This Row],[ID]],FISC_ACUM!A:A,1,0),"NOVO")</f>
        <v>1765</v>
      </c>
    </row>
    <row r="105" spans="1:4" hidden="1" x14ac:dyDescent="0.35">
      <c r="A105" s="1">
        <v>1766</v>
      </c>
      <c r="B105" s="2">
        <v>46093</v>
      </c>
      <c r="C105" s="1" t="s">
        <v>33</v>
      </c>
      <c r="D105" s="1">
        <f>IFERROR(VLOOKUP(FISCALIZAÇÃO[[#This Row],[ID]],FISC_ACUM!A:A,1,0),"NOVO")</f>
        <v>1766</v>
      </c>
    </row>
    <row r="106" spans="1:4" hidden="1" x14ac:dyDescent="0.35">
      <c r="A106" s="1">
        <v>1768</v>
      </c>
      <c r="B106" s="2">
        <v>46093</v>
      </c>
      <c r="C106" s="1" t="s">
        <v>24</v>
      </c>
      <c r="D106" s="1">
        <f>IFERROR(VLOOKUP(FISCALIZAÇÃO[[#This Row],[ID]],FISC_ACUM!A:A,1,0),"NOVO")</f>
        <v>1768</v>
      </c>
    </row>
    <row r="107" spans="1:4" hidden="1" x14ac:dyDescent="0.35">
      <c r="A107" s="1">
        <v>1769</v>
      </c>
      <c r="B107" s="2">
        <v>46093</v>
      </c>
      <c r="C107" s="1" t="s">
        <v>24</v>
      </c>
      <c r="D107" s="1">
        <f>IFERROR(VLOOKUP(FISCALIZAÇÃO[[#This Row],[ID]],FISC_ACUM!A:A,1,0),"NOVO")</f>
        <v>1769</v>
      </c>
    </row>
    <row r="108" spans="1:4" hidden="1" x14ac:dyDescent="0.35">
      <c r="A108" s="1">
        <v>1770</v>
      </c>
      <c r="B108" s="2">
        <v>46093</v>
      </c>
      <c r="C108" s="1" t="s">
        <v>9</v>
      </c>
      <c r="D108" s="1">
        <f>IFERROR(VLOOKUP(FISCALIZAÇÃO[[#This Row],[ID]],FISC_ACUM!A:A,1,0),"NOVO")</f>
        <v>1770</v>
      </c>
    </row>
    <row r="109" spans="1:4" hidden="1" x14ac:dyDescent="0.35">
      <c r="A109" s="1">
        <v>1771</v>
      </c>
      <c r="B109" s="2">
        <v>46093</v>
      </c>
      <c r="C109" s="1" t="s">
        <v>9</v>
      </c>
      <c r="D109" s="1">
        <f>IFERROR(VLOOKUP(FISCALIZAÇÃO[[#This Row],[ID]],FISC_ACUM!A:A,1,0),"NOVO")</f>
        <v>1771</v>
      </c>
    </row>
    <row r="110" spans="1:4" hidden="1" x14ac:dyDescent="0.35">
      <c r="A110" s="1">
        <v>1772</v>
      </c>
      <c r="B110" s="2">
        <v>46093</v>
      </c>
      <c r="C110" s="1" t="s">
        <v>5</v>
      </c>
      <c r="D110" s="1">
        <f>IFERROR(VLOOKUP(FISCALIZAÇÃO[[#This Row],[ID]],FISC_ACUM!A:A,1,0),"NOVO")</f>
        <v>1772</v>
      </c>
    </row>
    <row r="111" spans="1:4" hidden="1" x14ac:dyDescent="0.35">
      <c r="A111" s="1">
        <v>1784</v>
      </c>
      <c r="B111" s="2">
        <v>46094</v>
      </c>
      <c r="C111" s="1" t="s">
        <v>33</v>
      </c>
      <c r="D111" s="1">
        <f>IFERROR(VLOOKUP(FISCALIZAÇÃO[[#This Row],[ID]],FISC_ACUM!A:A,1,0),"NOVO")</f>
        <v>1784</v>
      </c>
    </row>
    <row r="112" spans="1:4" hidden="1" x14ac:dyDescent="0.35">
      <c r="A112" s="1">
        <v>1785</v>
      </c>
      <c r="B112" s="2">
        <v>46094</v>
      </c>
      <c r="C112" s="1" t="s">
        <v>24</v>
      </c>
      <c r="D112" s="1">
        <f>IFERROR(VLOOKUP(FISCALIZAÇÃO[[#This Row],[ID]],FISC_ACUM!A:A,1,0),"NOVO")</f>
        <v>1785</v>
      </c>
    </row>
    <row r="113" spans="1:4" hidden="1" x14ac:dyDescent="0.35">
      <c r="A113" s="1">
        <v>1786</v>
      </c>
      <c r="B113" s="2">
        <v>46094</v>
      </c>
      <c r="C113" s="1" t="s">
        <v>21</v>
      </c>
      <c r="D113" s="1">
        <f>IFERROR(VLOOKUP(FISCALIZAÇÃO[[#This Row],[ID]],FISC_ACUM!A:A,1,0),"NOVO")</f>
        <v>1786</v>
      </c>
    </row>
    <row r="114" spans="1:4" hidden="1" x14ac:dyDescent="0.35">
      <c r="A114" s="1">
        <v>1787</v>
      </c>
      <c r="B114" s="2">
        <v>46094</v>
      </c>
      <c r="C114" s="1" t="s">
        <v>22</v>
      </c>
      <c r="D114" s="1">
        <f>IFERROR(VLOOKUP(FISCALIZAÇÃO[[#This Row],[ID]],FISC_ACUM!A:A,1,0),"NOVO")</f>
        <v>1787</v>
      </c>
    </row>
    <row r="115" spans="1:4" hidden="1" x14ac:dyDescent="0.35">
      <c r="A115" s="1">
        <v>1788</v>
      </c>
      <c r="B115" s="2">
        <v>46094</v>
      </c>
      <c r="C115" s="1" t="s">
        <v>21</v>
      </c>
      <c r="D115" s="1">
        <f>IFERROR(VLOOKUP(FISCALIZAÇÃO[[#This Row],[ID]],FISC_ACUM!A:A,1,0),"NOVO")</f>
        <v>1788</v>
      </c>
    </row>
    <row r="116" spans="1:4" hidden="1" x14ac:dyDescent="0.35">
      <c r="A116" s="1">
        <v>1789</v>
      </c>
      <c r="B116" s="2">
        <v>46094</v>
      </c>
      <c r="C116" s="1" t="s">
        <v>5</v>
      </c>
      <c r="D116" s="1">
        <f>IFERROR(VLOOKUP(FISCALIZAÇÃO[[#This Row],[ID]],FISC_ACUM!A:A,1,0),"NOVO")</f>
        <v>1789</v>
      </c>
    </row>
    <row r="117" spans="1:4" hidden="1" x14ac:dyDescent="0.35">
      <c r="A117" s="1">
        <v>1790</v>
      </c>
      <c r="B117" s="2">
        <v>46094</v>
      </c>
      <c r="C117" s="1" t="s">
        <v>9</v>
      </c>
      <c r="D117" s="1">
        <f>IFERROR(VLOOKUP(FISCALIZAÇÃO[[#This Row],[ID]],FISC_ACUM!A:A,1,0),"NOVO")</f>
        <v>1790</v>
      </c>
    </row>
    <row r="118" spans="1:4" hidden="1" x14ac:dyDescent="0.35">
      <c r="A118" s="1">
        <v>1791</v>
      </c>
      <c r="B118" s="2">
        <v>46094</v>
      </c>
      <c r="C118" s="1" t="s">
        <v>9</v>
      </c>
      <c r="D118" s="1">
        <f>IFERROR(VLOOKUP(FISCALIZAÇÃO[[#This Row],[ID]],FISC_ACUM!A:A,1,0),"NOVO")</f>
        <v>1791</v>
      </c>
    </row>
    <row r="119" spans="1:4" hidden="1" x14ac:dyDescent="0.35">
      <c r="A119" s="1">
        <v>1792</v>
      </c>
      <c r="B119" s="2">
        <v>46094</v>
      </c>
      <c r="C119" s="1" t="s">
        <v>33</v>
      </c>
      <c r="D119" s="1">
        <f>IFERROR(VLOOKUP(FISCALIZAÇÃO[[#This Row],[ID]],FISC_ACUM!A:A,1,0),"NOVO")</f>
        <v>1792</v>
      </c>
    </row>
    <row r="120" spans="1:4" hidden="1" x14ac:dyDescent="0.35">
      <c r="A120" s="1">
        <v>1793</v>
      </c>
      <c r="B120" s="2">
        <v>46094</v>
      </c>
      <c r="C120" s="1" t="s">
        <v>33</v>
      </c>
      <c r="D120" s="1">
        <f>IFERROR(VLOOKUP(FISCALIZAÇÃO[[#This Row],[ID]],FISC_ACUM!A:A,1,0),"NOVO")</f>
        <v>1793</v>
      </c>
    </row>
    <row r="121" spans="1:4" hidden="1" x14ac:dyDescent="0.35">
      <c r="A121" s="1">
        <v>1794</v>
      </c>
      <c r="B121" s="2">
        <v>46094</v>
      </c>
      <c r="C121" s="1" t="s">
        <v>33</v>
      </c>
      <c r="D121" s="1">
        <f>IFERROR(VLOOKUP(FISCALIZAÇÃO[[#This Row],[ID]],FISC_ACUM!A:A,1,0),"NOVO")</f>
        <v>1794</v>
      </c>
    </row>
    <row r="122" spans="1:4" hidden="1" x14ac:dyDescent="0.35">
      <c r="A122" s="1">
        <v>1795</v>
      </c>
      <c r="B122" s="2">
        <v>46094</v>
      </c>
      <c r="C122" s="1" t="s">
        <v>22</v>
      </c>
      <c r="D122" s="1">
        <f>IFERROR(VLOOKUP(FISCALIZAÇÃO[[#This Row],[ID]],FISC_ACUM!A:A,1,0),"NOVO")</f>
        <v>1795</v>
      </c>
    </row>
    <row r="123" spans="1:4" hidden="1" x14ac:dyDescent="0.35">
      <c r="A123" s="1">
        <v>1796</v>
      </c>
      <c r="B123" s="2">
        <v>46094</v>
      </c>
      <c r="C123" s="1" t="s">
        <v>5</v>
      </c>
      <c r="D123" s="1">
        <f>IFERROR(VLOOKUP(FISCALIZAÇÃO[[#This Row],[ID]],FISC_ACUM!A:A,1,0),"NOVO")</f>
        <v>1796</v>
      </c>
    </row>
    <row r="124" spans="1:4" hidden="1" x14ac:dyDescent="0.35">
      <c r="A124" s="1">
        <v>1800</v>
      </c>
      <c r="B124" s="2">
        <v>46097</v>
      </c>
      <c r="C124" s="1" t="s">
        <v>22</v>
      </c>
      <c r="D124" s="1">
        <f>IFERROR(VLOOKUP(FISCALIZAÇÃO[[#This Row],[ID]],FISC_ACUM!A:A,1,0),"NOVO")</f>
        <v>1800</v>
      </c>
    </row>
    <row r="125" spans="1:4" hidden="1" x14ac:dyDescent="0.35">
      <c r="A125" s="1">
        <v>1801</v>
      </c>
      <c r="B125" s="2">
        <v>46097</v>
      </c>
      <c r="C125" s="1" t="s">
        <v>33</v>
      </c>
      <c r="D125" s="1">
        <f>IFERROR(VLOOKUP(FISCALIZAÇÃO[[#This Row],[ID]],FISC_ACUM!A:A,1,0),"NOVO")</f>
        <v>1801</v>
      </c>
    </row>
    <row r="126" spans="1:4" hidden="1" x14ac:dyDescent="0.35">
      <c r="A126" s="1">
        <v>1802</v>
      </c>
      <c r="B126" s="2">
        <v>46097</v>
      </c>
      <c r="C126" s="1" t="s">
        <v>22</v>
      </c>
      <c r="D126" s="1">
        <f>IFERROR(VLOOKUP(FISCALIZAÇÃO[[#This Row],[ID]],FISC_ACUM!A:A,1,0),"NOVO")</f>
        <v>1802</v>
      </c>
    </row>
    <row r="127" spans="1:4" hidden="1" x14ac:dyDescent="0.35">
      <c r="A127" s="1">
        <v>1803</v>
      </c>
      <c r="B127" s="2">
        <v>46097</v>
      </c>
      <c r="C127" s="1" t="s">
        <v>9</v>
      </c>
      <c r="D127" s="1">
        <f>IFERROR(VLOOKUP(FISCALIZAÇÃO[[#This Row],[ID]],FISC_ACUM!A:A,1,0),"NOVO")</f>
        <v>1803</v>
      </c>
    </row>
    <row r="128" spans="1:4" hidden="1" x14ac:dyDescent="0.35">
      <c r="A128" s="1">
        <v>1804</v>
      </c>
      <c r="B128" s="2">
        <v>46097</v>
      </c>
      <c r="C128" s="1" t="s">
        <v>9</v>
      </c>
      <c r="D128" s="1">
        <f>IFERROR(VLOOKUP(FISCALIZAÇÃO[[#This Row],[ID]],FISC_ACUM!A:A,1,0),"NOVO")</f>
        <v>1804</v>
      </c>
    </row>
    <row r="129" spans="1:4" hidden="1" x14ac:dyDescent="0.35">
      <c r="A129" s="1">
        <v>1805</v>
      </c>
      <c r="B129" s="2">
        <v>46097</v>
      </c>
      <c r="C129" s="1" t="s">
        <v>28</v>
      </c>
      <c r="D129" s="1">
        <f>IFERROR(VLOOKUP(FISCALIZAÇÃO[[#This Row],[ID]],FISC_ACUM!A:A,1,0),"NOVO")</f>
        <v>1805</v>
      </c>
    </row>
    <row r="130" spans="1:4" hidden="1" x14ac:dyDescent="0.35">
      <c r="A130" s="1">
        <v>1811</v>
      </c>
      <c r="B130" s="2">
        <v>46098</v>
      </c>
      <c r="C130" s="1" t="s">
        <v>5</v>
      </c>
      <c r="D130" s="1">
        <f>IFERROR(VLOOKUP(FISCALIZAÇÃO[[#This Row],[ID]],FISC_ACUM!A:A,1,0),"NOVO")</f>
        <v>1811</v>
      </c>
    </row>
    <row r="131" spans="1:4" hidden="1" x14ac:dyDescent="0.35">
      <c r="A131" s="1">
        <v>1812</v>
      </c>
      <c r="B131" s="2">
        <v>46098</v>
      </c>
      <c r="C131" s="1" t="s">
        <v>5</v>
      </c>
      <c r="D131" s="1">
        <f>IFERROR(VLOOKUP(FISCALIZAÇÃO[[#This Row],[ID]],FISC_ACUM!A:A,1,0),"NOVO")</f>
        <v>1812</v>
      </c>
    </row>
    <row r="132" spans="1:4" hidden="1" x14ac:dyDescent="0.35">
      <c r="A132" s="1">
        <v>1813</v>
      </c>
      <c r="B132" s="2">
        <v>46098</v>
      </c>
      <c r="C132" s="1" t="s">
        <v>21</v>
      </c>
      <c r="D132" s="1">
        <f>IFERROR(VLOOKUP(FISCALIZAÇÃO[[#This Row],[ID]],FISC_ACUM!A:A,1,0),"NOVO")</f>
        <v>1813</v>
      </c>
    </row>
    <row r="133" spans="1:4" hidden="1" x14ac:dyDescent="0.35">
      <c r="A133" s="1">
        <v>1814</v>
      </c>
      <c r="B133" s="2">
        <v>46098</v>
      </c>
      <c r="C133" s="1" t="s">
        <v>21</v>
      </c>
      <c r="D133" s="1">
        <f>IFERROR(VLOOKUP(FISCALIZAÇÃO[[#This Row],[ID]],FISC_ACUM!A:A,1,0),"NOVO")</f>
        <v>1814</v>
      </c>
    </row>
    <row r="134" spans="1:4" hidden="1" x14ac:dyDescent="0.35">
      <c r="A134" s="1">
        <v>1815</v>
      </c>
      <c r="B134" s="2">
        <v>46098</v>
      </c>
      <c r="C134" s="1" t="s">
        <v>5</v>
      </c>
      <c r="D134" s="1">
        <f>IFERROR(VLOOKUP(FISCALIZAÇÃO[[#This Row],[ID]],FISC_ACUM!A:A,1,0),"NOVO")</f>
        <v>1815</v>
      </c>
    </row>
    <row r="135" spans="1:4" hidden="1" x14ac:dyDescent="0.35">
      <c r="A135" s="1">
        <v>1816</v>
      </c>
      <c r="B135" s="2">
        <v>46098</v>
      </c>
      <c r="C135" s="1" t="s">
        <v>21</v>
      </c>
      <c r="D135" s="1">
        <f>IFERROR(VLOOKUP(FISCALIZAÇÃO[[#This Row],[ID]],FISC_ACUM!A:A,1,0),"NOVO")</f>
        <v>1816</v>
      </c>
    </row>
    <row r="136" spans="1:4" hidden="1" x14ac:dyDescent="0.35">
      <c r="A136" s="1">
        <v>1817</v>
      </c>
      <c r="B136" s="2">
        <v>46098</v>
      </c>
      <c r="C136" s="1" t="s">
        <v>22</v>
      </c>
      <c r="D136" s="1">
        <f>IFERROR(VLOOKUP(FISCALIZAÇÃO[[#This Row],[ID]],FISC_ACUM!A:A,1,0),"NOVO")</f>
        <v>1817</v>
      </c>
    </row>
    <row r="137" spans="1:4" hidden="1" x14ac:dyDescent="0.35">
      <c r="A137" s="1">
        <v>1818</v>
      </c>
      <c r="B137" s="2">
        <v>46098</v>
      </c>
      <c r="C137" s="1" t="s">
        <v>22</v>
      </c>
      <c r="D137" s="1">
        <f>IFERROR(VLOOKUP(FISCALIZAÇÃO[[#This Row],[ID]],FISC_ACUM!A:A,1,0),"NOVO")</f>
        <v>1818</v>
      </c>
    </row>
    <row r="138" spans="1:4" hidden="1" x14ac:dyDescent="0.35">
      <c r="A138" s="1">
        <v>1819</v>
      </c>
      <c r="B138" s="2">
        <v>46098</v>
      </c>
      <c r="C138" s="1" t="s">
        <v>22</v>
      </c>
      <c r="D138" s="1">
        <f>IFERROR(VLOOKUP(FISCALIZAÇÃO[[#This Row],[ID]],FISC_ACUM!A:A,1,0),"NOVO")</f>
        <v>1819</v>
      </c>
    </row>
    <row r="139" spans="1:4" hidden="1" x14ac:dyDescent="0.35">
      <c r="A139" s="1">
        <v>1820</v>
      </c>
      <c r="B139" s="2">
        <v>46098</v>
      </c>
      <c r="C139" s="1" t="s">
        <v>22</v>
      </c>
      <c r="D139" s="1">
        <f>IFERROR(VLOOKUP(FISCALIZAÇÃO[[#This Row],[ID]],FISC_ACUM!A:A,1,0),"NOVO")</f>
        <v>1820</v>
      </c>
    </row>
    <row r="140" spans="1:4" hidden="1" x14ac:dyDescent="0.35">
      <c r="A140" s="1">
        <v>1821</v>
      </c>
      <c r="B140" s="2">
        <v>46098</v>
      </c>
      <c r="C140" s="1" t="s">
        <v>22</v>
      </c>
      <c r="D140" s="1">
        <f>IFERROR(VLOOKUP(FISCALIZAÇÃO[[#This Row],[ID]],FISC_ACUM!A:A,1,0),"NOVO")</f>
        <v>1821</v>
      </c>
    </row>
    <row r="141" spans="1:4" hidden="1" x14ac:dyDescent="0.35">
      <c r="A141" s="1">
        <v>1822</v>
      </c>
      <c r="B141" s="2">
        <v>46098</v>
      </c>
      <c r="C141" s="1" t="s">
        <v>22</v>
      </c>
      <c r="D141" s="1">
        <f>IFERROR(VLOOKUP(FISCALIZAÇÃO[[#This Row],[ID]],FISC_ACUM!A:A,1,0),"NOVO")</f>
        <v>1822</v>
      </c>
    </row>
    <row r="142" spans="1:4" hidden="1" x14ac:dyDescent="0.35">
      <c r="A142" s="1">
        <v>1823</v>
      </c>
      <c r="B142" s="2">
        <v>46098</v>
      </c>
      <c r="C142" s="1" t="s">
        <v>22</v>
      </c>
      <c r="D142" s="1">
        <f>IFERROR(VLOOKUP(FISCALIZAÇÃO[[#This Row],[ID]],FISC_ACUM!A:A,1,0),"NOVO")</f>
        <v>1823</v>
      </c>
    </row>
    <row r="143" spans="1:4" hidden="1" x14ac:dyDescent="0.35">
      <c r="A143" s="1">
        <v>1824</v>
      </c>
      <c r="B143" s="2">
        <v>46098</v>
      </c>
      <c r="C143" s="1" t="s">
        <v>21</v>
      </c>
      <c r="D143" s="1">
        <f>IFERROR(VLOOKUP(FISCALIZAÇÃO[[#This Row],[ID]],FISC_ACUM!A:A,1,0),"NOVO")</f>
        <v>1824</v>
      </c>
    </row>
    <row r="144" spans="1:4" hidden="1" x14ac:dyDescent="0.35">
      <c r="A144" s="1">
        <v>1825</v>
      </c>
      <c r="B144" s="2">
        <v>46098</v>
      </c>
      <c r="C144" s="1" t="s">
        <v>22</v>
      </c>
      <c r="D144" s="1">
        <f>IFERROR(VLOOKUP(FISCALIZAÇÃO[[#This Row],[ID]],FISC_ACUM!A:A,1,0),"NOVO")</f>
        <v>1825</v>
      </c>
    </row>
    <row r="145" spans="1:4" hidden="1" x14ac:dyDescent="0.35">
      <c r="A145" s="1">
        <v>1826</v>
      </c>
      <c r="B145" s="2">
        <v>46098</v>
      </c>
      <c r="C145" s="1" t="s">
        <v>22</v>
      </c>
      <c r="D145" s="1">
        <f>IFERROR(VLOOKUP(FISCALIZAÇÃO[[#This Row],[ID]],FISC_ACUM!A:A,1,0),"NOVO")</f>
        <v>1826</v>
      </c>
    </row>
    <row r="146" spans="1:4" hidden="1" x14ac:dyDescent="0.35">
      <c r="A146" s="1">
        <v>1827</v>
      </c>
      <c r="B146" s="2">
        <v>46098</v>
      </c>
      <c r="C146" s="1" t="s">
        <v>22</v>
      </c>
      <c r="D146" s="1">
        <f>IFERROR(VLOOKUP(FISCALIZAÇÃO[[#This Row],[ID]],FISC_ACUM!A:A,1,0),"NOVO")</f>
        <v>1827</v>
      </c>
    </row>
    <row r="147" spans="1:4" hidden="1" x14ac:dyDescent="0.35">
      <c r="A147" s="1">
        <v>1828</v>
      </c>
      <c r="B147" s="2">
        <v>46098</v>
      </c>
      <c r="C147" s="1" t="s">
        <v>22</v>
      </c>
      <c r="D147" s="1">
        <f>IFERROR(VLOOKUP(FISCALIZAÇÃO[[#This Row],[ID]],FISC_ACUM!A:A,1,0),"NOVO")</f>
        <v>1828</v>
      </c>
    </row>
    <row r="148" spans="1:4" hidden="1" x14ac:dyDescent="0.35">
      <c r="A148" s="1">
        <v>1829</v>
      </c>
      <c r="B148" s="2">
        <v>46098</v>
      </c>
      <c r="C148" s="1" t="s">
        <v>22</v>
      </c>
      <c r="D148" s="1">
        <f>IFERROR(VLOOKUP(FISCALIZAÇÃO[[#This Row],[ID]],FISC_ACUM!A:A,1,0),"NOVO")</f>
        <v>1829</v>
      </c>
    </row>
    <row r="149" spans="1:4" hidden="1" x14ac:dyDescent="0.35">
      <c r="A149" s="1">
        <v>1830</v>
      </c>
      <c r="B149" s="2">
        <v>46098</v>
      </c>
      <c r="C149" s="1" t="s">
        <v>22</v>
      </c>
      <c r="D149" s="1">
        <f>IFERROR(VLOOKUP(FISCALIZAÇÃO[[#This Row],[ID]],FISC_ACUM!A:A,1,0),"NOVO")</f>
        <v>1830</v>
      </c>
    </row>
    <row r="150" spans="1:4" hidden="1" x14ac:dyDescent="0.35">
      <c r="A150" s="1">
        <v>1835</v>
      </c>
      <c r="B150" s="2">
        <v>46100</v>
      </c>
      <c r="C150" s="1" t="s">
        <v>22</v>
      </c>
      <c r="D150" s="1">
        <f>IFERROR(VLOOKUP(FISCALIZAÇÃO[[#This Row],[ID]],FISC_ACUM!A:A,1,0),"NOVO")</f>
        <v>1835</v>
      </c>
    </row>
    <row r="151" spans="1:4" hidden="1" x14ac:dyDescent="0.35">
      <c r="A151" s="1">
        <v>1836</v>
      </c>
      <c r="B151" s="2">
        <v>46100</v>
      </c>
      <c r="C151" s="1" t="s">
        <v>21</v>
      </c>
      <c r="D151" s="1">
        <f>IFERROR(VLOOKUP(FISCALIZAÇÃO[[#This Row],[ID]],FISC_ACUM!A:A,1,0),"NOVO")</f>
        <v>1836</v>
      </c>
    </row>
    <row r="152" spans="1:4" hidden="1" x14ac:dyDescent="0.35">
      <c r="A152" s="1">
        <v>1837</v>
      </c>
      <c r="B152" s="2">
        <v>46100</v>
      </c>
      <c r="C152" s="1" t="s">
        <v>21</v>
      </c>
      <c r="D152" s="1">
        <f>IFERROR(VLOOKUP(FISCALIZAÇÃO[[#This Row],[ID]],FISC_ACUM!A:A,1,0),"NOVO")</f>
        <v>1837</v>
      </c>
    </row>
    <row r="153" spans="1:4" hidden="1" x14ac:dyDescent="0.35">
      <c r="A153" s="1">
        <v>1838</v>
      </c>
      <c r="B153" s="2">
        <v>46100</v>
      </c>
      <c r="C153" s="1" t="s">
        <v>21</v>
      </c>
      <c r="D153" s="1">
        <f>IFERROR(VLOOKUP(FISCALIZAÇÃO[[#This Row],[ID]],FISC_ACUM!A:A,1,0),"NOVO")</f>
        <v>1838</v>
      </c>
    </row>
    <row r="154" spans="1:4" hidden="1" x14ac:dyDescent="0.35">
      <c r="A154" s="1">
        <v>1839</v>
      </c>
      <c r="B154" s="2">
        <v>46100</v>
      </c>
      <c r="C154" s="1" t="s">
        <v>28</v>
      </c>
      <c r="D154" s="1">
        <f>IFERROR(VLOOKUP(FISCALIZAÇÃO[[#This Row],[ID]],FISC_ACUM!A:A,1,0),"NOVO")</f>
        <v>1839</v>
      </c>
    </row>
    <row r="155" spans="1:4" hidden="1" x14ac:dyDescent="0.35">
      <c r="A155" s="1">
        <v>1840</v>
      </c>
      <c r="B155" s="2">
        <v>46100</v>
      </c>
      <c r="C155" s="1" t="s">
        <v>28</v>
      </c>
      <c r="D155" s="1">
        <f>IFERROR(VLOOKUP(FISCALIZAÇÃO[[#This Row],[ID]],FISC_ACUM!A:A,1,0),"NOVO")</f>
        <v>1840</v>
      </c>
    </row>
    <row r="156" spans="1:4" hidden="1" x14ac:dyDescent="0.35">
      <c r="A156" s="1">
        <v>1841</v>
      </c>
      <c r="B156" s="2">
        <v>46100</v>
      </c>
      <c r="C156" s="1" t="s">
        <v>28</v>
      </c>
      <c r="D156" s="1">
        <f>IFERROR(VLOOKUP(FISCALIZAÇÃO[[#This Row],[ID]],FISC_ACUM!A:A,1,0),"NOVO")</f>
        <v>1841</v>
      </c>
    </row>
    <row r="157" spans="1:4" hidden="1" x14ac:dyDescent="0.35">
      <c r="A157" s="1">
        <v>1842</v>
      </c>
      <c r="B157" s="2">
        <v>46100</v>
      </c>
      <c r="C157" s="1" t="s">
        <v>28</v>
      </c>
      <c r="D157" s="1">
        <f>IFERROR(VLOOKUP(FISCALIZAÇÃO[[#This Row],[ID]],FISC_ACUM!A:A,1,0),"NOVO")</f>
        <v>1842</v>
      </c>
    </row>
    <row r="158" spans="1:4" hidden="1" x14ac:dyDescent="0.35">
      <c r="A158" s="1">
        <v>1843</v>
      </c>
      <c r="B158" s="2">
        <v>46100</v>
      </c>
      <c r="C158" s="1" t="s">
        <v>28</v>
      </c>
      <c r="D158" s="1">
        <f>IFERROR(VLOOKUP(FISCALIZAÇÃO[[#This Row],[ID]],FISC_ACUM!A:A,1,0),"NOVO")</f>
        <v>1843</v>
      </c>
    </row>
    <row r="159" spans="1:4" hidden="1" x14ac:dyDescent="0.35">
      <c r="A159" s="1">
        <v>1844</v>
      </c>
      <c r="B159" s="2">
        <v>46100</v>
      </c>
      <c r="C159" s="1" t="s">
        <v>28</v>
      </c>
      <c r="D159" s="1">
        <f>IFERROR(VLOOKUP(FISCALIZAÇÃO[[#This Row],[ID]],FISC_ACUM!A:A,1,0),"NOVO")</f>
        <v>1844</v>
      </c>
    </row>
    <row r="160" spans="1:4" hidden="1" x14ac:dyDescent="0.35">
      <c r="A160" s="1">
        <v>1845</v>
      </c>
      <c r="B160" s="2">
        <v>46100</v>
      </c>
      <c r="C160" s="1" t="s">
        <v>33</v>
      </c>
      <c r="D160" s="1">
        <f>IFERROR(VLOOKUP(FISCALIZAÇÃO[[#This Row],[ID]],FISC_ACUM!A:A,1,0),"NOVO")</f>
        <v>1845</v>
      </c>
    </row>
    <row r="161" spans="1:4" hidden="1" x14ac:dyDescent="0.35">
      <c r="A161" s="1">
        <v>1853</v>
      </c>
      <c r="B161" s="2">
        <v>46101</v>
      </c>
      <c r="C161" s="1" t="s">
        <v>22</v>
      </c>
      <c r="D161" s="1">
        <f>IFERROR(VLOOKUP(FISCALIZAÇÃO[[#This Row],[ID]],FISC_ACUM!A:A,1,0),"NOVO")</f>
        <v>1853</v>
      </c>
    </row>
    <row r="162" spans="1:4" hidden="1" x14ac:dyDescent="0.35">
      <c r="A162" s="1">
        <v>1857</v>
      </c>
      <c r="B162" s="2">
        <v>46104</v>
      </c>
      <c r="C162" s="1" t="s">
        <v>22</v>
      </c>
      <c r="D162" s="1">
        <f>IFERROR(VLOOKUP(FISCALIZAÇÃO[[#This Row],[ID]],FISC_ACUM!A:A,1,0),"NOVO")</f>
        <v>1857</v>
      </c>
    </row>
    <row r="163" spans="1:4" hidden="1" x14ac:dyDescent="0.35">
      <c r="A163" s="1">
        <v>1858</v>
      </c>
      <c r="B163" s="2">
        <v>46104</v>
      </c>
      <c r="C163" s="1" t="s">
        <v>22</v>
      </c>
      <c r="D163" s="1">
        <f>IFERROR(VLOOKUP(FISCALIZAÇÃO[[#This Row],[ID]],FISC_ACUM!A:A,1,0),"NOVO")</f>
        <v>1858</v>
      </c>
    </row>
    <row r="164" spans="1:4" hidden="1" x14ac:dyDescent="0.35">
      <c r="A164" s="1">
        <v>1859</v>
      </c>
      <c r="B164" s="2">
        <v>46104</v>
      </c>
      <c r="C164" s="1" t="s">
        <v>22</v>
      </c>
      <c r="D164" s="1">
        <f>IFERROR(VLOOKUP(FISCALIZAÇÃO[[#This Row],[ID]],FISC_ACUM!A:A,1,0),"NOVO")</f>
        <v>1859</v>
      </c>
    </row>
    <row r="165" spans="1:4" hidden="1" x14ac:dyDescent="0.35">
      <c r="A165" s="1">
        <v>1860</v>
      </c>
      <c r="B165" s="2">
        <v>46104</v>
      </c>
      <c r="C165" s="1" t="s">
        <v>22</v>
      </c>
      <c r="D165" s="1">
        <f>IFERROR(VLOOKUP(FISCALIZAÇÃO[[#This Row],[ID]],FISC_ACUM!A:A,1,0),"NOVO")</f>
        <v>1860</v>
      </c>
    </row>
    <row r="166" spans="1:4" hidden="1" x14ac:dyDescent="0.35">
      <c r="A166" s="1">
        <v>1861</v>
      </c>
      <c r="B166" s="2">
        <v>46104</v>
      </c>
      <c r="C166" s="1" t="s">
        <v>33</v>
      </c>
      <c r="D166" s="1">
        <f>IFERROR(VLOOKUP(FISCALIZAÇÃO[[#This Row],[ID]],FISC_ACUM!A:A,1,0),"NOVO")</f>
        <v>1861</v>
      </c>
    </row>
    <row r="167" spans="1:4" hidden="1" x14ac:dyDescent="0.35">
      <c r="A167" s="1">
        <v>1862</v>
      </c>
      <c r="B167" s="2">
        <v>46104</v>
      </c>
      <c r="C167" s="1" t="s">
        <v>22</v>
      </c>
      <c r="D167" s="1">
        <f>IFERROR(VLOOKUP(FISCALIZAÇÃO[[#This Row],[ID]],FISC_ACUM!A:A,1,0),"NOVO")</f>
        <v>1862</v>
      </c>
    </row>
    <row r="168" spans="1:4" hidden="1" x14ac:dyDescent="0.35">
      <c r="A168" s="1">
        <v>1867</v>
      </c>
      <c r="B168" s="2">
        <v>46105</v>
      </c>
      <c r="C168" s="1" t="s">
        <v>22</v>
      </c>
      <c r="D168" s="1">
        <f>IFERROR(VLOOKUP(FISCALIZAÇÃO[[#This Row],[ID]],FISC_ACUM!A:A,1,0),"NOVO")</f>
        <v>1867</v>
      </c>
    </row>
    <row r="169" spans="1:4" hidden="1" x14ac:dyDescent="0.35">
      <c r="A169" s="1">
        <v>1868</v>
      </c>
      <c r="B169" s="2">
        <v>46105</v>
      </c>
      <c r="C169" s="1" t="s">
        <v>33</v>
      </c>
      <c r="D169" s="1">
        <f>IFERROR(VLOOKUP(FISCALIZAÇÃO[[#This Row],[ID]],FISC_ACUM!A:A,1,0),"NOVO")</f>
        <v>1868</v>
      </c>
    </row>
    <row r="170" spans="1:4" hidden="1" x14ac:dyDescent="0.35">
      <c r="A170" s="1">
        <v>1869</v>
      </c>
      <c r="B170" s="2">
        <v>46105</v>
      </c>
      <c r="C170" s="1" t="s">
        <v>33</v>
      </c>
      <c r="D170" s="1">
        <f>IFERROR(VLOOKUP(FISCALIZAÇÃO[[#This Row],[ID]],FISC_ACUM!A:A,1,0),"NOVO")</f>
        <v>1869</v>
      </c>
    </row>
    <row r="171" spans="1:4" hidden="1" x14ac:dyDescent="0.35">
      <c r="A171" s="1">
        <v>1870</v>
      </c>
      <c r="B171" s="2">
        <v>46105</v>
      </c>
      <c r="C171" s="1" t="s">
        <v>5</v>
      </c>
      <c r="D171" s="1">
        <f>IFERROR(VLOOKUP(FISCALIZAÇÃO[[#This Row],[ID]],FISC_ACUM!A:A,1,0),"NOVO")</f>
        <v>1870</v>
      </c>
    </row>
    <row r="172" spans="1:4" hidden="1" x14ac:dyDescent="0.35">
      <c r="A172" s="1">
        <v>1871</v>
      </c>
      <c r="B172" s="2">
        <v>46105</v>
      </c>
      <c r="C172" s="1" t="s">
        <v>22</v>
      </c>
      <c r="D172" s="1">
        <f>IFERROR(VLOOKUP(FISCALIZAÇÃO[[#This Row],[ID]],FISC_ACUM!A:A,1,0),"NOVO")</f>
        <v>1871</v>
      </c>
    </row>
    <row r="173" spans="1:4" hidden="1" x14ac:dyDescent="0.35">
      <c r="A173" s="1">
        <v>1872</v>
      </c>
      <c r="B173" s="2">
        <v>46105</v>
      </c>
      <c r="C173" s="1" t="s">
        <v>22</v>
      </c>
      <c r="D173" s="1">
        <f>IFERROR(VLOOKUP(FISCALIZAÇÃO[[#This Row],[ID]],FISC_ACUM!A:A,1,0),"NOVO")</f>
        <v>1872</v>
      </c>
    </row>
    <row r="174" spans="1:4" hidden="1" x14ac:dyDescent="0.35">
      <c r="A174" s="1">
        <v>1873</v>
      </c>
      <c r="B174" s="2">
        <v>46105</v>
      </c>
      <c r="C174" s="1" t="s">
        <v>22</v>
      </c>
      <c r="D174" s="1">
        <f>IFERROR(VLOOKUP(FISCALIZAÇÃO[[#This Row],[ID]],FISC_ACUM!A:A,1,0),"NOVO")</f>
        <v>1873</v>
      </c>
    </row>
    <row r="175" spans="1:4" hidden="1" x14ac:dyDescent="0.35">
      <c r="A175" s="1">
        <v>1874</v>
      </c>
      <c r="B175" s="2">
        <v>46105</v>
      </c>
      <c r="C175" s="1" t="s">
        <v>22</v>
      </c>
      <c r="D175" s="1">
        <f>IFERROR(VLOOKUP(FISCALIZAÇÃO[[#This Row],[ID]],FISC_ACUM!A:A,1,0),"NOVO")</f>
        <v>1874</v>
      </c>
    </row>
    <row r="176" spans="1:4" hidden="1" x14ac:dyDescent="0.35">
      <c r="A176" s="1">
        <v>1875</v>
      </c>
      <c r="B176" s="2">
        <v>46105</v>
      </c>
      <c r="C176" s="1" t="s">
        <v>21</v>
      </c>
      <c r="D176" s="1">
        <f>IFERROR(VLOOKUP(FISCALIZAÇÃO[[#This Row],[ID]],FISC_ACUM!A:A,1,0),"NOVO")</f>
        <v>1875</v>
      </c>
    </row>
    <row r="177" spans="1:4" hidden="1" x14ac:dyDescent="0.35">
      <c r="A177" s="1">
        <v>1876</v>
      </c>
      <c r="B177" s="2">
        <v>46105</v>
      </c>
      <c r="C177" s="1" t="s">
        <v>21</v>
      </c>
      <c r="D177" s="1">
        <f>IFERROR(VLOOKUP(FISCALIZAÇÃO[[#This Row],[ID]],FISC_ACUM!A:A,1,0),"NOVO")</f>
        <v>1876</v>
      </c>
    </row>
    <row r="178" spans="1:4" hidden="1" x14ac:dyDescent="0.35">
      <c r="A178" s="1">
        <v>1878</v>
      </c>
      <c r="B178" s="2">
        <v>46105</v>
      </c>
      <c r="C178" s="1" t="s">
        <v>9</v>
      </c>
      <c r="D178" s="1">
        <f>IFERROR(VLOOKUP(FISCALIZAÇÃO[[#This Row],[ID]],FISC_ACUM!A:A,1,0),"NOVO")</f>
        <v>1878</v>
      </c>
    </row>
    <row r="179" spans="1:4" hidden="1" x14ac:dyDescent="0.35">
      <c r="A179" s="1">
        <v>1879</v>
      </c>
      <c r="B179" s="2">
        <v>46105</v>
      </c>
      <c r="C179" s="1" t="s">
        <v>21</v>
      </c>
      <c r="D179" s="1">
        <f>IFERROR(VLOOKUP(FISCALIZAÇÃO[[#This Row],[ID]],FISC_ACUM!A:A,1,0),"NOVO")</f>
        <v>1879</v>
      </c>
    </row>
    <row r="180" spans="1:4" hidden="1" x14ac:dyDescent="0.35">
      <c r="A180" s="1">
        <v>1880</v>
      </c>
      <c r="B180" s="2">
        <v>46105</v>
      </c>
      <c r="C180" s="1" t="s">
        <v>21</v>
      </c>
      <c r="D180" s="1">
        <f>IFERROR(VLOOKUP(FISCALIZAÇÃO[[#This Row],[ID]],FISC_ACUM!A:A,1,0),"NOVO")</f>
        <v>1880</v>
      </c>
    </row>
    <row r="181" spans="1:4" hidden="1" x14ac:dyDescent="0.35">
      <c r="A181" s="1">
        <v>1881</v>
      </c>
      <c r="B181" s="2">
        <v>46105</v>
      </c>
      <c r="C181" s="1" t="s">
        <v>21</v>
      </c>
      <c r="D181" s="1">
        <f>IFERROR(VLOOKUP(FISCALIZAÇÃO[[#This Row],[ID]],FISC_ACUM!A:A,1,0),"NOVO")</f>
        <v>1881</v>
      </c>
    </row>
    <row r="182" spans="1:4" hidden="1" x14ac:dyDescent="0.35">
      <c r="A182" s="1">
        <v>1882</v>
      </c>
      <c r="B182" s="2">
        <v>46105</v>
      </c>
      <c r="C182" s="1" t="s">
        <v>21</v>
      </c>
      <c r="D182" s="1">
        <f>IFERROR(VLOOKUP(FISCALIZAÇÃO[[#This Row],[ID]],FISC_ACUM!A:A,1,0),"NOVO")</f>
        <v>1882</v>
      </c>
    </row>
    <row r="183" spans="1:4" hidden="1" x14ac:dyDescent="0.35">
      <c r="A183" s="1">
        <v>1883</v>
      </c>
      <c r="B183" s="2">
        <v>46105</v>
      </c>
      <c r="C183" s="1" t="s">
        <v>9</v>
      </c>
      <c r="D183" s="1">
        <f>IFERROR(VLOOKUP(FISCALIZAÇÃO[[#This Row],[ID]],FISC_ACUM!A:A,1,0),"NOVO")</f>
        <v>1883</v>
      </c>
    </row>
    <row r="184" spans="1:4" hidden="1" x14ac:dyDescent="0.35">
      <c r="A184" s="1">
        <v>1884</v>
      </c>
      <c r="B184" s="2">
        <v>46105</v>
      </c>
      <c r="C184" s="1" t="s">
        <v>21</v>
      </c>
      <c r="D184" s="1">
        <f>IFERROR(VLOOKUP(FISCALIZAÇÃO[[#This Row],[ID]],FISC_ACUM!A:A,1,0),"NOVO")</f>
        <v>1884</v>
      </c>
    </row>
    <row r="185" spans="1:4" hidden="1" x14ac:dyDescent="0.35">
      <c r="A185" s="1">
        <v>1886</v>
      </c>
      <c r="B185" s="2">
        <v>46105</v>
      </c>
      <c r="C185" s="1" t="s">
        <v>5</v>
      </c>
      <c r="D185" s="1">
        <f>IFERROR(VLOOKUP(FISCALIZAÇÃO[[#This Row],[ID]],FISC_ACUM!A:A,1,0),"NOVO")</f>
        <v>1886</v>
      </c>
    </row>
    <row r="186" spans="1:4" hidden="1" x14ac:dyDescent="0.35">
      <c r="A186" s="1">
        <v>1888</v>
      </c>
      <c r="B186" s="2">
        <v>46105</v>
      </c>
      <c r="C186" s="1" t="s">
        <v>33</v>
      </c>
      <c r="D186" s="1">
        <f>IFERROR(VLOOKUP(FISCALIZAÇÃO[[#This Row],[ID]],FISC_ACUM!A:A,1,0),"NOVO")</f>
        <v>1888</v>
      </c>
    </row>
    <row r="187" spans="1:4" hidden="1" x14ac:dyDescent="0.35">
      <c r="A187" s="1">
        <v>1897</v>
      </c>
      <c r="B187" s="2">
        <v>46112</v>
      </c>
      <c r="C187" s="1" t="s">
        <v>5</v>
      </c>
      <c r="D187" s="1">
        <f>IFERROR(VLOOKUP(FISCALIZAÇÃO[[#This Row],[ID]],FISC_ACUM!A:A,1,0),"NOVO")</f>
        <v>1897</v>
      </c>
    </row>
    <row r="188" spans="1:4" hidden="1" x14ac:dyDescent="0.35">
      <c r="A188" s="1">
        <v>1898</v>
      </c>
      <c r="B188" s="2">
        <v>46112</v>
      </c>
      <c r="C188" s="1" t="s">
        <v>5</v>
      </c>
      <c r="D188" s="1">
        <f>IFERROR(VLOOKUP(FISCALIZAÇÃO[[#This Row],[ID]],FISC_ACUM!A:A,1,0),"NOVO")</f>
        <v>1898</v>
      </c>
    </row>
    <row r="189" spans="1:4" hidden="1" x14ac:dyDescent="0.35">
      <c r="A189" s="1">
        <v>1899</v>
      </c>
      <c r="B189" s="2">
        <v>46112</v>
      </c>
      <c r="C189" s="1" t="s">
        <v>32</v>
      </c>
      <c r="D189" s="1">
        <f>IFERROR(VLOOKUP(FISCALIZAÇÃO[[#This Row],[ID]],FISC_ACUM!A:A,1,0),"NOVO")</f>
        <v>1899</v>
      </c>
    </row>
    <row r="190" spans="1:4" hidden="1" x14ac:dyDescent="0.35">
      <c r="A190" s="1">
        <v>1900</v>
      </c>
      <c r="B190" s="2">
        <v>46112</v>
      </c>
      <c r="C190" s="1" t="s">
        <v>32</v>
      </c>
      <c r="D190" s="1">
        <f>IFERROR(VLOOKUP(FISCALIZAÇÃO[[#This Row],[ID]],FISC_ACUM!A:A,1,0),"NOVO")</f>
        <v>1900</v>
      </c>
    </row>
    <row r="191" spans="1:4" hidden="1" x14ac:dyDescent="0.35">
      <c r="A191" s="1">
        <v>1901</v>
      </c>
      <c r="B191" s="2">
        <v>46112</v>
      </c>
      <c r="C191" s="1" t="s">
        <v>32</v>
      </c>
      <c r="D191" s="1">
        <f>IFERROR(VLOOKUP(FISCALIZAÇÃO[[#This Row],[ID]],FISC_ACUM!A:A,1,0),"NOVO")</f>
        <v>1901</v>
      </c>
    </row>
    <row r="192" spans="1:4" hidden="1" x14ac:dyDescent="0.35">
      <c r="A192" s="1">
        <v>1902</v>
      </c>
      <c r="B192" s="2">
        <v>46112</v>
      </c>
      <c r="C192" s="1" t="s">
        <v>21</v>
      </c>
      <c r="D192" s="1">
        <f>IFERROR(VLOOKUP(FISCALIZAÇÃO[[#This Row],[ID]],FISC_ACUM!A:A,1,0),"NOVO")</f>
        <v>1902</v>
      </c>
    </row>
    <row r="193" spans="1:4" hidden="1" x14ac:dyDescent="0.35">
      <c r="A193" s="1">
        <v>1903</v>
      </c>
      <c r="B193" s="2">
        <v>46112</v>
      </c>
      <c r="C193" s="1" t="s">
        <v>22</v>
      </c>
      <c r="D193" s="1">
        <f>IFERROR(VLOOKUP(FISCALIZAÇÃO[[#This Row],[ID]],FISC_ACUM!A:A,1,0),"NOVO")</f>
        <v>1903</v>
      </c>
    </row>
    <row r="194" spans="1:4" hidden="1" x14ac:dyDescent="0.35">
      <c r="A194" s="1">
        <v>1904</v>
      </c>
      <c r="B194" s="2">
        <v>46112</v>
      </c>
      <c r="C194" s="1" t="s">
        <v>22</v>
      </c>
      <c r="D194" s="1">
        <f>IFERROR(VLOOKUP(FISCALIZAÇÃO[[#This Row],[ID]],FISC_ACUM!A:A,1,0),"NOVO")</f>
        <v>1904</v>
      </c>
    </row>
    <row r="195" spans="1:4" hidden="1" x14ac:dyDescent="0.35">
      <c r="A195" s="1">
        <v>1905</v>
      </c>
      <c r="B195" s="2">
        <v>46112</v>
      </c>
      <c r="C195" s="1" t="s">
        <v>22</v>
      </c>
      <c r="D195" s="1">
        <f>IFERROR(VLOOKUP(FISCALIZAÇÃO[[#This Row],[ID]],FISC_ACUM!A:A,1,0),"NOVO")</f>
        <v>1905</v>
      </c>
    </row>
    <row r="196" spans="1:4" hidden="1" x14ac:dyDescent="0.35">
      <c r="A196" s="1">
        <v>1906</v>
      </c>
      <c r="B196" s="2">
        <v>46112</v>
      </c>
      <c r="C196" s="1" t="s">
        <v>22</v>
      </c>
      <c r="D196" s="1">
        <f>IFERROR(VLOOKUP(FISCALIZAÇÃO[[#This Row],[ID]],FISC_ACUM!A:A,1,0),"NOVO")</f>
        <v>1906</v>
      </c>
    </row>
    <row r="197" spans="1:4" hidden="1" x14ac:dyDescent="0.35">
      <c r="A197" s="1">
        <v>1907</v>
      </c>
      <c r="B197" s="2">
        <v>46112</v>
      </c>
      <c r="C197" s="1" t="s">
        <v>22</v>
      </c>
      <c r="D197" s="1">
        <f>IFERROR(VLOOKUP(FISCALIZAÇÃO[[#This Row],[ID]],FISC_ACUM!A:A,1,0),"NOVO")</f>
        <v>1907</v>
      </c>
    </row>
    <row r="198" spans="1:4" hidden="1" x14ac:dyDescent="0.35">
      <c r="A198" s="1">
        <v>1908</v>
      </c>
      <c r="B198" s="2">
        <v>46112</v>
      </c>
      <c r="C198" s="1" t="s">
        <v>22</v>
      </c>
      <c r="D198" s="1">
        <f>IFERROR(VLOOKUP(FISCALIZAÇÃO[[#This Row],[ID]],FISC_ACUM!A:A,1,0),"NOVO")</f>
        <v>1908</v>
      </c>
    </row>
    <row r="199" spans="1:4" hidden="1" x14ac:dyDescent="0.35">
      <c r="A199" s="1">
        <v>1909</v>
      </c>
      <c r="B199" s="2">
        <v>46112</v>
      </c>
      <c r="C199" s="1" t="s">
        <v>22</v>
      </c>
      <c r="D199" s="1">
        <f>IFERROR(VLOOKUP(FISCALIZAÇÃO[[#This Row],[ID]],FISC_ACUM!A:A,1,0),"NOVO")</f>
        <v>1909</v>
      </c>
    </row>
    <row r="200" spans="1:4" hidden="1" x14ac:dyDescent="0.35">
      <c r="A200" s="1">
        <v>1910</v>
      </c>
      <c r="B200" s="2">
        <v>46112</v>
      </c>
      <c r="C200" s="1" t="s">
        <v>22</v>
      </c>
      <c r="D200" s="1">
        <f>IFERROR(VLOOKUP(FISCALIZAÇÃO[[#This Row],[ID]],FISC_ACUM!A:A,1,0),"NOVO")</f>
        <v>1910</v>
      </c>
    </row>
    <row r="201" spans="1:4" hidden="1" x14ac:dyDescent="0.35">
      <c r="A201" s="1">
        <v>1911</v>
      </c>
      <c r="B201" s="2">
        <v>46112</v>
      </c>
      <c r="C201" s="1" t="s">
        <v>22</v>
      </c>
      <c r="D201" s="1">
        <f>IFERROR(VLOOKUP(FISCALIZAÇÃO[[#This Row],[ID]],FISC_ACUM!A:A,1,0),"NOVO")</f>
        <v>1911</v>
      </c>
    </row>
    <row r="202" spans="1:4" hidden="1" x14ac:dyDescent="0.35">
      <c r="A202" s="1">
        <v>1912</v>
      </c>
      <c r="B202" s="2">
        <v>46112</v>
      </c>
      <c r="C202" s="1" t="s">
        <v>22</v>
      </c>
      <c r="D202" s="1">
        <f>IFERROR(VLOOKUP(FISCALIZAÇÃO[[#This Row],[ID]],FISC_ACUM!A:A,1,0),"NOVO")</f>
        <v>1912</v>
      </c>
    </row>
    <row r="203" spans="1:4" hidden="1" x14ac:dyDescent="0.35">
      <c r="A203" s="1">
        <v>1913</v>
      </c>
      <c r="B203" s="2">
        <v>46112</v>
      </c>
      <c r="C203" s="1" t="s">
        <v>22</v>
      </c>
      <c r="D203" s="1">
        <f>IFERROR(VLOOKUP(FISCALIZAÇÃO[[#This Row],[ID]],FISC_ACUM!A:A,1,0),"NOVO")</f>
        <v>1913</v>
      </c>
    </row>
    <row r="204" spans="1:4" hidden="1" x14ac:dyDescent="0.35">
      <c r="A204" s="1">
        <v>1914</v>
      </c>
      <c r="B204" s="2">
        <v>46112</v>
      </c>
      <c r="C204" s="1" t="s">
        <v>22</v>
      </c>
      <c r="D204" s="1">
        <f>IFERROR(VLOOKUP(FISCALIZAÇÃO[[#This Row],[ID]],FISC_ACUM!A:A,1,0),"NOVO")</f>
        <v>1914</v>
      </c>
    </row>
    <row r="205" spans="1:4" hidden="1" x14ac:dyDescent="0.35">
      <c r="A205" s="1">
        <v>1915</v>
      </c>
      <c r="B205" s="2">
        <v>46112</v>
      </c>
      <c r="C205" s="1" t="s">
        <v>28</v>
      </c>
      <c r="D205" s="1">
        <f>IFERROR(VLOOKUP(FISCALIZAÇÃO[[#This Row],[ID]],FISC_ACUM!A:A,1,0),"NOVO")</f>
        <v>1915</v>
      </c>
    </row>
    <row r="206" spans="1:4" hidden="1" x14ac:dyDescent="0.35">
      <c r="A206" s="1">
        <v>1916</v>
      </c>
      <c r="B206" s="2">
        <v>46112</v>
      </c>
      <c r="C206" s="1" t="s">
        <v>28</v>
      </c>
      <c r="D206" s="1">
        <f>IFERROR(VLOOKUP(FISCALIZAÇÃO[[#This Row],[ID]],FISC_ACUM!A:A,1,0),"NOVO")</f>
        <v>1916</v>
      </c>
    </row>
    <row r="207" spans="1:4" hidden="1" x14ac:dyDescent="0.35">
      <c r="A207" s="1">
        <v>1917</v>
      </c>
      <c r="B207" s="2">
        <v>46112</v>
      </c>
      <c r="C207" s="1" t="s">
        <v>28</v>
      </c>
      <c r="D207" s="1">
        <f>IFERROR(VLOOKUP(FISCALIZAÇÃO[[#This Row],[ID]],FISC_ACUM!A:A,1,0),"NOVO")</f>
        <v>1917</v>
      </c>
    </row>
    <row r="208" spans="1:4" hidden="1" x14ac:dyDescent="0.35">
      <c r="A208" s="1">
        <v>1918</v>
      </c>
      <c r="B208" s="2">
        <v>46112</v>
      </c>
      <c r="C208" s="1" t="s">
        <v>9</v>
      </c>
      <c r="D208" s="1">
        <f>IFERROR(VLOOKUP(FISCALIZAÇÃO[[#This Row],[ID]],FISC_ACUM!A:A,1,0),"NOVO")</f>
        <v>1918</v>
      </c>
    </row>
    <row r="209" spans="1:4" hidden="1" x14ac:dyDescent="0.35">
      <c r="A209" s="1">
        <v>1919</v>
      </c>
      <c r="B209" s="2">
        <v>46112</v>
      </c>
      <c r="C209" s="1" t="s">
        <v>5</v>
      </c>
      <c r="D209" s="1">
        <f>IFERROR(VLOOKUP(FISCALIZAÇÃO[[#This Row],[ID]],FISC_ACUM!A:A,1,0),"NOVO")</f>
        <v>1919</v>
      </c>
    </row>
    <row r="210" spans="1:4" hidden="1" x14ac:dyDescent="0.35">
      <c r="A210" s="1">
        <v>1920</v>
      </c>
      <c r="B210" s="2">
        <v>46112</v>
      </c>
      <c r="C210" s="1" t="s">
        <v>5</v>
      </c>
      <c r="D210" s="1">
        <f>IFERROR(VLOOKUP(FISCALIZAÇÃO[[#This Row],[ID]],FISC_ACUM!A:A,1,0),"NOVO")</f>
        <v>1920</v>
      </c>
    </row>
    <row r="211" spans="1:4" hidden="1" x14ac:dyDescent="0.35">
      <c r="A211" s="1">
        <v>1921</v>
      </c>
      <c r="B211" s="2">
        <v>46112</v>
      </c>
      <c r="C211" s="1" t="s">
        <v>21</v>
      </c>
      <c r="D211" s="1">
        <f>IFERROR(VLOOKUP(FISCALIZAÇÃO[[#This Row],[ID]],FISC_ACUM!A:A,1,0),"NOVO")</f>
        <v>1921</v>
      </c>
    </row>
    <row r="212" spans="1:4" hidden="1" x14ac:dyDescent="0.35">
      <c r="A212" s="1">
        <v>1922</v>
      </c>
      <c r="B212" s="2">
        <v>46112</v>
      </c>
      <c r="C212" s="1" t="s">
        <v>21</v>
      </c>
      <c r="D212" s="1">
        <f>IFERROR(VLOOKUP(FISCALIZAÇÃO[[#This Row],[ID]],FISC_ACUM!A:A,1,0),"NOVO")</f>
        <v>1922</v>
      </c>
    </row>
    <row r="213" spans="1:4" hidden="1" x14ac:dyDescent="0.35">
      <c r="A213" s="1">
        <v>1943</v>
      </c>
      <c r="B213" s="2">
        <v>46119</v>
      </c>
      <c r="C213" s="1" t="s">
        <v>21</v>
      </c>
      <c r="D213" s="1">
        <f>IFERROR(VLOOKUP(FISCALIZAÇÃO[[#This Row],[ID]],FISC_ACUM!A:A,1,0),"NOVO")</f>
        <v>1943</v>
      </c>
    </row>
    <row r="214" spans="1:4" hidden="1" x14ac:dyDescent="0.35">
      <c r="A214" s="1">
        <v>1944</v>
      </c>
      <c r="B214" s="2">
        <v>46119</v>
      </c>
      <c r="C214" s="1" t="s">
        <v>21</v>
      </c>
      <c r="D214" s="1">
        <f>IFERROR(VLOOKUP(FISCALIZAÇÃO[[#This Row],[ID]],FISC_ACUM!A:A,1,0),"NOVO")</f>
        <v>1944</v>
      </c>
    </row>
    <row r="215" spans="1:4" hidden="1" x14ac:dyDescent="0.35">
      <c r="A215" s="1">
        <v>1945</v>
      </c>
      <c r="B215" s="2">
        <v>46119</v>
      </c>
      <c r="C215" s="1" t="s">
        <v>21</v>
      </c>
      <c r="D215" s="1">
        <f>IFERROR(VLOOKUP(FISCALIZAÇÃO[[#This Row],[ID]],FISC_ACUM!A:A,1,0),"NOVO")</f>
        <v>1945</v>
      </c>
    </row>
    <row r="216" spans="1:4" hidden="1" x14ac:dyDescent="0.35">
      <c r="A216" s="1">
        <v>1946</v>
      </c>
      <c r="B216" s="2">
        <v>46119</v>
      </c>
      <c r="C216" s="1" t="s">
        <v>21</v>
      </c>
      <c r="D216" s="1">
        <f>IFERROR(VLOOKUP(FISCALIZAÇÃO[[#This Row],[ID]],FISC_ACUM!A:A,1,0),"NOVO")</f>
        <v>1946</v>
      </c>
    </row>
    <row r="217" spans="1:4" hidden="1" x14ac:dyDescent="0.35">
      <c r="A217" s="1">
        <v>1947</v>
      </c>
      <c r="B217" s="2">
        <v>46119</v>
      </c>
      <c r="C217" s="1" t="s">
        <v>5</v>
      </c>
      <c r="D217" s="1">
        <f>IFERROR(VLOOKUP(FISCALIZAÇÃO[[#This Row],[ID]],FISC_ACUM!A:A,1,0),"NOVO")</f>
        <v>1947</v>
      </c>
    </row>
    <row r="218" spans="1:4" hidden="1" x14ac:dyDescent="0.35">
      <c r="A218" s="1">
        <v>1948</v>
      </c>
      <c r="B218" s="2">
        <v>46119</v>
      </c>
      <c r="C218" s="1" t="s">
        <v>28</v>
      </c>
      <c r="D218" s="1">
        <f>IFERROR(VLOOKUP(FISCALIZAÇÃO[[#This Row],[ID]],FISC_ACUM!A:A,1,0),"NOVO")</f>
        <v>1948</v>
      </c>
    </row>
    <row r="219" spans="1:4" hidden="1" x14ac:dyDescent="0.35">
      <c r="A219" s="1">
        <v>1949</v>
      </c>
      <c r="B219" s="2">
        <v>46119</v>
      </c>
      <c r="C219" s="1" t="s">
        <v>28</v>
      </c>
      <c r="D219" s="1">
        <f>IFERROR(VLOOKUP(FISCALIZAÇÃO[[#This Row],[ID]],FISC_ACUM!A:A,1,0),"NOVO")</f>
        <v>1949</v>
      </c>
    </row>
    <row r="220" spans="1:4" hidden="1" x14ac:dyDescent="0.35">
      <c r="A220" s="1">
        <v>1950</v>
      </c>
      <c r="B220" s="2">
        <v>46119</v>
      </c>
      <c r="C220" s="1" t="s">
        <v>21</v>
      </c>
      <c r="D220" s="1">
        <f>IFERROR(VLOOKUP(FISCALIZAÇÃO[[#This Row],[ID]],FISC_ACUM!A:A,1,0),"NOVO")</f>
        <v>1950</v>
      </c>
    </row>
    <row r="221" spans="1:4" hidden="1" x14ac:dyDescent="0.35">
      <c r="A221" s="1">
        <v>1951</v>
      </c>
      <c r="B221" s="2">
        <v>46119</v>
      </c>
      <c r="C221" s="1" t="s">
        <v>34</v>
      </c>
      <c r="D221" s="1">
        <f>IFERROR(VLOOKUP(FISCALIZAÇÃO[[#This Row],[ID]],FISC_ACUM!A:A,1,0),"NOVO")</f>
        <v>1951</v>
      </c>
    </row>
    <row r="222" spans="1:4" hidden="1" x14ac:dyDescent="0.35">
      <c r="A222" s="1">
        <v>1953</v>
      </c>
      <c r="B222" s="2">
        <v>46119</v>
      </c>
      <c r="C222" s="1" t="s">
        <v>34</v>
      </c>
      <c r="D222" s="1">
        <f>IFERROR(VLOOKUP(FISCALIZAÇÃO[[#This Row],[ID]],FISC_ACUM!A:A,1,0),"NOVO")</f>
        <v>1953</v>
      </c>
    </row>
    <row r="223" spans="1:4" hidden="1" x14ac:dyDescent="0.35">
      <c r="A223" s="1">
        <v>1954</v>
      </c>
      <c r="B223" s="2">
        <v>46119</v>
      </c>
      <c r="C223" s="1" t="s">
        <v>28</v>
      </c>
      <c r="D223" s="1">
        <f>IFERROR(VLOOKUP(FISCALIZAÇÃO[[#This Row],[ID]],FISC_ACUM!A:A,1,0),"NOVO")</f>
        <v>1954</v>
      </c>
    </row>
    <row r="224" spans="1:4" hidden="1" x14ac:dyDescent="0.35">
      <c r="A224" s="1">
        <v>1955</v>
      </c>
      <c r="B224" s="2">
        <v>46119</v>
      </c>
      <c r="C224" s="1" t="s">
        <v>21</v>
      </c>
      <c r="D224" s="1">
        <f>IFERROR(VLOOKUP(FISCALIZAÇÃO[[#This Row],[ID]],FISC_ACUM!A:A,1,0),"NOVO")</f>
        <v>1955</v>
      </c>
    </row>
    <row r="225" spans="1:4" hidden="1" x14ac:dyDescent="0.35">
      <c r="A225" s="1">
        <v>1956</v>
      </c>
      <c r="B225" s="2">
        <v>46119</v>
      </c>
      <c r="C225" s="1" t="s">
        <v>21</v>
      </c>
      <c r="D225" s="1">
        <f>IFERROR(VLOOKUP(FISCALIZAÇÃO[[#This Row],[ID]],FISC_ACUM!A:A,1,0),"NOVO")</f>
        <v>1956</v>
      </c>
    </row>
    <row r="226" spans="1:4" hidden="1" x14ac:dyDescent="0.35">
      <c r="A226" s="1">
        <v>1957</v>
      </c>
      <c r="B226" s="2">
        <v>46119</v>
      </c>
      <c r="C226" s="1" t="s">
        <v>5</v>
      </c>
      <c r="D226" s="1">
        <f>IFERROR(VLOOKUP(FISCALIZAÇÃO[[#This Row],[ID]],FISC_ACUM!A:A,1,0),"NOVO")</f>
        <v>1957</v>
      </c>
    </row>
    <row r="227" spans="1:4" hidden="1" x14ac:dyDescent="0.35">
      <c r="A227" s="1">
        <v>1958</v>
      </c>
      <c r="B227" s="2">
        <v>46119</v>
      </c>
      <c r="C227" s="1" t="s">
        <v>5</v>
      </c>
      <c r="D227" s="1">
        <f>IFERROR(VLOOKUP(FISCALIZAÇÃO[[#This Row],[ID]],FISC_ACUM!A:A,1,0),"NOVO")</f>
        <v>1958</v>
      </c>
    </row>
    <row r="228" spans="1:4" hidden="1" x14ac:dyDescent="0.35">
      <c r="A228" s="1">
        <v>1959</v>
      </c>
      <c r="B228" s="2">
        <v>46119</v>
      </c>
      <c r="C228" s="1" t="s">
        <v>5</v>
      </c>
      <c r="D228" s="1">
        <f>IFERROR(VLOOKUP(FISCALIZAÇÃO[[#This Row],[ID]],FISC_ACUM!A:A,1,0),"NOVO")</f>
        <v>1959</v>
      </c>
    </row>
    <row r="229" spans="1:4" hidden="1" x14ac:dyDescent="0.35">
      <c r="A229" s="1">
        <v>1960</v>
      </c>
      <c r="B229" s="2">
        <v>46119</v>
      </c>
      <c r="C229" s="1" t="s">
        <v>5</v>
      </c>
      <c r="D229" s="1">
        <f>IFERROR(VLOOKUP(FISCALIZAÇÃO[[#This Row],[ID]],FISC_ACUM!A:A,1,0),"NOVO")</f>
        <v>1960</v>
      </c>
    </row>
    <row r="230" spans="1:4" hidden="1" x14ac:dyDescent="0.35">
      <c r="A230" s="1">
        <v>1961</v>
      </c>
      <c r="B230" s="2">
        <v>46119</v>
      </c>
      <c r="C230" s="1" t="s">
        <v>5</v>
      </c>
      <c r="D230" s="1">
        <f>IFERROR(VLOOKUP(FISCALIZAÇÃO[[#This Row],[ID]],FISC_ACUM!A:A,1,0),"NOVO")</f>
        <v>1961</v>
      </c>
    </row>
    <row r="231" spans="1:4" hidden="1" x14ac:dyDescent="0.35">
      <c r="A231" s="1">
        <v>1962</v>
      </c>
      <c r="B231" s="2">
        <v>46119</v>
      </c>
      <c r="C231" s="1" t="s">
        <v>5</v>
      </c>
      <c r="D231" s="1">
        <f>IFERROR(VLOOKUP(FISCALIZAÇÃO[[#This Row],[ID]],FISC_ACUM!A:A,1,0),"NOVO")</f>
        <v>1962</v>
      </c>
    </row>
    <row r="232" spans="1:4" hidden="1" x14ac:dyDescent="0.35">
      <c r="A232" s="1">
        <v>1963</v>
      </c>
      <c r="B232" s="2">
        <v>46119</v>
      </c>
      <c r="C232" s="1" t="s">
        <v>5</v>
      </c>
      <c r="D232" s="1">
        <f>IFERROR(VLOOKUP(FISCALIZAÇÃO[[#This Row],[ID]],FISC_ACUM!A:A,1,0),"NOVO")</f>
        <v>1963</v>
      </c>
    </row>
    <row r="233" spans="1:4" hidden="1" x14ac:dyDescent="0.35">
      <c r="A233" s="1">
        <v>1967</v>
      </c>
      <c r="B233" s="2">
        <v>46120</v>
      </c>
      <c r="C233" s="1" t="s">
        <v>21</v>
      </c>
      <c r="D233" s="1">
        <f>IFERROR(VLOOKUP(FISCALIZAÇÃO[[#This Row],[ID]],FISC_ACUM!A:A,1,0),"NOVO")</f>
        <v>1967</v>
      </c>
    </row>
    <row r="234" spans="1:4" hidden="1" x14ac:dyDescent="0.35">
      <c r="A234" s="1">
        <v>1968</v>
      </c>
      <c r="B234" s="2">
        <v>46120</v>
      </c>
      <c r="C234" s="1" t="s">
        <v>5</v>
      </c>
      <c r="D234" s="1">
        <f>IFERROR(VLOOKUP(FISCALIZAÇÃO[[#This Row],[ID]],FISC_ACUM!A:A,1,0),"NOVO")</f>
        <v>1968</v>
      </c>
    </row>
    <row r="235" spans="1:4" hidden="1" x14ac:dyDescent="0.35">
      <c r="A235" s="1">
        <v>1969</v>
      </c>
      <c r="B235" s="2">
        <v>46120</v>
      </c>
      <c r="C235" s="1" t="s">
        <v>5</v>
      </c>
      <c r="D235" s="1">
        <f>IFERROR(VLOOKUP(FISCALIZAÇÃO[[#This Row],[ID]],FISC_ACUM!A:A,1,0),"NOVO")</f>
        <v>1969</v>
      </c>
    </row>
    <row r="236" spans="1:4" hidden="1" x14ac:dyDescent="0.35">
      <c r="A236" s="1">
        <v>1988</v>
      </c>
      <c r="B236" s="2">
        <v>46125</v>
      </c>
      <c r="C236" s="1" t="s">
        <v>5</v>
      </c>
      <c r="D236" s="1">
        <f>IFERROR(VLOOKUP(FISCALIZAÇÃO[[#This Row],[ID]],FISC_ACUM!A:A,1,0),"NOVO")</f>
        <v>1988</v>
      </c>
    </row>
    <row r="237" spans="1:4" hidden="1" x14ac:dyDescent="0.35">
      <c r="A237" s="1">
        <v>1989</v>
      </c>
      <c r="B237" s="2">
        <v>46125</v>
      </c>
      <c r="C237" s="1" t="s">
        <v>5</v>
      </c>
      <c r="D237" s="1">
        <f>IFERROR(VLOOKUP(FISCALIZAÇÃO[[#This Row],[ID]],FISC_ACUM!A:A,1,0),"NOVO")</f>
        <v>1989</v>
      </c>
    </row>
    <row r="238" spans="1:4" hidden="1" x14ac:dyDescent="0.35">
      <c r="A238" s="1">
        <v>1990</v>
      </c>
      <c r="B238" s="2">
        <v>46125</v>
      </c>
      <c r="C238" s="1" t="s">
        <v>5</v>
      </c>
      <c r="D238" s="1">
        <f>IFERROR(VLOOKUP(FISCALIZAÇÃO[[#This Row],[ID]],FISC_ACUM!A:A,1,0),"NOVO")</f>
        <v>1990</v>
      </c>
    </row>
    <row r="239" spans="1:4" hidden="1" x14ac:dyDescent="0.35">
      <c r="A239" s="1">
        <v>1992</v>
      </c>
      <c r="B239" s="2">
        <v>46125</v>
      </c>
      <c r="C239" s="1" t="s">
        <v>24</v>
      </c>
      <c r="D239" s="1">
        <f>IFERROR(VLOOKUP(FISCALIZAÇÃO[[#This Row],[ID]],FISC_ACUM!A:A,1,0),"NOVO")</f>
        <v>1992</v>
      </c>
    </row>
    <row r="240" spans="1:4" hidden="1" x14ac:dyDescent="0.35">
      <c r="A240" s="1">
        <v>1993</v>
      </c>
      <c r="B240" s="2">
        <v>46125</v>
      </c>
      <c r="C240" s="1" t="s">
        <v>24</v>
      </c>
      <c r="D240" s="1">
        <f>IFERROR(VLOOKUP(FISCALIZAÇÃO[[#This Row],[ID]],FISC_ACUM!A:A,1,0),"NOVO")</f>
        <v>1993</v>
      </c>
    </row>
    <row r="241" spans="1:4" hidden="1" x14ac:dyDescent="0.35">
      <c r="A241" s="1">
        <v>1994</v>
      </c>
      <c r="B241" s="2">
        <v>46125</v>
      </c>
      <c r="C241" s="1" t="s">
        <v>24</v>
      </c>
      <c r="D241" s="1">
        <f>IFERROR(VLOOKUP(FISCALIZAÇÃO[[#This Row],[ID]],FISC_ACUM!A:A,1,0),"NOVO")</f>
        <v>1994</v>
      </c>
    </row>
    <row r="242" spans="1:4" hidden="1" x14ac:dyDescent="0.35">
      <c r="A242" s="1">
        <v>1995</v>
      </c>
      <c r="B242" s="2">
        <v>46125</v>
      </c>
      <c r="C242" s="1" t="s">
        <v>5</v>
      </c>
      <c r="D242" s="1">
        <f>IFERROR(VLOOKUP(FISCALIZAÇÃO[[#This Row],[ID]],FISC_ACUM!A:A,1,0),"NOVO")</f>
        <v>1995</v>
      </c>
    </row>
    <row r="243" spans="1:4" hidden="1" x14ac:dyDescent="0.35">
      <c r="A243" s="1">
        <v>1996</v>
      </c>
      <c r="B243" s="2">
        <v>46125</v>
      </c>
      <c r="C243" s="1" t="s">
        <v>5</v>
      </c>
      <c r="D243" s="1">
        <f>IFERROR(VLOOKUP(FISCALIZAÇÃO[[#This Row],[ID]],FISC_ACUM!A:A,1,0),"NOVO")</f>
        <v>1996</v>
      </c>
    </row>
    <row r="244" spans="1:4" hidden="1" x14ac:dyDescent="0.35">
      <c r="A244" s="1">
        <v>1997</v>
      </c>
      <c r="B244" s="2">
        <v>46125</v>
      </c>
      <c r="C244" s="1" t="s">
        <v>33</v>
      </c>
      <c r="D244" s="1">
        <f>IFERROR(VLOOKUP(FISCALIZAÇÃO[[#This Row],[ID]],FISC_ACUM!A:A,1,0),"NOVO")</f>
        <v>1997</v>
      </c>
    </row>
    <row r="245" spans="1:4" hidden="1" x14ac:dyDescent="0.35">
      <c r="A245" s="1">
        <v>2000</v>
      </c>
      <c r="B245" s="2">
        <v>46125</v>
      </c>
      <c r="C245" s="1" t="s">
        <v>24</v>
      </c>
      <c r="D245" s="1">
        <f>IFERROR(VLOOKUP(FISCALIZAÇÃO[[#This Row],[ID]],FISC_ACUM!A:A,1,0),"NOVO")</f>
        <v>2000</v>
      </c>
    </row>
    <row r="246" spans="1:4" hidden="1" x14ac:dyDescent="0.35">
      <c r="A246" s="1">
        <v>2001</v>
      </c>
      <c r="B246" s="2">
        <v>46125</v>
      </c>
      <c r="C246" s="1" t="s">
        <v>21</v>
      </c>
      <c r="D246" s="1">
        <f>IFERROR(VLOOKUP(FISCALIZAÇÃO[[#This Row],[ID]],FISC_ACUM!A:A,1,0),"NOVO")</f>
        <v>2001</v>
      </c>
    </row>
    <row r="247" spans="1:4" hidden="1" x14ac:dyDescent="0.35">
      <c r="A247" s="1">
        <v>2002</v>
      </c>
      <c r="B247" s="2">
        <v>46125</v>
      </c>
      <c r="C247" s="1" t="s">
        <v>21</v>
      </c>
      <c r="D247" s="1">
        <f>IFERROR(VLOOKUP(FISCALIZAÇÃO[[#This Row],[ID]],FISC_ACUM!A:A,1,0),"NOVO")</f>
        <v>2002</v>
      </c>
    </row>
    <row r="248" spans="1:4" hidden="1" x14ac:dyDescent="0.35">
      <c r="A248" s="1">
        <v>2016</v>
      </c>
      <c r="B248" s="2">
        <v>46129</v>
      </c>
      <c r="C248" s="1" t="s">
        <v>21</v>
      </c>
      <c r="D248" s="1">
        <f>IFERROR(VLOOKUP(FISCALIZAÇÃO[[#This Row],[ID]],FISC_ACUM!A:A,1,0),"NOVO")</f>
        <v>2016</v>
      </c>
    </row>
    <row r="249" spans="1:4" hidden="1" x14ac:dyDescent="0.35">
      <c r="A249" s="1">
        <v>2017</v>
      </c>
      <c r="B249" s="2">
        <v>46129</v>
      </c>
      <c r="C249" s="1" t="s">
        <v>21</v>
      </c>
      <c r="D249" s="1">
        <f>IFERROR(VLOOKUP(FISCALIZAÇÃO[[#This Row],[ID]],FISC_ACUM!A:A,1,0),"NOVO")</f>
        <v>2017</v>
      </c>
    </row>
    <row r="250" spans="1:4" hidden="1" x14ac:dyDescent="0.35">
      <c r="A250" s="1">
        <v>2018</v>
      </c>
      <c r="B250" s="2">
        <v>46129</v>
      </c>
      <c r="C250" s="1" t="s">
        <v>5</v>
      </c>
      <c r="D250" s="1">
        <f>IFERROR(VLOOKUP(FISCALIZAÇÃO[[#This Row],[ID]],FISC_ACUM!A:A,1,0),"NOVO")</f>
        <v>2018</v>
      </c>
    </row>
    <row r="251" spans="1:4" hidden="1" x14ac:dyDescent="0.35">
      <c r="A251" s="1">
        <v>2019</v>
      </c>
      <c r="B251" s="2">
        <v>46129</v>
      </c>
      <c r="C251" s="1" t="s">
        <v>5</v>
      </c>
      <c r="D251" s="1">
        <f>IFERROR(VLOOKUP(FISCALIZAÇÃO[[#This Row],[ID]],FISC_ACUM!A:A,1,0),"NOVO")</f>
        <v>2019</v>
      </c>
    </row>
    <row r="252" spans="1:4" hidden="1" x14ac:dyDescent="0.35">
      <c r="A252" s="1">
        <v>2020</v>
      </c>
      <c r="B252" s="2">
        <v>46129</v>
      </c>
      <c r="C252" s="1" t="s">
        <v>24</v>
      </c>
      <c r="D252" s="1">
        <f>IFERROR(VLOOKUP(FISCALIZAÇÃO[[#This Row],[ID]],FISC_ACUM!A:A,1,0),"NOVO")</f>
        <v>2020</v>
      </c>
    </row>
    <row r="253" spans="1:4" hidden="1" x14ac:dyDescent="0.35">
      <c r="A253" s="1">
        <v>2021</v>
      </c>
      <c r="B253" s="2">
        <v>46129</v>
      </c>
      <c r="C253" s="1" t="s">
        <v>22</v>
      </c>
      <c r="D253" s="1">
        <f>IFERROR(VLOOKUP(FISCALIZAÇÃO[[#This Row],[ID]],FISC_ACUM!A:A,1,0),"NOVO")</f>
        <v>2021</v>
      </c>
    </row>
    <row r="254" spans="1:4" hidden="1" x14ac:dyDescent="0.35">
      <c r="A254" s="1">
        <v>2022</v>
      </c>
      <c r="B254" s="2">
        <v>46129</v>
      </c>
      <c r="C254" s="1" t="s">
        <v>22</v>
      </c>
      <c r="D254" s="1">
        <f>IFERROR(VLOOKUP(FISCALIZAÇÃO[[#This Row],[ID]],FISC_ACUM!A:A,1,0),"NOVO")</f>
        <v>2022</v>
      </c>
    </row>
    <row r="255" spans="1:4" hidden="1" x14ac:dyDescent="0.35">
      <c r="A255" s="1">
        <v>2023</v>
      </c>
      <c r="B255" s="2">
        <v>46129</v>
      </c>
      <c r="C255" s="1" t="s">
        <v>22</v>
      </c>
      <c r="D255" s="1">
        <f>IFERROR(VLOOKUP(FISCALIZAÇÃO[[#This Row],[ID]],FISC_ACUM!A:A,1,0),"NOVO")</f>
        <v>2023</v>
      </c>
    </row>
    <row r="256" spans="1:4" hidden="1" x14ac:dyDescent="0.35">
      <c r="A256" s="1">
        <v>2024</v>
      </c>
      <c r="B256" s="2">
        <v>46129</v>
      </c>
      <c r="C256" s="1" t="s">
        <v>22</v>
      </c>
      <c r="D256" s="1">
        <f>IFERROR(VLOOKUP(FISCALIZAÇÃO[[#This Row],[ID]],FISC_ACUM!A:A,1,0),"NOVO")</f>
        <v>2024</v>
      </c>
    </row>
    <row r="257" spans="1:4" hidden="1" x14ac:dyDescent="0.35">
      <c r="A257" s="1">
        <v>2025</v>
      </c>
      <c r="B257" s="2">
        <v>46129</v>
      </c>
      <c r="C257" s="1" t="s">
        <v>22</v>
      </c>
      <c r="D257" s="1">
        <f>IFERROR(VLOOKUP(FISCALIZAÇÃO[[#This Row],[ID]],FISC_ACUM!A:A,1,0),"NOVO")</f>
        <v>2025</v>
      </c>
    </row>
    <row r="258" spans="1:4" hidden="1" x14ac:dyDescent="0.35">
      <c r="A258" s="1">
        <v>2026</v>
      </c>
      <c r="B258" s="2">
        <v>46129</v>
      </c>
      <c r="C258" s="1" t="s">
        <v>22</v>
      </c>
      <c r="D258" s="1">
        <f>IFERROR(VLOOKUP(FISCALIZAÇÃO[[#This Row],[ID]],FISC_ACUM!A:A,1,0),"NOVO")</f>
        <v>2026</v>
      </c>
    </row>
    <row r="259" spans="1:4" hidden="1" x14ac:dyDescent="0.35">
      <c r="A259" s="1">
        <v>2027</v>
      </c>
      <c r="B259" s="2">
        <v>46129</v>
      </c>
      <c r="C259" s="1" t="s">
        <v>22</v>
      </c>
      <c r="D259" s="1">
        <f>IFERROR(VLOOKUP(FISCALIZAÇÃO[[#This Row],[ID]],FISC_ACUM!A:A,1,0),"NOVO")</f>
        <v>2027</v>
      </c>
    </row>
    <row r="260" spans="1:4" hidden="1" x14ac:dyDescent="0.35">
      <c r="A260" s="1">
        <v>2028</v>
      </c>
      <c r="B260" s="2">
        <v>46129</v>
      </c>
      <c r="C260" s="1" t="s">
        <v>21</v>
      </c>
      <c r="D260" s="1">
        <f>IFERROR(VLOOKUP(FISCALIZAÇÃO[[#This Row],[ID]],FISC_ACUM!A:A,1,0),"NOVO")</f>
        <v>2028</v>
      </c>
    </row>
    <row r="261" spans="1:4" hidden="1" x14ac:dyDescent="0.35">
      <c r="A261" s="1">
        <v>2029</v>
      </c>
      <c r="B261" s="2">
        <v>46129</v>
      </c>
      <c r="C261" s="1" t="s">
        <v>24</v>
      </c>
      <c r="D261" s="1">
        <f>IFERROR(VLOOKUP(FISCALIZAÇÃO[[#This Row],[ID]],FISC_ACUM!A:A,1,0),"NOVO")</f>
        <v>2029</v>
      </c>
    </row>
    <row r="262" spans="1:4" hidden="1" x14ac:dyDescent="0.35">
      <c r="A262" s="1">
        <v>2030</v>
      </c>
      <c r="B262" s="2">
        <v>46129</v>
      </c>
      <c r="C262" s="1" t="s">
        <v>21</v>
      </c>
      <c r="D262" s="1">
        <f>IFERROR(VLOOKUP(FISCALIZAÇÃO[[#This Row],[ID]],FISC_ACUM!A:A,1,0),"NOVO")</f>
        <v>2030</v>
      </c>
    </row>
    <row r="263" spans="1:4" hidden="1" x14ac:dyDescent="0.35">
      <c r="A263" s="1">
        <v>2031</v>
      </c>
      <c r="B263" s="2">
        <v>46129</v>
      </c>
      <c r="C263" s="1" t="s">
        <v>21</v>
      </c>
      <c r="D263" s="1">
        <f>IFERROR(VLOOKUP(FISCALIZAÇÃO[[#This Row],[ID]],FISC_ACUM!A:A,1,0),"NOVO")</f>
        <v>2031</v>
      </c>
    </row>
    <row r="264" spans="1:4" hidden="1" x14ac:dyDescent="0.35">
      <c r="A264" s="1">
        <v>2032</v>
      </c>
      <c r="B264" s="2">
        <v>46129</v>
      </c>
      <c r="C264" s="1" t="s">
        <v>21</v>
      </c>
      <c r="D264" s="1">
        <f>IFERROR(VLOOKUP(FISCALIZAÇÃO[[#This Row],[ID]],FISC_ACUM!A:A,1,0),"NOVO")</f>
        <v>2032</v>
      </c>
    </row>
    <row r="265" spans="1:4" hidden="1" x14ac:dyDescent="0.35">
      <c r="A265" s="1">
        <v>2033</v>
      </c>
      <c r="B265" s="2">
        <v>46129</v>
      </c>
      <c r="C265" s="1" t="s">
        <v>5</v>
      </c>
      <c r="D265" s="1">
        <f>IFERROR(VLOOKUP(FISCALIZAÇÃO[[#This Row],[ID]],FISC_ACUM!A:A,1,0),"NOVO")</f>
        <v>2033</v>
      </c>
    </row>
    <row r="266" spans="1:4" hidden="1" x14ac:dyDescent="0.35">
      <c r="A266" s="1">
        <v>2034</v>
      </c>
      <c r="B266" s="2">
        <v>46129</v>
      </c>
      <c r="C266" s="1" t="s">
        <v>24</v>
      </c>
      <c r="D266" s="1">
        <f>IFERROR(VLOOKUP(FISCALIZAÇÃO[[#This Row],[ID]],FISC_ACUM!A:A,1,0),"NOVO")</f>
        <v>2034</v>
      </c>
    </row>
    <row r="267" spans="1:4" hidden="1" x14ac:dyDescent="0.35">
      <c r="A267" s="1">
        <v>2035</v>
      </c>
      <c r="B267" s="2">
        <v>46129</v>
      </c>
      <c r="C267" s="1" t="s">
        <v>5</v>
      </c>
      <c r="D267" s="1">
        <f>IFERROR(VLOOKUP(FISCALIZAÇÃO[[#This Row],[ID]],FISC_ACUM!A:A,1,0),"NOVO")</f>
        <v>2035</v>
      </c>
    </row>
    <row r="268" spans="1:4" hidden="1" x14ac:dyDescent="0.35">
      <c r="A268" s="1">
        <v>2036</v>
      </c>
      <c r="B268" s="2">
        <v>46129</v>
      </c>
      <c r="C268" s="1" t="s">
        <v>33</v>
      </c>
      <c r="D268" s="1">
        <f>IFERROR(VLOOKUP(FISCALIZAÇÃO[[#This Row],[ID]],FISC_ACUM!A:A,1,0),"NOVO")</f>
        <v>2036</v>
      </c>
    </row>
    <row r="269" spans="1:4" hidden="1" x14ac:dyDescent="0.35">
      <c r="A269" s="1">
        <v>2037</v>
      </c>
      <c r="B269" s="2">
        <v>46129</v>
      </c>
      <c r="C269" s="1" t="s">
        <v>33</v>
      </c>
      <c r="D269" s="1">
        <f>IFERROR(VLOOKUP(FISCALIZAÇÃO[[#This Row],[ID]],FISC_ACUM!A:A,1,0),"NOVO")</f>
        <v>2037</v>
      </c>
    </row>
    <row r="270" spans="1:4" hidden="1" x14ac:dyDescent="0.35">
      <c r="A270" s="1">
        <v>2045</v>
      </c>
      <c r="B270" s="2">
        <v>46129</v>
      </c>
      <c r="C270" s="1" t="s">
        <v>28</v>
      </c>
      <c r="D270" s="1">
        <f>IFERROR(VLOOKUP(FISCALIZAÇÃO[[#This Row],[ID]],FISC_ACUM!A:A,1,0),"NOVO")</f>
        <v>2045</v>
      </c>
    </row>
    <row r="271" spans="1:4" hidden="1" x14ac:dyDescent="0.35">
      <c r="A271" s="1">
        <v>2055</v>
      </c>
      <c r="B271" s="2">
        <v>46132</v>
      </c>
      <c r="C271" s="1" t="s">
        <v>28</v>
      </c>
      <c r="D271" s="1">
        <f>IFERROR(VLOOKUP(FISCALIZAÇÃO[[#This Row],[ID]],FISC_ACUM!A:A,1,0),"NOVO")</f>
        <v>2055</v>
      </c>
    </row>
    <row r="272" spans="1:4" hidden="1" x14ac:dyDescent="0.35">
      <c r="A272" s="1">
        <v>2056</v>
      </c>
      <c r="B272" s="2">
        <v>46132</v>
      </c>
      <c r="C272" s="1" t="s">
        <v>28</v>
      </c>
      <c r="D272" s="1">
        <f>IFERROR(VLOOKUP(FISCALIZAÇÃO[[#This Row],[ID]],FISC_ACUM!A:A,1,0),"NOVO")</f>
        <v>2056</v>
      </c>
    </row>
    <row r="273" spans="1:4" hidden="1" x14ac:dyDescent="0.35">
      <c r="A273" s="1">
        <v>2057</v>
      </c>
      <c r="B273" s="2">
        <v>46132</v>
      </c>
      <c r="C273" s="1" t="s">
        <v>28</v>
      </c>
      <c r="D273" s="1">
        <f>IFERROR(VLOOKUP(FISCALIZAÇÃO[[#This Row],[ID]],FISC_ACUM!A:A,1,0),"NOVO")</f>
        <v>2057</v>
      </c>
    </row>
    <row r="274" spans="1:4" hidden="1" x14ac:dyDescent="0.35">
      <c r="A274" s="1">
        <v>2058</v>
      </c>
      <c r="B274" s="2">
        <v>46132</v>
      </c>
      <c r="C274" s="1" t="s">
        <v>28</v>
      </c>
      <c r="D274" s="1">
        <f>IFERROR(VLOOKUP(FISCALIZAÇÃO[[#This Row],[ID]],FISC_ACUM!A:A,1,0),"NOVO")</f>
        <v>2058</v>
      </c>
    </row>
    <row r="275" spans="1:4" hidden="1" x14ac:dyDescent="0.35">
      <c r="A275" s="1">
        <v>2059</v>
      </c>
      <c r="B275" s="2">
        <v>46132</v>
      </c>
      <c r="C275" s="1" t="s">
        <v>5</v>
      </c>
      <c r="D275" s="1">
        <f>IFERROR(VLOOKUP(FISCALIZAÇÃO[[#This Row],[ID]],FISC_ACUM!A:A,1,0),"NOVO")</f>
        <v>2059</v>
      </c>
    </row>
    <row r="276" spans="1:4" hidden="1" x14ac:dyDescent="0.35">
      <c r="A276" s="1">
        <v>2060</v>
      </c>
      <c r="B276" s="2">
        <v>46132</v>
      </c>
      <c r="C276" s="1" t="s">
        <v>5</v>
      </c>
      <c r="D276" s="1">
        <f>IFERROR(VLOOKUP(FISCALIZAÇÃO[[#This Row],[ID]],FISC_ACUM!A:A,1,0),"NOVO")</f>
        <v>2060</v>
      </c>
    </row>
    <row r="277" spans="1:4" hidden="1" x14ac:dyDescent="0.35">
      <c r="A277" s="1">
        <v>2061</v>
      </c>
      <c r="B277" s="2">
        <v>46132</v>
      </c>
      <c r="C277" s="1" t="s">
        <v>28</v>
      </c>
      <c r="D277" s="1">
        <f>IFERROR(VLOOKUP(FISCALIZAÇÃO[[#This Row],[ID]],FISC_ACUM!A:A,1,0),"NOVO")</f>
        <v>2061</v>
      </c>
    </row>
    <row r="278" spans="1:4" hidden="1" x14ac:dyDescent="0.35">
      <c r="A278" s="1">
        <v>2062</v>
      </c>
      <c r="B278" s="2">
        <v>46132</v>
      </c>
      <c r="C278" s="1" t="s">
        <v>33</v>
      </c>
      <c r="D278" s="1">
        <f>IFERROR(VLOOKUP(FISCALIZAÇÃO[[#This Row],[ID]],FISC_ACUM!A:A,1,0),"NOVO")</f>
        <v>2062</v>
      </c>
    </row>
    <row r="279" spans="1:4" hidden="1" x14ac:dyDescent="0.35">
      <c r="A279" s="1">
        <v>2063</v>
      </c>
      <c r="B279" s="2">
        <v>46132</v>
      </c>
      <c r="C279" s="1" t="s">
        <v>5</v>
      </c>
      <c r="D279" s="1">
        <f>IFERROR(VLOOKUP(FISCALIZAÇÃO[[#This Row],[ID]],FISC_ACUM!A:A,1,0),"NOVO")</f>
        <v>2063</v>
      </c>
    </row>
    <row r="280" spans="1:4" hidden="1" x14ac:dyDescent="0.35">
      <c r="A280" s="1">
        <v>2064</v>
      </c>
      <c r="B280" s="2">
        <v>46132</v>
      </c>
      <c r="C280" s="1" t="s">
        <v>28</v>
      </c>
      <c r="D280" s="1">
        <f>IFERROR(VLOOKUP(FISCALIZAÇÃO[[#This Row],[ID]],FISC_ACUM!A:A,1,0),"NOVO")</f>
        <v>2064</v>
      </c>
    </row>
    <row r="281" spans="1:4" hidden="1" x14ac:dyDescent="0.35">
      <c r="A281" s="1">
        <v>2066</v>
      </c>
      <c r="B281" s="2">
        <v>46135</v>
      </c>
      <c r="C281" s="1" t="s">
        <v>28</v>
      </c>
      <c r="D281" s="1">
        <f>IFERROR(VLOOKUP(FISCALIZAÇÃO[[#This Row],[ID]],FISC_ACUM!A:A,1,0),"NOVO")</f>
        <v>2066</v>
      </c>
    </row>
    <row r="282" spans="1:4" hidden="1" x14ac:dyDescent="0.35">
      <c r="A282" s="1">
        <v>2067</v>
      </c>
      <c r="B282" s="2">
        <v>46135</v>
      </c>
      <c r="C282" s="1" t="s">
        <v>21</v>
      </c>
      <c r="D282" s="1">
        <f>IFERROR(VLOOKUP(FISCALIZAÇÃO[[#This Row],[ID]],FISC_ACUM!A:A,1,0),"NOVO")</f>
        <v>2067</v>
      </c>
    </row>
    <row r="283" spans="1:4" hidden="1" x14ac:dyDescent="0.35">
      <c r="A283" s="1">
        <v>2068</v>
      </c>
      <c r="B283" s="2">
        <v>46135</v>
      </c>
      <c r="C283" s="1" t="s">
        <v>21</v>
      </c>
      <c r="D283" s="1">
        <f>IFERROR(VLOOKUP(FISCALIZAÇÃO[[#This Row],[ID]],FISC_ACUM!A:A,1,0),"NOVO")</f>
        <v>2068</v>
      </c>
    </row>
    <row r="284" spans="1:4" hidden="1" x14ac:dyDescent="0.35">
      <c r="A284" s="1">
        <v>2069</v>
      </c>
      <c r="B284" s="2">
        <v>46135</v>
      </c>
      <c r="C284" s="1" t="s">
        <v>21</v>
      </c>
      <c r="D284" s="1">
        <f>IFERROR(VLOOKUP(FISCALIZAÇÃO[[#This Row],[ID]],FISC_ACUM!A:A,1,0),"NOVO")</f>
        <v>2069</v>
      </c>
    </row>
    <row r="285" spans="1:4" hidden="1" x14ac:dyDescent="0.35">
      <c r="A285" s="1">
        <v>2070</v>
      </c>
      <c r="B285" s="2">
        <v>46135</v>
      </c>
      <c r="C285" s="1" t="s">
        <v>21</v>
      </c>
      <c r="D285" s="1">
        <f>IFERROR(VLOOKUP(FISCALIZAÇÃO[[#This Row],[ID]],FISC_ACUM!A:A,1,0),"NOVO")</f>
        <v>2070</v>
      </c>
    </row>
    <row r="286" spans="1:4" hidden="1" x14ac:dyDescent="0.35">
      <c r="A286" s="1">
        <v>2071</v>
      </c>
      <c r="B286" s="2">
        <v>46135</v>
      </c>
      <c r="C286" s="1" t="s">
        <v>5</v>
      </c>
      <c r="D286" s="1">
        <f>IFERROR(VLOOKUP(FISCALIZAÇÃO[[#This Row],[ID]],FISC_ACUM!A:A,1,0),"NOVO")</f>
        <v>2071</v>
      </c>
    </row>
    <row r="287" spans="1:4" hidden="1" x14ac:dyDescent="0.35">
      <c r="A287" s="1">
        <v>2072</v>
      </c>
      <c r="B287" s="2">
        <v>46135</v>
      </c>
      <c r="C287" s="1" t="s">
        <v>5</v>
      </c>
      <c r="D287" s="1">
        <f>IFERROR(VLOOKUP(FISCALIZAÇÃO[[#This Row],[ID]],FISC_ACUM!A:A,1,0),"NOVO")</f>
        <v>2072</v>
      </c>
    </row>
    <row r="288" spans="1:4" hidden="1" x14ac:dyDescent="0.35">
      <c r="A288" s="1">
        <v>2073</v>
      </c>
      <c r="B288" s="2">
        <v>46135</v>
      </c>
      <c r="C288" s="1" t="s">
        <v>21</v>
      </c>
      <c r="D288" s="1">
        <f>IFERROR(VLOOKUP(FISCALIZAÇÃO[[#This Row],[ID]],FISC_ACUM!A:A,1,0),"NOVO")</f>
        <v>2073</v>
      </c>
    </row>
    <row r="289" spans="1:4" hidden="1" x14ac:dyDescent="0.35">
      <c r="A289" s="1">
        <v>2082</v>
      </c>
      <c r="B289" s="2">
        <v>46135</v>
      </c>
      <c r="C289" s="1" t="s">
        <v>5</v>
      </c>
      <c r="D289" s="1">
        <f>IFERROR(VLOOKUP(FISCALIZAÇÃO[[#This Row],[ID]],FISC_ACUM!A:A,1,0),"NOVO")</f>
        <v>2082</v>
      </c>
    </row>
    <row r="290" spans="1:4" hidden="1" x14ac:dyDescent="0.35">
      <c r="A290" s="1">
        <v>2083</v>
      </c>
      <c r="B290" s="2">
        <v>46135</v>
      </c>
      <c r="C290" s="1" t="s">
        <v>5</v>
      </c>
      <c r="D290" s="1">
        <f>IFERROR(VLOOKUP(FISCALIZAÇÃO[[#This Row],[ID]],FISC_ACUM!A:A,1,0),"NOVO")</f>
        <v>2083</v>
      </c>
    </row>
    <row r="291" spans="1:4" hidden="1" x14ac:dyDescent="0.35">
      <c r="A291" s="1">
        <v>2084</v>
      </c>
      <c r="B291" s="2">
        <v>46135</v>
      </c>
      <c r="C291" s="1" t="s">
        <v>22</v>
      </c>
      <c r="D291" s="1">
        <f>IFERROR(VLOOKUP(FISCALIZAÇÃO[[#This Row],[ID]],FISC_ACUM!A:A,1,0),"NOVO")</f>
        <v>2084</v>
      </c>
    </row>
    <row r="292" spans="1:4" hidden="1" x14ac:dyDescent="0.35">
      <c r="A292" s="1">
        <v>2085</v>
      </c>
      <c r="B292" s="2">
        <v>46135</v>
      </c>
      <c r="C292" s="1" t="s">
        <v>5</v>
      </c>
      <c r="D292" s="1">
        <f>IFERROR(VLOOKUP(FISCALIZAÇÃO[[#This Row],[ID]],FISC_ACUM!A:A,1,0),"NOVO")</f>
        <v>2085</v>
      </c>
    </row>
    <row r="293" spans="1:4" hidden="1" x14ac:dyDescent="0.35">
      <c r="A293" s="1">
        <v>2087</v>
      </c>
      <c r="B293" s="2">
        <v>46135</v>
      </c>
      <c r="C293" s="1" t="s">
        <v>21</v>
      </c>
      <c r="D293" s="1">
        <f>IFERROR(VLOOKUP(FISCALIZAÇÃO[[#This Row],[ID]],FISC_ACUM!A:A,1,0),"NOVO")</f>
        <v>2087</v>
      </c>
    </row>
    <row r="294" spans="1:4" hidden="1" x14ac:dyDescent="0.35">
      <c r="A294" s="1">
        <v>2088</v>
      </c>
      <c r="B294" s="2">
        <v>46139</v>
      </c>
      <c r="C294" s="1" t="s">
        <v>5</v>
      </c>
      <c r="D294" s="1">
        <f>IFERROR(VLOOKUP(FISCALIZAÇÃO[[#This Row],[ID]],FISC_ACUM!A:A,1,0),"NOVO")</f>
        <v>2088</v>
      </c>
    </row>
    <row r="295" spans="1:4" hidden="1" x14ac:dyDescent="0.35">
      <c r="A295" s="1">
        <v>2089</v>
      </c>
      <c r="B295" s="2">
        <v>46139</v>
      </c>
      <c r="C295" s="1" t="s">
        <v>5</v>
      </c>
      <c r="D295" s="1">
        <f>IFERROR(VLOOKUP(FISCALIZAÇÃO[[#This Row],[ID]],FISC_ACUM!A:A,1,0),"NOVO")</f>
        <v>2089</v>
      </c>
    </row>
    <row r="296" spans="1:4" hidden="1" x14ac:dyDescent="0.35">
      <c r="A296" s="1">
        <v>2090</v>
      </c>
      <c r="B296" s="2">
        <v>46139</v>
      </c>
      <c r="C296" s="1" t="s">
        <v>5</v>
      </c>
      <c r="D296" s="1">
        <f>IFERROR(VLOOKUP(FISCALIZAÇÃO[[#This Row],[ID]],FISC_ACUM!A:A,1,0),"NOVO")</f>
        <v>2090</v>
      </c>
    </row>
    <row r="297" spans="1:4" hidden="1" x14ac:dyDescent="0.35">
      <c r="A297" s="1">
        <v>2091</v>
      </c>
      <c r="B297" s="2">
        <v>46139</v>
      </c>
      <c r="C297" s="1" t="s">
        <v>33</v>
      </c>
      <c r="D297" s="1">
        <f>IFERROR(VLOOKUP(FISCALIZAÇÃO[[#This Row],[ID]],FISC_ACUM!A:A,1,0),"NOVO")</f>
        <v>2091</v>
      </c>
    </row>
    <row r="298" spans="1:4" hidden="1" x14ac:dyDescent="0.35">
      <c r="A298" s="1">
        <v>2092</v>
      </c>
      <c r="B298" s="2">
        <v>46139</v>
      </c>
      <c r="C298" s="1" t="s">
        <v>33</v>
      </c>
      <c r="D298" s="1">
        <f>IFERROR(VLOOKUP(FISCALIZAÇÃO[[#This Row],[ID]],FISC_ACUM!A:A,1,0),"NOVO")</f>
        <v>2092</v>
      </c>
    </row>
    <row r="299" spans="1:4" hidden="1" x14ac:dyDescent="0.35">
      <c r="A299" s="1">
        <v>2093</v>
      </c>
      <c r="B299" s="2">
        <v>46139</v>
      </c>
      <c r="C299" s="1" t="s">
        <v>21</v>
      </c>
      <c r="D299" s="1">
        <f>IFERROR(VLOOKUP(FISCALIZAÇÃO[[#This Row],[ID]],FISC_ACUM!A:A,1,0),"NOVO")</f>
        <v>2093</v>
      </c>
    </row>
    <row r="300" spans="1:4" hidden="1" x14ac:dyDescent="0.35">
      <c r="A300" s="1">
        <v>2095</v>
      </c>
      <c r="B300" s="2">
        <v>46139</v>
      </c>
      <c r="C300" s="1" t="s">
        <v>28</v>
      </c>
      <c r="D300" s="1">
        <f>IFERROR(VLOOKUP(FISCALIZAÇÃO[[#This Row],[ID]],FISC_ACUM!A:A,1,0),"NOVO")</f>
        <v>2095</v>
      </c>
    </row>
    <row r="301" spans="1:4" hidden="1" x14ac:dyDescent="0.35">
      <c r="A301" s="1">
        <v>2096</v>
      </c>
      <c r="B301" s="2">
        <v>46139</v>
      </c>
      <c r="C301" s="1" t="s">
        <v>5</v>
      </c>
      <c r="D301" s="1">
        <f>IFERROR(VLOOKUP(FISCALIZAÇÃO[[#This Row],[ID]],FISC_ACUM!A:A,1,0),"NOVO")</f>
        <v>2096</v>
      </c>
    </row>
    <row r="302" spans="1:4" hidden="1" x14ac:dyDescent="0.35">
      <c r="A302" s="1">
        <v>2097</v>
      </c>
      <c r="B302" s="2">
        <v>46139</v>
      </c>
      <c r="C302" s="1" t="s">
        <v>5</v>
      </c>
      <c r="D302" s="1">
        <f>IFERROR(VLOOKUP(FISCALIZAÇÃO[[#This Row],[ID]],FISC_ACUM!A:A,1,0),"NOVO")</f>
        <v>2097</v>
      </c>
    </row>
    <row r="303" spans="1:4" hidden="1" x14ac:dyDescent="0.35">
      <c r="A303" s="1">
        <v>2098</v>
      </c>
      <c r="B303" s="2">
        <v>46139</v>
      </c>
      <c r="C303" s="1" t="s">
        <v>21</v>
      </c>
      <c r="D303" s="1">
        <f>IFERROR(VLOOKUP(FISCALIZAÇÃO[[#This Row],[ID]],FISC_ACUM!A:A,1,0),"NOVO")</f>
        <v>2098</v>
      </c>
    </row>
    <row r="304" spans="1:4" hidden="1" x14ac:dyDescent="0.35">
      <c r="A304" s="1">
        <v>2099</v>
      </c>
      <c r="B304" s="2">
        <v>46139</v>
      </c>
      <c r="C304" s="1" t="s">
        <v>21</v>
      </c>
      <c r="D304" s="1">
        <f>IFERROR(VLOOKUP(FISCALIZAÇÃO[[#This Row],[ID]],FISC_ACUM!A:A,1,0),"NOVO")</f>
        <v>2099</v>
      </c>
    </row>
    <row r="305" spans="1:4" hidden="1" x14ac:dyDescent="0.35">
      <c r="A305" s="1">
        <v>2100</v>
      </c>
      <c r="B305" s="2">
        <v>46139</v>
      </c>
      <c r="C305" s="1" t="s">
        <v>21</v>
      </c>
      <c r="D305" s="1">
        <f>IFERROR(VLOOKUP(FISCALIZAÇÃO[[#This Row],[ID]],FISC_ACUM!A:A,1,0),"NOVO")</f>
        <v>2100</v>
      </c>
    </row>
    <row r="306" spans="1:4" hidden="1" x14ac:dyDescent="0.35">
      <c r="A306" s="1">
        <v>2101</v>
      </c>
      <c r="B306" s="2">
        <v>46139</v>
      </c>
      <c r="C306" s="1" t="s">
        <v>21</v>
      </c>
      <c r="D306" s="1">
        <f>IFERROR(VLOOKUP(FISCALIZAÇÃO[[#This Row],[ID]],FISC_ACUM!A:A,1,0),"NOVO")</f>
        <v>2101</v>
      </c>
    </row>
    <row r="307" spans="1:4" hidden="1" x14ac:dyDescent="0.35">
      <c r="A307" s="1">
        <v>2107</v>
      </c>
      <c r="B307" s="2">
        <v>46140</v>
      </c>
      <c r="C307" s="1" t="s">
        <v>33</v>
      </c>
      <c r="D307" s="1">
        <f>IFERROR(VLOOKUP(FISCALIZAÇÃO[[#This Row],[ID]],FISC_ACUM!A:A,1,0),"NOVO")</f>
        <v>2107</v>
      </c>
    </row>
    <row r="308" spans="1:4" hidden="1" x14ac:dyDescent="0.35">
      <c r="A308" s="1">
        <v>2108</v>
      </c>
      <c r="B308" s="2">
        <v>46140</v>
      </c>
      <c r="C308" s="1" t="s">
        <v>24</v>
      </c>
      <c r="D308" s="1">
        <f>IFERROR(VLOOKUP(FISCALIZAÇÃO[[#This Row],[ID]],FISC_ACUM!A:A,1,0),"NOVO")</f>
        <v>2108</v>
      </c>
    </row>
    <row r="309" spans="1:4" hidden="1" x14ac:dyDescent="0.35">
      <c r="A309" s="1">
        <v>2109</v>
      </c>
      <c r="B309" s="2">
        <v>46140</v>
      </c>
      <c r="C309" s="1" t="s">
        <v>24</v>
      </c>
      <c r="D309" s="1">
        <f>IFERROR(VLOOKUP(FISCALIZAÇÃO[[#This Row],[ID]],FISC_ACUM!A:A,1,0),"NOVO")</f>
        <v>2109</v>
      </c>
    </row>
    <row r="310" spans="1:4" hidden="1" x14ac:dyDescent="0.35">
      <c r="A310" s="1">
        <v>2125</v>
      </c>
      <c r="B310" s="2">
        <v>46147</v>
      </c>
      <c r="C310" s="1" t="s">
        <v>9</v>
      </c>
      <c r="D310" s="1">
        <f>IFERROR(VLOOKUP(FISCALIZAÇÃO[[#This Row],[ID]],FISC_ACUM!A:A,1,0),"NOVO")</f>
        <v>2125</v>
      </c>
    </row>
    <row r="311" spans="1:4" hidden="1" x14ac:dyDescent="0.35">
      <c r="A311" s="1">
        <v>2126</v>
      </c>
      <c r="B311" s="2">
        <v>46147</v>
      </c>
      <c r="C311" s="1" t="s">
        <v>9</v>
      </c>
      <c r="D311" s="1">
        <f>IFERROR(VLOOKUP(FISCALIZAÇÃO[[#This Row],[ID]],FISC_ACUM!A:A,1,0),"NOVO")</f>
        <v>2126</v>
      </c>
    </row>
    <row r="312" spans="1:4" hidden="1" x14ac:dyDescent="0.35">
      <c r="A312" s="1">
        <v>2127</v>
      </c>
      <c r="B312" s="2">
        <v>46147</v>
      </c>
      <c r="C312" s="1" t="s">
        <v>9</v>
      </c>
      <c r="D312" s="1">
        <f>IFERROR(VLOOKUP(FISCALIZAÇÃO[[#This Row],[ID]],FISC_ACUM!A:A,1,0),"NOVO")</f>
        <v>2127</v>
      </c>
    </row>
    <row r="313" spans="1:4" hidden="1" x14ac:dyDescent="0.35">
      <c r="A313" s="1">
        <v>2128</v>
      </c>
      <c r="B313" s="2">
        <v>46147</v>
      </c>
      <c r="C313" s="1" t="s">
        <v>24</v>
      </c>
      <c r="D313" s="1">
        <f>IFERROR(VLOOKUP(FISCALIZAÇÃO[[#This Row],[ID]],FISC_ACUM!A:A,1,0),"NOVO")</f>
        <v>2128</v>
      </c>
    </row>
    <row r="314" spans="1:4" hidden="1" x14ac:dyDescent="0.35">
      <c r="A314" s="1">
        <v>2129</v>
      </c>
      <c r="B314" s="2">
        <v>46147</v>
      </c>
      <c r="C314" s="1" t="s">
        <v>9</v>
      </c>
      <c r="D314" s="1">
        <f>IFERROR(VLOOKUP(FISCALIZAÇÃO[[#This Row],[ID]],FISC_ACUM!A:A,1,0),"NOVO")</f>
        <v>2129</v>
      </c>
    </row>
    <row r="315" spans="1:4" hidden="1" x14ac:dyDescent="0.35">
      <c r="A315" s="1">
        <v>2130</v>
      </c>
      <c r="B315" s="2">
        <v>46147</v>
      </c>
      <c r="C315" s="1" t="s">
        <v>5</v>
      </c>
      <c r="D315" s="1">
        <f>IFERROR(VLOOKUP(FISCALIZAÇÃO[[#This Row],[ID]],FISC_ACUM!A:A,1,0),"NOVO")</f>
        <v>2130</v>
      </c>
    </row>
    <row r="316" spans="1:4" hidden="1" x14ac:dyDescent="0.35">
      <c r="A316" s="1">
        <v>2131</v>
      </c>
      <c r="B316" s="2">
        <v>46147</v>
      </c>
      <c r="C316" s="1" t="s">
        <v>5</v>
      </c>
      <c r="D316" s="1">
        <f>IFERROR(VLOOKUP(FISCALIZAÇÃO[[#This Row],[ID]],FISC_ACUM!A:A,1,0),"NOVO")</f>
        <v>2131</v>
      </c>
    </row>
    <row r="317" spans="1:4" hidden="1" x14ac:dyDescent="0.35">
      <c r="A317" s="1">
        <v>2132</v>
      </c>
      <c r="B317" s="2">
        <v>46147</v>
      </c>
      <c r="C317" s="1" t="s">
        <v>5</v>
      </c>
      <c r="D317" s="1">
        <f>IFERROR(VLOOKUP(FISCALIZAÇÃO[[#This Row],[ID]],FISC_ACUM!A:A,1,0),"NOVO")</f>
        <v>2132</v>
      </c>
    </row>
    <row r="318" spans="1:4" hidden="1" x14ac:dyDescent="0.35">
      <c r="A318" s="1">
        <v>2133</v>
      </c>
      <c r="B318" s="2">
        <v>46147</v>
      </c>
      <c r="C318" s="1" t="s">
        <v>5</v>
      </c>
      <c r="D318" s="1">
        <f>IFERROR(VLOOKUP(FISCALIZAÇÃO[[#This Row],[ID]],FISC_ACUM!A:A,1,0),"NOVO")</f>
        <v>2133</v>
      </c>
    </row>
    <row r="319" spans="1:4" hidden="1" x14ac:dyDescent="0.35">
      <c r="A319" s="1">
        <v>2134</v>
      </c>
      <c r="B319" s="2">
        <v>46147</v>
      </c>
      <c r="C319" s="1" t="s">
        <v>28</v>
      </c>
      <c r="D319" s="1">
        <f>IFERROR(VLOOKUP(FISCALIZAÇÃO[[#This Row],[ID]],FISC_ACUM!A:A,1,0),"NOVO")</f>
        <v>2134</v>
      </c>
    </row>
    <row r="320" spans="1:4" hidden="1" x14ac:dyDescent="0.35">
      <c r="A320" s="1">
        <v>2135</v>
      </c>
      <c r="B320" s="2">
        <v>46147</v>
      </c>
      <c r="C320" s="1" t="s">
        <v>5</v>
      </c>
      <c r="D320" s="1">
        <f>IFERROR(VLOOKUP(FISCALIZAÇÃO[[#This Row],[ID]],FISC_ACUM!A:A,1,0),"NOVO")</f>
        <v>2135</v>
      </c>
    </row>
    <row r="321" spans="1:4" hidden="1" x14ac:dyDescent="0.35">
      <c r="A321" s="1">
        <v>2136</v>
      </c>
      <c r="B321" s="2">
        <v>46147</v>
      </c>
      <c r="C321" s="1" t="s">
        <v>9</v>
      </c>
      <c r="D321" s="1">
        <f>IFERROR(VLOOKUP(FISCALIZAÇÃO[[#This Row],[ID]],FISC_ACUM!A:A,1,0),"NOVO")</f>
        <v>2136</v>
      </c>
    </row>
    <row r="322" spans="1:4" hidden="1" x14ac:dyDescent="0.35">
      <c r="A322" s="1">
        <v>2137</v>
      </c>
      <c r="B322" s="2">
        <v>46147</v>
      </c>
      <c r="C322" s="1" t="s">
        <v>33</v>
      </c>
      <c r="D322" s="1">
        <f>IFERROR(VLOOKUP(FISCALIZAÇÃO[[#This Row],[ID]],FISC_ACUM!A:A,1,0),"NOVO")</f>
        <v>2137</v>
      </c>
    </row>
    <row r="323" spans="1:4" hidden="1" x14ac:dyDescent="0.35">
      <c r="A323" s="1">
        <v>2138</v>
      </c>
      <c r="B323" s="2">
        <v>46147</v>
      </c>
      <c r="C323" s="1" t="s">
        <v>9</v>
      </c>
      <c r="D323" s="1">
        <f>IFERROR(VLOOKUP(FISCALIZAÇÃO[[#This Row],[ID]],FISC_ACUM!A:A,1,0),"NOVO")</f>
        <v>2138</v>
      </c>
    </row>
    <row r="324" spans="1:4" hidden="1" x14ac:dyDescent="0.35">
      <c r="A324" s="1">
        <v>2139</v>
      </c>
      <c r="B324" s="2">
        <v>46147</v>
      </c>
      <c r="C324" s="1" t="s">
        <v>33</v>
      </c>
      <c r="D324" s="1">
        <f>IFERROR(VLOOKUP(FISCALIZAÇÃO[[#This Row],[ID]],FISC_ACUM!A:A,1,0),"NOVO")</f>
        <v>2139</v>
      </c>
    </row>
    <row r="325" spans="1:4" hidden="1" x14ac:dyDescent="0.35">
      <c r="A325" s="1">
        <v>2140</v>
      </c>
      <c r="B325" s="2">
        <v>46147</v>
      </c>
      <c r="C325" s="1" t="s">
        <v>24</v>
      </c>
      <c r="D325" s="1">
        <f>IFERROR(VLOOKUP(FISCALIZAÇÃO[[#This Row],[ID]],FISC_ACUM!A:A,1,0),"NOVO")</f>
        <v>2140</v>
      </c>
    </row>
    <row r="326" spans="1:4" hidden="1" x14ac:dyDescent="0.35">
      <c r="A326" s="1">
        <v>2141</v>
      </c>
      <c r="B326" s="2">
        <v>46147</v>
      </c>
      <c r="C326" s="1" t="s">
        <v>24</v>
      </c>
      <c r="D326" s="1">
        <f>IFERROR(VLOOKUP(FISCALIZAÇÃO[[#This Row],[ID]],FISC_ACUM!A:A,1,0),"NOVO")</f>
        <v>2141</v>
      </c>
    </row>
    <row r="327" spans="1:4" hidden="1" x14ac:dyDescent="0.35">
      <c r="A327" s="1">
        <v>2142</v>
      </c>
      <c r="B327" s="2">
        <v>46147</v>
      </c>
      <c r="C327" s="1" t="s">
        <v>28</v>
      </c>
      <c r="D327" s="1">
        <f>IFERROR(VLOOKUP(FISCALIZAÇÃO[[#This Row],[ID]],FISC_ACUM!A:A,1,0),"NOVO")</f>
        <v>2142</v>
      </c>
    </row>
    <row r="328" spans="1:4" hidden="1" x14ac:dyDescent="0.35">
      <c r="A328" s="1">
        <v>2143</v>
      </c>
      <c r="B328" s="2">
        <v>46147</v>
      </c>
      <c r="C328" s="1" t="s">
        <v>33</v>
      </c>
      <c r="D328" s="1">
        <f>IFERROR(VLOOKUP(FISCALIZAÇÃO[[#This Row],[ID]],FISC_ACUM!A:A,1,0),"NOVO")</f>
        <v>2143</v>
      </c>
    </row>
    <row r="329" spans="1:4" hidden="1" x14ac:dyDescent="0.35">
      <c r="A329" s="1">
        <v>2144</v>
      </c>
      <c r="B329" s="2">
        <v>46147</v>
      </c>
      <c r="C329" s="1" t="s">
        <v>24</v>
      </c>
      <c r="D329" s="1">
        <f>IFERROR(VLOOKUP(FISCALIZAÇÃO[[#This Row],[ID]],FISC_ACUM!A:A,1,0),"NOVO")</f>
        <v>2144</v>
      </c>
    </row>
    <row r="330" spans="1:4" hidden="1" x14ac:dyDescent="0.35">
      <c r="A330" s="1">
        <v>2145</v>
      </c>
      <c r="B330" s="2">
        <v>46147</v>
      </c>
      <c r="C330" s="1" t="s">
        <v>24</v>
      </c>
      <c r="D330" s="1">
        <f>IFERROR(VLOOKUP(FISCALIZAÇÃO[[#This Row],[ID]],FISC_ACUM!A:A,1,0),"NOVO")</f>
        <v>2145</v>
      </c>
    </row>
    <row r="331" spans="1:4" hidden="1" x14ac:dyDescent="0.35">
      <c r="A331" s="1">
        <v>2146</v>
      </c>
      <c r="B331" s="2">
        <v>46147</v>
      </c>
      <c r="C331" s="1" t="s">
        <v>24</v>
      </c>
      <c r="D331" s="1">
        <f>IFERROR(VLOOKUP(FISCALIZAÇÃO[[#This Row],[ID]],FISC_ACUM!A:A,1,0),"NOVO")</f>
        <v>2146</v>
      </c>
    </row>
    <row r="332" spans="1:4" hidden="1" x14ac:dyDescent="0.35">
      <c r="A332" s="1">
        <v>2147</v>
      </c>
      <c r="B332" s="2">
        <v>46147</v>
      </c>
      <c r="C332" s="1" t="s">
        <v>24</v>
      </c>
      <c r="D332" s="1">
        <f>IFERROR(VLOOKUP(FISCALIZAÇÃO[[#This Row],[ID]],FISC_ACUM!A:A,1,0),"NOVO")</f>
        <v>2147</v>
      </c>
    </row>
    <row r="333" spans="1:4" hidden="1" x14ac:dyDescent="0.35">
      <c r="A333" s="1">
        <v>2148</v>
      </c>
      <c r="B333" s="2">
        <v>46147</v>
      </c>
      <c r="C333" s="1" t="s">
        <v>24</v>
      </c>
      <c r="D333" s="1">
        <f>IFERROR(VLOOKUP(FISCALIZAÇÃO[[#This Row],[ID]],FISC_ACUM!A:A,1,0),"NOVO")</f>
        <v>2148</v>
      </c>
    </row>
    <row r="334" spans="1:4" hidden="1" x14ac:dyDescent="0.35">
      <c r="A334" s="1">
        <v>2149</v>
      </c>
      <c r="B334" s="2">
        <v>46147</v>
      </c>
      <c r="C334" s="1" t="s">
        <v>24</v>
      </c>
      <c r="D334" s="1">
        <f>IFERROR(VLOOKUP(FISCALIZAÇÃO[[#This Row],[ID]],FISC_ACUM!A:A,1,0),"NOVO")</f>
        <v>2149</v>
      </c>
    </row>
    <row r="335" spans="1:4" hidden="1" x14ac:dyDescent="0.35">
      <c r="A335" s="1">
        <v>2150</v>
      </c>
      <c r="B335" s="2">
        <v>46147</v>
      </c>
      <c r="C335" s="1" t="s">
        <v>24</v>
      </c>
      <c r="D335" s="1">
        <f>IFERROR(VLOOKUP(FISCALIZAÇÃO[[#This Row],[ID]],FISC_ACUM!A:A,1,0),"NOVO")</f>
        <v>2150</v>
      </c>
    </row>
    <row r="336" spans="1:4" hidden="1" x14ac:dyDescent="0.35">
      <c r="A336" s="1">
        <v>2151</v>
      </c>
      <c r="B336" s="2">
        <v>46147</v>
      </c>
      <c r="C336" s="1" t="s">
        <v>24</v>
      </c>
      <c r="D336" s="1">
        <f>IFERROR(VLOOKUP(FISCALIZAÇÃO[[#This Row],[ID]],FISC_ACUM!A:A,1,0),"NOVO")</f>
        <v>2151</v>
      </c>
    </row>
    <row r="337" spans="1:4" hidden="1" x14ac:dyDescent="0.35">
      <c r="A337" s="1">
        <v>2152</v>
      </c>
      <c r="B337" s="2">
        <v>46147</v>
      </c>
      <c r="C337" s="1" t="s">
        <v>9</v>
      </c>
      <c r="D337" s="1">
        <f>IFERROR(VLOOKUP(FISCALIZAÇÃO[[#This Row],[ID]],FISC_ACUM!A:A,1,0),"NOVO")</f>
        <v>2152</v>
      </c>
    </row>
    <row r="338" spans="1:4" hidden="1" x14ac:dyDescent="0.35">
      <c r="A338" s="1">
        <v>2154</v>
      </c>
      <c r="B338" s="2">
        <v>46148</v>
      </c>
      <c r="C338" s="1" t="s">
        <v>24</v>
      </c>
      <c r="D338" s="1">
        <f>IFERROR(VLOOKUP(FISCALIZAÇÃO[[#This Row],[ID]],FISC_ACUM!A:A,1,0),"NOVO")</f>
        <v>2154</v>
      </c>
    </row>
    <row r="339" spans="1:4" hidden="1" x14ac:dyDescent="0.35">
      <c r="A339" s="1">
        <v>2155</v>
      </c>
      <c r="B339" s="2">
        <v>46148</v>
      </c>
      <c r="C339" s="1" t="s">
        <v>28</v>
      </c>
      <c r="D339" s="1">
        <f>IFERROR(VLOOKUP(FISCALIZAÇÃO[[#This Row],[ID]],FISC_ACUM!A:A,1,0),"NOVO")</f>
        <v>2155</v>
      </c>
    </row>
    <row r="340" spans="1:4" hidden="1" x14ac:dyDescent="0.35">
      <c r="A340" s="1">
        <v>2156</v>
      </c>
      <c r="B340" s="2">
        <v>46148</v>
      </c>
      <c r="C340" s="1" t="s">
        <v>5</v>
      </c>
      <c r="D340" s="1">
        <f>IFERROR(VLOOKUP(FISCALIZAÇÃO[[#This Row],[ID]],FISC_ACUM!A:A,1,0),"NOVO")</f>
        <v>2156</v>
      </c>
    </row>
    <row r="341" spans="1:4" hidden="1" x14ac:dyDescent="0.35">
      <c r="A341" s="1">
        <v>2157</v>
      </c>
      <c r="B341" s="2">
        <v>46148</v>
      </c>
      <c r="C341" s="1" t="s">
        <v>24</v>
      </c>
      <c r="D341" s="1">
        <f>IFERROR(VLOOKUP(FISCALIZAÇÃO[[#This Row],[ID]],FISC_ACUM!A:A,1,0),"NOVO")</f>
        <v>2157</v>
      </c>
    </row>
    <row r="342" spans="1:4" hidden="1" x14ac:dyDescent="0.35">
      <c r="A342" s="1">
        <v>2158</v>
      </c>
      <c r="B342" s="2">
        <v>46148</v>
      </c>
      <c r="C342" s="1" t="s">
        <v>24</v>
      </c>
      <c r="D342" s="1">
        <f>IFERROR(VLOOKUP(FISCALIZAÇÃO[[#This Row],[ID]],FISC_ACUM!A:A,1,0),"NOVO")</f>
        <v>2158</v>
      </c>
    </row>
    <row r="343" spans="1:4" hidden="1" x14ac:dyDescent="0.35">
      <c r="A343" s="1">
        <v>2161</v>
      </c>
      <c r="B343" s="2">
        <v>46149</v>
      </c>
      <c r="C343" s="1" t="s">
        <v>9</v>
      </c>
      <c r="D343" s="1">
        <f>IFERROR(VLOOKUP(FISCALIZAÇÃO[[#This Row],[ID]],FISC_ACUM!A:A,1,0),"NOVO")</f>
        <v>2161</v>
      </c>
    </row>
    <row r="344" spans="1:4" hidden="1" x14ac:dyDescent="0.35">
      <c r="A344" s="1">
        <v>2162</v>
      </c>
      <c r="B344" s="2">
        <v>46149</v>
      </c>
      <c r="C344" s="1" t="s">
        <v>9</v>
      </c>
      <c r="D344" s="1">
        <f>IFERROR(VLOOKUP(FISCALIZAÇÃO[[#This Row],[ID]],FISC_ACUM!A:A,1,0),"NOVO")</f>
        <v>2162</v>
      </c>
    </row>
    <row r="345" spans="1:4" hidden="1" x14ac:dyDescent="0.35">
      <c r="A345" s="1">
        <v>2163</v>
      </c>
      <c r="B345" s="2">
        <v>46149</v>
      </c>
      <c r="C345" s="1" t="s">
        <v>9</v>
      </c>
      <c r="D345" s="1">
        <f>IFERROR(VLOOKUP(FISCALIZAÇÃO[[#This Row],[ID]],FISC_ACUM!A:A,1,0),"NOVO")</f>
        <v>2163</v>
      </c>
    </row>
    <row r="346" spans="1:4" hidden="1" x14ac:dyDescent="0.35">
      <c r="A346" s="1">
        <v>2164</v>
      </c>
      <c r="B346" s="2">
        <v>46149</v>
      </c>
      <c r="C346" s="1" t="s">
        <v>9</v>
      </c>
      <c r="D346" s="1">
        <f>IFERROR(VLOOKUP(FISCALIZAÇÃO[[#This Row],[ID]],FISC_ACUM!A:A,1,0),"NOVO")</f>
        <v>2164</v>
      </c>
    </row>
    <row r="347" spans="1:4" hidden="1" x14ac:dyDescent="0.35">
      <c r="A347" s="1">
        <v>2165</v>
      </c>
      <c r="B347" s="2">
        <v>46149</v>
      </c>
      <c r="C347" s="1" t="s">
        <v>9</v>
      </c>
      <c r="D347" s="1">
        <f>IFERROR(VLOOKUP(FISCALIZAÇÃO[[#This Row],[ID]],FISC_ACUM!A:A,1,0),"NOVO")</f>
        <v>2165</v>
      </c>
    </row>
    <row r="348" spans="1:4" hidden="1" x14ac:dyDescent="0.35">
      <c r="A348" s="1">
        <v>2166</v>
      </c>
      <c r="B348" s="2">
        <v>46149</v>
      </c>
      <c r="C348" s="1" t="s">
        <v>5</v>
      </c>
      <c r="D348" s="1">
        <f>IFERROR(VLOOKUP(FISCALIZAÇÃO[[#This Row],[ID]],FISC_ACUM!A:A,1,0),"NOVO")</f>
        <v>2166</v>
      </c>
    </row>
    <row r="349" spans="1:4" hidden="1" x14ac:dyDescent="0.35">
      <c r="A349" s="1">
        <v>2167</v>
      </c>
      <c r="B349" s="2">
        <v>46149</v>
      </c>
      <c r="C349" s="1" t="s">
        <v>5</v>
      </c>
      <c r="D349" s="1">
        <f>IFERROR(VLOOKUP(FISCALIZAÇÃO[[#This Row],[ID]],FISC_ACUM!A:A,1,0),"NOVO")</f>
        <v>2167</v>
      </c>
    </row>
    <row r="350" spans="1:4" hidden="1" x14ac:dyDescent="0.35">
      <c r="A350" s="1">
        <v>2168</v>
      </c>
      <c r="B350" s="2">
        <v>46150</v>
      </c>
      <c r="C350" s="1" t="s">
        <v>33</v>
      </c>
      <c r="D350" s="1">
        <f>IFERROR(VLOOKUP(FISCALIZAÇÃO[[#This Row],[ID]],FISC_ACUM!A:A,1,0),"NOVO")</f>
        <v>2168</v>
      </c>
    </row>
    <row r="351" spans="1:4" hidden="1" x14ac:dyDescent="0.35">
      <c r="A351" s="1">
        <v>2169</v>
      </c>
      <c r="B351" s="2">
        <v>46150</v>
      </c>
      <c r="C351" s="1" t="s">
        <v>33</v>
      </c>
      <c r="D351" s="1">
        <f>IFERROR(VLOOKUP(FISCALIZAÇÃO[[#This Row],[ID]],FISC_ACUM!A:A,1,0),"NOVO")</f>
        <v>2169</v>
      </c>
    </row>
    <row r="352" spans="1:4" hidden="1" x14ac:dyDescent="0.35">
      <c r="A352" s="1">
        <v>2170</v>
      </c>
      <c r="B352" s="2">
        <v>46150</v>
      </c>
      <c r="C352" s="1" t="s">
        <v>9</v>
      </c>
      <c r="D352" s="1">
        <f>IFERROR(VLOOKUP(FISCALIZAÇÃO[[#This Row],[ID]],FISC_ACUM!A:A,1,0),"NOVO")</f>
        <v>2170</v>
      </c>
    </row>
    <row r="353" spans="1:4" hidden="1" x14ac:dyDescent="0.35">
      <c r="A353" s="1">
        <v>2171</v>
      </c>
      <c r="B353" s="2">
        <v>46150</v>
      </c>
      <c r="C353" s="1" t="s">
        <v>9</v>
      </c>
      <c r="D353" s="1">
        <f>IFERROR(VLOOKUP(FISCALIZAÇÃO[[#This Row],[ID]],FISC_ACUM!A:A,1,0),"NOVO")</f>
        <v>2171</v>
      </c>
    </row>
    <row r="354" spans="1:4" hidden="1" x14ac:dyDescent="0.35">
      <c r="A354" s="1">
        <v>2172</v>
      </c>
      <c r="B354" s="2">
        <v>46150</v>
      </c>
      <c r="C354" s="1" t="s">
        <v>28</v>
      </c>
      <c r="D354" s="1">
        <f>IFERROR(VLOOKUP(FISCALIZAÇÃO[[#This Row],[ID]],FISC_ACUM!A:A,1,0),"NOVO")</f>
        <v>2172</v>
      </c>
    </row>
    <row r="355" spans="1:4" hidden="1" x14ac:dyDescent="0.35">
      <c r="A355" s="1">
        <v>2197</v>
      </c>
      <c r="B355" s="2">
        <v>46156</v>
      </c>
      <c r="C355" s="1" t="s">
        <v>32</v>
      </c>
      <c r="D355" s="1">
        <f>IFERROR(VLOOKUP(FISCALIZAÇÃO[[#This Row],[ID]],FISC_ACUM!A:A,1,0),"NOVO")</f>
        <v>2197</v>
      </c>
    </row>
    <row r="356" spans="1:4" hidden="1" x14ac:dyDescent="0.35">
      <c r="A356" s="1">
        <v>2199</v>
      </c>
      <c r="B356" s="2">
        <v>46157</v>
      </c>
      <c r="C356" s="1" t="s">
        <v>24</v>
      </c>
      <c r="D356" s="1">
        <f>IFERROR(VLOOKUP(FISCALIZAÇÃO[[#This Row],[ID]],FISC_ACUM!A:A,1,0),"NOVO")</f>
        <v>2199</v>
      </c>
    </row>
    <row r="357" spans="1:4" hidden="1" x14ac:dyDescent="0.35">
      <c r="A357" s="1">
        <v>2208</v>
      </c>
      <c r="B357" s="2">
        <v>46160</v>
      </c>
      <c r="C357" s="1" t="s">
        <v>28</v>
      </c>
      <c r="D357" s="1">
        <f>IFERROR(VLOOKUP(FISCALIZAÇÃO[[#This Row],[ID]],FISC_ACUM!A:A,1,0),"NOVO")</f>
        <v>2208</v>
      </c>
    </row>
    <row r="358" spans="1:4" hidden="1" x14ac:dyDescent="0.35">
      <c r="A358" s="1">
        <v>2209</v>
      </c>
      <c r="B358" s="2">
        <v>46160</v>
      </c>
      <c r="C358" s="1" t="s">
        <v>28</v>
      </c>
      <c r="D358" s="1">
        <f>IFERROR(VLOOKUP(FISCALIZAÇÃO[[#This Row],[ID]],FISC_ACUM!A:A,1,0),"NOVO")</f>
        <v>2209</v>
      </c>
    </row>
    <row r="359" spans="1:4" hidden="1" x14ac:dyDescent="0.35">
      <c r="A359" s="1">
        <v>2210</v>
      </c>
      <c r="B359" s="2">
        <v>46160</v>
      </c>
      <c r="C359" s="1" t="s">
        <v>28</v>
      </c>
      <c r="D359" s="1">
        <f>IFERROR(VLOOKUP(FISCALIZAÇÃO[[#This Row],[ID]],FISC_ACUM!A:A,1,0),"NOVO")</f>
        <v>2210</v>
      </c>
    </row>
    <row r="360" spans="1:4" hidden="1" x14ac:dyDescent="0.35">
      <c r="A360" s="1">
        <v>2211</v>
      </c>
      <c r="B360" s="2">
        <v>46160</v>
      </c>
      <c r="C360" s="1" t="s">
        <v>28</v>
      </c>
      <c r="D360" s="1">
        <f>IFERROR(VLOOKUP(FISCALIZAÇÃO[[#This Row],[ID]],FISC_ACUM!A:A,1,0),"NOVO")</f>
        <v>2211</v>
      </c>
    </row>
    <row r="361" spans="1:4" hidden="1" x14ac:dyDescent="0.35">
      <c r="A361" s="1">
        <v>2219</v>
      </c>
      <c r="B361" s="2">
        <v>46161</v>
      </c>
      <c r="C361" s="1" t="s">
        <v>9</v>
      </c>
      <c r="D361" s="1">
        <f>IFERROR(VLOOKUP(FISCALIZAÇÃO[[#This Row],[ID]],FISC_ACUM!A:A,1,0),"NOVO")</f>
        <v>2219</v>
      </c>
    </row>
    <row r="362" spans="1:4" hidden="1" x14ac:dyDescent="0.35">
      <c r="A362" s="1">
        <v>2220</v>
      </c>
      <c r="B362" s="2">
        <v>46161</v>
      </c>
      <c r="C362" s="1" t="s">
        <v>24</v>
      </c>
      <c r="D362" s="1">
        <f>IFERROR(VLOOKUP(FISCALIZAÇÃO[[#This Row],[ID]],FISC_ACUM!A:A,1,0),"NOVO")</f>
        <v>2220</v>
      </c>
    </row>
    <row r="363" spans="1:4" hidden="1" x14ac:dyDescent="0.35">
      <c r="A363" s="1">
        <v>2221</v>
      </c>
      <c r="B363" s="2">
        <v>46161</v>
      </c>
      <c r="C363" s="1" t="s">
        <v>24</v>
      </c>
      <c r="D363" s="1">
        <f>IFERROR(VLOOKUP(FISCALIZAÇÃO[[#This Row],[ID]],FISC_ACUM!A:A,1,0),"NOVO")</f>
        <v>2221</v>
      </c>
    </row>
    <row r="364" spans="1:4" hidden="1" x14ac:dyDescent="0.35">
      <c r="A364" s="1">
        <v>2223</v>
      </c>
      <c r="B364" s="2">
        <v>46162</v>
      </c>
      <c r="C364" s="1" t="s">
        <v>9</v>
      </c>
      <c r="D364" s="1">
        <f>IFERROR(VLOOKUP(FISCALIZAÇÃO[[#This Row],[ID]],FISC_ACUM!A:A,1,0),"NOVO")</f>
        <v>2223</v>
      </c>
    </row>
    <row r="365" spans="1:4" hidden="1" x14ac:dyDescent="0.35">
      <c r="A365" s="1">
        <v>2224</v>
      </c>
      <c r="B365" s="2">
        <v>46162</v>
      </c>
      <c r="C365" s="1" t="s">
        <v>24</v>
      </c>
      <c r="D365" s="1">
        <f>IFERROR(VLOOKUP(FISCALIZAÇÃO[[#This Row],[ID]],FISC_ACUM!A:A,1,0),"NOVO")</f>
        <v>2224</v>
      </c>
    </row>
    <row r="366" spans="1:4" hidden="1" x14ac:dyDescent="0.35">
      <c r="A366" s="1">
        <v>2225</v>
      </c>
      <c r="B366" s="2">
        <v>46162</v>
      </c>
      <c r="C366" s="1" t="s">
        <v>24</v>
      </c>
      <c r="D366" s="1">
        <f>IFERROR(VLOOKUP(FISCALIZAÇÃO[[#This Row],[ID]],FISC_ACUM!A:A,1,0),"NOVO")</f>
        <v>2225</v>
      </c>
    </row>
    <row r="367" spans="1:4" hidden="1" x14ac:dyDescent="0.35">
      <c r="A367" s="1">
        <v>2226</v>
      </c>
      <c r="B367" s="2">
        <v>46162</v>
      </c>
      <c r="C367" s="1" t="s">
        <v>24</v>
      </c>
      <c r="D367" s="1">
        <f>IFERROR(VLOOKUP(FISCALIZAÇÃO[[#This Row],[ID]],FISC_ACUM!A:A,1,0),"NOVO")</f>
        <v>2226</v>
      </c>
    </row>
    <row r="368" spans="1:4" hidden="1" x14ac:dyDescent="0.35">
      <c r="A368" s="1">
        <v>2227</v>
      </c>
      <c r="B368" s="2">
        <v>46162</v>
      </c>
      <c r="C368" s="1" t="s">
        <v>24</v>
      </c>
      <c r="D368" s="1">
        <f>IFERROR(VLOOKUP(FISCALIZAÇÃO[[#This Row],[ID]],FISC_ACUM!A:A,1,0),"NOVO")</f>
        <v>2227</v>
      </c>
    </row>
    <row r="369" spans="1:4" hidden="1" x14ac:dyDescent="0.35">
      <c r="A369" s="1">
        <v>2228</v>
      </c>
      <c r="B369" s="2">
        <v>46162</v>
      </c>
      <c r="C369" s="1" t="s">
        <v>24</v>
      </c>
      <c r="D369" s="1">
        <f>IFERROR(VLOOKUP(FISCALIZAÇÃO[[#This Row],[ID]],FISC_ACUM!A:A,1,0),"NOVO")</f>
        <v>2228</v>
      </c>
    </row>
    <row r="370" spans="1:4" hidden="1" x14ac:dyDescent="0.35">
      <c r="A370" s="1">
        <v>2229</v>
      </c>
      <c r="B370" s="2">
        <v>46162</v>
      </c>
      <c r="C370" s="1" t="s">
        <v>24</v>
      </c>
      <c r="D370" s="1">
        <f>IFERROR(VLOOKUP(FISCALIZAÇÃO[[#This Row],[ID]],FISC_ACUM!A:A,1,0),"NOVO")</f>
        <v>2229</v>
      </c>
    </row>
    <row r="371" spans="1:4" hidden="1" x14ac:dyDescent="0.35">
      <c r="A371" s="1">
        <v>2230</v>
      </c>
      <c r="B371" s="2">
        <v>46162</v>
      </c>
      <c r="C371" s="1" t="s">
        <v>24</v>
      </c>
      <c r="D371" s="1">
        <f>IFERROR(VLOOKUP(FISCALIZAÇÃO[[#This Row],[ID]],FISC_ACUM!A:A,1,0),"NOVO")</f>
        <v>2230</v>
      </c>
    </row>
    <row r="372" spans="1:4" hidden="1" x14ac:dyDescent="0.35">
      <c r="A372" s="1">
        <v>2236</v>
      </c>
      <c r="B372" s="2">
        <v>46167</v>
      </c>
      <c r="C372" s="1" t="s">
        <v>9</v>
      </c>
      <c r="D372" s="1">
        <f>IFERROR(VLOOKUP(FISCALIZAÇÃO[[#This Row],[ID]],FISC_ACUM!A:A,1,0),"NOVO")</f>
        <v>2236</v>
      </c>
    </row>
    <row r="373" spans="1:4" hidden="1" x14ac:dyDescent="0.35">
      <c r="A373" s="1">
        <v>2237</v>
      </c>
      <c r="B373" s="2">
        <v>46167</v>
      </c>
      <c r="C373" s="1" t="s">
        <v>9</v>
      </c>
      <c r="D373" s="1">
        <f>IFERROR(VLOOKUP(FISCALIZAÇÃO[[#This Row],[ID]],FISC_ACUM!A:A,1,0),"NOVO")</f>
        <v>2237</v>
      </c>
    </row>
    <row r="374" spans="1:4" hidden="1" x14ac:dyDescent="0.35">
      <c r="A374" s="1">
        <v>2238</v>
      </c>
      <c r="B374" s="2">
        <v>46167</v>
      </c>
      <c r="C374" s="1" t="s">
        <v>9</v>
      </c>
      <c r="D374" s="1">
        <f>IFERROR(VLOOKUP(FISCALIZAÇÃO[[#This Row],[ID]],FISC_ACUM!A:A,1,0),"NOVO")</f>
        <v>2238</v>
      </c>
    </row>
    <row r="375" spans="1:4" hidden="1" x14ac:dyDescent="0.35">
      <c r="A375" s="1">
        <v>2239</v>
      </c>
      <c r="B375" s="2">
        <v>46167</v>
      </c>
      <c r="C375" s="1" t="s">
        <v>28</v>
      </c>
      <c r="D375" s="1">
        <f>IFERROR(VLOOKUP(FISCALIZAÇÃO[[#This Row],[ID]],FISC_ACUM!A:A,1,0),"NOVO")</f>
        <v>2239</v>
      </c>
    </row>
    <row r="376" spans="1:4" hidden="1" x14ac:dyDescent="0.35">
      <c r="A376" s="1">
        <v>2243</v>
      </c>
      <c r="B376" s="2">
        <v>46168</v>
      </c>
      <c r="C376" s="1" t="s">
        <v>28</v>
      </c>
      <c r="D376" s="1">
        <f>IFERROR(VLOOKUP(FISCALIZAÇÃO[[#This Row],[ID]],FISC_ACUM!A:A,1,0),"NOVO")</f>
        <v>2243</v>
      </c>
    </row>
    <row r="377" spans="1:4" hidden="1" x14ac:dyDescent="0.35">
      <c r="A377" s="1">
        <v>2245</v>
      </c>
      <c r="B377" s="2">
        <v>46170</v>
      </c>
      <c r="C377" s="1" t="s">
        <v>5</v>
      </c>
      <c r="D377" s="1">
        <f>IFERROR(VLOOKUP(FISCALIZAÇÃO[[#This Row],[ID]],FISC_ACUM!A:A,1,0),"NOVO")</f>
        <v>2245</v>
      </c>
    </row>
    <row r="378" spans="1:4" hidden="1" x14ac:dyDescent="0.35">
      <c r="A378" s="1">
        <v>2252</v>
      </c>
      <c r="B378" s="2">
        <v>46174</v>
      </c>
      <c r="C378" s="1" t="s">
        <v>24</v>
      </c>
      <c r="D378" s="1">
        <f>IFERROR(VLOOKUP(FISCALIZAÇÃO[[#This Row],[ID]],FISC_ACUM!A:A,1,0),"NOVO")</f>
        <v>2252</v>
      </c>
    </row>
    <row r="379" spans="1:4" hidden="1" x14ac:dyDescent="0.35">
      <c r="A379" s="1">
        <v>2253</v>
      </c>
      <c r="B379" s="2">
        <v>46174</v>
      </c>
      <c r="C379" s="1" t="s">
        <v>5</v>
      </c>
      <c r="D379" s="1">
        <f>IFERROR(VLOOKUP(FISCALIZAÇÃO[[#This Row],[ID]],FISC_ACUM!A:A,1,0),"NOVO")</f>
        <v>2253</v>
      </c>
    </row>
    <row r="380" spans="1:4" hidden="1" x14ac:dyDescent="0.35">
      <c r="A380" s="1">
        <v>2255</v>
      </c>
      <c r="B380" s="2">
        <v>46174</v>
      </c>
      <c r="C380" s="1" t="s">
        <v>21</v>
      </c>
      <c r="D380" s="1">
        <f>IFERROR(VLOOKUP(FISCALIZAÇÃO[[#This Row],[ID]],FISC_ACUM!A:A,1,0),"NOVO")</f>
        <v>2255</v>
      </c>
    </row>
    <row r="381" spans="1:4" hidden="1" x14ac:dyDescent="0.35">
      <c r="A381" s="1">
        <v>2256</v>
      </c>
      <c r="B381" s="2">
        <v>46174</v>
      </c>
      <c r="C381" s="1" t="s">
        <v>21</v>
      </c>
      <c r="D381" s="1">
        <f>IFERROR(VLOOKUP(FISCALIZAÇÃO[[#This Row],[ID]],FISC_ACUM!A:A,1,0),"NOVO")</f>
        <v>2256</v>
      </c>
    </row>
    <row r="382" spans="1:4" hidden="1" x14ac:dyDescent="0.35">
      <c r="A382" s="1">
        <v>2257</v>
      </c>
      <c r="B382" s="2">
        <v>46174</v>
      </c>
      <c r="C382" s="1" t="s">
        <v>21</v>
      </c>
      <c r="D382" s="1">
        <f>IFERROR(VLOOKUP(FISCALIZAÇÃO[[#This Row],[ID]],FISC_ACUM!A:A,1,0),"NOVO")</f>
        <v>2257</v>
      </c>
    </row>
    <row r="383" spans="1:4" hidden="1" x14ac:dyDescent="0.35">
      <c r="A383" s="1">
        <v>2259</v>
      </c>
      <c r="B383" s="2">
        <v>46175</v>
      </c>
      <c r="C383" s="1" t="s">
        <v>9</v>
      </c>
      <c r="D383" s="1">
        <f>IFERROR(VLOOKUP(FISCALIZAÇÃO[[#This Row],[ID]],FISC_ACUM!A:A,1,0),"NOVO")</f>
        <v>2259</v>
      </c>
    </row>
    <row r="384" spans="1:4" hidden="1" x14ac:dyDescent="0.35">
      <c r="A384" s="1">
        <v>2260</v>
      </c>
      <c r="B384" s="2">
        <v>46175</v>
      </c>
      <c r="C384" s="1" t="s">
        <v>21</v>
      </c>
      <c r="D384" s="1">
        <f>IFERROR(VLOOKUP(FISCALIZAÇÃO[[#This Row],[ID]],FISC_ACUM!A:A,1,0),"NOVO")</f>
        <v>2260</v>
      </c>
    </row>
    <row r="385" spans="1:4" hidden="1" x14ac:dyDescent="0.35">
      <c r="A385" s="1">
        <v>2270</v>
      </c>
      <c r="B385" s="2">
        <v>46181</v>
      </c>
      <c r="C385" s="1" t="s">
        <v>24</v>
      </c>
      <c r="D385" s="1">
        <f>IFERROR(VLOOKUP(FISCALIZAÇÃO[[#This Row],[ID]],FISC_ACUM!A:A,1,0),"NOVO")</f>
        <v>2270</v>
      </c>
    </row>
    <row r="386" spans="1:4" hidden="1" x14ac:dyDescent="0.35">
      <c r="A386" s="1">
        <v>2271</v>
      </c>
      <c r="B386" s="2">
        <v>46181</v>
      </c>
      <c r="C386" s="1" t="s">
        <v>24</v>
      </c>
      <c r="D386" s="1">
        <f>IFERROR(VLOOKUP(FISCALIZAÇÃO[[#This Row],[ID]],FISC_ACUM!A:A,1,0),"NOVO")</f>
        <v>2271</v>
      </c>
    </row>
    <row r="387" spans="1:4" hidden="1" x14ac:dyDescent="0.35">
      <c r="A387" s="1">
        <v>2282</v>
      </c>
      <c r="B387" s="2">
        <v>46183</v>
      </c>
      <c r="C387" s="1" t="s">
        <v>5</v>
      </c>
      <c r="D387" s="1">
        <f>IFERROR(VLOOKUP(FISCALIZAÇÃO[[#This Row],[ID]],FISC_ACUM!A:A,1,0),"NOVO")</f>
        <v>2282</v>
      </c>
    </row>
    <row r="388" spans="1:4" hidden="1" x14ac:dyDescent="0.35">
      <c r="A388" s="1">
        <v>2283</v>
      </c>
      <c r="B388" s="2">
        <v>46183</v>
      </c>
      <c r="C388" s="1" t="s">
        <v>21</v>
      </c>
      <c r="D388" s="1">
        <f>IFERROR(VLOOKUP(FISCALIZAÇÃO[[#This Row],[ID]],FISC_ACUM!A:A,1,0),"NOVO")</f>
        <v>2283</v>
      </c>
    </row>
    <row r="389" spans="1:4" hidden="1" x14ac:dyDescent="0.35">
      <c r="A389" s="1">
        <v>2288</v>
      </c>
      <c r="B389" s="2">
        <v>46188</v>
      </c>
      <c r="C389" s="1" t="s">
        <v>5</v>
      </c>
      <c r="D389" s="1">
        <f>IFERROR(VLOOKUP(FISCALIZAÇÃO[[#This Row],[ID]],FISC_ACUM!A:A,1,0),"NOVO")</f>
        <v>2288</v>
      </c>
    </row>
    <row r="390" spans="1:4" hidden="1" x14ac:dyDescent="0.35">
      <c r="A390" s="1">
        <v>2292</v>
      </c>
      <c r="B390" s="2">
        <v>46189</v>
      </c>
      <c r="C390" s="1" t="s">
        <v>3</v>
      </c>
      <c r="D390" s="1">
        <f>IFERROR(VLOOKUP(FISCALIZAÇÃO[[#This Row],[ID]],FISC_ACUM!A:A,1,0),"NOVO")</f>
        <v>2292</v>
      </c>
    </row>
    <row r="391" spans="1:4" hidden="1" x14ac:dyDescent="0.35">
      <c r="A391" s="1">
        <v>2293</v>
      </c>
      <c r="B391" s="2">
        <v>46189</v>
      </c>
      <c r="C391" s="1" t="s">
        <v>21</v>
      </c>
      <c r="D391" s="1">
        <f>IFERROR(VLOOKUP(FISCALIZAÇÃO[[#This Row],[ID]],FISC_ACUM!A:A,1,0),"NOVO")</f>
        <v>2293</v>
      </c>
    </row>
    <row r="392" spans="1:4" hidden="1" x14ac:dyDescent="0.35">
      <c r="A392" s="1">
        <v>2294</v>
      </c>
      <c r="B392" s="2">
        <v>46189</v>
      </c>
      <c r="C392" s="1" t="s">
        <v>21</v>
      </c>
      <c r="D392" s="1">
        <f>IFERROR(VLOOKUP(FISCALIZAÇÃO[[#This Row],[ID]],FISC_ACUM!A:A,1,0),"NOVO")</f>
        <v>2294</v>
      </c>
    </row>
    <row r="393" spans="1:4" hidden="1" x14ac:dyDescent="0.35">
      <c r="A393" s="1">
        <v>2295</v>
      </c>
      <c r="B393" s="2">
        <v>46189</v>
      </c>
      <c r="C393" s="1" t="s">
        <v>21</v>
      </c>
      <c r="D393" s="1">
        <f>IFERROR(VLOOKUP(FISCALIZAÇÃO[[#This Row],[ID]],FISC_ACUM!A:A,1,0),"NOVO")</f>
        <v>2295</v>
      </c>
    </row>
    <row r="394" spans="1:4" hidden="1" x14ac:dyDescent="0.35">
      <c r="A394" s="1">
        <v>2296</v>
      </c>
      <c r="B394" s="2">
        <v>46190</v>
      </c>
      <c r="C394" s="1" t="s">
        <v>21</v>
      </c>
      <c r="D394" s="1">
        <f>IFERROR(VLOOKUP(FISCALIZAÇÃO[[#This Row],[ID]],FISC_ACUM!A:A,1,0),"NOVO")</f>
        <v>2296</v>
      </c>
    </row>
    <row r="395" spans="1:4" hidden="1" x14ac:dyDescent="0.35">
      <c r="A395" s="1">
        <v>2301</v>
      </c>
      <c r="B395" s="2">
        <v>46191</v>
      </c>
      <c r="C395" s="1" t="s">
        <v>21</v>
      </c>
      <c r="D395" s="1">
        <f>IFERROR(VLOOKUP(FISCALIZAÇÃO[[#This Row],[ID]],FISC_ACUM!A:A,1,0),"NOVO")</f>
        <v>2301</v>
      </c>
    </row>
    <row r="396" spans="1:4" hidden="1" x14ac:dyDescent="0.35">
      <c r="A396" s="1">
        <v>2307</v>
      </c>
      <c r="B396" s="2">
        <v>46198</v>
      </c>
      <c r="C396" s="1" t="s">
        <v>5</v>
      </c>
      <c r="D396" s="1">
        <f>IFERROR(VLOOKUP(FISCALIZAÇÃO[[#This Row],[ID]],FISC_ACUM!A:A,1,0),"NOVO")</f>
        <v>2307</v>
      </c>
    </row>
    <row r="397" spans="1:4" hidden="1" x14ac:dyDescent="0.35">
      <c r="A397" s="1">
        <v>2306</v>
      </c>
      <c r="B397" s="2">
        <v>46198</v>
      </c>
      <c r="C397" s="1" t="s">
        <v>5</v>
      </c>
      <c r="D397" s="1">
        <f>IFERROR(VLOOKUP(FISCALIZAÇÃO[[#This Row],[ID]],FISC_ACUM!A:A,1,0),"NOVO")</f>
        <v>2306</v>
      </c>
    </row>
    <row r="398" spans="1:4" hidden="1" x14ac:dyDescent="0.35">
      <c r="A398" s="1">
        <v>2311</v>
      </c>
      <c r="B398" s="2">
        <v>46199</v>
      </c>
      <c r="C398" s="1" t="s">
        <v>5</v>
      </c>
      <c r="D398" s="1">
        <f>IFERROR(VLOOKUP(FISCALIZAÇÃO[[#This Row],[ID]],FISC_ACUM!A:A,1,0),"NOVO")</f>
        <v>2311</v>
      </c>
    </row>
    <row r="399" spans="1:4" hidden="1" x14ac:dyDescent="0.35">
      <c r="A399" s="1">
        <v>2310</v>
      </c>
      <c r="B399" s="2">
        <v>46199</v>
      </c>
      <c r="C399" s="1" t="s">
        <v>5</v>
      </c>
      <c r="D399" s="1">
        <f>IFERROR(VLOOKUP(FISCALIZAÇÃO[[#This Row],[ID]],FISC_ACUM!A:A,1,0),"NOVO")</f>
        <v>2310</v>
      </c>
    </row>
    <row r="400" spans="1:4" hidden="1" x14ac:dyDescent="0.35">
      <c r="A400" s="1">
        <v>2317</v>
      </c>
      <c r="B400" s="2">
        <v>46217</v>
      </c>
      <c r="C400" s="1" t="s">
        <v>3</v>
      </c>
      <c r="D400" s="1">
        <f>IFERROR(VLOOKUP(FISCALIZAÇÃO[[#This Row],[ID]],FISC_ACUM!A:A,1,0),"NOVO")</f>
        <v>2317</v>
      </c>
    </row>
    <row r="401" spans="1:4" hidden="1" x14ac:dyDescent="0.35">
      <c r="A401" s="1">
        <v>2318</v>
      </c>
      <c r="B401" s="2">
        <v>46217</v>
      </c>
      <c r="C401" s="1" t="s">
        <v>3</v>
      </c>
      <c r="D401" s="1">
        <f>IFERROR(VLOOKUP(FISCALIZAÇÃO[[#This Row],[ID]],FISC_ACUM!A:A,1,0),"NOVO")</f>
        <v>2318</v>
      </c>
    </row>
    <row r="402" spans="1:4" hidden="1" x14ac:dyDescent="0.35">
      <c r="A402" s="1">
        <v>2319</v>
      </c>
      <c r="B402" s="2">
        <v>46217</v>
      </c>
      <c r="C402" s="1" t="s">
        <v>3</v>
      </c>
      <c r="D402" s="1">
        <f>IFERROR(VLOOKUP(FISCALIZAÇÃO[[#This Row],[ID]],FISC_ACUM!A:A,1,0),"NOVO")</f>
        <v>2319</v>
      </c>
    </row>
    <row r="403" spans="1:4" hidden="1" x14ac:dyDescent="0.35">
      <c r="A403" s="1">
        <v>2327</v>
      </c>
      <c r="B403" s="2">
        <v>46225</v>
      </c>
      <c r="C403" s="1" t="s">
        <v>19</v>
      </c>
      <c r="D403" s="1">
        <f>IFERROR(VLOOKUP(FISCALIZAÇÃO[[#This Row],[ID]],FISC_ACUM!A:A,1,0),"NOVO")</f>
        <v>2327</v>
      </c>
    </row>
    <row r="404" spans="1:4" hidden="1" x14ac:dyDescent="0.35">
      <c r="A404" s="1">
        <v>2328</v>
      </c>
      <c r="B404" s="2">
        <v>46225</v>
      </c>
      <c r="C404" s="1" t="s">
        <v>9</v>
      </c>
      <c r="D404" s="1">
        <f>IFERROR(VLOOKUP(FISCALIZAÇÃO[[#This Row],[ID]],FISC_ACUM!A:A,1,0),"NOVO")</f>
        <v>2328</v>
      </c>
    </row>
    <row r="405" spans="1:4" hidden="1" x14ac:dyDescent="0.35">
      <c r="A405" s="1">
        <v>2329</v>
      </c>
      <c r="B405" s="2">
        <v>46225</v>
      </c>
      <c r="C405" s="1" t="s">
        <v>9</v>
      </c>
      <c r="D405" s="1">
        <f>IFERROR(VLOOKUP(FISCALIZAÇÃO[[#This Row],[ID]],FISC_ACUM!A:A,1,0),"NOVO")</f>
        <v>2329</v>
      </c>
    </row>
    <row r="406" spans="1:4" hidden="1" x14ac:dyDescent="0.35">
      <c r="A406" s="1">
        <v>2330</v>
      </c>
      <c r="B406" s="2">
        <v>46225</v>
      </c>
      <c r="C406" s="1" t="s">
        <v>19</v>
      </c>
      <c r="D406" s="1">
        <f>IFERROR(VLOOKUP(FISCALIZAÇÃO[[#This Row],[ID]],FISC_ACUM!A:A,1,0),"NOVO")</f>
        <v>2330</v>
      </c>
    </row>
    <row r="407" spans="1:4" hidden="1" x14ac:dyDescent="0.35">
      <c r="A407" s="1">
        <v>2331</v>
      </c>
      <c r="B407" s="2">
        <v>46225</v>
      </c>
      <c r="C407" s="1" t="s">
        <v>19</v>
      </c>
      <c r="D407" s="1">
        <f>IFERROR(VLOOKUP(FISCALIZAÇÃO[[#This Row],[ID]],FISC_ACUM!A:A,1,0),"NOVO")</f>
        <v>2331</v>
      </c>
    </row>
    <row r="408" spans="1:4" hidden="1" x14ac:dyDescent="0.35">
      <c r="A408" s="1">
        <v>2332</v>
      </c>
      <c r="B408" s="2">
        <v>46225</v>
      </c>
      <c r="C408" s="1" t="s">
        <v>19</v>
      </c>
      <c r="D408" s="1">
        <f>IFERROR(VLOOKUP(FISCALIZAÇÃO[[#This Row],[ID]],FISC_ACUM!A:A,1,0),"NOVO")</f>
        <v>2332</v>
      </c>
    </row>
    <row r="409" spans="1:4" hidden="1" x14ac:dyDescent="0.35">
      <c r="A409" s="1">
        <v>2333</v>
      </c>
      <c r="B409" s="2">
        <v>46225</v>
      </c>
      <c r="C409" s="1" t="s">
        <v>19</v>
      </c>
      <c r="D409" s="1">
        <f>IFERROR(VLOOKUP(FISCALIZAÇÃO[[#This Row],[ID]],FISC_ACUM!A:A,1,0),"NOVO")</f>
        <v>2333</v>
      </c>
    </row>
    <row r="410" spans="1:4" hidden="1" x14ac:dyDescent="0.35">
      <c r="A410" s="1">
        <v>2334</v>
      </c>
      <c r="B410" s="2">
        <v>46225</v>
      </c>
      <c r="C410" s="1" t="s">
        <v>19</v>
      </c>
      <c r="D410" s="1">
        <f>IFERROR(VLOOKUP(FISCALIZAÇÃO[[#This Row],[ID]],FISC_ACUM!A:A,1,0),"NOVO")</f>
        <v>2334</v>
      </c>
    </row>
    <row r="411" spans="1:4" hidden="1" x14ac:dyDescent="0.35">
      <c r="A411" s="1">
        <v>2336</v>
      </c>
      <c r="B411" s="2">
        <v>46225</v>
      </c>
      <c r="C411" s="1" t="s">
        <v>19</v>
      </c>
      <c r="D411" s="1">
        <f>IFERROR(VLOOKUP(FISCALIZAÇÃO[[#This Row],[ID]],FISC_ACUM!A:A,1,0),"NOVO")</f>
        <v>2336</v>
      </c>
    </row>
    <row r="412" spans="1:4" hidden="1" x14ac:dyDescent="0.35">
      <c r="A412" s="1">
        <v>2337</v>
      </c>
      <c r="B412" s="2">
        <v>46225</v>
      </c>
      <c r="C412" s="1" t="s">
        <v>19</v>
      </c>
      <c r="D412" s="1">
        <f>IFERROR(VLOOKUP(FISCALIZAÇÃO[[#This Row],[ID]],FISC_ACUM!A:A,1,0),"NOVO")</f>
        <v>2337</v>
      </c>
    </row>
    <row r="413" spans="1:4" hidden="1" x14ac:dyDescent="0.35">
      <c r="A413" s="1">
        <v>2338</v>
      </c>
      <c r="B413" s="2">
        <v>46225</v>
      </c>
      <c r="C413" s="1" t="s">
        <v>9</v>
      </c>
      <c r="D413" s="1">
        <f>IFERROR(VLOOKUP(FISCALIZAÇÃO[[#This Row],[ID]],FISC_ACUM!A:A,1,0),"NOVO")</f>
        <v>2338</v>
      </c>
    </row>
    <row r="414" spans="1:4" hidden="1" x14ac:dyDescent="0.35">
      <c r="A414" s="1">
        <v>2339</v>
      </c>
      <c r="B414" s="2">
        <v>46225</v>
      </c>
      <c r="C414" s="1" t="s">
        <v>9</v>
      </c>
      <c r="D414" s="1">
        <f>IFERROR(VLOOKUP(FISCALIZAÇÃO[[#This Row],[ID]],FISC_ACUM!A:A,1,0),"NOVO")</f>
        <v>2339</v>
      </c>
    </row>
    <row r="415" spans="1:4" hidden="1" x14ac:dyDescent="0.35">
      <c r="A415" s="1">
        <v>2340</v>
      </c>
      <c r="B415" s="2">
        <v>46225</v>
      </c>
      <c r="C415" s="1" t="s">
        <v>9</v>
      </c>
      <c r="D415" s="1">
        <f>IFERROR(VLOOKUP(FISCALIZAÇÃO[[#This Row],[ID]],FISC_ACUM!A:A,1,0),"NOVO")</f>
        <v>2340</v>
      </c>
    </row>
    <row r="416" spans="1:4" hidden="1" x14ac:dyDescent="0.35">
      <c r="A416" s="1">
        <v>2341</v>
      </c>
      <c r="B416" s="2">
        <v>46225</v>
      </c>
      <c r="C416" s="1" t="s">
        <v>9</v>
      </c>
      <c r="D416" s="1">
        <f>IFERROR(VLOOKUP(FISCALIZAÇÃO[[#This Row],[ID]],FISC_ACUM!A:A,1,0),"NOVO")</f>
        <v>2341</v>
      </c>
    </row>
    <row r="417" spans="1:4" hidden="1" x14ac:dyDescent="0.35">
      <c r="A417" s="1">
        <v>2344</v>
      </c>
      <c r="B417" s="2">
        <v>46226</v>
      </c>
      <c r="C417" s="1" t="s">
        <v>19</v>
      </c>
      <c r="D417" s="1">
        <f>IFERROR(VLOOKUP(FISCALIZAÇÃO[[#This Row],[ID]],FISC_ACUM!A:A,1,0),"NOVO")</f>
        <v>2344</v>
      </c>
    </row>
    <row r="418" spans="1:4" hidden="1" x14ac:dyDescent="0.35">
      <c r="A418" s="1">
        <v>2345</v>
      </c>
      <c r="B418" s="2">
        <v>46226</v>
      </c>
      <c r="C418" s="1" t="s">
        <v>19</v>
      </c>
      <c r="D418" s="1">
        <f>IFERROR(VLOOKUP(FISCALIZAÇÃO[[#This Row],[ID]],FISC_ACUM!A:A,1,0),"NOVO")</f>
        <v>2345</v>
      </c>
    </row>
    <row r="419" spans="1:4" hidden="1" x14ac:dyDescent="0.35">
      <c r="A419" s="1">
        <v>2346</v>
      </c>
      <c r="B419" s="2">
        <v>46226</v>
      </c>
      <c r="C419" s="1" t="s">
        <v>9</v>
      </c>
      <c r="D419" s="1">
        <f>IFERROR(VLOOKUP(FISCALIZAÇÃO[[#This Row],[ID]],FISC_ACUM!A:A,1,0),"NOVO")</f>
        <v>2346</v>
      </c>
    </row>
    <row r="420" spans="1:4" hidden="1" x14ac:dyDescent="0.35">
      <c r="A420" s="1">
        <v>2347</v>
      </c>
      <c r="B420" s="2">
        <v>46226</v>
      </c>
      <c r="C420" s="1" t="s">
        <v>3</v>
      </c>
      <c r="D420" s="1">
        <f>IFERROR(VLOOKUP(FISCALIZAÇÃO[[#This Row],[ID]],FISC_ACUM!A:A,1,0),"NOVO")</f>
        <v>2347</v>
      </c>
    </row>
    <row r="421" spans="1:4" hidden="1" x14ac:dyDescent="0.35">
      <c r="A421" s="1">
        <v>2348</v>
      </c>
      <c r="B421" s="2">
        <v>46226</v>
      </c>
      <c r="C421" s="1" t="s">
        <v>3</v>
      </c>
      <c r="D421" s="1">
        <f>IFERROR(VLOOKUP(FISCALIZAÇÃO[[#This Row],[ID]],FISC_ACUM!A:A,1,0),"NOVO")</f>
        <v>2348</v>
      </c>
    </row>
    <row r="422" spans="1:4" hidden="1" x14ac:dyDescent="0.35">
      <c r="A422" s="1">
        <v>2349</v>
      </c>
      <c r="B422" s="2">
        <v>46226</v>
      </c>
      <c r="C422" s="1" t="s">
        <v>9</v>
      </c>
      <c r="D422" s="1">
        <f>IFERROR(VLOOKUP(FISCALIZAÇÃO[[#This Row],[ID]],FISC_ACUM!A:A,1,0),"NOVO")</f>
        <v>2349</v>
      </c>
    </row>
    <row r="423" spans="1:4" hidden="1" x14ac:dyDescent="0.35">
      <c r="A423" s="1">
        <v>2351</v>
      </c>
      <c r="B423" s="2">
        <v>46227</v>
      </c>
      <c r="C423" s="1" t="s">
        <v>3</v>
      </c>
      <c r="D423" s="1">
        <f>IFERROR(VLOOKUP(FISCALIZAÇÃO[[#This Row],[ID]],FISC_ACUM!A:A,1,0),"NOVO")</f>
        <v>2351</v>
      </c>
    </row>
    <row r="424" spans="1:4" hidden="1" x14ac:dyDescent="0.35">
      <c r="A424" s="1">
        <v>2352</v>
      </c>
      <c r="B424" s="2">
        <v>46227</v>
      </c>
      <c r="C424" s="1" t="s">
        <v>3</v>
      </c>
      <c r="D424" s="1">
        <f>IFERROR(VLOOKUP(FISCALIZAÇÃO[[#This Row],[ID]],FISC_ACUM!A:A,1,0),"NOVO")</f>
        <v>2352</v>
      </c>
    </row>
    <row r="425" spans="1:4" hidden="1" x14ac:dyDescent="0.35">
      <c r="A425" s="1">
        <v>2354</v>
      </c>
      <c r="B425" s="2">
        <v>46230</v>
      </c>
      <c r="C425" s="1" t="s">
        <v>19</v>
      </c>
      <c r="D425" s="1">
        <f>IFERROR(VLOOKUP(FISCALIZAÇÃO[[#This Row],[ID]],FISC_ACUM!A:A,1,0),"NOVO")</f>
        <v>2354</v>
      </c>
    </row>
    <row r="426" spans="1:4" hidden="1" x14ac:dyDescent="0.35">
      <c r="A426" s="1">
        <v>2355</v>
      </c>
      <c r="B426" s="2">
        <v>46230</v>
      </c>
      <c r="C426" s="1" t="s">
        <v>19</v>
      </c>
      <c r="D426" s="1">
        <f>IFERROR(VLOOKUP(FISCALIZAÇÃO[[#This Row],[ID]],FISC_ACUM!A:A,1,0),"NOVO")</f>
        <v>2355</v>
      </c>
    </row>
    <row r="427" spans="1:4" hidden="1" x14ac:dyDescent="0.35">
      <c r="A427" s="1">
        <v>2356</v>
      </c>
      <c r="B427" s="2">
        <v>46230</v>
      </c>
      <c r="C427" s="1" t="s">
        <v>19</v>
      </c>
      <c r="D427" s="1">
        <f>IFERROR(VLOOKUP(FISCALIZAÇÃO[[#This Row],[ID]],FISC_ACUM!A:A,1,0),"NOVO")</f>
        <v>2356</v>
      </c>
    </row>
    <row r="428" spans="1:4" hidden="1" x14ac:dyDescent="0.35">
      <c r="A428" s="1">
        <v>2357</v>
      </c>
      <c r="B428" s="2">
        <v>46230</v>
      </c>
      <c r="C428" s="1" t="s">
        <v>19</v>
      </c>
      <c r="D428" s="1">
        <f>IFERROR(VLOOKUP(FISCALIZAÇÃO[[#This Row],[ID]],FISC_ACUM!A:A,1,0),"NOVO")</f>
        <v>2357</v>
      </c>
    </row>
    <row r="429" spans="1:4" hidden="1" x14ac:dyDescent="0.35">
      <c r="A429" s="1">
        <v>2359</v>
      </c>
      <c r="B429" s="2">
        <v>46231</v>
      </c>
      <c r="C429" s="1" t="s">
        <v>9</v>
      </c>
      <c r="D429" s="1">
        <f>IFERROR(VLOOKUP(FISCALIZAÇÃO[[#This Row],[ID]],FISC_ACUM!A:A,1,0),"NOVO")</f>
        <v>2359</v>
      </c>
    </row>
    <row r="430" spans="1:4" hidden="1" x14ac:dyDescent="0.35">
      <c r="A430" s="1">
        <v>2360</v>
      </c>
      <c r="B430" s="2">
        <v>46231</v>
      </c>
      <c r="C430" s="1" t="s">
        <v>3</v>
      </c>
      <c r="D430" s="1">
        <f>IFERROR(VLOOKUP(FISCALIZAÇÃO[[#This Row],[ID]],FISC_ACUM!A:A,1,0),"NOVO")</f>
        <v>2360</v>
      </c>
    </row>
    <row r="431" spans="1:4" hidden="1" x14ac:dyDescent="0.35">
      <c r="A431" s="1">
        <v>2361</v>
      </c>
      <c r="B431" s="2">
        <v>46231</v>
      </c>
      <c r="C431" s="1" t="s">
        <v>19</v>
      </c>
      <c r="D431" s="1">
        <f>IFERROR(VLOOKUP(FISCALIZAÇÃO[[#This Row],[ID]],FISC_ACUM!A:A,1,0),"NOVO")</f>
        <v>2361</v>
      </c>
    </row>
    <row r="432" spans="1:4" hidden="1" x14ac:dyDescent="0.35">
      <c r="A432" s="1">
        <v>2362</v>
      </c>
      <c r="B432" s="2">
        <v>46231</v>
      </c>
      <c r="C432" s="1" t="s">
        <v>19</v>
      </c>
      <c r="D432" s="1">
        <f>IFERROR(VLOOKUP(FISCALIZAÇÃO[[#This Row],[ID]],FISC_ACUM!A:A,1,0),"NOVO")</f>
        <v>2362</v>
      </c>
    </row>
    <row r="433" spans="1:4" hidden="1" x14ac:dyDescent="0.35">
      <c r="A433" s="1">
        <v>2363</v>
      </c>
      <c r="B433" s="2">
        <v>46231</v>
      </c>
      <c r="C433" s="1" t="s">
        <v>19</v>
      </c>
      <c r="D433" s="1">
        <f>IFERROR(VLOOKUP(FISCALIZAÇÃO[[#This Row],[ID]],FISC_ACUM!A:A,1,0),"NOVO")</f>
        <v>2363</v>
      </c>
    </row>
    <row r="434" spans="1:4" hidden="1" x14ac:dyDescent="0.35">
      <c r="A434" s="1">
        <v>2364</v>
      </c>
      <c r="B434" s="2">
        <v>46231</v>
      </c>
      <c r="C434" s="1" t="s">
        <v>19</v>
      </c>
      <c r="D434" s="1">
        <f>IFERROR(VLOOKUP(FISCALIZAÇÃO[[#This Row],[ID]],FISC_ACUM!A:A,1,0),"NOVO")</f>
        <v>2364</v>
      </c>
    </row>
    <row r="435" spans="1:4" hidden="1" x14ac:dyDescent="0.35">
      <c r="A435" s="1">
        <v>2365</v>
      </c>
      <c r="B435" s="2">
        <v>46231</v>
      </c>
      <c r="C435" s="1" t="s">
        <v>19</v>
      </c>
      <c r="D435" s="1">
        <f>IFERROR(VLOOKUP(FISCALIZAÇÃO[[#This Row],[ID]],FISC_ACUM!A:A,1,0),"NOVO")</f>
        <v>2365</v>
      </c>
    </row>
    <row r="436" spans="1:4" hidden="1" x14ac:dyDescent="0.35">
      <c r="A436" s="1">
        <v>2366</v>
      </c>
      <c r="B436" s="2">
        <v>46231</v>
      </c>
      <c r="C436" s="1" t="s">
        <v>19</v>
      </c>
      <c r="D436" s="1">
        <f>IFERROR(VLOOKUP(FISCALIZAÇÃO[[#This Row],[ID]],FISC_ACUM!A:A,1,0),"NOVO")</f>
        <v>2366</v>
      </c>
    </row>
    <row r="437" spans="1:4" hidden="1" x14ac:dyDescent="0.35">
      <c r="A437" s="1">
        <v>2368</v>
      </c>
      <c r="B437" s="2">
        <v>46232</v>
      </c>
      <c r="C437" s="1" t="s">
        <v>19</v>
      </c>
      <c r="D437" s="1">
        <f>IFERROR(VLOOKUP(FISCALIZAÇÃO[[#This Row],[ID]],FISC_ACUM!A:A,1,0),"NOVO")</f>
        <v>2368</v>
      </c>
    </row>
    <row r="438" spans="1:4" hidden="1" x14ac:dyDescent="0.35">
      <c r="A438" s="1">
        <v>2369</v>
      </c>
      <c r="B438" s="2">
        <v>46232</v>
      </c>
      <c r="C438" s="1" t="s">
        <v>19</v>
      </c>
      <c r="D438" s="1">
        <f>IFERROR(VLOOKUP(FISCALIZAÇÃO[[#This Row],[ID]],FISC_ACUM!A:A,1,0),"NOVO")</f>
        <v>2369</v>
      </c>
    </row>
    <row r="439" spans="1:4" hidden="1" x14ac:dyDescent="0.35">
      <c r="A439" s="1">
        <v>2370</v>
      </c>
      <c r="B439" s="2">
        <v>46232</v>
      </c>
      <c r="C439" s="1" t="s">
        <v>19</v>
      </c>
      <c r="D439" s="1">
        <f>IFERROR(VLOOKUP(FISCALIZAÇÃO[[#This Row],[ID]],FISC_ACUM!A:A,1,0),"NOVO")</f>
        <v>2370</v>
      </c>
    </row>
    <row r="440" spans="1:4" hidden="1" x14ac:dyDescent="0.35">
      <c r="A440" s="1">
        <v>2371</v>
      </c>
      <c r="B440" s="2">
        <v>46232</v>
      </c>
      <c r="C440" s="1" t="s">
        <v>9</v>
      </c>
      <c r="D440" s="1">
        <f>IFERROR(VLOOKUP(FISCALIZAÇÃO[[#This Row],[ID]],FISC_ACUM!A:A,1,0),"NOVO")</f>
        <v>2371</v>
      </c>
    </row>
    <row r="441" spans="1:4" hidden="1" x14ac:dyDescent="0.35">
      <c r="A441" s="1">
        <v>2372</v>
      </c>
      <c r="B441" s="2">
        <v>46232</v>
      </c>
      <c r="C441" s="1" t="s">
        <v>9</v>
      </c>
      <c r="D441" s="1">
        <f>IFERROR(VLOOKUP(FISCALIZAÇÃO[[#This Row],[ID]],FISC_ACUM!A:A,1,0),"NOVO")</f>
        <v>2372</v>
      </c>
    </row>
    <row r="442" spans="1:4" hidden="1" x14ac:dyDescent="0.35">
      <c r="A442" s="1">
        <v>2373</v>
      </c>
      <c r="B442" s="2">
        <v>46232</v>
      </c>
      <c r="C442" s="1" t="s">
        <v>9</v>
      </c>
      <c r="D442" s="1">
        <f>IFERROR(VLOOKUP(FISCALIZAÇÃO[[#This Row],[ID]],FISC_ACUM!A:A,1,0),"NOVO")</f>
        <v>2373</v>
      </c>
    </row>
    <row r="443" spans="1:4" hidden="1" x14ac:dyDescent="0.35">
      <c r="A443" s="1">
        <v>2374</v>
      </c>
      <c r="B443" s="2">
        <v>46232</v>
      </c>
      <c r="C443" s="1" t="s">
        <v>3</v>
      </c>
      <c r="D443" s="1">
        <f>IFERROR(VLOOKUP(FISCALIZAÇÃO[[#This Row],[ID]],FISC_ACUM!A:A,1,0),"NOVO")</f>
        <v>2374</v>
      </c>
    </row>
    <row r="444" spans="1:4" hidden="1" x14ac:dyDescent="0.35">
      <c r="A444" s="1">
        <v>2375</v>
      </c>
      <c r="B444" s="2">
        <v>46234</v>
      </c>
      <c r="C444" s="1" t="s">
        <v>19</v>
      </c>
      <c r="D444" s="1">
        <f>IFERROR(VLOOKUP(FISCALIZAÇÃO[[#This Row],[ID]],FISC_ACUM!A:A,1,0),"NOVO")</f>
        <v>2375</v>
      </c>
    </row>
    <row r="445" spans="1:4" hidden="1" x14ac:dyDescent="0.35">
      <c r="A445" s="1">
        <v>2376</v>
      </c>
      <c r="B445" s="2">
        <v>46234</v>
      </c>
      <c r="C445" s="1" t="s">
        <v>19</v>
      </c>
      <c r="D445" s="1">
        <f>IFERROR(VLOOKUP(FISCALIZAÇÃO[[#This Row],[ID]],FISC_ACUM!A:A,1,0),"NOVO")</f>
        <v>2376</v>
      </c>
    </row>
    <row r="446" spans="1:4" hidden="1" x14ac:dyDescent="0.35">
      <c r="A446" s="1">
        <v>2377</v>
      </c>
      <c r="B446" s="2">
        <v>46234</v>
      </c>
      <c r="C446" s="1" t="s">
        <v>19</v>
      </c>
      <c r="D446" s="1">
        <f>IFERROR(VLOOKUP(FISCALIZAÇÃO[[#This Row],[ID]],FISC_ACUM!A:A,1,0),"NOVO")</f>
        <v>2377</v>
      </c>
    </row>
    <row r="447" spans="1:4" hidden="1" x14ac:dyDescent="0.35">
      <c r="A447" s="1">
        <v>2378</v>
      </c>
      <c r="B447" s="2">
        <v>46234</v>
      </c>
      <c r="C447" s="1" t="s">
        <v>19</v>
      </c>
      <c r="D447" s="1">
        <f>IFERROR(VLOOKUP(FISCALIZAÇÃO[[#This Row],[ID]],FISC_ACUM!A:A,1,0),"NOVO")</f>
        <v>2378</v>
      </c>
    </row>
    <row r="448" spans="1:4" hidden="1" x14ac:dyDescent="0.35">
      <c r="A448" s="1">
        <v>2380</v>
      </c>
      <c r="B448" s="2">
        <v>46239</v>
      </c>
      <c r="C448" s="1" t="s">
        <v>3</v>
      </c>
      <c r="D448" s="1">
        <f>IFERROR(VLOOKUP(FISCALIZAÇÃO[[#This Row],[ID]],FISC_ACUM!A:A,1,0),"NOVO")</f>
        <v>2380</v>
      </c>
    </row>
    <row r="449" spans="1:4" hidden="1" x14ac:dyDescent="0.35">
      <c r="A449" s="1">
        <v>2381</v>
      </c>
      <c r="B449" s="2">
        <v>46239</v>
      </c>
      <c r="C449" s="1" t="s">
        <v>19</v>
      </c>
      <c r="D449" s="1">
        <f>IFERROR(VLOOKUP(FISCALIZAÇÃO[[#This Row],[ID]],FISC_ACUM!A:A,1,0),"NOVO")</f>
        <v>2381</v>
      </c>
    </row>
    <row r="450" spans="1:4" hidden="1" x14ac:dyDescent="0.35">
      <c r="A450" s="1">
        <v>2382</v>
      </c>
      <c r="B450" s="2">
        <v>46239</v>
      </c>
      <c r="C450" s="1" t="s">
        <v>3</v>
      </c>
      <c r="D450" s="1">
        <f>IFERROR(VLOOKUP(FISCALIZAÇÃO[[#This Row],[ID]],FISC_ACUM!A:A,1,0),"NOVO")</f>
        <v>2382</v>
      </c>
    </row>
    <row r="451" spans="1:4" hidden="1" x14ac:dyDescent="0.35">
      <c r="A451" s="1">
        <v>2384</v>
      </c>
      <c r="B451" s="2">
        <v>46239</v>
      </c>
      <c r="C451" s="1" t="s">
        <v>3</v>
      </c>
      <c r="D451" s="1">
        <f>IFERROR(VLOOKUP(FISCALIZAÇÃO[[#This Row],[ID]],FISC_ACUM!A:A,1,0),"NOVO")</f>
        <v>2384</v>
      </c>
    </row>
    <row r="452" spans="1:4" hidden="1" x14ac:dyDescent="0.35">
      <c r="A452" s="1">
        <v>2385</v>
      </c>
      <c r="B452" s="2">
        <v>46239</v>
      </c>
      <c r="C452" s="1" t="s">
        <v>3</v>
      </c>
      <c r="D452" s="1">
        <f>IFERROR(VLOOKUP(FISCALIZAÇÃO[[#This Row],[ID]],FISC_ACUM!A:A,1,0),"NOVO")</f>
        <v>2385</v>
      </c>
    </row>
    <row r="453" spans="1:4" hidden="1" x14ac:dyDescent="0.35">
      <c r="A453" s="1">
        <v>2386</v>
      </c>
      <c r="B453" s="2">
        <v>46239</v>
      </c>
      <c r="C453" s="1" t="s">
        <v>3</v>
      </c>
      <c r="D453" s="1">
        <f>IFERROR(VLOOKUP(FISCALIZAÇÃO[[#This Row],[ID]],FISC_ACUM!A:A,1,0),"NOVO")</f>
        <v>2386</v>
      </c>
    </row>
    <row r="454" spans="1:4" hidden="1" x14ac:dyDescent="0.35">
      <c r="A454" s="1">
        <v>2387</v>
      </c>
      <c r="B454" s="2">
        <v>46239</v>
      </c>
      <c r="C454" s="1" t="s">
        <v>19</v>
      </c>
      <c r="D454" s="1">
        <f>IFERROR(VLOOKUP(FISCALIZAÇÃO[[#This Row],[ID]],FISC_ACUM!A:A,1,0),"NOVO")</f>
        <v>2387</v>
      </c>
    </row>
    <row r="455" spans="1:4" hidden="1" x14ac:dyDescent="0.35">
      <c r="A455" s="1">
        <v>2388</v>
      </c>
      <c r="B455" s="2">
        <v>46239</v>
      </c>
      <c r="C455" s="1" t="s">
        <v>19</v>
      </c>
      <c r="D455" s="1">
        <f>IFERROR(VLOOKUP(FISCALIZAÇÃO[[#This Row],[ID]],FISC_ACUM!A:A,1,0),"NOVO")</f>
        <v>2388</v>
      </c>
    </row>
    <row r="456" spans="1:4" hidden="1" x14ac:dyDescent="0.35">
      <c r="A456" s="1">
        <v>2389</v>
      </c>
      <c r="B456" s="2">
        <v>46239</v>
      </c>
      <c r="C456" s="1" t="s">
        <v>19</v>
      </c>
      <c r="D456" s="1">
        <f>IFERROR(VLOOKUP(FISCALIZAÇÃO[[#This Row],[ID]],FISC_ACUM!A:A,1,0),"NOVO")</f>
        <v>2389</v>
      </c>
    </row>
    <row r="457" spans="1:4" hidden="1" x14ac:dyDescent="0.35">
      <c r="A457" s="1">
        <v>2391</v>
      </c>
      <c r="B457" s="2">
        <v>46240</v>
      </c>
      <c r="C457" s="1" t="s">
        <v>3</v>
      </c>
      <c r="D457" s="1">
        <f>IFERROR(VLOOKUP(FISCALIZAÇÃO[[#This Row],[ID]],FISC_ACUM!A:A,1,0),"NOVO")</f>
        <v>2391</v>
      </c>
    </row>
    <row r="458" spans="1:4" hidden="1" x14ac:dyDescent="0.35">
      <c r="A458" s="1">
        <v>2392</v>
      </c>
      <c r="B458" s="2">
        <v>46240</v>
      </c>
      <c r="C458" s="1" t="s">
        <v>3</v>
      </c>
      <c r="D458" s="1">
        <f>IFERROR(VLOOKUP(FISCALIZAÇÃO[[#This Row],[ID]],FISC_ACUM!A:A,1,0),"NOVO")</f>
        <v>2392</v>
      </c>
    </row>
    <row r="459" spans="1:4" hidden="1" x14ac:dyDescent="0.35">
      <c r="A459" s="1">
        <v>2393</v>
      </c>
      <c r="B459" s="2">
        <v>46240</v>
      </c>
      <c r="C459" s="1" t="s">
        <v>3</v>
      </c>
      <c r="D459" s="1">
        <f>IFERROR(VLOOKUP(FISCALIZAÇÃO[[#This Row],[ID]],FISC_ACUM!A:A,1,0),"NOVO")</f>
        <v>2393</v>
      </c>
    </row>
    <row r="460" spans="1:4" hidden="1" x14ac:dyDescent="0.35">
      <c r="A460" s="1">
        <v>2394</v>
      </c>
      <c r="B460" s="2">
        <v>46240</v>
      </c>
      <c r="C460" s="1" t="s">
        <v>19</v>
      </c>
      <c r="D460" s="1">
        <f>IFERROR(VLOOKUP(FISCALIZAÇÃO[[#This Row],[ID]],FISC_ACUM!A:A,1,0),"NOVO")</f>
        <v>2394</v>
      </c>
    </row>
    <row r="461" spans="1:4" hidden="1" x14ac:dyDescent="0.35">
      <c r="A461" s="1">
        <v>2395</v>
      </c>
      <c r="B461" s="2">
        <v>46240</v>
      </c>
      <c r="C461" s="1" t="s">
        <v>3</v>
      </c>
      <c r="D461" s="1">
        <f>IFERROR(VLOOKUP(FISCALIZAÇÃO[[#This Row],[ID]],FISC_ACUM!A:A,1,0),"NOVO")</f>
        <v>2395</v>
      </c>
    </row>
    <row r="462" spans="1:4" hidden="1" x14ac:dyDescent="0.35">
      <c r="A462" s="1">
        <v>2397</v>
      </c>
      <c r="B462" s="2">
        <v>46244</v>
      </c>
      <c r="C462" s="1" t="s">
        <v>19</v>
      </c>
      <c r="D462" s="1">
        <f>IFERROR(VLOOKUP(FISCALIZAÇÃO[[#This Row],[ID]],FISC_ACUM!A:A,1,0),"NOVO")</f>
        <v>2397</v>
      </c>
    </row>
    <row r="463" spans="1:4" hidden="1" x14ac:dyDescent="0.35">
      <c r="A463" s="1">
        <v>2398</v>
      </c>
      <c r="B463" s="2">
        <v>46244</v>
      </c>
      <c r="C463" s="1" t="s">
        <v>19</v>
      </c>
      <c r="D463" s="1">
        <f>IFERROR(VLOOKUP(FISCALIZAÇÃO[[#This Row],[ID]],FISC_ACUM!A:A,1,0),"NOVO")</f>
        <v>2398</v>
      </c>
    </row>
    <row r="464" spans="1:4" hidden="1" x14ac:dyDescent="0.35">
      <c r="A464" s="1">
        <v>2399</v>
      </c>
      <c r="B464" s="2">
        <v>46244</v>
      </c>
      <c r="C464" s="1" t="s">
        <v>3</v>
      </c>
      <c r="D464" s="1">
        <f>IFERROR(VLOOKUP(FISCALIZAÇÃO[[#This Row],[ID]],FISC_ACUM!A:A,1,0),"NOVO")</f>
        <v>2399</v>
      </c>
    </row>
    <row r="465" spans="1:4" hidden="1" x14ac:dyDescent="0.35">
      <c r="A465" s="1">
        <v>2400</v>
      </c>
      <c r="B465" s="2">
        <v>46244</v>
      </c>
      <c r="C465" s="1" t="s">
        <v>3</v>
      </c>
      <c r="D465" s="1">
        <f>IFERROR(VLOOKUP(FISCALIZAÇÃO[[#This Row],[ID]],FISC_ACUM!A:A,1,0),"NOVO")</f>
        <v>2400</v>
      </c>
    </row>
    <row r="466" spans="1:4" hidden="1" x14ac:dyDescent="0.35">
      <c r="A466" s="1">
        <v>2401</v>
      </c>
      <c r="B466" s="2">
        <v>46244</v>
      </c>
      <c r="C466" s="1" t="s">
        <v>21</v>
      </c>
      <c r="D466" s="1">
        <f>IFERROR(VLOOKUP(FISCALIZAÇÃO[[#This Row],[ID]],FISC_ACUM!A:A,1,0),"NOVO")</f>
        <v>2401</v>
      </c>
    </row>
    <row r="467" spans="1:4" hidden="1" x14ac:dyDescent="0.35">
      <c r="A467" s="1">
        <v>2402</v>
      </c>
      <c r="B467" s="2">
        <v>46244</v>
      </c>
      <c r="C467" s="1" t="s">
        <v>3</v>
      </c>
      <c r="D467" s="1">
        <f>IFERROR(VLOOKUP(FISCALIZAÇÃO[[#This Row],[ID]],FISC_ACUM!A:A,1,0),"NOVO")</f>
        <v>2402</v>
      </c>
    </row>
    <row r="468" spans="1:4" hidden="1" x14ac:dyDescent="0.35">
      <c r="A468" s="1">
        <v>2404</v>
      </c>
      <c r="B468" s="2">
        <v>46244</v>
      </c>
      <c r="C468" s="1" t="s">
        <v>21</v>
      </c>
      <c r="D468" s="1">
        <f>IFERROR(VLOOKUP(FISCALIZAÇÃO[[#This Row],[ID]],FISC_ACUM!A:A,1,0),"NOVO")</f>
        <v>2404</v>
      </c>
    </row>
    <row r="469" spans="1:4" hidden="1" x14ac:dyDescent="0.35">
      <c r="A469" s="1">
        <v>2405</v>
      </c>
      <c r="B469" s="2">
        <v>46245</v>
      </c>
      <c r="C469" s="1" t="s">
        <v>19</v>
      </c>
      <c r="D469" s="1">
        <f>IFERROR(VLOOKUP(FISCALIZAÇÃO[[#This Row],[ID]],FISC_ACUM!A:A,1,0),"NOVO")</f>
        <v>2405</v>
      </c>
    </row>
    <row r="470" spans="1:4" hidden="1" x14ac:dyDescent="0.35">
      <c r="A470" s="1">
        <v>2406</v>
      </c>
      <c r="B470" s="2">
        <v>46245</v>
      </c>
      <c r="C470" s="1" t="s">
        <v>19</v>
      </c>
      <c r="D470" s="1">
        <f>IFERROR(VLOOKUP(FISCALIZAÇÃO[[#This Row],[ID]],FISC_ACUM!A:A,1,0),"NOVO")</f>
        <v>2406</v>
      </c>
    </row>
    <row r="471" spans="1:4" hidden="1" x14ac:dyDescent="0.35">
      <c r="A471" s="1">
        <v>2407</v>
      </c>
      <c r="B471" s="2">
        <v>46245</v>
      </c>
      <c r="C471" s="1" t="s">
        <v>19</v>
      </c>
      <c r="D471" s="1">
        <f>IFERROR(VLOOKUP(FISCALIZAÇÃO[[#This Row],[ID]],FISC_ACUM!A:A,1,0),"NOVO")</f>
        <v>2407</v>
      </c>
    </row>
    <row r="472" spans="1:4" hidden="1" x14ac:dyDescent="0.35">
      <c r="A472" s="1">
        <v>2408</v>
      </c>
      <c r="B472" s="2">
        <v>46245</v>
      </c>
      <c r="C472" s="1" t="s">
        <v>19</v>
      </c>
      <c r="D472" s="1">
        <f>IFERROR(VLOOKUP(FISCALIZAÇÃO[[#This Row],[ID]],FISC_ACUM!A:A,1,0),"NOVO")</f>
        <v>2408</v>
      </c>
    </row>
    <row r="473" spans="1:4" hidden="1" x14ac:dyDescent="0.35">
      <c r="A473" s="1">
        <v>2409</v>
      </c>
      <c r="B473" s="2">
        <v>46245</v>
      </c>
      <c r="C473" s="1" t="s">
        <v>19</v>
      </c>
      <c r="D473" s="1">
        <f>IFERROR(VLOOKUP(FISCALIZAÇÃO[[#This Row],[ID]],FISC_ACUM!A:A,1,0),"NOVO")</f>
        <v>2409</v>
      </c>
    </row>
    <row r="474" spans="1:4" hidden="1" x14ac:dyDescent="0.35">
      <c r="A474" s="1">
        <v>2410</v>
      </c>
      <c r="B474" s="2">
        <v>46245</v>
      </c>
      <c r="C474" s="1" t="s">
        <v>19</v>
      </c>
      <c r="D474" s="1">
        <f>IFERROR(VLOOKUP(FISCALIZAÇÃO[[#This Row],[ID]],FISC_ACUM!A:A,1,0),"NOVO")</f>
        <v>2410</v>
      </c>
    </row>
    <row r="475" spans="1:4" hidden="1" x14ac:dyDescent="0.35">
      <c r="A475" s="1">
        <v>2411</v>
      </c>
      <c r="B475" s="2">
        <v>46245</v>
      </c>
      <c r="C475" s="1" t="s">
        <v>19</v>
      </c>
      <c r="D475" s="1">
        <f>IFERROR(VLOOKUP(FISCALIZAÇÃO[[#This Row],[ID]],FISC_ACUM!A:A,1,0),"NOVO")</f>
        <v>2411</v>
      </c>
    </row>
    <row r="476" spans="1:4" hidden="1" x14ac:dyDescent="0.35">
      <c r="A476" s="1">
        <v>2412</v>
      </c>
      <c r="B476" s="2">
        <v>46245</v>
      </c>
      <c r="C476" s="1" t="s">
        <v>19</v>
      </c>
      <c r="D476" s="1">
        <f>IFERROR(VLOOKUP(FISCALIZAÇÃO[[#This Row],[ID]],FISC_ACUM!A:A,1,0),"NOVO")</f>
        <v>2412</v>
      </c>
    </row>
    <row r="477" spans="1:4" hidden="1" x14ac:dyDescent="0.35">
      <c r="A477" s="1">
        <v>2413</v>
      </c>
      <c r="B477" s="2">
        <v>46245</v>
      </c>
      <c r="C477" s="1" t="s">
        <v>9</v>
      </c>
      <c r="D477" s="1">
        <f>IFERROR(VLOOKUP(FISCALIZAÇÃO[[#This Row],[ID]],FISC_ACUM!A:A,1,0),"NOVO")</f>
        <v>2413</v>
      </c>
    </row>
    <row r="478" spans="1:4" hidden="1" x14ac:dyDescent="0.35">
      <c r="A478" s="1">
        <v>2414</v>
      </c>
      <c r="B478" s="2">
        <v>46245</v>
      </c>
      <c r="C478" s="1" t="s">
        <v>19</v>
      </c>
      <c r="D478" s="1">
        <f>IFERROR(VLOOKUP(FISCALIZAÇÃO[[#This Row],[ID]],FISC_ACUM!A:A,1,0),"NOVO")</f>
        <v>2414</v>
      </c>
    </row>
    <row r="479" spans="1:4" hidden="1" x14ac:dyDescent="0.35">
      <c r="A479" s="1">
        <v>2415</v>
      </c>
      <c r="B479" s="2">
        <v>46245</v>
      </c>
      <c r="C479" s="1" t="s">
        <v>19</v>
      </c>
      <c r="D479" s="1">
        <f>IFERROR(VLOOKUP(FISCALIZAÇÃO[[#This Row],[ID]],FISC_ACUM!A:A,1,0),"NOVO")</f>
        <v>2415</v>
      </c>
    </row>
    <row r="480" spans="1:4" hidden="1" x14ac:dyDescent="0.35">
      <c r="A480" s="1">
        <v>2416</v>
      </c>
      <c r="B480" s="2">
        <v>46245</v>
      </c>
      <c r="C480" s="1" t="s">
        <v>19</v>
      </c>
      <c r="D480" s="1">
        <f>IFERROR(VLOOKUP(FISCALIZAÇÃO[[#This Row],[ID]],FISC_ACUM!A:A,1,0),"NOVO")</f>
        <v>2416</v>
      </c>
    </row>
    <row r="481" spans="1:4" hidden="1" x14ac:dyDescent="0.35">
      <c r="A481" s="1">
        <v>2417</v>
      </c>
      <c r="B481" s="2">
        <v>46245</v>
      </c>
      <c r="C481" s="1" t="s">
        <v>19</v>
      </c>
      <c r="D481" s="1">
        <f>IFERROR(VLOOKUP(FISCALIZAÇÃO[[#This Row],[ID]],FISC_ACUM!A:A,1,0),"NOVO")</f>
        <v>2417</v>
      </c>
    </row>
    <row r="482" spans="1:4" hidden="1" x14ac:dyDescent="0.35">
      <c r="A482" s="1">
        <v>2418</v>
      </c>
      <c r="B482" s="2">
        <v>46245</v>
      </c>
      <c r="C482" s="1" t="s">
        <v>21</v>
      </c>
      <c r="D482" s="1">
        <f>IFERROR(VLOOKUP(FISCALIZAÇÃO[[#This Row],[ID]],FISC_ACUM!A:A,1,0),"NOVO")</f>
        <v>2418</v>
      </c>
    </row>
    <row r="483" spans="1:4" hidden="1" x14ac:dyDescent="0.35">
      <c r="A483" s="1">
        <v>2419</v>
      </c>
      <c r="B483" s="2">
        <v>46246</v>
      </c>
      <c r="C483" s="1" t="s">
        <v>19</v>
      </c>
      <c r="D483" s="1">
        <f>IFERROR(VLOOKUP(FISCALIZAÇÃO[[#This Row],[ID]],FISC_ACUM!A:A,1,0),"NOVO")</f>
        <v>2419</v>
      </c>
    </row>
    <row r="484" spans="1:4" hidden="1" x14ac:dyDescent="0.35">
      <c r="A484" s="1">
        <v>2422</v>
      </c>
      <c r="B484" s="2">
        <v>46247</v>
      </c>
      <c r="C484" s="1" t="s">
        <v>3</v>
      </c>
      <c r="D484" s="1">
        <f>IFERROR(VLOOKUP(FISCALIZAÇÃO[[#This Row],[ID]],FISC_ACUM!A:A,1,0),"NOVO")</f>
        <v>2422</v>
      </c>
    </row>
    <row r="485" spans="1:4" hidden="1" x14ac:dyDescent="0.35">
      <c r="A485" s="1">
        <v>2423</v>
      </c>
      <c r="B485" s="2">
        <v>46247</v>
      </c>
      <c r="C485" s="1" t="s">
        <v>3</v>
      </c>
      <c r="D485" s="1">
        <f>IFERROR(VLOOKUP(FISCALIZAÇÃO[[#This Row],[ID]],FISC_ACUM!A:A,1,0),"NOVO")</f>
        <v>2423</v>
      </c>
    </row>
    <row r="486" spans="1:4" hidden="1" x14ac:dyDescent="0.35">
      <c r="A486" s="1">
        <v>2424</v>
      </c>
      <c r="B486" s="2">
        <v>46247</v>
      </c>
      <c r="C486" s="1" t="s">
        <v>3</v>
      </c>
      <c r="D486" s="1">
        <f>IFERROR(VLOOKUP(FISCALIZAÇÃO[[#This Row],[ID]],FISC_ACUM!A:A,1,0),"NOVO")</f>
        <v>2424</v>
      </c>
    </row>
    <row r="487" spans="1:4" hidden="1" x14ac:dyDescent="0.35">
      <c r="A487" s="1">
        <v>2439</v>
      </c>
      <c r="B487" s="2">
        <v>46253</v>
      </c>
      <c r="C487" s="1" t="s">
        <v>24</v>
      </c>
      <c r="D487" s="1">
        <f>IFERROR(VLOOKUP(FISCALIZAÇÃO[[#This Row],[ID]],FISC_ACUM!A:A,1,0),"NOVO")</f>
        <v>2439</v>
      </c>
    </row>
    <row r="488" spans="1:4" hidden="1" x14ac:dyDescent="0.35">
      <c r="A488" s="1">
        <v>2440</v>
      </c>
      <c r="B488" s="2">
        <v>46253</v>
      </c>
      <c r="C488" s="1" t="s">
        <v>24</v>
      </c>
      <c r="D488" s="1">
        <f>IFERROR(VLOOKUP(FISCALIZAÇÃO[[#This Row],[ID]],FISC_ACUM!A:A,1,0),"NOVO")</f>
        <v>2440</v>
      </c>
    </row>
    <row r="489" spans="1:4" hidden="1" x14ac:dyDescent="0.35">
      <c r="A489" s="1">
        <v>2441</v>
      </c>
      <c r="B489" s="2">
        <v>46253</v>
      </c>
      <c r="C489" s="1" t="s">
        <v>21</v>
      </c>
      <c r="D489" s="1">
        <f>IFERROR(VLOOKUP(FISCALIZAÇÃO[[#This Row],[ID]],FISC_ACUM!A:A,1,0),"NOVO")</f>
        <v>2441</v>
      </c>
    </row>
    <row r="490" spans="1:4" hidden="1" x14ac:dyDescent="0.35">
      <c r="A490" s="1">
        <v>2442</v>
      </c>
      <c r="B490" s="2">
        <v>46253</v>
      </c>
      <c r="C490" s="1" t="s">
        <v>5</v>
      </c>
      <c r="D490" s="1">
        <f>IFERROR(VLOOKUP(FISCALIZAÇÃO[[#This Row],[ID]],FISC_ACUM!A:A,1,0),"NOVO")</f>
        <v>2442</v>
      </c>
    </row>
    <row r="491" spans="1:4" hidden="1" x14ac:dyDescent="0.35">
      <c r="A491" s="1">
        <v>2443</v>
      </c>
      <c r="B491" s="2">
        <v>46253</v>
      </c>
      <c r="C491" s="1" t="s">
        <v>5</v>
      </c>
      <c r="D491" s="1">
        <f>IFERROR(VLOOKUP(FISCALIZAÇÃO[[#This Row],[ID]],FISC_ACUM!A:A,1,0),"NOVO")</f>
        <v>2443</v>
      </c>
    </row>
    <row r="492" spans="1:4" hidden="1" x14ac:dyDescent="0.35">
      <c r="A492" s="1">
        <v>2444</v>
      </c>
      <c r="B492" s="2">
        <v>46253</v>
      </c>
      <c r="C492" s="1" t="s">
        <v>19</v>
      </c>
      <c r="D492" s="1">
        <f>IFERROR(VLOOKUP(FISCALIZAÇÃO[[#This Row],[ID]],FISC_ACUM!A:A,1,0),"NOVO")</f>
        <v>2444</v>
      </c>
    </row>
    <row r="493" spans="1:4" hidden="1" x14ac:dyDescent="0.35">
      <c r="A493" s="1">
        <v>2445</v>
      </c>
      <c r="B493" s="2">
        <v>46253</v>
      </c>
      <c r="C493" s="1" t="s">
        <v>19</v>
      </c>
      <c r="D493" s="1">
        <f>IFERROR(VLOOKUP(FISCALIZAÇÃO[[#This Row],[ID]],FISC_ACUM!A:A,1,0),"NOVO")</f>
        <v>2445</v>
      </c>
    </row>
    <row r="494" spans="1:4" hidden="1" x14ac:dyDescent="0.35">
      <c r="A494" s="1">
        <v>2446</v>
      </c>
      <c r="B494" s="2">
        <v>46253</v>
      </c>
      <c r="C494" s="1" t="s">
        <v>19</v>
      </c>
      <c r="D494" s="1">
        <f>IFERROR(VLOOKUP(FISCALIZAÇÃO[[#This Row],[ID]],FISC_ACUM!A:A,1,0),"NOVO")</f>
        <v>2446</v>
      </c>
    </row>
    <row r="495" spans="1:4" hidden="1" x14ac:dyDescent="0.35">
      <c r="A495" s="1">
        <v>2447</v>
      </c>
      <c r="B495" s="2">
        <v>46253</v>
      </c>
      <c r="C495" s="1" t="s">
        <v>24</v>
      </c>
      <c r="D495" s="1">
        <f>IFERROR(VLOOKUP(FISCALIZAÇÃO[[#This Row],[ID]],FISC_ACUM!A:A,1,0),"NOVO")</f>
        <v>2447</v>
      </c>
    </row>
    <row r="496" spans="1:4" hidden="1" x14ac:dyDescent="0.35">
      <c r="A496" s="1">
        <v>2448</v>
      </c>
      <c r="B496" s="2">
        <v>46253</v>
      </c>
      <c r="C496" s="1" t="s">
        <v>3</v>
      </c>
      <c r="D496" s="1">
        <f>IFERROR(VLOOKUP(FISCALIZAÇÃO[[#This Row],[ID]],FISC_ACUM!A:A,1,0),"NOVO")</f>
        <v>2448</v>
      </c>
    </row>
    <row r="497" spans="1:4" hidden="1" x14ac:dyDescent="0.35">
      <c r="A497" s="1">
        <v>2449</v>
      </c>
      <c r="B497" s="2">
        <v>46253</v>
      </c>
      <c r="C497" s="1" t="s">
        <v>3</v>
      </c>
      <c r="D497" s="1">
        <f>IFERROR(VLOOKUP(FISCALIZAÇÃO[[#This Row],[ID]],FISC_ACUM!A:A,1,0),"NOVO")</f>
        <v>2449</v>
      </c>
    </row>
    <row r="498" spans="1:4" hidden="1" x14ac:dyDescent="0.35">
      <c r="A498" s="1">
        <v>2450</v>
      </c>
      <c r="B498" s="2">
        <v>46255</v>
      </c>
      <c r="C498" s="1" t="s">
        <v>21</v>
      </c>
      <c r="D498" s="1">
        <f>IFERROR(VLOOKUP(FISCALIZAÇÃO[[#This Row],[ID]],FISC_ACUM!A:A,1,0),"NOVO")</f>
        <v>2450</v>
      </c>
    </row>
    <row r="499" spans="1:4" hidden="1" x14ac:dyDescent="0.35">
      <c r="A499" s="1">
        <v>2451</v>
      </c>
      <c r="B499" s="2">
        <v>46255</v>
      </c>
      <c r="C499" s="1" t="s">
        <v>3</v>
      </c>
      <c r="D499" s="1">
        <f>IFERROR(VLOOKUP(FISCALIZAÇÃO[[#This Row],[ID]],FISC_ACUM!A:A,1,0),"NOVO")</f>
        <v>2451</v>
      </c>
    </row>
    <row r="500" spans="1:4" hidden="1" x14ac:dyDescent="0.35">
      <c r="A500" s="1">
        <v>2452</v>
      </c>
      <c r="B500" s="2">
        <v>46255</v>
      </c>
      <c r="C500" s="1" t="s">
        <v>3</v>
      </c>
      <c r="D500" s="1">
        <f>IFERROR(VLOOKUP(FISCALIZAÇÃO[[#This Row],[ID]],FISC_ACUM!A:A,1,0),"NOVO")</f>
        <v>2452</v>
      </c>
    </row>
    <row r="501" spans="1:4" hidden="1" x14ac:dyDescent="0.35">
      <c r="A501" s="1">
        <v>2453</v>
      </c>
      <c r="B501" s="2">
        <v>46255</v>
      </c>
      <c r="C501" s="1" t="s">
        <v>5</v>
      </c>
      <c r="D501" s="1">
        <f>IFERROR(VLOOKUP(FISCALIZAÇÃO[[#This Row],[ID]],FISC_ACUM!A:A,1,0),"NOVO")</f>
        <v>2453</v>
      </c>
    </row>
    <row r="502" spans="1:4" hidden="1" x14ac:dyDescent="0.35">
      <c r="A502" s="1">
        <v>2454</v>
      </c>
      <c r="B502" s="2">
        <v>46255</v>
      </c>
      <c r="C502" s="1" t="s">
        <v>5</v>
      </c>
      <c r="D502" s="1">
        <f>IFERROR(VLOOKUP(FISCALIZAÇÃO[[#This Row],[ID]],FISC_ACUM!A:A,1,0),"NOVO")</f>
        <v>2454</v>
      </c>
    </row>
    <row r="503" spans="1:4" hidden="1" x14ac:dyDescent="0.35">
      <c r="A503" s="1">
        <v>2457</v>
      </c>
      <c r="B503" s="2">
        <v>46258</v>
      </c>
      <c r="C503" s="1" t="s">
        <v>3</v>
      </c>
      <c r="D503" s="1">
        <f>IFERROR(VLOOKUP(FISCALIZAÇÃO[[#This Row],[ID]],FISC_ACUM!A:A,1,0),"NOVO")</f>
        <v>2457</v>
      </c>
    </row>
    <row r="504" spans="1:4" hidden="1" x14ac:dyDescent="0.35">
      <c r="A504" s="1">
        <v>2458</v>
      </c>
      <c r="B504" s="2">
        <v>46258</v>
      </c>
      <c r="C504" s="1" t="s">
        <v>3</v>
      </c>
      <c r="D504" s="1">
        <f>IFERROR(VLOOKUP(FISCALIZAÇÃO[[#This Row],[ID]],FISC_ACUM!A:A,1,0),"NOVO")</f>
        <v>2458</v>
      </c>
    </row>
    <row r="505" spans="1:4" hidden="1" x14ac:dyDescent="0.35">
      <c r="A505" s="1">
        <v>2465</v>
      </c>
      <c r="B505" s="2">
        <v>46266</v>
      </c>
      <c r="C505" s="1" t="s">
        <v>19</v>
      </c>
      <c r="D505" s="1">
        <f>IFERROR(VLOOKUP(FISCALIZAÇÃO[[#This Row],[ID]],FISC_ACUM!A:A,1,0),"NOVO")</f>
        <v>2465</v>
      </c>
    </row>
    <row r="506" spans="1:4" hidden="1" x14ac:dyDescent="0.35">
      <c r="A506" s="1">
        <v>2466</v>
      </c>
      <c r="B506" s="2">
        <v>46266</v>
      </c>
      <c r="C506" s="1" t="s">
        <v>19</v>
      </c>
      <c r="D506" s="1">
        <f>IFERROR(VLOOKUP(FISCALIZAÇÃO[[#This Row],[ID]],FISC_ACUM!A:A,1,0),"NOVO")</f>
        <v>2466</v>
      </c>
    </row>
    <row r="507" spans="1:4" hidden="1" x14ac:dyDescent="0.35">
      <c r="A507" s="1">
        <v>2467</v>
      </c>
      <c r="B507" s="2">
        <v>46266</v>
      </c>
      <c r="C507" s="1" t="s">
        <v>21</v>
      </c>
      <c r="D507" s="1">
        <f>IFERROR(VLOOKUP(FISCALIZAÇÃO[[#This Row],[ID]],FISC_ACUM!A:A,1,0),"NOVO")</f>
        <v>2467</v>
      </c>
    </row>
    <row r="508" spans="1:4" hidden="1" x14ac:dyDescent="0.35">
      <c r="A508" s="1">
        <v>2468</v>
      </c>
      <c r="B508" s="2">
        <v>46267</v>
      </c>
      <c r="C508" s="1" t="s">
        <v>3</v>
      </c>
      <c r="D508" s="1">
        <f>IFERROR(VLOOKUP(FISCALIZAÇÃO[[#This Row],[ID]],FISC_ACUM!A:A,1,0),"NOVO")</f>
        <v>2468</v>
      </c>
    </row>
    <row r="509" spans="1:4" hidden="1" x14ac:dyDescent="0.35">
      <c r="A509" s="1">
        <v>2469</v>
      </c>
      <c r="B509" s="2">
        <v>46268</v>
      </c>
      <c r="C509" s="1" t="s">
        <v>3</v>
      </c>
      <c r="D509" s="1">
        <f>IFERROR(VLOOKUP(FISCALIZAÇÃO[[#This Row],[ID]],FISC_ACUM!A:A,1,0),"NOVO")</f>
        <v>2469</v>
      </c>
    </row>
    <row r="510" spans="1:4" hidden="1" x14ac:dyDescent="0.35">
      <c r="A510" s="1">
        <v>2470</v>
      </c>
      <c r="B510" s="2">
        <v>46268</v>
      </c>
      <c r="C510" s="1" t="s">
        <v>3</v>
      </c>
      <c r="D510" s="1">
        <f>IFERROR(VLOOKUP(FISCALIZAÇÃO[[#This Row],[ID]],FISC_ACUM!A:A,1,0),"NOVO")</f>
        <v>2470</v>
      </c>
    </row>
    <row r="511" spans="1:4" hidden="1" x14ac:dyDescent="0.35">
      <c r="A511" s="1">
        <v>2478</v>
      </c>
      <c r="B511" s="2">
        <v>46275</v>
      </c>
      <c r="C511" s="1" t="s">
        <v>3</v>
      </c>
      <c r="D511" s="1">
        <f>IFERROR(VLOOKUP(FISCALIZAÇÃO[[#This Row],[ID]],FISC_ACUM!A:A,1,0),"NOVO")</f>
        <v>2478</v>
      </c>
    </row>
    <row r="512" spans="1:4" hidden="1" x14ac:dyDescent="0.35">
      <c r="A512" s="1">
        <v>2479</v>
      </c>
      <c r="B512" s="2">
        <v>46275</v>
      </c>
      <c r="C512" s="1" t="s">
        <v>3</v>
      </c>
      <c r="D512" s="1">
        <f>IFERROR(VLOOKUP(FISCALIZAÇÃO[[#This Row],[ID]],FISC_ACUM!A:A,1,0),"NOVO")</f>
        <v>2479</v>
      </c>
    </row>
    <row r="513" spans="1:4" hidden="1" x14ac:dyDescent="0.35">
      <c r="A513" s="1">
        <v>2480</v>
      </c>
      <c r="B513" s="2">
        <v>46275</v>
      </c>
      <c r="C513" s="1" t="s">
        <v>28</v>
      </c>
      <c r="D513" s="1">
        <f>IFERROR(VLOOKUP(FISCALIZAÇÃO[[#This Row],[ID]],FISC_ACUM!A:A,1,0),"NOVO")</f>
        <v>2480</v>
      </c>
    </row>
    <row r="514" spans="1:4" hidden="1" x14ac:dyDescent="0.35">
      <c r="A514" s="1">
        <v>2481</v>
      </c>
      <c r="B514" s="2">
        <v>46275</v>
      </c>
      <c r="C514" s="1" t="s">
        <v>9</v>
      </c>
      <c r="D514" s="1">
        <f>IFERROR(VLOOKUP(FISCALIZAÇÃO[[#This Row],[ID]],FISC_ACUM!A:A,1,0),"NOVO")</f>
        <v>2481</v>
      </c>
    </row>
    <row r="515" spans="1:4" hidden="1" x14ac:dyDescent="0.35">
      <c r="A515" s="1">
        <v>2482</v>
      </c>
      <c r="B515" s="2">
        <v>46275</v>
      </c>
      <c r="C515" s="1" t="s">
        <v>9</v>
      </c>
      <c r="D515" s="1">
        <f>IFERROR(VLOOKUP(FISCALIZAÇÃO[[#This Row],[ID]],FISC_ACUM!A:A,1,0),"NOVO")</f>
        <v>2482</v>
      </c>
    </row>
    <row r="516" spans="1:4" hidden="1" x14ac:dyDescent="0.35">
      <c r="A516" s="1">
        <v>2485</v>
      </c>
      <c r="B516" s="2">
        <v>46280</v>
      </c>
      <c r="C516" s="1" t="s">
        <v>22</v>
      </c>
      <c r="D516" s="1">
        <f>IFERROR(VLOOKUP(FISCALIZAÇÃO[[#This Row],[ID]],FISC_ACUM!A:A,1,0),"NOVO")</f>
        <v>2485</v>
      </c>
    </row>
    <row r="517" spans="1:4" hidden="1" x14ac:dyDescent="0.35">
      <c r="A517" s="1">
        <v>2486</v>
      </c>
      <c r="B517" s="2">
        <v>46280</v>
      </c>
      <c r="C517" s="1" t="s">
        <v>22</v>
      </c>
      <c r="D517" s="1">
        <f>IFERROR(VLOOKUP(FISCALIZAÇÃO[[#This Row],[ID]],FISC_ACUM!A:A,1,0),"NOVO")</f>
        <v>2486</v>
      </c>
    </row>
    <row r="518" spans="1:4" hidden="1" x14ac:dyDescent="0.35">
      <c r="A518" s="1">
        <v>2487</v>
      </c>
      <c r="B518" s="2">
        <v>46280</v>
      </c>
      <c r="C518" s="1" t="s">
        <v>22</v>
      </c>
      <c r="D518" s="1">
        <f>IFERROR(VLOOKUP(FISCALIZAÇÃO[[#This Row],[ID]],FISC_ACUM!A:A,1,0),"NOVO")</f>
        <v>2487</v>
      </c>
    </row>
    <row r="519" spans="1:4" hidden="1" x14ac:dyDescent="0.35">
      <c r="A519" s="1">
        <v>2488</v>
      </c>
      <c r="B519" s="2">
        <v>46280</v>
      </c>
      <c r="C519" s="1" t="s">
        <v>22</v>
      </c>
      <c r="D519" s="1">
        <f>IFERROR(VLOOKUP(FISCALIZAÇÃO[[#This Row],[ID]],FISC_ACUM!A:A,1,0),"NOVO")</f>
        <v>2488</v>
      </c>
    </row>
    <row r="520" spans="1:4" hidden="1" x14ac:dyDescent="0.35">
      <c r="A520" s="1">
        <v>2489</v>
      </c>
      <c r="B520" s="2">
        <v>46280</v>
      </c>
      <c r="C520" s="1" t="s">
        <v>22</v>
      </c>
      <c r="D520" s="1">
        <f>IFERROR(VLOOKUP(FISCALIZAÇÃO[[#This Row],[ID]],FISC_ACUM!A:A,1,0),"NOVO")</f>
        <v>2489</v>
      </c>
    </row>
    <row r="521" spans="1:4" hidden="1" x14ac:dyDescent="0.35">
      <c r="A521" s="1">
        <v>2490</v>
      </c>
      <c r="B521" s="2">
        <v>46280</v>
      </c>
      <c r="C521" s="1" t="s">
        <v>22</v>
      </c>
      <c r="D521" s="1">
        <f>IFERROR(VLOOKUP(FISCALIZAÇÃO[[#This Row],[ID]],FISC_ACUM!A:A,1,0),"NOVO")</f>
        <v>2490</v>
      </c>
    </row>
    <row r="522" spans="1:4" hidden="1" x14ac:dyDescent="0.35">
      <c r="A522" s="1">
        <v>2491</v>
      </c>
      <c r="B522" s="2">
        <v>46280</v>
      </c>
      <c r="C522" s="1" t="s">
        <v>22</v>
      </c>
      <c r="D522" s="1">
        <f>IFERROR(VLOOKUP(FISCALIZAÇÃO[[#This Row],[ID]],FISC_ACUM!A:A,1,0),"NOVO")</f>
        <v>2491</v>
      </c>
    </row>
    <row r="523" spans="1:4" hidden="1" x14ac:dyDescent="0.35">
      <c r="A523" s="1">
        <v>2492</v>
      </c>
      <c r="B523" s="2">
        <v>46280</v>
      </c>
      <c r="C523" s="1" t="s">
        <v>22</v>
      </c>
      <c r="D523" s="1">
        <f>IFERROR(VLOOKUP(FISCALIZAÇÃO[[#This Row],[ID]],FISC_ACUM!A:A,1,0),"NOVO")</f>
        <v>2492</v>
      </c>
    </row>
    <row r="524" spans="1:4" hidden="1" x14ac:dyDescent="0.35">
      <c r="A524" s="1">
        <v>2493</v>
      </c>
      <c r="B524" s="2">
        <v>46280</v>
      </c>
      <c r="C524" s="1" t="s">
        <v>22</v>
      </c>
      <c r="D524" s="1">
        <f>IFERROR(VLOOKUP(FISCALIZAÇÃO[[#This Row],[ID]],FISC_ACUM!A:A,1,0),"NOVO")</f>
        <v>2493</v>
      </c>
    </row>
    <row r="525" spans="1:4" hidden="1" x14ac:dyDescent="0.35">
      <c r="A525" s="1">
        <v>2494</v>
      </c>
      <c r="B525" s="2">
        <v>46280</v>
      </c>
      <c r="C525" s="1" t="s">
        <v>22</v>
      </c>
      <c r="D525" s="1">
        <f>IFERROR(VLOOKUP(FISCALIZAÇÃO[[#This Row],[ID]],FISC_ACUM!A:A,1,0),"NOVO")</f>
        <v>2494</v>
      </c>
    </row>
    <row r="526" spans="1:4" hidden="1" x14ac:dyDescent="0.35">
      <c r="A526" s="1">
        <v>2495</v>
      </c>
      <c r="B526" s="2">
        <v>46280</v>
      </c>
      <c r="C526" s="1" t="s">
        <v>22</v>
      </c>
      <c r="D526" s="1">
        <f>IFERROR(VLOOKUP(FISCALIZAÇÃO[[#This Row],[ID]],FISC_ACUM!A:A,1,0),"NOVO")</f>
        <v>2495</v>
      </c>
    </row>
    <row r="527" spans="1:4" hidden="1" x14ac:dyDescent="0.35">
      <c r="A527" s="1">
        <v>2496</v>
      </c>
      <c r="B527" s="2">
        <v>46280</v>
      </c>
      <c r="C527" s="1" t="s">
        <v>22</v>
      </c>
      <c r="D527" s="1">
        <f>IFERROR(VLOOKUP(FISCALIZAÇÃO[[#This Row],[ID]],FISC_ACUM!A:A,1,0),"NOVO")</f>
        <v>2496</v>
      </c>
    </row>
    <row r="528" spans="1:4" hidden="1" x14ac:dyDescent="0.35">
      <c r="A528" s="1">
        <v>2497</v>
      </c>
      <c r="B528" s="2">
        <v>46280</v>
      </c>
      <c r="C528" s="1" t="s">
        <v>22</v>
      </c>
      <c r="D528" s="1">
        <f>IFERROR(VLOOKUP(FISCALIZAÇÃO[[#This Row],[ID]],FISC_ACUM!A:A,1,0),"NOVO")</f>
        <v>2497</v>
      </c>
    </row>
    <row r="529" spans="1:4" hidden="1" x14ac:dyDescent="0.35">
      <c r="A529" s="1">
        <v>2498</v>
      </c>
      <c r="B529" s="2">
        <v>46280</v>
      </c>
      <c r="C529" s="1" t="s">
        <v>22</v>
      </c>
      <c r="D529" s="1">
        <f>IFERROR(VLOOKUP(FISCALIZAÇÃO[[#This Row],[ID]],FISC_ACUM!A:A,1,0),"NOVO")</f>
        <v>2498</v>
      </c>
    </row>
    <row r="530" spans="1:4" hidden="1" x14ac:dyDescent="0.35">
      <c r="A530" s="1">
        <v>2499</v>
      </c>
      <c r="B530" s="2">
        <v>46280</v>
      </c>
      <c r="C530" s="1" t="s">
        <v>19</v>
      </c>
      <c r="D530" s="1">
        <f>IFERROR(VLOOKUP(FISCALIZAÇÃO[[#This Row],[ID]],FISC_ACUM!A:A,1,0),"NOVO")</f>
        <v>2499</v>
      </c>
    </row>
    <row r="531" spans="1:4" hidden="1" x14ac:dyDescent="0.35">
      <c r="A531" s="1">
        <v>2500</v>
      </c>
      <c r="B531" s="2">
        <v>46280</v>
      </c>
      <c r="C531" s="1" t="s">
        <v>19</v>
      </c>
      <c r="D531" s="1">
        <f>IFERROR(VLOOKUP(FISCALIZAÇÃO[[#This Row],[ID]],FISC_ACUM!A:A,1,0),"NOVO")</f>
        <v>2500</v>
      </c>
    </row>
    <row r="532" spans="1:4" hidden="1" x14ac:dyDescent="0.35">
      <c r="A532" s="1">
        <v>2501</v>
      </c>
      <c r="B532" s="2">
        <v>46280</v>
      </c>
      <c r="C532" s="1" t="s">
        <v>21</v>
      </c>
      <c r="D532" s="1">
        <f>IFERROR(VLOOKUP(FISCALIZAÇÃO[[#This Row],[ID]],FISC_ACUM!A:A,1,0),"NOVO")</f>
        <v>2501</v>
      </c>
    </row>
    <row r="533" spans="1:4" hidden="1" x14ac:dyDescent="0.35">
      <c r="A533" s="1">
        <v>2502</v>
      </c>
      <c r="B533" s="2">
        <v>46280</v>
      </c>
      <c r="C533" s="1" t="s">
        <v>21</v>
      </c>
      <c r="D533" s="1">
        <f>IFERROR(VLOOKUP(FISCALIZAÇÃO[[#This Row],[ID]],FISC_ACUM!A:A,1,0),"NOVO")</f>
        <v>2502</v>
      </c>
    </row>
    <row r="534" spans="1:4" hidden="1" x14ac:dyDescent="0.35">
      <c r="A534" s="1">
        <v>2503</v>
      </c>
      <c r="B534" s="2">
        <v>46281</v>
      </c>
      <c r="C534" s="1" t="s">
        <v>3</v>
      </c>
      <c r="D534" s="1">
        <f>IFERROR(VLOOKUP(FISCALIZAÇÃO[[#This Row],[ID]],FISC_ACUM!A:A,1,0),"NOVO")</f>
        <v>2503</v>
      </c>
    </row>
    <row r="535" spans="1:4" hidden="1" x14ac:dyDescent="0.35">
      <c r="A535" s="1">
        <v>2512</v>
      </c>
      <c r="B535" s="2">
        <v>46287</v>
      </c>
      <c r="C535" s="1" t="s">
        <v>19</v>
      </c>
      <c r="D535" s="1">
        <f>IFERROR(VLOOKUP(FISCALIZAÇÃO[[#This Row],[ID]],FISC_ACUM!A:A,1,0),"NOVO")</f>
        <v>2512</v>
      </c>
    </row>
    <row r="536" spans="1:4" hidden="1" x14ac:dyDescent="0.35">
      <c r="A536" s="1">
        <v>2513</v>
      </c>
      <c r="B536" s="2">
        <v>46288</v>
      </c>
      <c r="C536" s="1" t="s">
        <v>3</v>
      </c>
      <c r="D536" s="1">
        <f>IFERROR(VLOOKUP(FISCALIZAÇÃO[[#This Row],[ID]],FISC_ACUM!A:A,1,0),"NOVO")</f>
        <v>2513</v>
      </c>
    </row>
    <row r="537" spans="1:4" hidden="1" x14ac:dyDescent="0.35">
      <c r="A537" s="1">
        <v>2514</v>
      </c>
      <c r="B537" s="2">
        <v>46288</v>
      </c>
      <c r="C537" s="1" t="s">
        <v>19</v>
      </c>
      <c r="D537" s="1">
        <f>IFERROR(VLOOKUP(FISCALIZAÇÃO[[#This Row],[ID]],FISC_ACUM!A:A,1,0),"NOVO")</f>
        <v>2514</v>
      </c>
    </row>
    <row r="538" spans="1:4" hidden="1" x14ac:dyDescent="0.35">
      <c r="A538" s="1">
        <v>2515</v>
      </c>
      <c r="B538" s="2">
        <v>46281</v>
      </c>
      <c r="C538" s="1" t="s">
        <v>21</v>
      </c>
      <c r="D538" s="1">
        <f>IFERROR(VLOOKUP(FISCALIZAÇÃO[[#This Row],[ID]],FISC_ACUM!A:A,1,0),"NOVO")</f>
        <v>2515</v>
      </c>
    </row>
    <row r="539" spans="1:4" hidden="1" x14ac:dyDescent="0.35">
      <c r="A539" s="1">
        <v>2516</v>
      </c>
      <c r="B539" s="2">
        <v>46281</v>
      </c>
      <c r="C539" s="1" t="s">
        <v>21</v>
      </c>
      <c r="D539" s="1">
        <f>IFERROR(VLOOKUP(FISCALIZAÇÃO[[#This Row],[ID]],FISC_ACUM!A:A,1,0),"NOVO")</f>
        <v>2516</v>
      </c>
    </row>
    <row r="540" spans="1:4" hidden="1" x14ac:dyDescent="0.35">
      <c r="A540" s="1">
        <v>2517</v>
      </c>
      <c r="B540" s="2">
        <v>46281</v>
      </c>
      <c r="C540" s="1" t="s">
        <v>19</v>
      </c>
      <c r="D540" s="1">
        <f>IFERROR(VLOOKUP(FISCALIZAÇÃO[[#This Row],[ID]],FISC_ACUM!A:A,1,0),"NOVO")</f>
        <v>2517</v>
      </c>
    </row>
    <row r="541" spans="1:4" hidden="1" x14ac:dyDescent="0.35">
      <c r="A541" s="1">
        <v>2518</v>
      </c>
      <c r="B541" s="2">
        <v>46281</v>
      </c>
      <c r="C541" s="1" t="s">
        <v>21</v>
      </c>
      <c r="D541" s="1">
        <f>IFERROR(VLOOKUP(FISCALIZAÇÃO[[#This Row],[ID]],FISC_ACUM!A:A,1,0),"NOVO")</f>
        <v>2518</v>
      </c>
    </row>
    <row r="542" spans="1:4" hidden="1" x14ac:dyDescent="0.35">
      <c r="A542" s="1">
        <v>2519</v>
      </c>
      <c r="B542" s="2">
        <v>46281</v>
      </c>
      <c r="C542" s="1" t="s">
        <v>21</v>
      </c>
      <c r="D542" s="1">
        <f>IFERROR(VLOOKUP(FISCALIZAÇÃO[[#This Row],[ID]],FISC_ACUM!A:A,1,0),"NOVO")</f>
        <v>2519</v>
      </c>
    </row>
    <row r="543" spans="1:4" hidden="1" x14ac:dyDescent="0.35">
      <c r="A543" s="1">
        <v>2520</v>
      </c>
      <c r="B543" s="2">
        <v>46283</v>
      </c>
      <c r="C543" s="1" t="s">
        <v>19</v>
      </c>
      <c r="D543" s="1">
        <f>IFERROR(VLOOKUP(FISCALIZAÇÃO[[#This Row],[ID]],FISC_ACUM!A:A,1,0),"NOVO")</f>
        <v>2520</v>
      </c>
    </row>
    <row r="544" spans="1:4" hidden="1" x14ac:dyDescent="0.35">
      <c r="A544" s="1">
        <v>2521</v>
      </c>
      <c r="B544" s="2">
        <v>46283</v>
      </c>
      <c r="C544" s="1" t="s">
        <v>21</v>
      </c>
      <c r="D544" s="1">
        <f>IFERROR(VLOOKUP(FISCALIZAÇÃO[[#This Row],[ID]],FISC_ACUM!A:A,1,0),"NOVO")</f>
        <v>2521</v>
      </c>
    </row>
    <row r="545" spans="1:4" hidden="1" x14ac:dyDescent="0.35">
      <c r="A545" s="1">
        <v>2522</v>
      </c>
      <c r="B545" s="2">
        <v>46283</v>
      </c>
      <c r="C545" s="1" t="s">
        <v>24</v>
      </c>
      <c r="D545" s="1">
        <f>IFERROR(VLOOKUP(FISCALIZAÇÃO[[#This Row],[ID]],FISC_ACUM!A:A,1,0),"NOVO")</f>
        <v>2522</v>
      </c>
    </row>
    <row r="546" spans="1:4" hidden="1" x14ac:dyDescent="0.35">
      <c r="A546" s="1">
        <v>2523</v>
      </c>
      <c r="B546" s="2">
        <v>46283</v>
      </c>
      <c r="C546" s="1" t="s">
        <v>24</v>
      </c>
      <c r="D546" s="1">
        <f>IFERROR(VLOOKUP(FISCALIZAÇÃO[[#This Row],[ID]],FISC_ACUM!A:A,1,0),"NOVO")</f>
        <v>2523</v>
      </c>
    </row>
    <row r="547" spans="1:4" hidden="1" x14ac:dyDescent="0.35">
      <c r="A547" s="1">
        <v>2524</v>
      </c>
      <c r="B547" s="2">
        <v>46283</v>
      </c>
      <c r="C547" s="1" t="s">
        <v>24</v>
      </c>
      <c r="D547" s="1">
        <f>IFERROR(VLOOKUP(FISCALIZAÇÃO[[#This Row],[ID]],FISC_ACUM!A:A,1,0),"NOVO")</f>
        <v>2524</v>
      </c>
    </row>
    <row r="548" spans="1:4" hidden="1" x14ac:dyDescent="0.35">
      <c r="A548" s="1">
        <v>2525</v>
      </c>
      <c r="B548" s="2">
        <v>46283</v>
      </c>
      <c r="C548" s="1" t="s">
        <v>24</v>
      </c>
      <c r="D548" s="1">
        <f>IFERROR(VLOOKUP(FISCALIZAÇÃO[[#This Row],[ID]],FISC_ACUM!A:A,1,0),"NOVO")</f>
        <v>2525</v>
      </c>
    </row>
    <row r="549" spans="1:4" hidden="1" x14ac:dyDescent="0.35">
      <c r="A549" s="1">
        <v>2526</v>
      </c>
      <c r="B549" s="2">
        <v>46283</v>
      </c>
      <c r="C549" s="1" t="s">
        <v>3</v>
      </c>
      <c r="D549" s="1">
        <f>IFERROR(VLOOKUP(FISCALIZAÇÃO[[#This Row],[ID]],FISC_ACUM!A:A,1,0),"NOVO")</f>
        <v>2526</v>
      </c>
    </row>
    <row r="550" spans="1:4" hidden="1" x14ac:dyDescent="0.35">
      <c r="A550" s="1">
        <v>2527</v>
      </c>
      <c r="B550" s="2">
        <v>46283</v>
      </c>
      <c r="C550" s="1" t="s">
        <v>3</v>
      </c>
      <c r="D550" s="1">
        <f>IFERROR(VLOOKUP(FISCALIZAÇÃO[[#This Row],[ID]],FISC_ACUM!A:A,1,0),"NOVO")</f>
        <v>2527</v>
      </c>
    </row>
    <row r="551" spans="1:4" hidden="1" x14ac:dyDescent="0.35">
      <c r="A551" s="1">
        <v>2528</v>
      </c>
      <c r="B551" s="2">
        <v>46283</v>
      </c>
      <c r="C551" s="1" t="s">
        <v>24</v>
      </c>
      <c r="D551" s="1">
        <f>IFERROR(VLOOKUP(FISCALIZAÇÃO[[#This Row],[ID]],FISC_ACUM!A:A,1,0),"NOVO")</f>
        <v>2528</v>
      </c>
    </row>
    <row r="552" spans="1:4" hidden="1" x14ac:dyDescent="0.35">
      <c r="A552" s="1">
        <v>2529</v>
      </c>
      <c r="B552" s="2">
        <v>46283</v>
      </c>
      <c r="C552" s="1" t="s">
        <v>24</v>
      </c>
      <c r="D552" s="1">
        <f>IFERROR(VLOOKUP(FISCALIZAÇÃO[[#This Row],[ID]],FISC_ACUM!A:A,1,0),"NOVO")</f>
        <v>2529</v>
      </c>
    </row>
    <row r="553" spans="1:4" hidden="1" x14ac:dyDescent="0.35">
      <c r="A553" s="1">
        <v>2530</v>
      </c>
      <c r="B553" s="2">
        <v>46289</v>
      </c>
      <c r="C553" s="1" t="s">
        <v>3</v>
      </c>
      <c r="D553" s="1">
        <f>IFERROR(VLOOKUP(FISCALIZAÇÃO[[#This Row],[ID]],FISC_ACUM!A:A,1,0),"NOVO")</f>
        <v>2530</v>
      </c>
    </row>
    <row r="554" spans="1:4" hidden="1" x14ac:dyDescent="0.35">
      <c r="A554" s="1">
        <v>2531</v>
      </c>
      <c r="B554" s="2">
        <v>46289</v>
      </c>
      <c r="C554" s="1" t="s">
        <v>3</v>
      </c>
      <c r="D554" s="1">
        <f>IFERROR(VLOOKUP(FISCALIZAÇÃO[[#This Row],[ID]],FISC_ACUM!A:A,1,0),"NOVO")</f>
        <v>2531</v>
      </c>
    </row>
    <row r="555" spans="1:4" hidden="1" x14ac:dyDescent="0.35">
      <c r="A555" s="1">
        <v>2532</v>
      </c>
      <c r="B555" s="2">
        <v>46289</v>
      </c>
      <c r="C555" s="1" t="s">
        <v>21</v>
      </c>
      <c r="D555" s="1">
        <f>IFERROR(VLOOKUP(FISCALIZAÇÃO[[#This Row],[ID]],FISC_ACUM!A:A,1,0),"NOVO")</f>
        <v>2532</v>
      </c>
    </row>
    <row r="556" spans="1:4" hidden="1" x14ac:dyDescent="0.35">
      <c r="A556" s="1">
        <v>2533</v>
      </c>
      <c r="B556" s="2">
        <v>46289</v>
      </c>
      <c r="C556" s="1" t="s">
        <v>9</v>
      </c>
      <c r="D556" s="1">
        <f>IFERROR(VLOOKUP(FISCALIZAÇÃO[[#This Row],[ID]],FISC_ACUM!A:A,1,0),"NOVO")</f>
        <v>2533</v>
      </c>
    </row>
    <row r="557" spans="1:4" hidden="1" x14ac:dyDescent="0.35">
      <c r="A557" s="1">
        <v>2534</v>
      </c>
      <c r="B557" s="2">
        <v>46289</v>
      </c>
      <c r="C557" s="1" t="s">
        <v>9</v>
      </c>
      <c r="D557" s="1">
        <f>IFERROR(VLOOKUP(FISCALIZAÇÃO[[#This Row],[ID]],FISC_ACUM!A:A,1,0),"NOVO")</f>
        <v>2534</v>
      </c>
    </row>
    <row r="558" spans="1:4" hidden="1" x14ac:dyDescent="0.35">
      <c r="A558" s="1">
        <v>2542</v>
      </c>
      <c r="B558" s="2">
        <v>46294</v>
      </c>
      <c r="C558" s="1" t="s">
        <v>19</v>
      </c>
      <c r="D558" s="1">
        <f>IFERROR(VLOOKUP(FISCALIZAÇÃO[[#This Row],[ID]],FISC_ACUM!A:A,1,0),"NOVO")</f>
        <v>2542</v>
      </c>
    </row>
    <row r="559" spans="1:4" hidden="1" x14ac:dyDescent="0.35">
      <c r="A559" s="1">
        <v>2543</v>
      </c>
      <c r="B559" s="2">
        <v>46294</v>
      </c>
      <c r="C559" s="1" t="s">
        <v>19</v>
      </c>
      <c r="D559" s="1">
        <f>IFERROR(VLOOKUP(FISCALIZAÇÃO[[#This Row],[ID]],FISC_ACUM!A:A,1,0),"NOVO")</f>
        <v>2543</v>
      </c>
    </row>
    <row r="560" spans="1:4" hidden="1" x14ac:dyDescent="0.35">
      <c r="A560" s="1">
        <v>2544</v>
      </c>
      <c r="B560" s="2">
        <v>46295</v>
      </c>
      <c r="C560" s="1" t="s">
        <v>9</v>
      </c>
      <c r="D560" s="1">
        <f>IFERROR(VLOOKUP(FISCALIZAÇÃO[[#This Row],[ID]],FISC_ACUM!A:A,1,0),"NOVO")</f>
        <v>2544</v>
      </c>
    </row>
    <row r="561" spans="1:4" hidden="1" x14ac:dyDescent="0.35">
      <c r="A561" s="1">
        <v>2547</v>
      </c>
      <c r="B561" s="2">
        <v>46296</v>
      </c>
      <c r="C561" s="1" t="s">
        <v>19</v>
      </c>
      <c r="D561" s="1">
        <f>IFERROR(VLOOKUP(FISCALIZAÇÃO[[#This Row],[ID]],FISC_ACUM!A:A,1,0),"NOVO")</f>
        <v>2547</v>
      </c>
    </row>
    <row r="562" spans="1:4" hidden="1" x14ac:dyDescent="0.35">
      <c r="A562" s="1">
        <v>2548</v>
      </c>
      <c r="B562" s="2">
        <v>46296</v>
      </c>
      <c r="C562" s="1" t="s">
        <v>24</v>
      </c>
      <c r="D562" s="1">
        <f>IFERROR(VLOOKUP(FISCALIZAÇÃO[[#This Row],[ID]],FISC_ACUM!A:A,1,0),"NOVO")</f>
        <v>2548</v>
      </c>
    </row>
    <row r="563" spans="1:4" hidden="1" x14ac:dyDescent="0.35">
      <c r="A563" s="1">
        <v>2549</v>
      </c>
      <c r="B563" s="2">
        <v>46297</v>
      </c>
      <c r="C563" s="1" t="s">
        <v>24</v>
      </c>
      <c r="D563" s="1">
        <f>IFERROR(VLOOKUP(FISCALIZAÇÃO[[#This Row],[ID]],FISC_ACUM!A:A,1,0),"NOVO")</f>
        <v>2549</v>
      </c>
    </row>
    <row r="564" spans="1:4" hidden="1" x14ac:dyDescent="0.35">
      <c r="A564" s="1">
        <v>2550</v>
      </c>
      <c r="B564" s="2">
        <v>46297</v>
      </c>
      <c r="C564" s="1" t="s">
        <v>24</v>
      </c>
      <c r="D564" s="1">
        <f>IFERROR(VLOOKUP(FISCALIZAÇÃO[[#This Row],[ID]],FISC_ACUM!A:A,1,0),"NOVO")</f>
        <v>2550</v>
      </c>
    </row>
    <row r="565" spans="1:4" hidden="1" x14ac:dyDescent="0.35">
      <c r="A565" s="1">
        <v>2551</v>
      </c>
      <c r="B565" s="2">
        <v>46297</v>
      </c>
      <c r="C565" s="1" t="s">
        <v>9</v>
      </c>
      <c r="D565" s="1">
        <f>IFERROR(VLOOKUP(FISCALIZAÇÃO[[#This Row],[ID]],FISC_ACUM!A:A,1,0),"NOVO")</f>
        <v>2551</v>
      </c>
    </row>
    <row r="566" spans="1:4" hidden="1" x14ac:dyDescent="0.35">
      <c r="A566" s="1">
        <v>2553</v>
      </c>
      <c r="B566" s="2">
        <v>46300</v>
      </c>
      <c r="C566" s="1" t="s">
        <v>3</v>
      </c>
      <c r="D566" s="1">
        <f>IFERROR(VLOOKUP(FISCALIZAÇÃO[[#This Row],[ID]],FISC_ACUM!A:A,1,0),"NOVO")</f>
        <v>2553</v>
      </c>
    </row>
    <row r="567" spans="1:4" hidden="1" x14ac:dyDescent="0.35">
      <c r="A567" s="1">
        <v>2554</v>
      </c>
      <c r="B567" s="2">
        <v>46300</v>
      </c>
      <c r="C567" s="1" t="s">
        <v>3</v>
      </c>
      <c r="D567" s="1">
        <f>IFERROR(VLOOKUP(FISCALIZAÇÃO[[#This Row],[ID]],FISC_ACUM!A:A,1,0),"NOVO")</f>
        <v>2554</v>
      </c>
    </row>
    <row r="568" spans="1:4" hidden="1" x14ac:dyDescent="0.35">
      <c r="A568" s="1">
        <v>2555</v>
      </c>
      <c r="B568" s="2">
        <v>46300</v>
      </c>
      <c r="C568" s="1" t="s">
        <v>5</v>
      </c>
      <c r="D568" s="1">
        <f>IFERROR(VLOOKUP(FISCALIZAÇÃO[[#This Row],[ID]],FISC_ACUM!A:A,1,0),"NOVO")</f>
        <v>2555</v>
      </c>
    </row>
    <row r="569" spans="1:4" hidden="1" x14ac:dyDescent="0.35">
      <c r="A569" s="1">
        <v>2556</v>
      </c>
      <c r="B569" s="2">
        <v>46300</v>
      </c>
      <c r="C569" s="1" t="s">
        <v>5</v>
      </c>
      <c r="D569" s="1">
        <f>IFERROR(VLOOKUP(FISCALIZAÇÃO[[#This Row],[ID]],FISC_ACUM!A:A,1,0),"NOVO")</f>
        <v>2556</v>
      </c>
    </row>
    <row r="570" spans="1:4" hidden="1" x14ac:dyDescent="0.35">
      <c r="A570" s="1">
        <v>2557</v>
      </c>
      <c r="B570" s="2">
        <v>46300</v>
      </c>
      <c r="C570" s="1" t="s">
        <v>5</v>
      </c>
      <c r="D570" s="1">
        <f>IFERROR(VLOOKUP(FISCALIZAÇÃO[[#This Row],[ID]],FISC_ACUM!A:A,1,0),"NOVO")</f>
        <v>2557</v>
      </c>
    </row>
    <row r="571" spans="1:4" hidden="1" x14ac:dyDescent="0.35">
      <c r="A571" s="1">
        <v>2558</v>
      </c>
      <c r="B571" s="2">
        <v>46300</v>
      </c>
      <c r="C571" s="1" t="s">
        <v>3</v>
      </c>
      <c r="D571" s="1">
        <f>IFERROR(VLOOKUP(FISCALIZAÇÃO[[#This Row],[ID]],FISC_ACUM!A:A,1,0),"NOVO")</f>
        <v>2558</v>
      </c>
    </row>
    <row r="572" spans="1:4" hidden="1" x14ac:dyDescent="0.35">
      <c r="A572" s="1">
        <v>2559</v>
      </c>
      <c r="B572" s="2">
        <v>46300</v>
      </c>
      <c r="C572" s="1" t="s">
        <v>5</v>
      </c>
      <c r="D572" s="1">
        <f>IFERROR(VLOOKUP(FISCALIZAÇÃO[[#This Row],[ID]],FISC_ACUM!A:A,1,0),"NOVO")</f>
        <v>2559</v>
      </c>
    </row>
    <row r="573" spans="1:4" hidden="1" x14ac:dyDescent="0.35">
      <c r="A573" s="1">
        <v>2560</v>
      </c>
      <c r="B573" s="2">
        <v>46300</v>
      </c>
      <c r="C573" s="1" t="s">
        <v>5</v>
      </c>
      <c r="D573" s="1">
        <f>IFERROR(VLOOKUP(FISCALIZAÇÃO[[#This Row],[ID]],FISC_ACUM!A:A,1,0),"NOVO")</f>
        <v>2560</v>
      </c>
    </row>
    <row r="574" spans="1:4" hidden="1" x14ac:dyDescent="0.35">
      <c r="A574" s="1">
        <v>2561</v>
      </c>
      <c r="B574" s="2">
        <v>46300</v>
      </c>
      <c r="C574" s="1" t="s">
        <v>9</v>
      </c>
      <c r="D574" s="1">
        <f>IFERROR(VLOOKUP(FISCALIZAÇÃO[[#This Row],[ID]],FISC_ACUM!A:A,1,0),"NOVO")</f>
        <v>2561</v>
      </c>
    </row>
    <row r="575" spans="1:4" hidden="1" x14ac:dyDescent="0.35">
      <c r="A575" s="1">
        <v>2562</v>
      </c>
      <c r="B575" s="2">
        <v>46300</v>
      </c>
      <c r="C575" s="1" t="s">
        <v>21</v>
      </c>
      <c r="D575" s="1">
        <f>IFERROR(VLOOKUP(FISCALIZAÇÃO[[#This Row],[ID]],FISC_ACUM!A:A,1,0),"NOVO")</f>
        <v>2562</v>
      </c>
    </row>
    <row r="576" spans="1:4" hidden="1" x14ac:dyDescent="0.35">
      <c r="A576" s="1">
        <v>2565</v>
      </c>
      <c r="B576" s="2">
        <v>46302</v>
      </c>
      <c r="C576" s="1" t="s">
        <v>19</v>
      </c>
      <c r="D576" s="1">
        <f>IFERROR(VLOOKUP(FISCALIZAÇÃO[[#This Row],[ID]],FISC_ACUM!A:A,1,0),"NOVO")</f>
        <v>2565</v>
      </c>
    </row>
    <row r="577" spans="1:4" hidden="1" x14ac:dyDescent="0.35">
      <c r="A577" s="1">
        <v>2567</v>
      </c>
      <c r="B577" s="2">
        <v>46302</v>
      </c>
      <c r="C577" s="1" t="s">
        <v>19</v>
      </c>
      <c r="D577" s="1">
        <f>IFERROR(VLOOKUP(FISCALIZAÇÃO[[#This Row],[ID]],FISC_ACUM!A:A,1,0),"NOVO")</f>
        <v>2567</v>
      </c>
    </row>
    <row r="578" spans="1:4" hidden="1" x14ac:dyDescent="0.35">
      <c r="A578" s="1">
        <v>2568</v>
      </c>
      <c r="B578" s="2">
        <v>46302</v>
      </c>
      <c r="C578" s="1" t="s">
        <v>19</v>
      </c>
      <c r="D578" s="1">
        <f>IFERROR(VLOOKUP(FISCALIZAÇÃO[[#This Row],[ID]],FISC_ACUM!A:A,1,0),"NOVO")</f>
        <v>2568</v>
      </c>
    </row>
    <row r="579" spans="1:4" hidden="1" x14ac:dyDescent="0.35">
      <c r="A579" s="1">
        <v>2569</v>
      </c>
      <c r="B579" s="2">
        <v>46302</v>
      </c>
      <c r="C579" s="1" t="s">
        <v>19</v>
      </c>
      <c r="D579" s="1">
        <f>IFERROR(VLOOKUP(FISCALIZAÇÃO[[#This Row],[ID]],FISC_ACUM!A:A,1,0),"NOVO")</f>
        <v>2569</v>
      </c>
    </row>
    <row r="580" spans="1:4" hidden="1" x14ac:dyDescent="0.35">
      <c r="A580" s="1">
        <v>2570</v>
      </c>
      <c r="B580" s="2">
        <v>46302</v>
      </c>
      <c r="C580" s="1" t="s">
        <v>19</v>
      </c>
      <c r="D580" s="1">
        <f>IFERROR(VLOOKUP(FISCALIZAÇÃO[[#This Row],[ID]],FISC_ACUM!A:A,1,0),"NOVO")</f>
        <v>2570</v>
      </c>
    </row>
    <row r="581" spans="1:4" hidden="1" x14ac:dyDescent="0.35">
      <c r="A581" s="1">
        <v>2571</v>
      </c>
      <c r="B581" s="2">
        <v>46302</v>
      </c>
      <c r="C581" s="1" t="s">
        <v>19</v>
      </c>
      <c r="D581" s="1">
        <f>IFERROR(VLOOKUP(FISCALIZAÇÃO[[#This Row],[ID]],FISC_ACUM!A:A,1,0),"NOVO")</f>
        <v>2571</v>
      </c>
    </row>
    <row r="582" spans="1:4" hidden="1" x14ac:dyDescent="0.35">
      <c r="A582" s="1">
        <v>2572</v>
      </c>
      <c r="B582" s="2">
        <v>46302</v>
      </c>
      <c r="C582" s="1" t="s">
        <v>19</v>
      </c>
      <c r="D582" s="1">
        <f>IFERROR(VLOOKUP(FISCALIZAÇÃO[[#This Row],[ID]],FISC_ACUM!A:A,1,0),"NOVO")</f>
        <v>2572</v>
      </c>
    </row>
    <row r="583" spans="1:4" hidden="1" x14ac:dyDescent="0.35">
      <c r="A583" s="1">
        <v>2573</v>
      </c>
      <c r="B583" s="2">
        <v>46302</v>
      </c>
      <c r="C583" s="1" t="s">
        <v>19</v>
      </c>
      <c r="D583" s="1">
        <f>IFERROR(VLOOKUP(FISCALIZAÇÃO[[#This Row],[ID]],FISC_ACUM!A:A,1,0),"NOVO")</f>
        <v>2573</v>
      </c>
    </row>
    <row r="584" spans="1:4" hidden="1" x14ac:dyDescent="0.35">
      <c r="A584" s="1">
        <v>2574</v>
      </c>
      <c r="B584" s="2">
        <v>46302</v>
      </c>
      <c r="C584" s="1" t="s">
        <v>19</v>
      </c>
      <c r="D584" s="1">
        <f>IFERROR(VLOOKUP(FISCALIZAÇÃO[[#This Row],[ID]],FISC_ACUM!A:A,1,0),"NOVO")</f>
        <v>2574</v>
      </c>
    </row>
    <row r="585" spans="1:4" hidden="1" x14ac:dyDescent="0.35">
      <c r="A585" s="1">
        <v>2575</v>
      </c>
      <c r="B585" s="2">
        <v>46302</v>
      </c>
      <c r="C585" s="1" t="s">
        <v>24</v>
      </c>
      <c r="D585" s="1">
        <f>IFERROR(VLOOKUP(FISCALIZAÇÃO[[#This Row],[ID]],FISC_ACUM!A:A,1,0),"NOVO")</f>
        <v>2575</v>
      </c>
    </row>
    <row r="586" spans="1:4" hidden="1" x14ac:dyDescent="0.35">
      <c r="A586" s="1">
        <v>2576</v>
      </c>
      <c r="B586" s="2">
        <v>46302</v>
      </c>
      <c r="C586" s="1" t="s">
        <v>21</v>
      </c>
      <c r="D586" s="1">
        <f>IFERROR(VLOOKUP(FISCALIZAÇÃO[[#This Row],[ID]],FISC_ACUM!A:A,1,0),"NOVO")</f>
        <v>2576</v>
      </c>
    </row>
    <row r="587" spans="1:4" hidden="1" x14ac:dyDescent="0.35">
      <c r="A587" s="1">
        <v>2577</v>
      </c>
      <c r="B587" s="2">
        <v>46302</v>
      </c>
      <c r="C587" s="1" t="s">
        <v>19</v>
      </c>
      <c r="D587" s="1">
        <f>IFERROR(VLOOKUP(FISCALIZAÇÃO[[#This Row],[ID]],FISC_ACUM!A:A,1,0),"NOVO")</f>
        <v>2577</v>
      </c>
    </row>
    <row r="588" spans="1:4" hidden="1" x14ac:dyDescent="0.35">
      <c r="A588" s="1">
        <v>2578</v>
      </c>
      <c r="B588" s="2">
        <v>46302</v>
      </c>
      <c r="C588" s="1" t="s">
        <v>9</v>
      </c>
      <c r="D588" s="1">
        <f>IFERROR(VLOOKUP(FISCALIZAÇÃO[[#This Row],[ID]],FISC_ACUM!A:A,1,0),"NOVO")</f>
        <v>2578</v>
      </c>
    </row>
    <row r="589" spans="1:4" hidden="1" x14ac:dyDescent="0.35">
      <c r="A589" s="1">
        <v>2579</v>
      </c>
      <c r="B589" s="2">
        <v>46302</v>
      </c>
      <c r="C589" s="1" t="s">
        <v>9</v>
      </c>
      <c r="D589" s="1">
        <f>IFERROR(VLOOKUP(FISCALIZAÇÃO[[#This Row],[ID]],FISC_ACUM!A:A,1,0),"NOVO")</f>
        <v>2579</v>
      </c>
    </row>
    <row r="590" spans="1:4" hidden="1" x14ac:dyDescent="0.35">
      <c r="A590" s="1">
        <v>2580</v>
      </c>
      <c r="B590" s="2">
        <v>46302</v>
      </c>
      <c r="C590" s="1" t="s">
        <v>3</v>
      </c>
      <c r="D590" s="1">
        <f>IFERROR(VLOOKUP(FISCALIZAÇÃO[[#This Row],[ID]],FISC_ACUM!A:A,1,0),"NOVO")</f>
        <v>2580</v>
      </c>
    </row>
    <row r="591" spans="1:4" hidden="1" x14ac:dyDescent="0.35">
      <c r="A591" s="1">
        <v>2590</v>
      </c>
      <c r="B591" s="2">
        <v>46302</v>
      </c>
      <c r="C591" s="1" t="s">
        <v>24</v>
      </c>
      <c r="D591" s="1">
        <f>IFERROR(VLOOKUP(FISCALIZAÇÃO[[#This Row],[ID]],FISC_ACUM!A:A,1,0),"NOVO")</f>
        <v>2590</v>
      </c>
    </row>
    <row r="592" spans="1:4" hidden="1" x14ac:dyDescent="0.35">
      <c r="A592" s="1">
        <v>2591</v>
      </c>
      <c r="B592" s="2">
        <v>46302</v>
      </c>
      <c r="C592" s="1" t="s">
        <v>19</v>
      </c>
      <c r="D592" s="1">
        <f>IFERROR(VLOOKUP(FISCALIZAÇÃO[[#This Row],[ID]],FISC_ACUM!A:A,1,0),"NOVO")</f>
        <v>2591</v>
      </c>
    </row>
    <row r="593" spans="1:4" hidden="1" x14ac:dyDescent="0.35">
      <c r="A593" s="1">
        <v>2592</v>
      </c>
      <c r="B593" s="2">
        <v>46302</v>
      </c>
      <c r="C593" s="1" t="s">
        <v>19</v>
      </c>
      <c r="D593" s="1">
        <f>IFERROR(VLOOKUP(FISCALIZAÇÃO[[#This Row],[ID]],FISC_ACUM!A:A,1,0),"NOVO")</f>
        <v>2592</v>
      </c>
    </row>
    <row r="594" spans="1:4" hidden="1" x14ac:dyDescent="0.35">
      <c r="A594" s="1">
        <v>2593</v>
      </c>
      <c r="B594" s="2">
        <v>46302</v>
      </c>
      <c r="C594" s="1" t="s">
        <v>3</v>
      </c>
      <c r="D594" s="1">
        <f>IFERROR(VLOOKUP(FISCALIZAÇÃO[[#This Row],[ID]],FISC_ACUM!A:A,1,0),"NOVO")</f>
        <v>2593</v>
      </c>
    </row>
    <row r="595" spans="1:4" hidden="1" x14ac:dyDescent="0.35">
      <c r="A595" s="1">
        <v>2594</v>
      </c>
      <c r="B595" s="2">
        <v>46302</v>
      </c>
      <c r="C595" s="1" t="s">
        <v>24</v>
      </c>
      <c r="D595" s="1">
        <f>IFERROR(VLOOKUP(FISCALIZAÇÃO[[#This Row],[ID]],FISC_ACUM!A:A,1,0),"NOVO")</f>
        <v>2594</v>
      </c>
    </row>
    <row r="596" spans="1:4" hidden="1" x14ac:dyDescent="0.35">
      <c r="A596" s="1">
        <v>2595</v>
      </c>
      <c r="B596" s="2">
        <v>46302</v>
      </c>
      <c r="C596" s="1" t="s">
        <v>24</v>
      </c>
      <c r="D596" s="1">
        <f>IFERROR(VLOOKUP(FISCALIZAÇÃO[[#This Row],[ID]],FISC_ACUM!A:A,1,0),"NOVO")</f>
        <v>2595</v>
      </c>
    </row>
    <row r="597" spans="1:4" hidden="1" x14ac:dyDescent="0.35">
      <c r="A597" s="1">
        <v>2596</v>
      </c>
      <c r="B597" s="2">
        <v>46302</v>
      </c>
      <c r="C597" s="1" t="s">
        <v>9</v>
      </c>
      <c r="D597" s="1">
        <f>IFERROR(VLOOKUP(FISCALIZAÇÃO[[#This Row],[ID]],FISC_ACUM!A:A,1,0),"NOVO")</f>
        <v>2596</v>
      </c>
    </row>
    <row r="598" spans="1:4" hidden="1" x14ac:dyDescent="0.35">
      <c r="A598" s="1">
        <v>2597</v>
      </c>
      <c r="B598" s="2">
        <v>46302</v>
      </c>
      <c r="C598" s="1" t="s">
        <v>9</v>
      </c>
      <c r="D598" s="1">
        <f>IFERROR(VLOOKUP(FISCALIZAÇÃO[[#This Row],[ID]],FISC_ACUM!A:A,1,0),"NOVO")</f>
        <v>2597</v>
      </c>
    </row>
    <row r="599" spans="1:4" hidden="1" x14ac:dyDescent="0.35">
      <c r="A599" s="1">
        <v>2598</v>
      </c>
      <c r="B599" s="2">
        <v>46302</v>
      </c>
      <c r="C599" s="1" t="s">
        <v>9</v>
      </c>
      <c r="D599" s="1">
        <f>IFERROR(VLOOKUP(FISCALIZAÇÃO[[#This Row],[ID]],FISC_ACUM!A:A,1,0),"NOVO")</f>
        <v>2598</v>
      </c>
    </row>
    <row r="600" spans="1:4" hidden="1" x14ac:dyDescent="0.35">
      <c r="A600" s="1">
        <v>2599</v>
      </c>
      <c r="B600" s="2">
        <v>46302</v>
      </c>
      <c r="C600" s="1" t="s">
        <v>19</v>
      </c>
      <c r="D600" s="1">
        <f>IFERROR(VLOOKUP(FISCALIZAÇÃO[[#This Row],[ID]],FISC_ACUM!A:A,1,0),"NOVO")</f>
        <v>2599</v>
      </c>
    </row>
    <row r="601" spans="1:4" hidden="1" x14ac:dyDescent="0.35">
      <c r="A601" s="1">
        <v>2600</v>
      </c>
      <c r="B601" s="2">
        <v>46308</v>
      </c>
      <c r="C601" s="1" t="s">
        <v>21</v>
      </c>
      <c r="D601" s="1">
        <f>IFERROR(VLOOKUP(FISCALIZAÇÃO[[#This Row],[ID]],FISC_ACUM!A:A,1,0),"NOVO")</f>
        <v>2600</v>
      </c>
    </row>
    <row r="602" spans="1:4" hidden="1" x14ac:dyDescent="0.35">
      <c r="A602" s="1">
        <v>2601</v>
      </c>
      <c r="B602" s="2">
        <v>46308</v>
      </c>
      <c r="C602" s="1" t="s">
        <v>9</v>
      </c>
      <c r="D602" s="1">
        <f>IFERROR(VLOOKUP(FISCALIZAÇÃO[[#This Row],[ID]],FISC_ACUM!A:A,1,0),"NOVO")</f>
        <v>2601</v>
      </c>
    </row>
    <row r="603" spans="1:4" hidden="1" x14ac:dyDescent="0.35">
      <c r="A603" s="1">
        <v>2602</v>
      </c>
      <c r="B603" s="2">
        <v>46308</v>
      </c>
      <c r="C603" s="1" t="s">
        <v>19</v>
      </c>
      <c r="D603" s="1">
        <f>IFERROR(VLOOKUP(FISCALIZAÇÃO[[#This Row],[ID]],FISC_ACUM!A:A,1,0),"NOVO")</f>
        <v>2602</v>
      </c>
    </row>
    <row r="604" spans="1:4" hidden="1" x14ac:dyDescent="0.35">
      <c r="A604" s="1">
        <v>2603</v>
      </c>
      <c r="B604" s="2">
        <v>46308</v>
      </c>
      <c r="C604" s="1" t="s">
        <v>21</v>
      </c>
      <c r="D604" s="1">
        <f>IFERROR(VLOOKUP(FISCALIZAÇÃO[[#This Row],[ID]],FISC_ACUM!A:A,1,0),"NOVO")</f>
        <v>2603</v>
      </c>
    </row>
    <row r="605" spans="1:4" hidden="1" x14ac:dyDescent="0.35">
      <c r="A605" s="1">
        <v>2604</v>
      </c>
      <c r="B605" s="2">
        <v>46308</v>
      </c>
      <c r="C605" s="1" t="s">
        <v>24</v>
      </c>
      <c r="D605" s="1">
        <f>IFERROR(VLOOKUP(FISCALIZAÇÃO[[#This Row],[ID]],FISC_ACUM!A:A,1,0),"NOVO")</f>
        <v>2604</v>
      </c>
    </row>
    <row r="606" spans="1:4" hidden="1" x14ac:dyDescent="0.35">
      <c r="A606" s="1">
        <v>2605</v>
      </c>
      <c r="B606" s="2">
        <v>46308</v>
      </c>
      <c r="C606" s="1" t="s">
        <v>24</v>
      </c>
      <c r="D606" s="1">
        <f>IFERROR(VLOOKUP(FISCALIZAÇÃO[[#This Row],[ID]],FISC_ACUM!A:A,1,0),"NOVO")</f>
        <v>2605</v>
      </c>
    </row>
    <row r="607" spans="1:4" hidden="1" x14ac:dyDescent="0.35">
      <c r="A607" s="1">
        <v>2606</v>
      </c>
      <c r="B607" s="2">
        <v>46308</v>
      </c>
      <c r="C607" s="1" t="s">
        <v>24</v>
      </c>
      <c r="D607" s="1">
        <f>IFERROR(VLOOKUP(FISCALIZAÇÃO[[#This Row],[ID]],FISC_ACUM!A:A,1,0),"NOVO")</f>
        <v>2606</v>
      </c>
    </row>
    <row r="608" spans="1:4" hidden="1" x14ac:dyDescent="0.35">
      <c r="A608" s="1">
        <v>2607</v>
      </c>
      <c r="B608" s="2">
        <v>46308</v>
      </c>
      <c r="C608" s="1" t="s">
        <v>24</v>
      </c>
      <c r="D608" s="1">
        <f>IFERROR(VLOOKUP(FISCALIZAÇÃO[[#This Row],[ID]],FISC_ACUM!A:A,1,0),"NOVO")</f>
        <v>2607</v>
      </c>
    </row>
    <row r="609" spans="1:4" hidden="1" x14ac:dyDescent="0.35">
      <c r="A609" s="1">
        <v>2612</v>
      </c>
      <c r="B609" s="2">
        <v>46309</v>
      </c>
      <c r="C609" s="1" t="s">
        <v>28</v>
      </c>
      <c r="D609" s="1">
        <f>IFERROR(VLOOKUP(FISCALIZAÇÃO[[#This Row],[ID]],FISC_ACUM!A:A,1,0),"NOVO")</f>
        <v>2612</v>
      </c>
    </row>
    <row r="610" spans="1:4" hidden="1" x14ac:dyDescent="0.35">
      <c r="A610" s="1">
        <v>2613</v>
      </c>
      <c r="B610" s="2">
        <v>46309</v>
      </c>
      <c r="C610" s="1" t="s">
        <v>21</v>
      </c>
      <c r="D610" s="1">
        <f>IFERROR(VLOOKUP(FISCALIZAÇÃO[[#This Row],[ID]],FISC_ACUM!A:A,1,0),"NOVO")</f>
        <v>2613</v>
      </c>
    </row>
    <row r="611" spans="1:4" hidden="1" x14ac:dyDescent="0.35">
      <c r="A611" s="1">
        <v>2614</v>
      </c>
      <c r="B611" s="2">
        <v>46309</v>
      </c>
      <c r="C611" s="1" t="s">
        <v>19</v>
      </c>
      <c r="D611" s="1">
        <f>IFERROR(VLOOKUP(FISCALIZAÇÃO[[#This Row],[ID]],FISC_ACUM!A:A,1,0),"NOVO")</f>
        <v>2614</v>
      </c>
    </row>
    <row r="612" spans="1:4" hidden="1" x14ac:dyDescent="0.35">
      <c r="A612" s="1">
        <v>2615</v>
      </c>
      <c r="B612" s="2">
        <v>46309</v>
      </c>
      <c r="C612" s="1" t="s">
        <v>19</v>
      </c>
      <c r="D612" s="1">
        <f>IFERROR(VLOOKUP(FISCALIZAÇÃO[[#This Row],[ID]],FISC_ACUM!A:A,1,0),"NOVO")</f>
        <v>2615</v>
      </c>
    </row>
    <row r="613" spans="1:4" hidden="1" x14ac:dyDescent="0.35">
      <c r="A613" s="1">
        <v>2616</v>
      </c>
      <c r="B613" s="2">
        <v>46309</v>
      </c>
      <c r="C613" s="1" t="s">
        <v>19</v>
      </c>
      <c r="D613" s="1">
        <f>IFERROR(VLOOKUP(FISCALIZAÇÃO[[#This Row],[ID]],FISC_ACUM!A:A,1,0),"NOVO")</f>
        <v>2616</v>
      </c>
    </row>
    <row r="614" spans="1:4" hidden="1" x14ac:dyDescent="0.35">
      <c r="A614" s="1">
        <v>2617</v>
      </c>
      <c r="B614" s="2">
        <v>46309</v>
      </c>
      <c r="C614" s="1" t="s">
        <v>19</v>
      </c>
      <c r="D614" s="1">
        <f>IFERROR(VLOOKUP(FISCALIZAÇÃO[[#This Row],[ID]],FISC_ACUM!A:A,1,0),"NOVO")</f>
        <v>2617</v>
      </c>
    </row>
    <row r="615" spans="1:4" hidden="1" x14ac:dyDescent="0.35">
      <c r="A615" s="1">
        <v>2618</v>
      </c>
      <c r="B615" s="2">
        <v>46309</v>
      </c>
      <c r="C615" s="1" t="s">
        <v>9</v>
      </c>
      <c r="D615" s="1">
        <f>IFERROR(VLOOKUP(FISCALIZAÇÃO[[#This Row],[ID]],FISC_ACUM!A:A,1,0),"NOVO")</f>
        <v>2618</v>
      </c>
    </row>
    <row r="616" spans="1:4" hidden="1" x14ac:dyDescent="0.35">
      <c r="A616" s="1">
        <v>2619</v>
      </c>
      <c r="B616" s="2">
        <v>46309</v>
      </c>
      <c r="C616" s="1" t="s">
        <v>9</v>
      </c>
      <c r="D616" s="1">
        <f>IFERROR(VLOOKUP(FISCALIZAÇÃO[[#This Row],[ID]],FISC_ACUM!A:A,1,0),"NOVO")</f>
        <v>2619</v>
      </c>
    </row>
    <row r="617" spans="1:4" hidden="1" x14ac:dyDescent="0.35">
      <c r="A617" s="1">
        <v>2620</v>
      </c>
      <c r="B617" s="2">
        <v>46310</v>
      </c>
      <c r="C617" s="1" t="s">
        <v>3</v>
      </c>
      <c r="D617" s="1">
        <f>IFERROR(VLOOKUP(FISCALIZAÇÃO[[#This Row],[ID]],FISC_ACUM!A:A,1,0),"NOVO")</f>
        <v>2620</v>
      </c>
    </row>
    <row r="618" spans="1:4" hidden="1" x14ac:dyDescent="0.35">
      <c r="A618" s="1">
        <v>2621</v>
      </c>
      <c r="B618" s="2">
        <v>46310</v>
      </c>
      <c r="C618" s="1" t="s">
        <v>19</v>
      </c>
      <c r="D618" s="1">
        <f>IFERROR(VLOOKUP(FISCALIZAÇÃO[[#This Row],[ID]],FISC_ACUM!A:A,1,0),"NOVO")</f>
        <v>2621</v>
      </c>
    </row>
    <row r="619" spans="1:4" hidden="1" x14ac:dyDescent="0.35">
      <c r="A619" s="1">
        <v>2622</v>
      </c>
      <c r="B619" s="2">
        <v>46310</v>
      </c>
      <c r="C619" s="1" t="s">
        <v>19</v>
      </c>
      <c r="D619" s="1">
        <f>IFERROR(VLOOKUP(FISCALIZAÇÃO[[#This Row],[ID]],FISC_ACUM!A:A,1,0),"NOVO")</f>
        <v>2622</v>
      </c>
    </row>
    <row r="620" spans="1:4" hidden="1" x14ac:dyDescent="0.35">
      <c r="A620" s="1">
        <v>2623</v>
      </c>
      <c r="B620" s="2">
        <v>46310</v>
      </c>
      <c r="C620" s="1" t="s">
        <v>3</v>
      </c>
      <c r="D620" s="1">
        <f>IFERROR(VLOOKUP(FISCALIZAÇÃO[[#This Row],[ID]],FISC_ACUM!A:A,1,0),"NOVO")</f>
        <v>2623</v>
      </c>
    </row>
    <row r="621" spans="1:4" hidden="1" x14ac:dyDescent="0.35">
      <c r="A621" s="1">
        <v>2624</v>
      </c>
      <c r="B621" s="2">
        <v>46310</v>
      </c>
      <c r="C621" s="1" t="s">
        <v>19</v>
      </c>
      <c r="D621" s="1">
        <f>IFERROR(VLOOKUP(FISCALIZAÇÃO[[#This Row],[ID]],FISC_ACUM!A:A,1,0),"NOVO")</f>
        <v>2624</v>
      </c>
    </row>
    <row r="622" spans="1:4" hidden="1" x14ac:dyDescent="0.35">
      <c r="A622" s="1">
        <v>2625</v>
      </c>
      <c r="B622" s="2">
        <v>46310</v>
      </c>
      <c r="C622" s="1" t="s">
        <v>9</v>
      </c>
      <c r="D622" s="1">
        <f>IFERROR(VLOOKUP(FISCALIZAÇÃO[[#This Row],[ID]],FISC_ACUM!A:A,1,0),"NOVO")</f>
        <v>2625</v>
      </c>
    </row>
    <row r="623" spans="1:4" hidden="1" x14ac:dyDescent="0.35">
      <c r="A623" s="1">
        <v>2629</v>
      </c>
      <c r="B623" s="2">
        <v>46314</v>
      </c>
      <c r="C623" s="1" t="s">
        <v>3</v>
      </c>
      <c r="D623" s="1">
        <f>IFERROR(VLOOKUP(FISCALIZAÇÃO[[#This Row],[ID]],FISC_ACUM!A:A,1,0),"NOVO")</f>
        <v>2629</v>
      </c>
    </row>
    <row r="624" spans="1:4" hidden="1" x14ac:dyDescent="0.35">
      <c r="A624" s="1">
        <v>2630</v>
      </c>
      <c r="B624" s="2">
        <v>46314</v>
      </c>
      <c r="C624" s="1" t="s">
        <v>3</v>
      </c>
      <c r="D624" s="1">
        <f>IFERROR(VLOOKUP(FISCALIZAÇÃO[[#This Row],[ID]],FISC_ACUM!A:A,1,0),"NOVO")</f>
        <v>2630</v>
      </c>
    </row>
    <row r="625" spans="1:4" hidden="1" x14ac:dyDescent="0.35">
      <c r="A625" s="1">
        <v>2631</v>
      </c>
      <c r="B625" s="2">
        <v>46314</v>
      </c>
      <c r="C625" s="1" t="s">
        <v>9</v>
      </c>
      <c r="D625" s="1">
        <f>IFERROR(VLOOKUP(FISCALIZAÇÃO[[#This Row],[ID]],FISC_ACUM!A:A,1,0),"NOVO")</f>
        <v>2631</v>
      </c>
    </row>
    <row r="626" spans="1:4" hidden="1" x14ac:dyDescent="0.35">
      <c r="A626" s="1">
        <v>2632</v>
      </c>
      <c r="B626" s="2">
        <v>46314</v>
      </c>
      <c r="C626" s="1" t="s">
        <v>19</v>
      </c>
      <c r="D626" s="1">
        <f>IFERROR(VLOOKUP(FISCALIZAÇÃO[[#This Row],[ID]],FISC_ACUM!A:A,1,0),"NOVO")</f>
        <v>2632</v>
      </c>
    </row>
    <row r="627" spans="1:4" hidden="1" x14ac:dyDescent="0.35">
      <c r="A627" s="1">
        <v>2633</v>
      </c>
      <c r="B627" s="2">
        <v>46314</v>
      </c>
      <c r="C627" s="1" t="s">
        <v>19</v>
      </c>
      <c r="D627" s="1">
        <f>IFERROR(VLOOKUP(FISCALIZAÇÃO[[#This Row],[ID]],FISC_ACUM!A:A,1,0),"NOVO")</f>
        <v>2633</v>
      </c>
    </row>
    <row r="628" spans="1:4" hidden="1" x14ac:dyDescent="0.35">
      <c r="A628" s="1">
        <v>2634</v>
      </c>
      <c r="B628" s="2">
        <v>46314</v>
      </c>
      <c r="C628" s="1" t="s">
        <v>19</v>
      </c>
      <c r="D628" s="1">
        <f>IFERROR(VLOOKUP(FISCALIZAÇÃO[[#This Row],[ID]],FISC_ACUM!A:A,1,0),"NOVO")</f>
        <v>2634</v>
      </c>
    </row>
    <row r="629" spans="1:4" hidden="1" x14ac:dyDescent="0.35">
      <c r="A629" s="1">
        <v>2635</v>
      </c>
      <c r="B629" s="2">
        <v>46314</v>
      </c>
      <c r="C629" s="1" t="s">
        <v>3</v>
      </c>
      <c r="D629" s="1">
        <f>IFERROR(VLOOKUP(FISCALIZAÇÃO[[#This Row],[ID]],FISC_ACUM!A:A,1,0),"NOVO")</f>
        <v>2635</v>
      </c>
    </row>
    <row r="630" spans="1:4" hidden="1" x14ac:dyDescent="0.35">
      <c r="A630" s="1">
        <v>2636</v>
      </c>
      <c r="B630" s="2">
        <v>46314</v>
      </c>
      <c r="C630" s="1" t="s">
        <v>9</v>
      </c>
      <c r="D630" s="1">
        <f>IFERROR(VLOOKUP(FISCALIZAÇÃO[[#This Row],[ID]],FISC_ACUM!A:A,1,0),"NOVO")</f>
        <v>2636</v>
      </c>
    </row>
    <row r="631" spans="1:4" hidden="1" x14ac:dyDescent="0.35">
      <c r="A631" s="1">
        <v>2637</v>
      </c>
      <c r="B631" s="2">
        <v>46314</v>
      </c>
      <c r="C631" s="1" t="s">
        <v>24</v>
      </c>
      <c r="D631" s="1">
        <f>IFERROR(VLOOKUP(FISCALIZAÇÃO[[#This Row],[ID]],FISC_ACUM!A:A,1,0),"NOVO")</f>
        <v>2637</v>
      </c>
    </row>
    <row r="632" spans="1:4" hidden="1" x14ac:dyDescent="0.35">
      <c r="A632" s="1">
        <v>2638</v>
      </c>
      <c r="B632" s="2">
        <v>46314</v>
      </c>
      <c r="C632" s="1" t="s">
        <v>3</v>
      </c>
      <c r="D632" s="1">
        <f>IFERROR(VLOOKUP(FISCALIZAÇÃO[[#This Row],[ID]],FISC_ACUM!A:A,1,0),"NOVO")</f>
        <v>2638</v>
      </c>
    </row>
    <row r="633" spans="1:4" hidden="1" x14ac:dyDescent="0.35">
      <c r="A633" s="1">
        <v>2639</v>
      </c>
      <c r="B633" s="2">
        <v>46314</v>
      </c>
      <c r="C633" s="1" t="s">
        <v>3</v>
      </c>
      <c r="D633" s="1">
        <f>IFERROR(VLOOKUP(FISCALIZAÇÃO[[#This Row],[ID]],FISC_ACUM!A:A,1,0),"NOVO")</f>
        <v>2639</v>
      </c>
    </row>
    <row r="634" spans="1:4" hidden="1" x14ac:dyDescent="0.35">
      <c r="A634" s="1">
        <v>2640</v>
      </c>
      <c r="B634" s="2">
        <v>46314</v>
      </c>
      <c r="C634" s="1" t="s">
        <v>9</v>
      </c>
      <c r="D634" s="1">
        <f>IFERROR(VLOOKUP(FISCALIZAÇÃO[[#This Row],[ID]],FISC_ACUM!A:A,1,0),"NOVO")</f>
        <v>2640</v>
      </c>
    </row>
    <row r="635" spans="1:4" hidden="1" x14ac:dyDescent="0.35">
      <c r="A635" s="1">
        <v>2641</v>
      </c>
      <c r="B635" s="2">
        <v>46314</v>
      </c>
      <c r="C635" s="1" t="s">
        <v>9</v>
      </c>
      <c r="D635" s="1">
        <f>IFERROR(VLOOKUP(FISCALIZAÇÃO[[#This Row],[ID]],FISC_ACUM!A:A,1,0),"NOVO")</f>
        <v>2641</v>
      </c>
    </row>
    <row r="636" spans="1:4" hidden="1" x14ac:dyDescent="0.35">
      <c r="A636" s="1">
        <v>2642</v>
      </c>
      <c r="B636" s="2">
        <v>46314</v>
      </c>
      <c r="C636" s="1" t="s">
        <v>9</v>
      </c>
      <c r="D636" s="1">
        <f>IFERROR(VLOOKUP(FISCALIZAÇÃO[[#This Row],[ID]],FISC_ACUM!A:A,1,0),"NOVO")</f>
        <v>2642</v>
      </c>
    </row>
    <row r="637" spans="1:4" hidden="1" x14ac:dyDescent="0.35">
      <c r="A637" s="1">
        <v>2643</v>
      </c>
      <c r="B637" s="2">
        <v>46314</v>
      </c>
      <c r="C637" s="1" t="s">
        <v>9</v>
      </c>
      <c r="D637" s="1">
        <f>IFERROR(VLOOKUP(FISCALIZAÇÃO[[#This Row],[ID]],FISC_ACUM!A:A,1,0),"NOVO")</f>
        <v>2643</v>
      </c>
    </row>
    <row r="638" spans="1:4" hidden="1" x14ac:dyDescent="0.35">
      <c r="A638" s="1">
        <v>2646</v>
      </c>
      <c r="B638" s="2">
        <v>46314</v>
      </c>
      <c r="C638" s="1" t="s">
        <v>3</v>
      </c>
      <c r="D638" s="1">
        <f>IFERROR(VLOOKUP(FISCALIZAÇÃO[[#This Row],[ID]],FISC_ACUM!A:A,1,0),"NOVO")</f>
        <v>2646</v>
      </c>
    </row>
    <row r="639" spans="1:4" hidden="1" x14ac:dyDescent="0.35">
      <c r="A639" s="1">
        <v>2652</v>
      </c>
      <c r="B639" s="2">
        <v>46315</v>
      </c>
      <c r="C639" s="1" t="s">
        <v>3</v>
      </c>
      <c r="D639" s="1">
        <f>IFERROR(VLOOKUP(FISCALIZAÇÃO[[#This Row],[ID]],FISC_ACUM!A:A,1,0),"NOVO")</f>
        <v>2652</v>
      </c>
    </row>
    <row r="640" spans="1:4" hidden="1" x14ac:dyDescent="0.35">
      <c r="A640" s="1">
        <v>2653</v>
      </c>
      <c r="B640" s="2">
        <v>46315</v>
      </c>
      <c r="C640" s="1" t="s">
        <v>3</v>
      </c>
      <c r="D640" s="1">
        <f>IFERROR(VLOOKUP(FISCALIZAÇÃO[[#This Row],[ID]],FISC_ACUM!A:A,1,0),"NOVO")</f>
        <v>2653</v>
      </c>
    </row>
    <row r="641" spans="1:4" hidden="1" x14ac:dyDescent="0.35">
      <c r="A641" s="1">
        <v>2654</v>
      </c>
      <c r="B641" s="2">
        <v>46315</v>
      </c>
      <c r="C641" s="1" t="s">
        <v>3</v>
      </c>
      <c r="D641" s="1">
        <f>IFERROR(VLOOKUP(FISCALIZAÇÃO[[#This Row],[ID]],FISC_ACUM!A:A,1,0),"NOVO")</f>
        <v>2654</v>
      </c>
    </row>
    <row r="642" spans="1:4" hidden="1" x14ac:dyDescent="0.35">
      <c r="A642" s="1">
        <v>2655</v>
      </c>
      <c r="B642" s="2">
        <v>46315</v>
      </c>
      <c r="C642" s="1" t="s">
        <v>19</v>
      </c>
      <c r="D642" s="1">
        <f>IFERROR(VLOOKUP(FISCALIZAÇÃO[[#This Row],[ID]],FISC_ACUM!A:A,1,0),"NOVO")</f>
        <v>2655</v>
      </c>
    </row>
    <row r="643" spans="1:4" hidden="1" x14ac:dyDescent="0.35">
      <c r="A643" s="1">
        <v>2656</v>
      </c>
      <c r="B643" s="2">
        <v>46315</v>
      </c>
      <c r="C643" s="1" t="s">
        <v>19</v>
      </c>
      <c r="D643" s="1">
        <f>IFERROR(VLOOKUP(FISCALIZAÇÃO[[#This Row],[ID]],FISC_ACUM!A:A,1,0),"NOVO")</f>
        <v>2656</v>
      </c>
    </row>
    <row r="644" spans="1:4" hidden="1" x14ac:dyDescent="0.35">
      <c r="A644" s="1">
        <v>2659</v>
      </c>
      <c r="B644" s="2">
        <v>46315</v>
      </c>
      <c r="C644" s="1" t="s">
        <v>19</v>
      </c>
      <c r="D644" s="1">
        <f>IFERROR(VLOOKUP(FISCALIZAÇÃO[[#This Row],[ID]],FISC_ACUM!A:A,1,0),"NOVO")</f>
        <v>2659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0DF4-5D86-4E1B-A6FE-AFB4951C4A83}">
  <dimension ref="A1:D644"/>
  <sheetViews>
    <sheetView showGridLines="0" topLeftCell="A624" workbookViewId="0">
      <selection activeCell="A644" sqref="A644"/>
    </sheetView>
  </sheetViews>
  <sheetFormatPr defaultColWidth="8.6328125" defaultRowHeight="10.5" x14ac:dyDescent="0.35"/>
  <cols>
    <col min="1" max="1" width="6.453125" style="1" bestFit="1" customWidth="1"/>
    <col min="2" max="2" width="8.36328125" style="2" bestFit="1" customWidth="1"/>
    <col min="3" max="3" width="25.453125" style="1" bestFit="1" customWidth="1"/>
    <col min="4" max="16384" width="8.6328125" style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29</v>
      </c>
    </row>
    <row r="2" spans="1:4" x14ac:dyDescent="0.35">
      <c r="A2" s="1">
        <v>1474</v>
      </c>
      <c r="B2" s="2">
        <v>46077</v>
      </c>
      <c r="C2" s="1" t="s">
        <v>74</v>
      </c>
      <c r="D2" s="1">
        <f>MONTH(Tabela12[[#This Row],[DATA]])</f>
        <v>2</v>
      </c>
    </row>
    <row r="3" spans="1:4" x14ac:dyDescent="0.35">
      <c r="A3" s="1">
        <v>1480</v>
      </c>
      <c r="B3" s="2">
        <v>46078</v>
      </c>
      <c r="C3" s="1" t="s">
        <v>74</v>
      </c>
      <c r="D3" s="1">
        <f>MONTH(Tabela12[[#This Row],[DATA]])</f>
        <v>2</v>
      </c>
    </row>
    <row r="4" spans="1:4" x14ac:dyDescent="0.35">
      <c r="A4" s="1">
        <v>1490</v>
      </c>
      <c r="B4" s="2">
        <v>46078</v>
      </c>
      <c r="C4" s="1" t="s">
        <v>24</v>
      </c>
      <c r="D4" s="1">
        <f>MONTH(Tabela12[[#This Row],[DATA]])</f>
        <v>2</v>
      </c>
    </row>
    <row r="5" spans="1:4" x14ac:dyDescent="0.35">
      <c r="A5" s="1">
        <v>1491</v>
      </c>
      <c r="B5" s="2">
        <v>46078</v>
      </c>
      <c r="C5" s="1" t="s">
        <v>9</v>
      </c>
      <c r="D5" s="1">
        <f>MONTH(Tabela12[[#This Row],[DATA]])</f>
        <v>2</v>
      </c>
    </row>
    <row r="6" spans="1:4" x14ac:dyDescent="0.35">
      <c r="A6" s="1">
        <v>1487</v>
      </c>
      <c r="B6" s="2">
        <v>46078</v>
      </c>
      <c r="C6" s="1" t="s">
        <v>24</v>
      </c>
      <c r="D6" s="1">
        <f>MONTH(Tabela12[[#This Row],[DATA]])</f>
        <v>2</v>
      </c>
    </row>
    <row r="7" spans="1:4" x14ac:dyDescent="0.35">
      <c r="A7" s="1">
        <v>1488</v>
      </c>
      <c r="B7" s="2">
        <v>46078</v>
      </c>
      <c r="C7" s="1" t="s">
        <v>34</v>
      </c>
      <c r="D7" s="1">
        <f>MONTH(Tabela12[[#This Row],[DATA]])</f>
        <v>2</v>
      </c>
    </row>
    <row r="8" spans="1:4" x14ac:dyDescent="0.35">
      <c r="A8" s="1">
        <v>1502</v>
      </c>
      <c r="B8" s="2">
        <v>46078</v>
      </c>
      <c r="C8" s="1" t="s">
        <v>34</v>
      </c>
      <c r="D8" s="1">
        <f>MONTH(Tabela12[[#This Row],[DATA]])</f>
        <v>2</v>
      </c>
    </row>
    <row r="9" spans="1:4" x14ac:dyDescent="0.35">
      <c r="A9" s="1">
        <v>1503</v>
      </c>
      <c r="B9" s="2">
        <v>46078</v>
      </c>
      <c r="C9" s="1" t="s">
        <v>34</v>
      </c>
      <c r="D9" s="1">
        <f>MONTH(Tabela12[[#This Row],[DATA]])</f>
        <v>2</v>
      </c>
    </row>
    <row r="10" spans="1:4" x14ac:dyDescent="0.35">
      <c r="A10" s="1">
        <v>1504</v>
      </c>
      <c r="B10" s="2">
        <v>46078</v>
      </c>
      <c r="C10" s="1" t="s">
        <v>9</v>
      </c>
      <c r="D10" s="1">
        <f>MONTH(Tabela12[[#This Row],[DATA]])</f>
        <v>2</v>
      </c>
    </row>
    <row r="11" spans="1:4" x14ac:dyDescent="0.35">
      <c r="A11" s="1">
        <v>1505</v>
      </c>
      <c r="B11" s="2">
        <v>46078</v>
      </c>
      <c r="C11" s="1" t="s">
        <v>9</v>
      </c>
      <c r="D11" s="1">
        <f>MONTH(Tabela12[[#This Row],[DATA]])</f>
        <v>2</v>
      </c>
    </row>
    <row r="12" spans="1:4" x14ac:dyDescent="0.35">
      <c r="A12" s="1">
        <v>1506</v>
      </c>
      <c r="B12" s="2">
        <v>46078</v>
      </c>
      <c r="C12" s="1" t="s">
        <v>9</v>
      </c>
      <c r="D12" s="1">
        <f>MONTH(Tabela12[[#This Row],[DATA]])</f>
        <v>2</v>
      </c>
    </row>
    <row r="13" spans="1:4" x14ac:dyDescent="0.35">
      <c r="A13" s="1">
        <v>1511</v>
      </c>
      <c r="B13" s="2">
        <v>46079</v>
      </c>
      <c r="C13" s="1" t="s">
        <v>33</v>
      </c>
      <c r="D13" s="1">
        <f>MONTH(Tabela12[[#This Row],[DATA]])</f>
        <v>2</v>
      </c>
    </row>
    <row r="14" spans="1:4" x14ac:dyDescent="0.35">
      <c r="A14" s="1">
        <v>1512</v>
      </c>
      <c r="B14" s="2">
        <v>46079</v>
      </c>
      <c r="C14" s="1" t="s">
        <v>21</v>
      </c>
      <c r="D14" s="1">
        <f>MONTH(Tabela12[[#This Row],[DATA]])</f>
        <v>2</v>
      </c>
    </row>
    <row r="15" spans="1:4" x14ac:dyDescent="0.35">
      <c r="A15" s="1">
        <v>1521</v>
      </c>
      <c r="B15" s="2">
        <v>46079</v>
      </c>
      <c r="C15" s="1" t="s">
        <v>9</v>
      </c>
      <c r="D15" s="1">
        <f>MONTH(Tabela12[[#This Row],[DATA]])</f>
        <v>2</v>
      </c>
    </row>
    <row r="16" spans="1:4" x14ac:dyDescent="0.35">
      <c r="A16" s="1">
        <v>1522</v>
      </c>
      <c r="B16" s="2">
        <v>46079</v>
      </c>
      <c r="C16" s="1" t="s">
        <v>5</v>
      </c>
      <c r="D16" s="1">
        <f>MONTH(Tabela12[[#This Row],[DATA]])</f>
        <v>2</v>
      </c>
    </row>
    <row r="17" spans="1:4" x14ac:dyDescent="0.35">
      <c r="A17" s="1">
        <v>1526</v>
      </c>
      <c r="B17" s="2">
        <v>46080</v>
      </c>
      <c r="C17" s="1" t="s">
        <v>9</v>
      </c>
      <c r="D17" s="1">
        <f>MONTH(Tabela12[[#This Row],[DATA]])</f>
        <v>2</v>
      </c>
    </row>
    <row r="18" spans="1:4" x14ac:dyDescent="0.35">
      <c r="A18" s="1">
        <v>1535</v>
      </c>
      <c r="B18" s="2">
        <v>46080</v>
      </c>
      <c r="C18" s="1" t="s">
        <v>34</v>
      </c>
      <c r="D18" s="1">
        <f>MONTH(Tabela12[[#This Row],[DATA]])</f>
        <v>2</v>
      </c>
    </row>
    <row r="19" spans="1:4" x14ac:dyDescent="0.35">
      <c r="A19" s="1">
        <v>1536</v>
      </c>
      <c r="B19" s="2">
        <v>46080</v>
      </c>
      <c r="C19" s="1" t="s">
        <v>5</v>
      </c>
      <c r="D19" s="1">
        <f>MONTH(Tabela12[[#This Row],[DATA]])</f>
        <v>2</v>
      </c>
    </row>
    <row r="20" spans="1:4" x14ac:dyDescent="0.35">
      <c r="A20" s="1">
        <v>1537</v>
      </c>
      <c r="B20" s="2">
        <v>46080</v>
      </c>
      <c r="C20" s="1" t="s">
        <v>5</v>
      </c>
      <c r="D20" s="1">
        <f>MONTH(Tabela12[[#This Row],[DATA]])</f>
        <v>2</v>
      </c>
    </row>
    <row r="21" spans="1:4" x14ac:dyDescent="0.35">
      <c r="A21" s="1">
        <v>1579</v>
      </c>
      <c r="B21" s="2">
        <v>46084</v>
      </c>
      <c r="C21" s="1" t="s">
        <v>34</v>
      </c>
      <c r="D21" s="1">
        <f>MONTH(Tabela12[[#This Row],[DATA]])</f>
        <v>3</v>
      </c>
    </row>
    <row r="22" spans="1:4" x14ac:dyDescent="0.35">
      <c r="A22" s="1">
        <v>1580</v>
      </c>
      <c r="B22" s="2">
        <v>46084</v>
      </c>
      <c r="C22" s="1" t="s">
        <v>5</v>
      </c>
      <c r="D22" s="1">
        <f>MONTH(Tabela12[[#This Row],[DATA]])</f>
        <v>3</v>
      </c>
    </row>
    <row r="23" spans="1:4" x14ac:dyDescent="0.35">
      <c r="A23" s="1">
        <v>1581</v>
      </c>
      <c r="B23" s="2">
        <v>46084</v>
      </c>
      <c r="C23" s="1" t="s">
        <v>34</v>
      </c>
      <c r="D23" s="1">
        <f>MONTH(Tabela12[[#This Row],[DATA]])</f>
        <v>3</v>
      </c>
    </row>
    <row r="24" spans="1:4" x14ac:dyDescent="0.35">
      <c r="A24" s="1">
        <v>1582</v>
      </c>
      <c r="B24" s="2">
        <v>46084</v>
      </c>
      <c r="C24" s="1" t="s">
        <v>33</v>
      </c>
      <c r="D24" s="1">
        <f>MONTH(Tabela12[[#This Row],[DATA]])</f>
        <v>3</v>
      </c>
    </row>
    <row r="25" spans="1:4" x14ac:dyDescent="0.35">
      <c r="A25" s="1">
        <v>1583</v>
      </c>
      <c r="B25" s="2">
        <v>46084</v>
      </c>
      <c r="C25" s="1" t="s">
        <v>5</v>
      </c>
      <c r="D25" s="1">
        <f>MONTH(Tabela12[[#This Row],[DATA]])</f>
        <v>3</v>
      </c>
    </row>
    <row r="26" spans="1:4" x14ac:dyDescent="0.35">
      <c r="A26" s="1">
        <v>1651</v>
      </c>
      <c r="B26" s="2">
        <v>46087</v>
      </c>
      <c r="C26" s="1" t="s">
        <v>28</v>
      </c>
      <c r="D26" s="1">
        <f>MONTH(Tabela12[[#This Row],[DATA]])</f>
        <v>3</v>
      </c>
    </row>
    <row r="27" spans="1:4" x14ac:dyDescent="0.35">
      <c r="A27" s="1">
        <v>1652</v>
      </c>
      <c r="B27" s="2">
        <v>46087</v>
      </c>
      <c r="C27" s="1" t="s">
        <v>33</v>
      </c>
      <c r="D27" s="1">
        <f>MONTH(Tabela12[[#This Row],[DATA]])</f>
        <v>3</v>
      </c>
    </row>
    <row r="28" spans="1:4" x14ac:dyDescent="0.35">
      <c r="A28" s="1">
        <v>1654</v>
      </c>
      <c r="B28" s="2">
        <v>46087</v>
      </c>
      <c r="C28" s="1" t="s">
        <v>5</v>
      </c>
      <c r="D28" s="1">
        <f>MONTH(Tabela12[[#This Row],[DATA]])</f>
        <v>3</v>
      </c>
    </row>
    <row r="29" spans="1:4" x14ac:dyDescent="0.35">
      <c r="A29" s="1">
        <v>1655</v>
      </c>
      <c r="B29" s="2">
        <v>46087</v>
      </c>
      <c r="C29" s="1" t="s">
        <v>5</v>
      </c>
      <c r="D29" s="1">
        <f>MONTH(Tabela12[[#This Row],[DATA]])</f>
        <v>3</v>
      </c>
    </row>
    <row r="30" spans="1:4" x14ac:dyDescent="0.35">
      <c r="A30" s="1">
        <v>1656</v>
      </c>
      <c r="B30" s="2">
        <v>46087</v>
      </c>
      <c r="C30" s="1" t="s">
        <v>5</v>
      </c>
      <c r="D30" s="1">
        <f>MONTH(Tabela12[[#This Row],[DATA]])</f>
        <v>3</v>
      </c>
    </row>
    <row r="31" spans="1:4" x14ac:dyDescent="0.35">
      <c r="A31" s="1">
        <v>1657</v>
      </c>
      <c r="B31" s="2">
        <v>46087</v>
      </c>
      <c r="C31" s="1" t="s">
        <v>21</v>
      </c>
      <c r="D31" s="1">
        <f>MONTH(Tabela12[[#This Row],[DATA]])</f>
        <v>3</v>
      </c>
    </row>
    <row r="32" spans="1:4" x14ac:dyDescent="0.35">
      <c r="A32" s="1">
        <v>1658</v>
      </c>
      <c r="B32" s="2">
        <v>46087</v>
      </c>
      <c r="C32" s="1" t="s">
        <v>24</v>
      </c>
      <c r="D32" s="1">
        <f>MONTH(Tabela12[[#This Row],[DATA]])</f>
        <v>3</v>
      </c>
    </row>
    <row r="33" spans="1:4" x14ac:dyDescent="0.35">
      <c r="A33" s="1">
        <v>1659</v>
      </c>
      <c r="B33" s="2">
        <v>46087</v>
      </c>
      <c r="C33" s="1" t="s">
        <v>24</v>
      </c>
      <c r="D33" s="1">
        <f>MONTH(Tabela12[[#This Row],[DATA]])</f>
        <v>3</v>
      </c>
    </row>
    <row r="34" spans="1:4" x14ac:dyDescent="0.35">
      <c r="A34" s="1">
        <v>1660</v>
      </c>
      <c r="B34" s="2">
        <v>46087</v>
      </c>
      <c r="C34" s="1" t="s">
        <v>28</v>
      </c>
      <c r="D34" s="1">
        <f>MONTH(Tabela12[[#This Row],[DATA]])</f>
        <v>3</v>
      </c>
    </row>
    <row r="35" spans="1:4" x14ac:dyDescent="0.35">
      <c r="A35" s="1">
        <v>1661</v>
      </c>
      <c r="B35" s="2">
        <v>46087</v>
      </c>
      <c r="C35" s="1" t="s">
        <v>24</v>
      </c>
      <c r="D35" s="1">
        <f>MONTH(Tabela12[[#This Row],[DATA]])</f>
        <v>3</v>
      </c>
    </row>
    <row r="36" spans="1:4" x14ac:dyDescent="0.35">
      <c r="A36" s="1">
        <v>1662</v>
      </c>
      <c r="B36" s="2">
        <v>46087</v>
      </c>
      <c r="C36" s="1" t="s">
        <v>9</v>
      </c>
      <c r="D36" s="1">
        <f>MONTH(Tabela12[[#This Row],[DATA]])</f>
        <v>3</v>
      </c>
    </row>
    <row r="37" spans="1:4" x14ac:dyDescent="0.35">
      <c r="A37" s="1">
        <v>1663</v>
      </c>
      <c r="B37" s="2">
        <v>46087</v>
      </c>
      <c r="C37" s="1" t="s">
        <v>9</v>
      </c>
      <c r="D37" s="1">
        <f>MONTH(Tabela12[[#This Row],[DATA]])</f>
        <v>3</v>
      </c>
    </row>
    <row r="38" spans="1:4" x14ac:dyDescent="0.35">
      <c r="A38" s="1">
        <v>1664</v>
      </c>
      <c r="B38" s="2">
        <v>46087</v>
      </c>
      <c r="C38" s="1" t="s">
        <v>24</v>
      </c>
      <c r="D38" s="1">
        <f>MONTH(Tabela12[[#This Row],[DATA]])</f>
        <v>3</v>
      </c>
    </row>
    <row r="39" spans="1:4" x14ac:dyDescent="0.35">
      <c r="A39" s="1">
        <v>1665</v>
      </c>
      <c r="B39" s="2">
        <v>46087</v>
      </c>
      <c r="C39" s="1" t="s">
        <v>33</v>
      </c>
      <c r="D39" s="1">
        <f>MONTH(Tabela12[[#This Row],[DATA]])</f>
        <v>3</v>
      </c>
    </row>
    <row r="40" spans="1:4" x14ac:dyDescent="0.35">
      <c r="A40" s="1">
        <v>1666</v>
      </c>
      <c r="B40" s="2">
        <v>46087</v>
      </c>
      <c r="C40" s="1" t="s">
        <v>33</v>
      </c>
      <c r="D40" s="1">
        <f>MONTH(Tabela12[[#This Row],[DATA]])</f>
        <v>3</v>
      </c>
    </row>
    <row r="41" spans="1:4" x14ac:dyDescent="0.35">
      <c r="A41" s="1">
        <v>1667</v>
      </c>
      <c r="B41" s="2">
        <v>46087</v>
      </c>
      <c r="C41" s="1" t="s">
        <v>33</v>
      </c>
      <c r="D41" s="1">
        <f>MONTH(Tabela12[[#This Row],[DATA]])</f>
        <v>3</v>
      </c>
    </row>
    <row r="42" spans="1:4" x14ac:dyDescent="0.35">
      <c r="A42" s="1">
        <v>1668</v>
      </c>
      <c r="B42" s="2">
        <v>46087</v>
      </c>
      <c r="C42" s="1" t="s">
        <v>28</v>
      </c>
      <c r="D42" s="1">
        <f>MONTH(Tabela12[[#This Row],[DATA]])</f>
        <v>3</v>
      </c>
    </row>
    <row r="43" spans="1:4" x14ac:dyDescent="0.35">
      <c r="A43" s="1">
        <v>1669</v>
      </c>
      <c r="B43" s="2">
        <v>46087</v>
      </c>
      <c r="C43" s="1" t="s">
        <v>22</v>
      </c>
      <c r="D43" s="1">
        <f>MONTH(Tabela12[[#This Row],[DATA]])</f>
        <v>3</v>
      </c>
    </row>
    <row r="44" spans="1:4" x14ac:dyDescent="0.35">
      <c r="A44" s="1">
        <v>1670</v>
      </c>
      <c r="B44" s="2">
        <v>46087</v>
      </c>
      <c r="C44" s="1" t="s">
        <v>33</v>
      </c>
      <c r="D44" s="1">
        <f>MONTH(Tabela12[[#This Row],[DATA]])</f>
        <v>3</v>
      </c>
    </row>
    <row r="45" spans="1:4" x14ac:dyDescent="0.35">
      <c r="A45" s="1">
        <v>1671</v>
      </c>
      <c r="B45" s="2">
        <v>46087</v>
      </c>
      <c r="C45" s="1" t="s">
        <v>33</v>
      </c>
      <c r="D45" s="1">
        <f>MONTH(Tabela12[[#This Row],[DATA]])</f>
        <v>3</v>
      </c>
    </row>
    <row r="46" spans="1:4" x14ac:dyDescent="0.35">
      <c r="A46" s="1">
        <v>1672</v>
      </c>
      <c r="B46" s="2">
        <v>46087</v>
      </c>
      <c r="C46" s="1" t="s">
        <v>33</v>
      </c>
      <c r="D46" s="1">
        <f>MONTH(Tabela12[[#This Row],[DATA]])</f>
        <v>3</v>
      </c>
    </row>
    <row r="47" spans="1:4" x14ac:dyDescent="0.35">
      <c r="A47" s="1">
        <v>1673</v>
      </c>
      <c r="B47" s="2">
        <v>46087</v>
      </c>
      <c r="C47" s="1" t="s">
        <v>22</v>
      </c>
      <c r="D47" s="1">
        <f>MONTH(Tabela12[[#This Row],[DATA]])</f>
        <v>3</v>
      </c>
    </row>
    <row r="48" spans="1:4" x14ac:dyDescent="0.35">
      <c r="A48" s="1">
        <v>1674</v>
      </c>
      <c r="B48" s="2">
        <v>46087</v>
      </c>
      <c r="C48" s="1" t="s">
        <v>22</v>
      </c>
      <c r="D48" s="1">
        <f>MONTH(Tabela12[[#This Row],[DATA]])</f>
        <v>3</v>
      </c>
    </row>
    <row r="49" spans="1:4" x14ac:dyDescent="0.35">
      <c r="A49" s="1">
        <v>1688</v>
      </c>
      <c r="B49" s="2">
        <v>46091</v>
      </c>
      <c r="C49" s="1" t="s">
        <v>28</v>
      </c>
      <c r="D49" s="1">
        <f>MONTH(Tabela12[[#This Row],[DATA]])</f>
        <v>3</v>
      </c>
    </row>
    <row r="50" spans="1:4" x14ac:dyDescent="0.35">
      <c r="A50" s="1">
        <v>1690</v>
      </c>
      <c r="B50" s="2">
        <v>46091</v>
      </c>
      <c r="C50" s="1" t="s">
        <v>5</v>
      </c>
      <c r="D50" s="1">
        <f>MONTH(Tabela12[[#This Row],[DATA]])</f>
        <v>3</v>
      </c>
    </row>
    <row r="51" spans="1:4" x14ac:dyDescent="0.35">
      <c r="A51" s="1">
        <v>1691</v>
      </c>
      <c r="B51" s="2">
        <v>46091</v>
      </c>
      <c r="C51" s="1" t="s">
        <v>21</v>
      </c>
      <c r="D51" s="1">
        <f>MONTH(Tabela12[[#This Row],[DATA]])</f>
        <v>3</v>
      </c>
    </row>
    <row r="52" spans="1:4" x14ac:dyDescent="0.35">
      <c r="A52" s="1">
        <v>1692</v>
      </c>
      <c r="B52" s="2">
        <v>46091</v>
      </c>
      <c r="C52" s="1" t="s">
        <v>28</v>
      </c>
      <c r="D52" s="1">
        <f>MONTH(Tabela12[[#This Row],[DATA]])</f>
        <v>3</v>
      </c>
    </row>
    <row r="53" spans="1:4" x14ac:dyDescent="0.35">
      <c r="A53" s="1">
        <v>1693</v>
      </c>
      <c r="B53" s="2">
        <v>46091</v>
      </c>
      <c r="C53" s="1" t="s">
        <v>22</v>
      </c>
      <c r="D53" s="1">
        <f>MONTH(Tabela12[[#This Row],[DATA]])</f>
        <v>3</v>
      </c>
    </row>
    <row r="54" spans="1:4" x14ac:dyDescent="0.35">
      <c r="A54" s="1">
        <v>1694</v>
      </c>
      <c r="B54" s="2">
        <v>46091</v>
      </c>
      <c r="C54" s="1" t="s">
        <v>22</v>
      </c>
      <c r="D54" s="1">
        <f>MONTH(Tabela12[[#This Row],[DATA]])</f>
        <v>3</v>
      </c>
    </row>
    <row r="55" spans="1:4" x14ac:dyDescent="0.35">
      <c r="A55" s="1">
        <v>1695</v>
      </c>
      <c r="B55" s="2">
        <v>46091</v>
      </c>
      <c r="C55" s="1" t="s">
        <v>21</v>
      </c>
      <c r="D55" s="1">
        <f>MONTH(Tabela12[[#This Row],[DATA]])</f>
        <v>3</v>
      </c>
    </row>
    <row r="56" spans="1:4" x14ac:dyDescent="0.35">
      <c r="A56" s="1">
        <v>1696</v>
      </c>
      <c r="B56" s="2">
        <v>46091</v>
      </c>
      <c r="C56" s="1" t="s">
        <v>21</v>
      </c>
      <c r="D56" s="1">
        <f>MONTH(Tabela12[[#This Row],[DATA]])</f>
        <v>3</v>
      </c>
    </row>
    <row r="57" spans="1:4" x14ac:dyDescent="0.35">
      <c r="A57" s="1">
        <v>1697</v>
      </c>
      <c r="B57" s="2">
        <v>46091</v>
      </c>
      <c r="C57" s="1" t="s">
        <v>21</v>
      </c>
      <c r="D57" s="1">
        <f>MONTH(Tabela12[[#This Row],[DATA]])</f>
        <v>3</v>
      </c>
    </row>
    <row r="58" spans="1:4" x14ac:dyDescent="0.35">
      <c r="A58" s="1">
        <v>1698</v>
      </c>
      <c r="B58" s="2">
        <v>46091</v>
      </c>
      <c r="C58" s="1" t="s">
        <v>22</v>
      </c>
      <c r="D58" s="1">
        <f>MONTH(Tabela12[[#This Row],[DATA]])</f>
        <v>3</v>
      </c>
    </row>
    <row r="59" spans="1:4" x14ac:dyDescent="0.35">
      <c r="A59" s="1">
        <v>1699</v>
      </c>
      <c r="B59" s="2">
        <v>46091</v>
      </c>
      <c r="C59" s="1" t="s">
        <v>22</v>
      </c>
      <c r="D59" s="1">
        <f>MONTH(Tabela12[[#This Row],[DATA]])</f>
        <v>3</v>
      </c>
    </row>
    <row r="60" spans="1:4" x14ac:dyDescent="0.35">
      <c r="A60" s="1">
        <v>1701</v>
      </c>
      <c r="B60" s="2">
        <v>46091</v>
      </c>
      <c r="C60" s="1" t="s">
        <v>21</v>
      </c>
      <c r="D60" s="1">
        <f>MONTH(Tabela12[[#This Row],[DATA]])</f>
        <v>3</v>
      </c>
    </row>
    <row r="61" spans="1:4" x14ac:dyDescent="0.35">
      <c r="A61" s="1">
        <v>1702</v>
      </c>
      <c r="B61" s="2">
        <v>46091</v>
      </c>
      <c r="C61" s="1" t="s">
        <v>28</v>
      </c>
      <c r="D61" s="1">
        <f>MONTH(Tabela12[[#This Row],[DATA]])</f>
        <v>3</v>
      </c>
    </row>
    <row r="62" spans="1:4" x14ac:dyDescent="0.35">
      <c r="A62" s="1">
        <v>1706</v>
      </c>
      <c r="B62" s="2">
        <v>46091</v>
      </c>
      <c r="C62" s="1" t="s">
        <v>75</v>
      </c>
      <c r="D62" s="1">
        <f>MONTH(Tabela12[[#This Row],[DATA]])</f>
        <v>3</v>
      </c>
    </row>
    <row r="63" spans="1:4" x14ac:dyDescent="0.35">
      <c r="A63" s="1">
        <v>1707</v>
      </c>
      <c r="B63" s="2">
        <v>46091</v>
      </c>
      <c r="C63" s="1" t="s">
        <v>75</v>
      </c>
      <c r="D63" s="1">
        <f>MONTH(Tabela12[[#This Row],[DATA]])</f>
        <v>3</v>
      </c>
    </row>
    <row r="64" spans="1:4" x14ac:dyDescent="0.35">
      <c r="A64" s="1">
        <v>1708</v>
      </c>
      <c r="B64" s="2">
        <v>46091</v>
      </c>
      <c r="C64" s="1" t="s">
        <v>75</v>
      </c>
      <c r="D64" s="1">
        <f>MONTH(Tabela12[[#This Row],[DATA]])</f>
        <v>3</v>
      </c>
    </row>
    <row r="65" spans="1:4" x14ac:dyDescent="0.35">
      <c r="A65" s="1">
        <v>1709</v>
      </c>
      <c r="B65" s="2">
        <v>46091</v>
      </c>
      <c r="C65" s="1" t="s">
        <v>75</v>
      </c>
      <c r="D65" s="1">
        <f>MONTH(Tabela12[[#This Row],[DATA]])</f>
        <v>3</v>
      </c>
    </row>
    <row r="66" spans="1:4" x14ac:dyDescent="0.35">
      <c r="A66" s="1">
        <v>1710</v>
      </c>
      <c r="B66" s="2">
        <v>46091</v>
      </c>
      <c r="C66" s="1" t="s">
        <v>75</v>
      </c>
      <c r="D66" s="1">
        <f>MONTH(Tabela12[[#This Row],[DATA]])</f>
        <v>3</v>
      </c>
    </row>
    <row r="67" spans="1:4" x14ac:dyDescent="0.35">
      <c r="A67" s="1">
        <v>1711</v>
      </c>
      <c r="B67" s="2">
        <v>46091</v>
      </c>
      <c r="C67" s="1" t="s">
        <v>75</v>
      </c>
      <c r="D67" s="1">
        <f>MONTH(Tabela12[[#This Row],[DATA]])</f>
        <v>3</v>
      </c>
    </row>
    <row r="68" spans="1:4" x14ac:dyDescent="0.35">
      <c r="A68" s="1">
        <v>1712</v>
      </c>
      <c r="B68" s="2">
        <v>46091</v>
      </c>
      <c r="C68" s="1" t="s">
        <v>75</v>
      </c>
      <c r="D68" s="1">
        <f>MONTH(Tabela12[[#This Row],[DATA]])</f>
        <v>3</v>
      </c>
    </row>
    <row r="69" spans="1:4" x14ac:dyDescent="0.35">
      <c r="A69" s="1">
        <v>1716</v>
      </c>
      <c r="B69" s="2">
        <v>46091</v>
      </c>
      <c r="C69" s="1" t="s">
        <v>24</v>
      </c>
      <c r="D69" s="1">
        <f>MONTH(Tabela12[[#This Row],[DATA]])</f>
        <v>3</v>
      </c>
    </row>
    <row r="70" spans="1:4" x14ac:dyDescent="0.35">
      <c r="A70" s="1">
        <v>1717</v>
      </c>
      <c r="B70" s="2">
        <v>46091</v>
      </c>
      <c r="C70" s="1" t="s">
        <v>22</v>
      </c>
      <c r="D70" s="1">
        <f>MONTH(Tabela12[[#This Row],[DATA]])</f>
        <v>3</v>
      </c>
    </row>
    <row r="71" spans="1:4" x14ac:dyDescent="0.35">
      <c r="A71" s="1">
        <v>1718</v>
      </c>
      <c r="B71" s="2">
        <v>46091</v>
      </c>
      <c r="C71" s="1" t="s">
        <v>24</v>
      </c>
      <c r="D71" s="1">
        <f>MONTH(Tabela12[[#This Row],[DATA]])</f>
        <v>3</v>
      </c>
    </row>
    <row r="72" spans="1:4" x14ac:dyDescent="0.35">
      <c r="A72" s="1">
        <v>1719</v>
      </c>
      <c r="B72" s="2">
        <v>46091</v>
      </c>
      <c r="C72" s="1" t="s">
        <v>24</v>
      </c>
      <c r="D72" s="1">
        <f>MONTH(Tabela12[[#This Row],[DATA]])</f>
        <v>3</v>
      </c>
    </row>
    <row r="73" spans="1:4" x14ac:dyDescent="0.35">
      <c r="A73" s="1">
        <v>1720</v>
      </c>
      <c r="B73" s="2">
        <v>46091</v>
      </c>
      <c r="C73" s="1" t="s">
        <v>24</v>
      </c>
      <c r="D73" s="1">
        <f>MONTH(Tabela12[[#This Row],[DATA]])</f>
        <v>3</v>
      </c>
    </row>
    <row r="74" spans="1:4" x14ac:dyDescent="0.35">
      <c r="A74" s="1">
        <v>1721</v>
      </c>
      <c r="B74" s="2">
        <v>46091</v>
      </c>
      <c r="C74" s="1" t="s">
        <v>24</v>
      </c>
      <c r="D74" s="1">
        <f>MONTH(Tabela12[[#This Row],[DATA]])</f>
        <v>3</v>
      </c>
    </row>
    <row r="75" spans="1:4" x14ac:dyDescent="0.35">
      <c r="A75" s="1">
        <v>1722</v>
      </c>
      <c r="B75" s="2">
        <v>46091</v>
      </c>
      <c r="C75" s="1" t="s">
        <v>33</v>
      </c>
      <c r="D75" s="1">
        <f>MONTH(Tabela12[[#This Row],[DATA]])</f>
        <v>3</v>
      </c>
    </row>
    <row r="76" spans="1:4" x14ac:dyDescent="0.35">
      <c r="A76" s="1">
        <v>1723</v>
      </c>
      <c r="B76" s="2">
        <v>46091</v>
      </c>
      <c r="C76" s="1" t="s">
        <v>5</v>
      </c>
      <c r="D76" s="1">
        <f>MONTH(Tabela12[[#This Row],[DATA]])</f>
        <v>3</v>
      </c>
    </row>
    <row r="77" spans="1:4" x14ac:dyDescent="0.35">
      <c r="A77" s="1">
        <v>1724</v>
      </c>
      <c r="B77" s="2">
        <v>46091</v>
      </c>
      <c r="C77" s="1" t="s">
        <v>28</v>
      </c>
      <c r="D77" s="1">
        <f>MONTH(Tabela12[[#This Row],[DATA]])</f>
        <v>3</v>
      </c>
    </row>
    <row r="78" spans="1:4" x14ac:dyDescent="0.35">
      <c r="A78" s="1">
        <v>1725</v>
      </c>
      <c r="B78" s="2">
        <v>46091</v>
      </c>
      <c r="C78" s="1" t="s">
        <v>28</v>
      </c>
      <c r="D78" s="1">
        <f>MONTH(Tabela12[[#This Row],[DATA]])</f>
        <v>3</v>
      </c>
    </row>
    <row r="79" spans="1:4" x14ac:dyDescent="0.35">
      <c r="A79" s="1">
        <v>1730</v>
      </c>
      <c r="B79" s="2">
        <v>46092</v>
      </c>
      <c r="C79" s="1" t="s">
        <v>28</v>
      </c>
      <c r="D79" s="1">
        <f>MONTH(Tabela12[[#This Row],[DATA]])</f>
        <v>3</v>
      </c>
    </row>
    <row r="80" spans="1:4" x14ac:dyDescent="0.35">
      <c r="A80" s="1">
        <v>1731</v>
      </c>
      <c r="B80" s="2">
        <v>46092</v>
      </c>
      <c r="C80" s="1" t="s">
        <v>33</v>
      </c>
      <c r="D80" s="1">
        <f>MONTH(Tabela12[[#This Row],[DATA]])</f>
        <v>3</v>
      </c>
    </row>
    <row r="81" spans="1:4" x14ac:dyDescent="0.35">
      <c r="A81" s="1">
        <v>1732</v>
      </c>
      <c r="B81" s="2">
        <v>46092</v>
      </c>
      <c r="C81" s="1" t="s">
        <v>5</v>
      </c>
      <c r="D81" s="1">
        <f>MONTH(Tabela12[[#This Row],[DATA]])</f>
        <v>3</v>
      </c>
    </row>
    <row r="82" spans="1:4" x14ac:dyDescent="0.35">
      <c r="A82" s="1">
        <v>1733</v>
      </c>
      <c r="B82" s="2">
        <v>46092</v>
      </c>
      <c r="C82" s="1" t="s">
        <v>5</v>
      </c>
      <c r="D82" s="1">
        <f>MONTH(Tabela12[[#This Row],[DATA]])</f>
        <v>3</v>
      </c>
    </row>
    <row r="83" spans="1:4" x14ac:dyDescent="0.35">
      <c r="A83" s="1">
        <v>1737</v>
      </c>
      <c r="B83" s="2">
        <v>46092</v>
      </c>
      <c r="C83" s="1" t="s">
        <v>33</v>
      </c>
      <c r="D83" s="1">
        <f>MONTH(Tabela12[[#This Row],[DATA]])</f>
        <v>3</v>
      </c>
    </row>
    <row r="84" spans="1:4" x14ac:dyDescent="0.35">
      <c r="A84" s="1">
        <v>1738</v>
      </c>
      <c r="B84" s="2">
        <v>46092</v>
      </c>
      <c r="C84" s="1" t="s">
        <v>33</v>
      </c>
      <c r="D84" s="1">
        <f>MONTH(Tabela12[[#This Row],[DATA]])</f>
        <v>3</v>
      </c>
    </row>
    <row r="85" spans="1:4" x14ac:dyDescent="0.35">
      <c r="A85" s="1">
        <v>1739</v>
      </c>
      <c r="B85" s="2">
        <v>46092</v>
      </c>
      <c r="C85" s="1" t="s">
        <v>34</v>
      </c>
      <c r="D85" s="1">
        <f>MONTH(Tabela12[[#This Row],[DATA]])</f>
        <v>3</v>
      </c>
    </row>
    <row r="86" spans="1:4" x14ac:dyDescent="0.35">
      <c r="A86" s="1">
        <v>1740</v>
      </c>
      <c r="B86" s="2">
        <v>46092</v>
      </c>
      <c r="C86" s="1" t="s">
        <v>22</v>
      </c>
      <c r="D86" s="1">
        <f>MONTH(Tabela12[[#This Row],[DATA]])</f>
        <v>3</v>
      </c>
    </row>
    <row r="87" spans="1:4" x14ac:dyDescent="0.35">
      <c r="A87" s="1">
        <v>1741</v>
      </c>
      <c r="B87" s="2">
        <v>46092</v>
      </c>
      <c r="C87" s="1" t="s">
        <v>22</v>
      </c>
      <c r="D87" s="1">
        <f>MONTH(Tabela12[[#This Row],[DATA]])</f>
        <v>3</v>
      </c>
    </row>
    <row r="88" spans="1:4" x14ac:dyDescent="0.35">
      <c r="A88" s="1">
        <v>1742</v>
      </c>
      <c r="B88" s="2">
        <v>46092</v>
      </c>
      <c r="C88" s="1" t="s">
        <v>22</v>
      </c>
      <c r="D88" s="1">
        <f>MONTH(Tabela12[[#This Row],[DATA]])</f>
        <v>3</v>
      </c>
    </row>
    <row r="89" spans="1:4" x14ac:dyDescent="0.35">
      <c r="A89" s="1">
        <v>1743</v>
      </c>
      <c r="B89" s="2">
        <v>46092</v>
      </c>
      <c r="C89" s="1" t="s">
        <v>22</v>
      </c>
      <c r="D89" s="1">
        <f>MONTH(Tabela12[[#This Row],[DATA]])</f>
        <v>3</v>
      </c>
    </row>
    <row r="90" spans="1:4" x14ac:dyDescent="0.35">
      <c r="A90" s="1">
        <v>1744</v>
      </c>
      <c r="B90" s="2">
        <v>46092</v>
      </c>
      <c r="C90" s="1" t="s">
        <v>21</v>
      </c>
      <c r="D90" s="1">
        <f>MONTH(Tabela12[[#This Row],[DATA]])</f>
        <v>3</v>
      </c>
    </row>
    <row r="91" spans="1:4" x14ac:dyDescent="0.35">
      <c r="A91" s="1">
        <v>1745</v>
      </c>
      <c r="B91" s="2">
        <v>46092</v>
      </c>
      <c r="C91" s="1" t="s">
        <v>21</v>
      </c>
      <c r="D91" s="1">
        <f>MONTH(Tabela12[[#This Row],[DATA]])</f>
        <v>3</v>
      </c>
    </row>
    <row r="92" spans="1:4" x14ac:dyDescent="0.35">
      <c r="A92" s="1">
        <v>1746</v>
      </c>
      <c r="B92" s="2">
        <v>46092</v>
      </c>
      <c r="C92" s="1" t="s">
        <v>24</v>
      </c>
      <c r="D92" s="1">
        <f>MONTH(Tabela12[[#This Row],[DATA]])</f>
        <v>3</v>
      </c>
    </row>
    <row r="93" spans="1:4" x14ac:dyDescent="0.35">
      <c r="A93" s="1">
        <v>1747</v>
      </c>
      <c r="B93" s="2">
        <v>46092</v>
      </c>
      <c r="C93" s="1" t="s">
        <v>24</v>
      </c>
      <c r="D93" s="1">
        <f>MONTH(Tabela12[[#This Row],[DATA]])</f>
        <v>3</v>
      </c>
    </row>
    <row r="94" spans="1:4" x14ac:dyDescent="0.35">
      <c r="A94" s="1">
        <v>1748</v>
      </c>
      <c r="B94" s="2">
        <v>46092</v>
      </c>
      <c r="C94" s="1" t="s">
        <v>5</v>
      </c>
      <c r="D94" s="1">
        <f>MONTH(Tabela12[[#This Row],[DATA]])</f>
        <v>3</v>
      </c>
    </row>
    <row r="95" spans="1:4" x14ac:dyDescent="0.35">
      <c r="A95" s="1">
        <v>1749</v>
      </c>
      <c r="B95" s="2">
        <v>46092</v>
      </c>
      <c r="C95" s="1" t="s">
        <v>28</v>
      </c>
      <c r="D95" s="1">
        <f>MONTH(Tabela12[[#This Row],[DATA]])</f>
        <v>3</v>
      </c>
    </row>
    <row r="96" spans="1:4" x14ac:dyDescent="0.35">
      <c r="A96" s="1">
        <v>1750</v>
      </c>
      <c r="B96" s="2">
        <v>46092</v>
      </c>
      <c r="C96" s="1" t="s">
        <v>28</v>
      </c>
      <c r="D96" s="1">
        <f>MONTH(Tabela12[[#This Row],[DATA]])</f>
        <v>3</v>
      </c>
    </row>
    <row r="97" spans="1:4" x14ac:dyDescent="0.35">
      <c r="A97" s="1">
        <v>1751</v>
      </c>
      <c r="B97" s="2">
        <v>46092</v>
      </c>
      <c r="C97" s="1" t="s">
        <v>28</v>
      </c>
      <c r="D97" s="1">
        <f>MONTH(Tabela12[[#This Row],[DATA]])</f>
        <v>3</v>
      </c>
    </row>
    <row r="98" spans="1:4" x14ac:dyDescent="0.35">
      <c r="A98" s="1">
        <v>1752</v>
      </c>
      <c r="B98" s="2">
        <v>46092</v>
      </c>
      <c r="C98" s="1" t="s">
        <v>33</v>
      </c>
      <c r="D98" s="1">
        <f>MONTH(Tabela12[[#This Row],[DATA]])</f>
        <v>3</v>
      </c>
    </row>
    <row r="99" spans="1:4" x14ac:dyDescent="0.35">
      <c r="A99" s="1">
        <v>1753</v>
      </c>
      <c r="B99" s="2">
        <v>46092</v>
      </c>
      <c r="C99" s="1" t="s">
        <v>5</v>
      </c>
      <c r="D99" s="1">
        <f>MONTH(Tabela12[[#This Row],[DATA]])</f>
        <v>3</v>
      </c>
    </row>
    <row r="100" spans="1:4" x14ac:dyDescent="0.35">
      <c r="A100" s="1">
        <v>1754</v>
      </c>
      <c r="B100" s="2">
        <v>46092</v>
      </c>
      <c r="C100" s="1" t="s">
        <v>22</v>
      </c>
      <c r="D100" s="1">
        <f>MONTH(Tabela12[[#This Row],[DATA]])</f>
        <v>3</v>
      </c>
    </row>
    <row r="101" spans="1:4" x14ac:dyDescent="0.35">
      <c r="A101" s="1">
        <v>1755</v>
      </c>
      <c r="B101" s="2">
        <v>46092</v>
      </c>
      <c r="C101" s="1" t="s">
        <v>22</v>
      </c>
      <c r="D101" s="1">
        <f>MONTH(Tabela12[[#This Row],[DATA]])</f>
        <v>3</v>
      </c>
    </row>
    <row r="102" spans="1:4" x14ac:dyDescent="0.35">
      <c r="A102" s="1">
        <v>1757</v>
      </c>
      <c r="B102" s="2">
        <v>46092</v>
      </c>
      <c r="C102" s="1" t="s">
        <v>33</v>
      </c>
      <c r="D102" s="1">
        <f>MONTH(Tabela12[[#This Row],[DATA]])</f>
        <v>3</v>
      </c>
    </row>
    <row r="103" spans="1:4" x14ac:dyDescent="0.35">
      <c r="A103" s="1">
        <v>1763</v>
      </c>
      <c r="B103" s="2">
        <v>46093</v>
      </c>
      <c r="C103" s="1" t="s">
        <v>22</v>
      </c>
      <c r="D103" s="1">
        <f>MONTH(Tabela12[[#This Row],[DATA]])</f>
        <v>3</v>
      </c>
    </row>
    <row r="104" spans="1:4" x14ac:dyDescent="0.35">
      <c r="A104" s="1">
        <v>1765</v>
      </c>
      <c r="B104" s="2">
        <v>46093</v>
      </c>
      <c r="C104" s="1" t="s">
        <v>33</v>
      </c>
      <c r="D104" s="1">
        <f>MONTH(Tabela12[[#This Row],[DATA]])</f>
        <v>3</v>
      </c>
    </row>
    <row r="105" spans="1:4" x14ac:dyDescent="0.35">
      <c r="A105" s="1">
        <v>1766</v>
      </c>
      <c r="B105" s="2">
        <v>46093</v>
      </c>
      <c r="C105" s="1" t="s">
        <v>33</v>
      </c>
      <c r="D105" s="1">
        <f>MONTH(Tabela12[[#This Row],[DATA]])</f>
        <v>3</v>
      </c>
    </row>
    <row r="106" spans="1:4" x14ac:dyDescent="0.35">
      <c r="A106" s="1">
        <v>1768</v>
      </c>
      <c r="B106" s="2">
        <v>46093</v>
      </c>
      <c r="C106" s="1" t="s">
        <v>24</v>
      </c>
      <c r="D106" s="1">
        <f>MONTH(Tabela12[[#This Row],[DATA]])</f>
        <v>3</v>
      </c>
    </row>
    <row r="107" spans="1:4" x14ac:dyDescent="0.35">
      <c r="A107" s="1">
        <v>1769</v>
      </c>
      <c r="B107" s="2">
        <v>46093</v>
      </c>
      <c r="C107" s="1" t="s">
        <v>24</v>
      </c>
      <c r="D107" s="1">
        <f>MONTH(Tabela12[[#This Row],[DATA]])</f>
        <v>3</v>
      </c>
    </row>
    <row r="108" spans="1:4" x14ac:dyDescent="0.35">
      <c r="A108" s="1">
        <v>1770</v>
      </c>
      <c r="B108" s="2">
        <v>46093</v>
      </c>
      <c r="C108" s="1" t="s">
        <v>9</v>
      </c>
      <c r="D108" s="1">
        <f>MONTH(Tabela12[[#This Row],[DATA]])</f>
        <v>3</v>
      </c>
    </row>
    <row r="109" spans="1:4" x14ac:dyDescent="0.35">
      <c r="A109" s="1">
        <v>1771</v>
      </c>
      <c r="B109" s="2">
        <v>46093</v>
      </c>
      <c r="C109" s="1" t="s">
        <v>9</v>
      </c>
      <c r="D109" s="1">
        <f>MONTH(Tabela12[[#This Row],[DATA]])</f>
        <v>3</v>
      </c>
    </row>
    <row r="110" spans="1:4" x14ac:dyDescent="0.35">
      <c r="A110" s="1">
        <v>1772</v>
      </c>
      <c r="B110" s="2">
        <v>46093</v>
      </c>
      <c r="C110" s="1" t="s">
        <v>5</v>
      </c>
      <c r="D110" s="1">
        <f>MONTH(Tabela12[[#This Row],[DATA]])</f>
        <v>3</v>
      </c>
    </row>
    <row r="111" spans="1:4" x14ac:dyDescent="0.35">
      <c r="A111" s="1">
        <v>1784</v>
      </c>
      <c r="B111" s="2">
        <v>46094</v>
      </c>
      <c r="C111" s="1" t="s">
        <v>33</v>
      </c>
      <c r="D111" s="1">
        <f>MONTH(Tabela12[[#This Row],[DATA]])</f>
        <v>3</v>
      </c>
    </row>
    <row r="112" spans="1:4" x14ac:dyDescent="0.35">
      <c r="A112" s="1">
        <v>1785</v>
      </c>
      <c r="B112" s="2">
        <v>46094</v>
      </c>
      <c r="C112" s="1" t="s">
        <v>24</v>
      </c>
      <c r="D112" s="1">
        <f>MONTH(Tabela12[[#This Row],[DATA]])</f>
        <v>3</v>
      </c>
    </row>
    <row r="113" spans="1:4" x14ac:dyDescent="0.35">
      <c r="A113" s="1">
        <v>1786</v>
      </c>
      <c r="B113" s="2">
        <v>46094</v>
      </c>
      <c r="C113" s="1" t="s">
        <v>21</v>
      </c>
      <c r="D113" s="1">
        <f>MONTH(Tabela12[[#This Row],[DATA]])</f>
        <v>3</v>
      </c>
    </row>
    <row r="114" spans="1:4" x14ac:dyDescent="0.35">
      <c r="A114" s="1">
        <v>1787</v>
      </c>
      <c r="B114" s="2">
        <v>46094</v>
      </c>
      <c r="C114" s="1" t="s">
        <v>22</v>
      </c>
      <c r="D114" s="1">
        <f>MONTH(Tabela12[[#This Row],[DATA]])</f>
        <v>3</v>
      </c>
    </row>
    <row r="115" spans="1:4" x14ac:dyDescent="0.35">
      <c r="A115" s="1">
        <v>1788</v>
      </c>
      <c r="B115" s="2">
        <v>46094</v>
      </c>
      <c r="C115" s="1" t="s">
        <v>21</v>
      </c>
      <c r="D115" s="1">
        <f>MONTH(Tabela12[[#This Row],[DATA]])</f>
        <v>3</v>
      </c>
    </row>
    <row r="116" spans="1:4" x14ac:dyDescent="0.35">
      <c r="A116" s="1">
        <v>1789</v>
      </c>
      <c r="B116" s="2">
        <v>46094</v>
      </c>
      <c r="C116" s="1" t="s">
        <v>5</v>
      </c>
      <c r="D116" s="1">
        <f>MONTH(Tabela12[[#This Row],[DATA]])</f>
        <v>3</v>
      </c>
    </row>
    <row r="117" spans="1:4" x14ac:dyDescent="0.35">
      <c r="A117" s="1">
        <v>1790</v>
      </c>
      <c r="B117" s="2">
        <v>46094</v>
      </c>
      <c r="C117" s="1" t="s">
        <v>9</v>
      </c>
      <c r="D117" s="1">
        <f>MONTH(Tabela12[[#This Row],[DATA]])</f>
        <v>3</v>
      </c>
    </row>
    <row r="118" spans="1:4" x14ac:dyDescent="0.35">
      <c r="A118" s="1">
        <v>1791</v>
      </c>
      <c r="B118" s="2">
        <v>46094</v>
      </c>
      <c r="C118" s="1" t="s">
        <v>9</v>
      </c>
      <c r="D118" s="1">
        <f>MONTH(Tabela12[[#This Row],[DATA]])</f>
        <v>3</v>
      </c>
    </row>
    <row r="119" spans="1:4" x14ac:dyDescent="0.35">
      <c r="A119" s="1">
        <v>1792</v>
      </c>
      <c r="B119" s="2">
        <v>46094</v>
      </c>
      <c r="C119" s="1" t="s">
        <v>33</v>
      </c>
      <c r="D119" s="1">
        <f>MONTH(Tabela12[[#This Row],[DATA]])</f>
        <v>3</v>
      </c>
    </row>
    <row r="120" spans="1:4" x14ac:dyDescent="0.35">
      <c r="A120" s="1">
        <v>1793</v>
      </c>
      <c r="B120" s="2">
        <v>46094</v>
      </c>
      <c r="C120" s="1" t="s">
        <v>33</v>
      </c>
      <c r="D120" s="1">
        <f>MONTH(Tabela12[[#This Row],[DATA]])</f>
        <v>3</v>
      </c>
    </row>
    <row r="121" spans="1:4" x14ac:dyDescent="0.35">
      <c r="A121" s="1">
        <v>1794</v>
      </c>
      <c r="B121" s="2">
        <v>46094</v>
      </c>
      <c r="C121" s="1" t="s">
        <v>33</v>
      </c>
      <c r="D121" s="1">
        <f>MONTH(Tabela12[[#This Row],[DATA]])</f>
        <v>3</v>
      </c>
    </row>
    <row r="122" spans="1:4" x14ac:dyDescent="0.35">
      <c r="A122" s="1">
        <v>1795</v>
      </c>
      <c r="B122" s="2">
        <v>46094</v>
      </c>
      <c r="C122" s="1" t="s">
        <v>22</v>
      </c>
      <c r="D122" s="1">
        <f>MONTH(Tabela12[[#This Row],[DATA]])</f>
        <v>3</v>
      </c>
    </row>
    <row r="123" spans="1:4" x14ac:dyDescent="0.35">
      <c r="A123" s="1">
        <v>1796</v>
      </c>
      <c r="B123" s="2">
        <v>46094</v>
      </c>
      <c r="C123" s="1" t="s">
        <v>5</v>
      </c>
      <c r="D123" s="1">
        <f>MONTH(Tabela12[[#This Row],[DATA]])</f>
        <v>3</v>
      </c>
    </row>
    <row r="124" spans="1:4" x14ac:dyDescent="0.35">
      <c r="A124" s="1">
        <v>1800</v>
      </c>
      <c r="B124" s="2">
        <v>46097</v>
      </c>
      <c r="C124" s="1" t="s">
        <v>22</v>
      </c>
      <c r="D124" s="1">
        <f>MONTH(Tabela12[[#This Row],[DATA]])</f>
        <v>3</v>
      </c>
    </row>
    <row r="125" spans="1:4" x14ac:dyDescent="0.35">
      <c r="A125" s="1">
        <v>1801</v>
      </c>
      <c r="B125" s="2">
        <v>46097</v>
      </c>
      <c r="C125" s="1" t="s">
        <v>33</v>
      </c>
      <c r="D125" s="1">
        <f>MONTH(Tabela12[[#This Row],[DATA]])</f>
        <v>3</v>
      </c>
    </row>
    <row r="126" spans="1:4" x14ac:dyDescent="0.35">
      <c r="A126" s="1">
        <v>1802</v>
      </c>
      <c r="B126" s="2">
        <v>46097</v>
      </c>
      <c r="C126" s="1" t="s">
        <v>22</v>
      </c>
      <c r="D126" s="1">
        <f>MONTH(Tabela12[[#This Row],[DATA]])</f>
        <v>3</v>
      </c>
    </row>
    <row r="127" spans="1:4" x14ac:dyDescent="0.35">
      <c r="A127" s="1">
        <v>1803</v>
      </c>
      <c r="B127" s="2">
        <v>46097</v>
      </c>
      <c r="C127" s="1" t="s">
        <v>9</v>
      </c>
      <c r="D127" s="1">
        <f>MONTH(Tabela12[[#This Row],[DATA]])</f>
        <v>3</v>
      </c>
    </row>
    <row r="128" spans="1:4" x14ac:dyDescent="0.35">
      <c r="A128" s="1">
        <v>1804</v>
      </c>
      <c r="B128" s="2">
        <v>46097</v>
      </c>
      <c r="C128" s="1" t="s">
        <v>9</v>
      </c>
      <c r="D128" s="1">
        <f>MONTH(Tabela12[[#This Row],[DATA]])</f>
        <v>3</v>
      </c>
    </row>
    <row r="129" spans="1:4" x14ac:dyDescent="0.35">
      <c r="A129" s="1">
        <v>1805</v>
      </c>
      <c r="B129" s="2">
        <v>46097</v>
      </c>
      <c r="C129" s="1" t="s">
        <v>28</v>
      </c>
      <c r="D129" s="1">
        <f>MONTH(Tabela12[[#This Row],[DATA]])</f>
        <v>3</v>
      </c>
    </row>
    <row r="130" spans="1:4" x14ac:dyDescent="0.35">
      <c r="A130" s="1">
        <v>1811</v>
      </c>
      <c r="B130" s="2">
        <v>46098</v>
      </c>
      <c r="C130" s="1" t="s">
        <v>5</v>
      </c>
      <c r="D130" s="1">
        <f>MONTH(Tabela12[[#This Row],[DATA]])</f>
        <v>3</v>
      </c>
    </row>
    <row r="131" spans="1:4" x14ac:dyDescent="0.35">
      <c r="A131" s="1">
        <v>1812</v>
      </c>
      <c r="B131" s="2">
        <v>46098</v>
      </c>
      <c r="C131" s="1" t="s">
        <v>5</v>
      </c>
      <c r="D131" s="1">
        <f>MONTH(Tabela12[[#This Row],[DATA]])</f>
        <v>3</v>
      </c>
    </row>
    <row r="132" spans="1:4" x14ac:dyDescent="0.35">
      <c r="A132" s="1">
        <v>1813</v>
      </c>
      <c r="B132" s="2">
        <v>46098</v>
      </c>
      <c r="C132" s="1" t="s">
        <v>21</v>
      </c>
      <c r="D132" s="1">
        <f>MONTH(Tabela12[[#This Row],[DATA]])</f>
        <v>3</v>
      </c>
    </row>
    <row r="133" spans="1:4" x14ac:dyDescent="0.35">
      <c r="A133" s="1">
        <v>1814</v>
      </c>
      <c r="B133" s="2">
        <v>46098</v>
      </c>
      <c r="C133" s="1" t="s">
        <v>21</v>
      </c>
      <c r="D133" s="1">
        <f>MONTH(Tabela12[[#This Row],[DATA]])</f>
        <v>3</v>
      </c>
    </row>
    <row r="134" spans="1:4" x14ac:dyDescent="0.35">
      <c r="A134" s="1">
        <v>1815</v>
      </c>
      <c r="B134" s="2">
        <v>46098</v>
      </c>
      <c r="C134" s="1" t="s">
        <v>5</v>
      </c>
      <c r="D134" s="1">
        <f>MONTH(Tabela12[[#This Row],[DATA]])</f>
        <v>3</v>
      </c>
    </row>
    <row r="135" spans="1:4" x14ac:dyDescent="0.35">
      <c r="A135" s="1">
        <v>1816</v>
      </c>
      <c r="B135" s="2">
        <v>46098</v>
      </c>
      <c r="C135" s="1" t="s">
        <v>21</v>
      </c>
      <c r="D135" s="1">
        <f>MONTH(Tabela12[[#This Row],[DATA]])</f>
        <v>3</v>
      </c>
    </row>
    <row r="136" spans="1:4" x14ac:dyDescent="0.35">
      <c r="A136" s="1">
        <v>1817</v>
      </c>
      <c r="B136" s="2">
        <v>46098</v>
      </c>
      <c r="C136" s="1" t="s">
        <v>22</v>
      </c>
      <c r="D136" s="1">
        <f>MONTH(Tabela12[[#This Row],[DATA]])</f>
        <v>3</v>
      </c>
    </row>
    <row r="137" spans="1:4" x14ac:dyDescent="0.35">
      <c r="A137" s="1">
        <v>1818</v>
      </c>
      <c r="B137" s="2">
        <v>46098</v>
      </c>
      <c r="C137" s="1" t="s">
        <v>22</v>
      </c>
      <c r="D137" s="1">
        <f>MONTH(Tabela12[[#This Row],[DATA]])</f>
        <v>3</v>
      </c>
    </row>
    <row r="138" spans="1:4" x14ac:dyDescent="0.35">
      <c r="A138" s="1">
        <v>1819</v>
      </c>
      <c r="B138" s="2">
        <v>46098</v>
      </c>
      <c r="C138" s="1" t="s">
        <v>22</v>
      </c>
      <c r="D138" s="1">
        <f>MONTH(Tabela12[[#This Row],[DATA]])</f>
        <v>3</v>
      </c>
    </row>
    <row r="139" spans="1:4" x14ac:dyDescent="0.35">
      <c r="A139" s="1">
        <v>1820</v>
      </c>
      <c r="B139" s="2">
        <v>46098</v>
      </c>
      <c r="C139" s="1" t="s">
        <v>22</v>
      </c>
      <c r="D139" s="1">
        <f>MONTH(Tabela12[[#This Row],[DATA]])</f>
        <v>3</v>
      </c>
    </row>
    <row r="140" spans="1:4" x14ac:dyDescent="0.35">
      <c r="A140" s="1">
        <v>1821</v>
      </c>
      <c r="B140" s="2">
        <v>46098</v>
      </c>
      <c r="C140" s="1" t="s">
        <v>22</v>
      </c>
      <c r="D140" s="1">
        <f>MONTH(Tabela12[[#This Row],[DATA]])</f>
        <v>3</v>
      </c>
    </row>
    <row r="141" spans="1:4" x14ac:dyDescent="0.35">
      <c r="A141" s="1">
        <v>1822</v>
      </c>
      <c r="B141" s="2">
        <v>46098</v>
      </c>
      <c r="C141" s="1" t="s">
        <v>22</v>
      </c>
      <c r="D141" s="1">
        <f>MONTH(Tabela12[[#This Row],[DATA]])</f>
        <v>3</v>
      </c>
    </row>
    <row r="142" spans="1:4" x14ac:dyDescent="0.35">
      <c r="A142" s="1">
        <v>1823</v>
      </c>
      <c r="B142" s="2">
        <v>46098</v>
      </c>
      <c r="C142" s="1" t="s">
        <v>22</v>
      </c>
      <c r="D142" s="1">
        <f>MONTH(Tabela12[[#This Row],[DATA]])</f>
        <v>3</v>
      </c>
    </row>
    <row r="143" spans="1:4" x14ac:dyDescent="0.35">
      <c r="A143" s="1">
        <v>1824</v>
      </c>
      <c r="B143" s="2">
        <v>46098</v>
      </c>
      <c r="C143" s="1" t="s">
        <v>21</v>
      </c>
      <c r="D143" s="1">
        <f>MONTH(Tabela12[[#This Row],[DATA]])</f>
        <v>3</v>
      </c>
    </row>
    <row r="144" spans="1:4" x14ac:dyDescent="0.35">
      <c r="A144" s="1">
        <v>1825</v>
      </c>
      <c r="B144" s="2">
        <v>46098</v>
      </c>
      <c r="C144" s="1" t="s">
        <v>22</v>
      </c>
      <c r="D144" s="1">
        <f>MONTH(Tabela12[[#This Row],[DATA]])</f>
        <v>3</v>
      </c>
    </row>
    <row r="145" spans="1:4" x14ac:dyDescent="0.35">
      <c r="A145" s="1">
        <v>1826</v>
      </c>
      <c r="B145" s="2">
        <v>46098</v>
      </c>
      <c r="C145" s="1" t="s">
        <v>22</v>
      </c>
      <c r="D145" s="1">
        <f>MONTH(Tabela12[[#This Row],[DATA]])</f>
        <v>3</v>
      </c>
    </row>
    <row r="146" spans="1:4" x14ac:dyDescent="0.35">
      <c r="A146" s="1">
        <v>1827</v>
      </c>
      <c r="B146" s="2">
        <v>46098</v>
      </c>
      <c r="C146" s="1" t="s">
        <v>22</v>
      </c>
      <c r="D146" s="1">
        <f>MONTH(Tabela12[[#This Row],[DATA]])</f>
        <v>3</v>
      </c>
    </row>
    <row r="147" spans="1:4" x14ac:dyDescent="0.35">
      <c r="A147" s="1">
        <v>1828</v>
      </c>
      <c r="B147" s="2">
        <v>46098</v>
      </c>
      <c r="C147" s="1" t="s">
        <v>22</v>
      </c>
      <c r="D147" s="1">
        <f>MONTH(Tabela12[[#This Row],[DATA]])</f>
        <v>3</v>
      </c>
    </row>
    <row r="148" spans="1:4" x14ac:dyDescent="0.35">
      <c r="A148" s="1">
        <v>1829</v>
      </c>
      <c r="B148" s="2">
        <v>46098</v>
      </c>
      <c r="C148" s="1" t="s">
        <v>22</v>
      </c>
      <c r="D148" s="1">
        <f>MONTH(Tabela12[[#This Row],[DATA]])</f>
        <v>3</v>
      </c>
    </row>
    <row r="149" spans="1:4" x14ac:dyDescent="0.35">
      <c r="A149" s="1">
        <v>1830</v>
      </c>
      <c r="B149" s="2">
        <v>46098</v>
      </c>
      <c r="C149" s="1" t="s">
        <v>22</v>
      </c>
      <c r="D149" s="1">
        <f>MONTH(Tabela12[[#This Row],[DATA]])</f>
        <v>3</v>
      </c>
    </row>
    <row r="150" spans="1:4" x14ac:dyDescent="0.35">
      <c r="A150" s="1">
        <v>1835</v>
      </c>
      <c r="B150" s="2">
        <v>46100</v>
      </c>
      <c r="C150" s="1" t="s">
        <v>22</v>
      </c>
      <c r="D150" s="1">
        <f>MONTH(Tabela12[[#This Row],[DATA]])</f>
        <v>3</v>
      </c>
    </row>
    <row r="151" spans="1:4" x14ac:dyDescent="0.35">
      <c r="A151" s="1">
        <v>1836</v>
      </c>
      <c r="B151" s="2">
        <v>46100</v>
      </c>
      <c r="C151" s="1" t="s">
        <v>21</v>
      </c>
      <c r="D151" s="1">
        <f>MONTH(Tabela12[[#This Row],[DATA]])</f>
        <v>3</v>
      </c>
    </row>
    <row r="152" spans="1:4" x14ac:dyDescent="0.35">
      <c r="A152" s="1">
        <v>1837</v>
      </c>
      <c r="B152" s="2">
        <v>46100</v>
      </c>
      <c r="C152" s="1" t="s">
        <v>21</v>
      </c>
      <c r="D152" s="1">
        <f>MONTH(Tabela12[[#This Row],[DATA]])</f>
        <v>3</v>
      </c>
    </row>
    <row r="153" spans="1:4" x14ac:dyDescent="0.35">
      <c r="A153" s="1">
        <v>1838</v>
      </c>
      <c r="B153" s="2">
        <v>46100</v>
      </c>
      <c r="C153" s="1" t="s">
        <v>21</v>
      </c>
      <c r="D153" s="1">
        <f>MONTH(Tabela12[[#This Row],[DATA]])</f>
        <v>3</v>
      </c>
    </row>
    <row r="154" spans="1:4" x14ac:dyDescent="0.35">
      <c r="A154" s="1">
        <v>1839</v>
      </c>
      <c r="B154" s="2">
        <v>46100</v>
      </c>
      <c r="C154" s="1" t="s">
        <v>28</v>
      </c>
      <c r="D154" s="1">
        <f>MONTH(Tabela12[[#This Row],[DATA]])</f>
        <v>3</v>
      </c>
    </row>
    <row r="155" spans="1:4" x14ac:dyDescent="0.35">
      <c r="A155" s="1">
        <v>1840</v>
      </c>
      <c r="B155" s="2">
        <v>46100</v>
      </c>
      <c r="C155" s="1" t="s">
        <v>28</v>
      </c>
      <c r="D155" s="1">
        <f>MONTH(Tabela12[[#This Row],[DATA]])</f>
        <v>3</v>
      </c>
    </row>
    <row r="156" spans="1:4" x14ac:dyDescent="0.35">
      <c r="A156" s="1">
        <v>1841</v>
      </c>
      <c r="B156" s="2">
        <v>46100</v>
      </c>
      <c r="C156" s="1" t="s">
        <v>28</v>
      </c>
      <c r="D156" s="1">
        <f>MONTH(Tabela12[[#This Row],[DATA]])</f>
        <v>3</v>
      </c>
    </row>
    <row r="157" spans="1:4" x14ac:dyDescent="0.35">
      <c r="A157" s="1">
        <v>1842</v>
      </c>
      <c r="B157" s="2">
        <v>46100</v>
      </c>
      <c r="C157" s="1" t="s">
        <v>28</v>
      </c>
      <c r="D157" s="1">
        <f>MONTH(Tabela12[[#This Row],[DATA]])</f>
        <v>3</v>
      </c>
    </row>
    <row r="158" spans="1:4" x14ac:dyDescent="0.35">
      <c r="A158" s="1">
        <v>1843</v>
      </c>
      <c r="B158" s="2">
        <v>46100</v>
      </c>
      <c r="C158" s="1" t="s">
        <v>28</v>
      </c>
      <c r="D158" s="1">
        <f>MONTH(Tabela12[[#This Row],[DATA]])</f>
        <v>3</v>
      </c>
    </row>
    <row r="159" spans="1:4" x14ac:dyDescent="0.35">
      <c r="A159" s="1">
        <v>1844</v>
      </c>
      <c r="B159" s="2">
        <v>46100</v>
      </c>
      <c r="C159" s="1" t="s">
        <v>28</v>
      </c>
      <c r="D159" s="1">
        <f>MONTH(Tabela12[[#This Row],[DATA]])</f>
        <v>3</v>
      </c>
    </row>
    <row r="160" spans="1:4" x14ac:dyDescent="0.35">
      <c r="A160" s="1">
        <v>1845</v>
      </c>
      <c r="B160" s="2">
        <v>46100</v>
      </c>
      <c r="C160" s="1" t="s">
        <v>33</v>
      </c>
      <c r="D160" s="1">
        <f>MONTH(Tabela12[[#This Row],[DATA]])</f>
        <v>3</v>
      </c>
    </row>
    <row r="161" spans="1:4" x14ac:dyDescent="0.35">
      <c r="A161" s="1">
        <v>1853</v>
      </c>
      <c r="B161" s="2">
        <v>46101</v>
      </c>
      <c r="C161" s="1" t="s">
        <v>22</v>
      </c>
      <c r="D161" s="1">
        <f>MONTH(Tabela12[[#This Row],[DATA]])</f>
        <v>3</v>
      </c>
    </row>
    <row r="162" spans="1:4" x14ac:dyDescent="0.35">
      <c r="A162" s="1">
        <v>1857</v>
      </c>
      <c r="B162" s="2">
        <v>46104</v>
      </c>
      <c r="C162" s="1" t="s">
        <v>22</v>
      </c>
      <c r="D162" s="1">
        <f>MONTH(Tabela12[[#This Row],[DATA]])</f>
        <v>3</v>
      </c>
    </row>
    <row r="163" spans="1:4" x14ac:dyDescent="0.35">
      <c r="A163" s="1">
        <v>1858</v>
      </c>
      <c r="B163" s="2">
        <v>46104</v>
      </c>
      <c r="C163" s="1" t="s">
        <v>22</v>
      </c>
      <c r="D163" s="1">
        <f>MONTH(Tabela12[[#This Row],[DATA]])</f>
        <v>3</v>
      </c>
    </row>
    <row r="164" spans="1:4" x14ac:dyDescent="0.35">
      <c r="A164" s="1">
        <v>1859</v>
      </c>
      <c r="B164" s="2">
        <v>46104</v>
      </c>
      <c r="C164" s="1" t="s">
        <v>22</v>
      </c>
      <c r="D164" s="1">
        <f>MONTH(Tabela12[[#This Row],[DATA]])</f>
        <v>3</v>
      </c>
    </row>
    <row r="165" spans="1:4" x14ac:dyDescent="0.35">
      <c r="A165" s="1">
        <v>1860</v>
      </c>
      <c r="B165" s="2">
        <v>46104</v>
      </c>
      <c r="C165" s="1" t="s">
        <v>22</v>
      </c>
      <c r="D165" s="1">
        <f>MONTH(Tabela12[[#This Row],[DATA]])</f>
        <v>3</v>
      </c>
    </row>
    <row r="166" spans="1:4" x14ac:dyDescent="0.35">
      <c r="A166" s="1">
        <v>1861</v>
      </c>
      <c r="B166" s="2">
        <v>46104</v>
      </c>
      <c r="C166" s="1" t="s">
        <v>33</v>
      </c>
      <c r="D166" s="1">
        <f>MONTH(Tabela12[[#This Row],[DATA]])</f>
        <v>3</v>
      </c>
    </row>
    <row r="167" spans="1:4" x14ac:dyDescent="0.35">
      <c r="A167" s="1">
        <v>1862</v>
      </c>
      <c r="B167" s="2">
        <v>46104</v>
      </c>
      <c r="C167" s="1" t="s">
        <v>22</v>
      </c>
      <c r="D167" s="1">
        <f>MONTH(Tabela12[[#This Row],[DATA]])</f>
        <v>3</v>
      </c>
    </row>
    <row r="168" spans="1:4" x14ac:dyDescent="0.35">
      <c r="A168" s="1">
        <v>1867</v>
      </c>
      <c r="B168" s="2">
        <v>46105</v>
      </c>
      <c r="C168" s="1" t="s">
        <v>22</v>
      </c>
      <c r="D168" s="1">
        <f>MONTH(Tabela12[[#This Row],[DATA]])</f>
        <v>3</v>
      </c>
    </row>
    <row r="169" spans="1:4" x14ac:dyDescent="0.35">
      <c r="A169" s="1">
        <v>1868</v>
      </c>
      <c r="B169" s="2">
        <v>46105</v>
      </c>
      <c r="C169" s="1" t="s">
        <v>33</v>
      </c>
      <c r="D169" s="1">
        <f>MONTH(Tabela12[[#This Row],[DATA]])</f>
        <v>3</v>
      </c>
    </row>
    <row r="170" spans="1:4" x14ac:dyDescent="0.35">
      <c r="A170" s="1">
        <v>1869</v>
      </c>
      <c r="B170" s="2">
        <v>46105</v>
      </c>
      <c r="C170" s="1" t="s">
        <v>33</v>
      </c>
      <c r="D170" s="1">
        <f>MONTH(Tabela12[[#This Row],[DATA]])</f>
        <v>3</v>
      </c>
    </row>
    <row r="171" spans="1:4" x14ac:dyDescent="0.35">
      <c r="A171" s="1">
        <v>1870</v>
      </c>
      <c r="B171" s="2">
        <v>46105</v>
      </c>
      <c r="C171" s="1" t="s">
        <v>5</v>
      </c>
      <c r="D171" s="1">
        <f>MONTH(Tabela12[[#This Row],[DATA]])</f>
        <v>3</v>
      </c>
    </row>
    <row r="172" spans="1:4" x14ac:dyDescent="0.35">
      <c r="A172" s="1">
        <v>1871</v>
      </c>
      <c r="B172" s="2">
        <v>46105</v>
      </c>
      <c r="C172" s="1" t="s">
        <v>22</v>
      </c>
      <c r="D172" s="1">
        <f>MONTH(Tabela12[[#This Row],[DATA]])</f>
        <v>3</v>
      </c>
    </row>
    <row r="173" spans="1:4" x14ac:dyDescent="0.35">
      <c r="A173" s="1">
        <v>1872</v>
      </c>
      <c r="B173" s="2">
        <v>46105</v>
      </c>
      <c r="C173" s="1" t="s">
        <v>22</v>
      </c>
      <c r="D173" s="1">
        <f>MONTH(Tabela12[[#This Row],[DATA]])</f>
        <v>3</v>
      </c>
    </row>
    <row r="174" spans="1:4" x14ac:dyDescent="0.35">
      <c r="A174" s="1">
        <v>1873</v>
      </c>
      <c r="B174" s="2">
        <v>46105</v>
      </c>
      <c r="C174" s="1" t="s">
        <v>22</v>
      </c>
      <c r="D174" s="1">
        <f>MONTH(Tabela12[[#This Row],[DATA]])</f>
        <v>3</v>
      </c>
    </row>
    <row r="175" spans="1:4" x14ac:dyDescent="0.35">
      <c r="A175" s="1">
        <v>1874</v>
      </c>
      <c r="B175" s="2">
        <v>46105</v>
      </c>
      <c r="C175" s="1" t="s">
        <v>22</v>
      </c>
      <c r="D175" s="1">
        <f>MONTH(Tabela12[[#This Row],[DATA]])</f>
        <v>3</v>
      </c>
    </row>
    <row r="176" spans="1:4" x14ac:dyDescent="0.35">
      <c r="A176" s="1">
        <v>1875</v>
      </c>
      <c r="B176" s="2">
        <v>46105</v>
      </c>
      <c r="C176" s="1" t="s">
        <v>21</v>
      </c>
      <c r="D176" s="1">
        <f>MONTH(Tabela12[[#This Row],[DATA]])</f>
        <v>3</v>
      </c>
    </row>
    <row r="177" spans="1:4" x14ac:dyDescent="0.35">
      <c r="A177" s="1">
        <v>1876</v>
      </c>
      <c r="B177" s="2">
        <v>46105</v>
      </c>
      <c r="C177" s="1" t="s">
        <v>21</v>
      </c>
      <c r="D177" s="1">
        <f>MONTH(Tabela12[[#This Row],[DATA]])</f>
        <v>3</v>
      </c>
    </row>
    <row r="178" spans="1:4" x14ac:dyDescent="0.35">
      <c r="A178" s="1">
        <v>1878</v>
      </c>
      <c r="B178" s="2">
        <v>46105</v>
      </c>
      <c r="C178" s="1" t="s">
        <v>9</v>
      </c>
      <c r="D178" s="1">
        <f>MONTH(Tabela12[[#This Row],[DATA]])</f>
        <v>3</v>
      </c>
    </row>
    <row r="179" spans="1:4" x14ac:dyDescent="0.35">
      <c r="A179" s="1">
        <v>1879</v>
      </c>
      <c r="B179" s="2">
        <v>46105</v>
      </c>
      <c r="C179" s="1" t="s">
        <v>21</v>
      </c>
      <c r="D179" s="1">
        <f>MONTH(Tabela12[[#This Row],[DATA]])</f>
        <v>3</v>
      </c>
    </row>
    <row r="180" spans="1:4" x14ac:dyDescent="0.35">
      <c r="A180" s="1">
        <v>1880</v>
      </c>
      <c r="B180" s="2">
        <v>46105</v>
      </c>
      <c r="C180" s="1" t="s">
        <v>21</v>
      </c>
      <c r="D180" s="1">
        <f>MONTH(Tabela12[[#This Row],[DATA]])</f>
        <v>3</v>
      </c>
    </row>
    <row r="181" spans="1:4" x14ac:dyDescent="0.35">
      <c r="A181" s="1">
        <v>1881</v>
      </c>
      <c r="B181" s="2">
        <v>46105</v>
      </c>
      <c r="C181" s="1" t="s">
        <v>21</v>
      </c>
      <c r="D181" s="1">
        <f>MONTH(Tabela12[[#This Row],[DATA]])</f>
        <v>3</v>
      </c>
    </row>
    <row r="182" spans="1:4" x14ac:dyDescent="0.35">
      <c r="A182" s="1">
        <v>1882</v>
      </c>
      <c r="B182" s="2">
        <v>46105</v>
      </c>
      <c r="C182" s="1" t="s">
        <v>21</v>
      </c>
      <c r="D182" s="1">
        <f>MONTH(Tabela12[[#This Row],[DATA]])</f>
        <v>3</v>
      </c>
    </row>
    <row r="183" spans="1:4" x14ac:dyDescent="0.35">
      <c r="A183" s="1">
        <v>1883</v>
      </c>
      <c r="B183" s="2">
        <v>46105</v>
      </c>
      <c r="C183" s="1" t="s">
        <v>9</v>
      </c>
      <c r="D183" s="1">
        <f>MONTH(Tabela12[[#This Row],[DATA]])</f>
        <v>3</v>
      </c>
    </row>
    <row r="184" spans="1:4" x14ac:dyDescent="0.35">
      <c r="A184" s="1">
        <v>1884</v>
      </c>
      <c r="B184" s="2">
        <v>46105</v>
      </c>
      <c r="C184" s="1" t="s">
        <v>21</v>
      </c>
      <c r="D184" s="1">
        <f>MONTH(Tabela12[[#This Row],[DATA]])</f>
        <v>3</v>
      </c>
    </row>
    <row r="185" spans="1:4" x14ac:dyDescent="0.35">
      <c r="A185" s="1">
        <v>1886</v>
      </c>
      <c r="B185" s="2">
        <v>46105</v>
      </c>
      <c r="C185" s="1" t="s">
        <v>5</v>
      </c>
      <c r="D185" s="1">
        <f>MONTH(Tabela12[[#This Row],[DATA]])</f>
        <v>3</v>
      </c>
    </row>
    <row r="186" spans="1:4" x14ac:dyDescent="0.35">
      <c r="A186" s="1">
        <v>1888</v>
      </c>
      <c r="B186" s="2">
        <v>46105</v>
      </c>
      <c r="C186" s="1" t="s">
        <v>33</v>
      </c>
      <c r="D186" s="1">
        <f>MONTH(Tabela12[[#This Row],[DATA]])</f>
        <v>3</v>
      </c>
    </row>
    <row r="187" spans="1:4" x14ac:dyDescent="0.35">
      <c r="A187" s="1">
        <v>1897</v>
      </c>
      <c r="B187" s="2">
        <v>46112</v>
      </c>
      <c r="C187" s="1" t="s">
        <v>5</v>
      </c>
      <c r="D187" s="1">
        <f>MONTH(Tabela12[[#This Row],[DATA]])</f>
        <v>3</v>
      </c>
    </row>
    <row r="188" spans="1:4" x14ac:dyDescent="0.35">
      <c r="A188" s="1">
        <v>1898</v>
      </c>
      <c r="B188" s="2">
        <v>46112</v>
      </c>
      <c r="C188" s="1" t="s">
        <v>5</v>
      </c>
      <c r="D188" s="1">
        <f>MONTH(Tabela12[[#This Row],[DATA]])</f>
        <v>3</v>
      </c>
    </row>
    <row r="189" spans="1:4" x14ac:dyDescent="0.35">
      <c r="A189" s="1">
        <v>1899</v>
      </c>
      <c r="B189" s="2">
        <v>46112</v>
      </c>
      <c r="C189" s="1" t="s">
        <v>32</v>
      </c>
      <c r="D189" s="1">
        <f>MONTH(Tabela12[[#This Row],[DATA]])</f>
        <v>3</v>
      </c>
    </row>
    <row r="190" spans="1:4" x14ac:dyDescent="0.35">
      <c r="A190" s="1">
        <v>1900</v>
      </c>
      <c r="B190" s="2">
        <v>46112</v>
      </c>
      <c r="C190" s="1" t="s">
        <v>32</v>
      </c>
      <c r="D190" s="1">
        <f>MONTH(Tabela12[[#This Row],[DATA]])</f>
        <v>3</v>
      </c>
    </row>
    <row r="191" spans="1:4" x14ac:dyDescent="0.35">
      <c r="A191" s="1">
        <v>1901</v>
      </c>
      <c r="B191" s="2">
        <v>46112</v>
      </c>
      <c r="C191" s="1" t="s">
        <v>32</v>
      </c>
      <c r="D191" s="1">
        <f>MONTH(Tabela12[[#This Row],[DATA]])</f>
        <v>3</v>
      </c>
    </row>
    <row r="192" spans="1:4" x14ac:dyDescent="0.35">
      <c r="A192" s="1">
        <v>1902</v>
      </c>
      <c r="B192" s="2">
        <v>46112</v>
      </c>
      <c r="C192" s="1" t="s">
        <v>21</v>
      </c>
      <c r="D192" s="1">
        <f>MONTH(Tabela12[[#This Row],[DATA]])</f>
        <v>3</v>
      </c>
    </row>
    <row r="193" spans="1:4" x14ac:dyDescent="0.35">
      <c r="A193" s="1">
        <v>1903</v>
      </c>
      <c r="B193" s="2">
        <v>46112</v>
      </c>
      <c r="C193" s="1" t="s">
        <v>22</v>
      </c>
      <c r="D193" s="1">
        <f>MONTH(Tabela12[[#This Row],[DATA]])</f>
        <v>3</v>
      </c>
    </row>
    <row r="194" spans="1:4" x14ac:dyDescent="0.35">
      <c r="A194" s="1">
        <v>1904</v>
      </c>
      <c r="B194" s="2">
        <v>46112</v>
      </c>
      <c r="C194" s="1" t="s">
        <v>22</v>
      </c>
      <c r="D194" s="1">
        <f>MONTH(Tabela12[[#This Row],[DATA]])</f>
        <v>3</v>
      </c>
    </row>
    <row r="195" spans="1:4" x14ac:dyDescent="0.35">
      <c r="A195" s="1">
        <v>1905</v>
      </c>
      <c r="B195" s="2">
        <v>46112</v>
      </c>
      <c r="C195" s="1" t="s">
        <v>22</v>
      </c>
      <c r="D195" s="1">
        <f>MONTH(Tabela12[[#This Row],[DATA]])</f>
        <v>3</v>
      </c>
    </row>
    <row r="196" spans="1:4" x14ac:dyDescent="0.35">
      <c r="A196" s="1">
        <v>1906</v>
      </c>
      <c r="B196" s="2">
        <v>46112</v>
      </c>
      <c r="C196" s="1" t="s">
        <v>22</v>
      </c>
      <c r="D196" s="1">
        <f>MONTH(Tabela12[[#This Row],[DATA]])</f>
        <v>3</v>
      </c>
    </row>
    <row r="197" spans="1:4" x14ac:dyDescent="0.35">
      <c r="A197" s="1">
        <v>1907</v>
      </c>
      <c r="B197" s="2">
        <v>46112</v>
      </c>
      <c r="C197" s="1" t="s">
        <v>22</v>
      </c>
      <c r="D197" s="1">
        <f>MONTH(Tabela12[[#This Row],[DATA]])</f>
        <v>3</v>
      </c>
    </row>
    <row r="198" spans="1:4" x14ac:dyDescent="0.35">
      <c r="A198" s="1">
        <v>1908</v>
      </c>
      <c r="B198" s="2">
        <v>46112</v>
      </c>
      <c r="C198" s="1" t="s">
        <v>22</v>
      </c>
      <c r="D198" s="1">
        <f>MONTH(Tabela12[[#This Row],[DATA]])</f>
        <v>3</v>
      </c>
    </row>
    <row r="199" spans="1:4" x14ac:dyDescent="0.35">
      <c r="A199" s="1">
        <v>1909</v>
      </c>
      <c r="B199" s="2">
        <v>46112</v>
      </c>
      <c r="C199" s="1" t="s">
        <v>22</v>
      </c>
      <c r="D199" s="1">
        <f>MONTH(Tabela12[[#This Row],[DATA]])</f>
        <v>3</v>
      </c>
    </row>
    <row r="200" spans="1:4" x14ac:dyDescent="0.35">
      <c r="A200" s="1">
        <v>1910</v>
      </c>
      <c r="B200" s="2">
        <v>46112</v>
      </c>
      <c r="C200" s="1" t="s">
        <v>22</v>
      </c>
      <c r="D200" s="1">
        <f>MONTH(Tabela12[[#This Row],[DATA]])</f>
        <v>3</v>
      </c>
    </row>
    <row r="201" spans="1:4" x14ac:dyDescent="0.35">
      <c r="A201" s="1">
        <v>1911</v>
      </c>
      <c r="B201" s="2">
        <v>46112</v>
      </c>
      <c r="C201" s="1" t="s">
        <v>22</v>
      </c>
      <c r="D201" s="1">
        <f>MONTH(Tabela12[[#This Row],[DATA]])</f>
        <v>3</v>
      </c>
    </row>
    <row r="202" spans="1:4" x14ac:dyDescent="0.35">
      <c r="A202" s="1">
        <v>1912</v>
      </c>
      <c r="B202" s="2">
        <v>46112</v>
      </c>
      <c r="C202" s="1" t="s">
        <v>22</v>
      </c>
      <c r="D202" s="1">
        <f>MONTH(Tabela12[[#This Row],[DATA]])</f>
        <v>3</v>
      </c>
    </row>
    <row r="203" spans="1:4" x14ac:dyDescent="0.35">
      <c r="A203" s="1">
        <v>1913</v>
      </c>
      <c r="B203" s="2">
        <v>46112</v>
      </c>
      <c r="C203" s="1" t="s">
        <v>22</v>
      </c>
      <c r="D203" s="1">
        <f>MONTH(Tabela12[[#This Row],[DATA]])</f>
        <v>3</v>
      </c>
    </row>
    <row r="204" spans="1:4" x14ac:dyDescent="0.35">
      <c r="A204" s="1">
        <v>1914</v>
      </c>
      <c r="B204" s="2">
        <v>46112</v>
      </c>
      <c r="C204" s="1" t="s">
        <v>22</v>
      </c>
      <c r="D204" s="1">
        <f>MONTH(Tabela12[[#This Row],[DATA]])</f>
        <v>3</v>
      </c>
    </row>
    <row r="205" spans="1:4" x14ac:dyDescent="0.35">
      <c r="A205" s="1">
        <v>1915</v>
      </c>
      <c r="B205" s="2">
        <v>46112</v>
      </c>
      <c r="C205" s="1" t="s">
        <v>28</v>
      </c>
      <c r="D205" s="1">
        <f>MONTH(Tabela12[[#This Row],[DATA]])</f>
        <v>3</v>
      </c>
    </row>
    <row r="206" spans="1:4" x14ac:dyDescent="0.35">
      <c r="A206" s="1">
        <v>1916</v>
      </c>
      <c r="B206" s="2">
        <v>46112</v>
      </c>
      <c r="C206" s="1" t="s">
        <v>28</v>
      </c>
      <c r="D206" s="1">
        <f>MONTH(Tabela12[[#This Row],[DATA]])</f>
        <v>3</v>
      </c>
    </row>
    <row r="207" spans="1:4" x14ac:dyDescent="0.35">
      <c r="A207" s="1">
        <v>1917</v>
      </c>
      <c r="B207" s="2">
        <v>46112</v>
      </c>
      <c r="C207" s="1" t="s">
        <v>28</v>
      </c>
      <c r="D207" s="1">
        <f>MONTH(Tabela12[[#This Row],[DATA]])</f>
        <v>3</v>
      </c>
    </row>
    <row r="208" spans="1:4" x14ac:dyDescent="0.35">
      <c r="A208" s="1">
        <v>1918</v>
      </c>
      <c r="B208" s="2">
        <v>46112</v>
      </c>
      <c r="C208" s="1" t="s">
        <v>9</v>
      </c>
      <c r="D208" s="1">
        <f>MONTH(Tabela12[[#This Row],[DATA]])</f>
        <v>3</v>
      </c>
    </row>
    <row r="209" spans="1:4" x14ac:dyDescent="0.35">
      <c r="A209" s="1">
        <v>1919</v>
      </c>
      <c r="B209" s="2">
        <v>46112</v>
      </c>
      <c r="C209" s="1" t="s">
        <v>5</v>
      </c>
      <c r="D209" s="1">
        <f>MONTH(Tabela12[[#This Row],[DATA]])</f>
        <v>3</v>
      </c>
    </row>
    <row r="210" spans="1:4" x14ac:dyDescent="0.35">
      <c r="A210" s="1">
        <v>1920</v>
      </c>
      <c r="B210" s="2">
        <v>46112</v>
      </c>
      <c r="C210" s="1" t="s">
        <v>5</v>
      </c>
      <c r="D210" s="1">
        <f>MONTH(Tabela12[[#This Row],[DATA]])</f>
        <v>3</v>
      </c>
    </row>
    <row r="211" spans="1:4" x14ac:dyDescent="0.35">
      <c r="A211" s="1">
        <v>1921</v>
      </c>
      <c r="B211" s="2">
        <v>46112</v>
      </c>
      <c r="C211" s="1" t="s">
        <v>21</v>
      </c>
      <c r="D211" s="1">
        <f>MONTH(Tabela12[[#This Row],[DATA]])</f>
        <v>3</v>
      </c>
    </row>
    <row r="212" spans="1:4" x14ac:dyDescent="0.35">
      <c r="A212" s="1">
        <v>1922</v>
      </c>
      <c r="B212" s="2">
        <v>46112</v>
      </c>
      <c r="C212" s="1" t="s">
        <v>21</v>
      </c>
      <c r="D212" s="1">
        <f>MONTH(Tabela12[[#This Row],[DATA]])</f>
        <v>3</v>
      </c>
    </row>
    <row r="213" spans="1:4" x14ac:dyDescent="0.35">
      <c r="A213" s="1">
        <v>1943</v>
      </c>
      <c r="B213" s="2">
        <v>46119</v>
      </c>
      <c r="C213" s="1" t="s">
        <v>21</v>
      </c>
      <c r="D213" s="1">
        <f>MONTH(Tabela12[[#This Row],[DATA]])</f>
        <v>4</v>
      </c>
    </row>
    <row r="214" spans="1:4" x14ac:dyDescent="0.35">
      <c r="A214" s="1">
        <v>1944</v>
      </c>
      <c r="B214" s="2">
        <v>46119</v>
      </c>
      <c r="C214" s="1" t="s">
        <v>21</v>
      </c>
      <c r="D214" s="1">
        <f>MONTH(Tabela12[[#This Row],[DATA]])</f>
        <v>4</v>
      </c>
    </row>
    <row r="215" spans="1:4" x14ac:dyDescent="0.35">
      <c r="A215" s="1">
        <v>1945</v>
      </c>
      <c r="B215" s="2">
        <v>46119</v>
      </c>
      <c r="C215" s="1" t="s">
        <v>21</v>
      </c>
      <c r="D215" s="1">
        <f>MONTH(Tabela12[[#This Row],[DATA]])</f>
        <v>4</v>
      </c>
    </row>
    <row r="216" spans="1:4" x14ac:dyDescent="0.35">
      <c r="A216" s="1">
        <v>1946</v>
      </c>
      <c r="B216" s="2">
        <v>46119</v>
      </c>
      <c r="C216" s="1" t="s">
        <v>21</v>
      </c>
      <c r="D216" s="1">
        <f>MONTH(Tabela12[[#This Row],[DATA]])</f>
        <v>4</v>
      </c>
    </row>
    <row r="217" spans="1:4" x14ac:dyDescent="0.35">
      <c r="A217" s="1">
        <v>1947</v>
      </c>
      <c r="B217" s="2">
        <v>46119</v>
      </c>
      <c r="C217" s="1" t="s">
        <v>5</v>
      </c>
      <c r="D217" s="1">
        <f>MONTH(Tabela12[[#This Row],[DATA]])</f>
        <v>4</v>
      </c>
    </row>
    <row r="218" spans="1:4" x14ac:dyDescent="0.35">
      <c r="A218" s="1">
        <v>1948</v>
      </c>
      <c r="B218" s="2">
        <v>46119</v>
      </c>
      <c r="C218" s="1" t="s">
        <v>28</v>
      </c>
      <c r="D218" s="1">
        <f>MONTH(Tabela12[[#This Row],[DATA]])</f>
        <v>4</v>
      </c>
    </row>
    <row r="219" spans="1:4" x14ac:dyDescent="0.35">
      <c r="A219" s="1">
        <v>1949</v>
      </c>
      <c r="B219" s="2">
        <v>46119</v>
      </c>
      <c r="C219" s="1" t="s">
        <v>28</v>
      </c>
      <c r="D219" s="1">
        <f>MONTH(Tabela12[[#This Row],[DATA]])</f>
        <v>4</v>
      </c>
    </row>
    <row r="220" spans="1:4" x14ac:dyDescent="0.35">
      <c r="A220" s="1">
        <v>1950</v>
      </c>
      <c r="B220" s="2">
        <v>46119</v>
      </c>
      <c r="C220" s="1" t="s">
        <v>21</v>
      </c>
      <c r="D220" s="1">
        <f>MONTH(Tabela12[[#This Row],[DATA]])</f>
        <v>4</v>
      </c>
    </row>
    <row r="221" spans="1:4" x14ac:dyDescent="0.35">
      <c r="A221" s="1">
        <v>1951</v>
      </c>
      <c r="B221" s="2">
        <v>46119</v>
      </c>
      <c r="C221" s="1" t="s">
        <v>34</v>
      </c>
      <c r="D221" s="1">
        <f>MONTH(Tabela12[[#This Row],[DATA]])</f>
        <v>4</v>
      </c>
    </row>
    <row r="222" spans="1:4" x14ac:dyDescent="0.35">
      <c r="A222" s="1">
        <v>1953</v>
      </c>
      <c r="B222" s="2">
        <v>46119</v>
      </c>
      <c r="C222" s="1" t="s">
        <v>34</v>
      </c>
      <c r="D222" s="1">
        <f>MONTH(Tabela12[[#This Row],[DATA]])</f>
        <v>4</v>
      </c>
    </row>
    <row r="223" spans="1:4" x14ac:dyDescent="0.35">
      <c r="A223" s="1">
        <v>1954</v>
      </c>
      <c r="B223" s="2">
        <v>46119</v>
      </c>
      <c r="C223" s="1" t="s">
        <v>28</v>
      </c>
      <c r="D223" s="1">
        <f>MONTH(Tabela12[[#This Row],[DATA]])</f>
        <v>4</v>
      </c>
    </row>
    <row r="224" spans="1:4" x14ac:dyDescent="0.35">
      <c r="A224" s="1">
        <v>1955</v>
      </c>
      <c r="B224" s="2">
        <v>46119</v>
      </c>
      <c r="C224" s="1" t="s">
        <v>21</v>
      </c>
      <c r="D224" s="1">
        <f>MONTH(Tabela12[[#This Row],[DATA]])</f>
        <v>4</v>
      </c>
    </row>
    <row r="225" spans="1:4" x14ac:dyDescent="0.35">
      <c r="A225" s="1">
        <v>1956</v>
      </c>
      <c r="B225" s="2">
        <v>46119</v>
      </c>
      <c r="C225" s="1" t="s">
        <v>21</v>
      </c>
      <c r="D225" s="1">
        <f>MONTH(Tabela12[[#This Row],[DATA]])</f>
        <v>4</v>
      </c>
    </row>
    <row r="226" spans="1:4" x14ac:dyDescent="0.35">
      <c r="A226" s="1">
        <v>1957</v>
      </c>
      <c r="B226" s="2">
        <v>46119</v>
      </c>
      <c r="C226" s="1" t="s">
        <v>5</v>
      </c>
      <c r="D226" s="1">
        <f>MONTH(Tabela12[[#This Row],[DATA]])</f>
        <v>4</v>
      </c>
    </row>
    <row r="227" spans="1:4" x14ac:dyDescent="0.35">
      <c r="A227" s="1">
        <v>1958</v>
      </c>
      <c r="B227" s="2">
        <v>46119</v>
      </c>
      <c r="C227" s="1" t="s">
        <v>5</v>
      </c>
      <c r="D227" s="1">
        <f>MONTH(Tabela12[[#This Row],[DATA]])</f>
        <v>4</v>
      </c>
    </row>
    <row r="228" spans="1:4" x14ac:dyDescent="0.35">
      <c r="A228" s="1">
        <v>1959</v>
      </c>
      <c r="B228" s="2">
        <v>46119</v>
      </c>
      <c r="C228" s="1" t="s">
        <v>5</v>
      </c>
      <c r="D228" s="1">
        <f>MONTH(Tabela12[[#This Row],[DATA]])</f>
        <v>4</v>
      </c>
    </row>
    <row r="229" spans="1:4" x14ac:dyDescent="0.35">
      <c r="A229" s="1">
        <v>1960</v>
      </c>
      <c r="B229" s="2">
        <v>46119</v>
      </c>
      <c r="C229" s="1" t="s">
        <v>5</v>
      </c>
      <c r="D229" s="1">
        <f>MONTH(Tabela12[[#This Row],[DATA]])</f>
        <v>4</v>
      </c>
    </row>
    <row r="230" spans="1:4" x14ac:dyDescent="0.35">
      <c r="A230" s="1">
        <v>1961</v>
      </c>
      <c r="B230" s="2">
        <v>46119</v>
      </c>
      <c r="C230" s="1" t="s">
        <v>5</v>
      </c>
      <c r="D230" s="1">
        <f>MONTH(Tabela12[[#This Row],[DATA]])</f>
        <v>4</v>
      </c>
    </row>
    <row r="231" spans="1:4" x14ac:dyDescent="0.35">
      <c r="A231" s="1">
        <v>1962</v>
      </c>
      <c r="B231" s="2">
        <v>46119</v>
      </c>
      <c r="C231" s="1" t="s">
        <v>5</v>
      </c>
      <c r="D231" s="1">
        <f>MONTH(Tabela12[[#This Row],[DATA]])</f>
        <v>4</v>
      </c>
    </row>
    <row r="232" spans="1:4" x14ac:dyDescent="0.35">
      <c r="A232" s="1">
        <v>1963</v>
      </c>
      <c r="B232" s="2">
        <v>46119</v>
      </c>
      <c r="C232" s="1" t="s">
        <v>5</v>
      </c>
      <c r="D232" s="1">
        <f>MONTH(Tabela12[[#This Row],[DATA]])</f>
        <v>4</v>
      </c>
    </row>
    <row r="233" spans="1:4" x14ac:dyDescent="0.35">
      <c r="A233" s="1">
        <v>1967</v>
      </c>
      <c r="B233" s="2">
        <v>46120</v>
      </c>
      <c r="C233" s="1" t="s">
        <v>21</v>
      </c>
      <c r="D233" s="1">
        <f>MONTH(Tabela12[[#This Row],[DATA]])</f>
        <v>4</v>
      </c>
    </row>
    <row r="234" spans="1:4" x14ac:dyDescent="0.35">
      <c r="A234" s="1">
        <v>1968</v>
      </c>
      <c r="B234" s="2">
        <v>46120</v>
      </c>
      <c r="C234" s="1" t="s">
        <v>5</v>
      </c>
      <c r="D234" s="1">
        <f>MONTH(Tabela12[[#This Row],[DATA]])</f>
        <v>4</v>
      </c>
    </row>
    <row r="235" spans="1:4" x14ac:dyDescent="0.35">
      <c r="A235" s="1">
        <v>1969</v>
      </c>
      <c r="B235" s="2">
        <v>46120</v>
      </c>
      <c r="C235" s="1" t="s">
        <v>5</v>
      </c>
      <c r="D235" s="1">
        <f>MONTH(Tabela12[[#This Row],[DATA]])</f>
        <v>4</v>
      </c>
    </row>
    <row r="236" spans="1:4" x14ac:dyDescent="0.35">
      <c r="A236" s="1">
        <v>1988</v>
      </c>
      <c r="B236" s="2">
        <v>46125</v>
      </c>
      <c r="C236" s="1" t="s">
        <v>5</v>
      </c>
      <c r="D236" s="1">
        <f>MONTH(Tabela12[[#This Row],[DATA]])</f>
        <v>4</v>
      </c>
    </row>
    <row r="237" spans="1:4" x14ac:dyDescent="0.35">
      <c r="A237" s="1">
        <v>1989</v>
      </c>
      <c r="B237" s="2">
        <v>46125</v>
      </c>
      <c r="C237" s="1" t="s">
        <v>5</v>
      </c>
      <c r="D237" s="1">
        <f>MONTH(Tabela12[[#This Row],[DATA]])</f>
        <v>4</v>
      </c>
    </row>
    <row r="238" spans="1:4" x14ac:dyDescent="0.35">
      <c r="A238" s="1">
        <v>1990</v>
      </c>
      <c r="B238" s="2">
        <v>46125</v>
      </c>
      <c r="C238" s="1" t="s">
        <v>5</v>
      </c>
      <c r="D238" s="1">
        <f>MONTH(Tabela12[[#This Row],[DATA]])</f>
        <v>4</v>
      </c>
    </row>
    <row r="239" spans="1:4" x14ac:dyDescent="0.35">
      <c r="A239" s="1">
        <v>1992</v>
      </c>
      <c r="B239" s="2">
        <v>46125</v>
      </c>
      <c r="C239" s="1" t="s">
        <v>24</v>
      </c>
      <c r="D239" s="1">
        <f>MONTH(Tabela12[[#This Row],[DATA]])</f>
        <v>4</v>
      </c>
    </row>
    <row r="240" spans="1:4" x14ac:dyDescent="0.35">
      <c r="A240" s="1">
        <v>1993</v>
      </c>
      <c r="B240" s="2">
        <v>46125</v>
      </c>
      <c r="C240" s="1" t="s">
        <v>24</v>
      </c>
      <c r="D240" s="1">
        <f>MONTH(Tabela12[[#This Row],[DATA]])</f>
        <v>4</v>
      </c>
    </row>
    <row r="241" spans="1:4" x14ac:dyDescent="0.35">
      <c r="A241" s="1">
        <v>1994</v>
      </c>
      <c r="B241" s="2">
        <v>46125</v>
      </c>
      <c r="C241" s="1" t="s">
        <v>24</v>
      </c>
      <c r="D241" s="1">
        <f>MONTH(Tabela12[[#This Row],[DATA]])</f>
        <v>4</v>
      </c>
    </row>
    <row r="242" spans="1:4" x14ac:dyDescent="0.35">
      <c r="A242" s="1">
        <v>1995</v>
      </c>
      <c r="B242" s="2">
        <v>46125</v>
      </c>
      <c r="C242" s="1" t="s">
        <v>5</v>
      </c>
      <c r="D242" s="1">
        <f>MONTH(Tabela12[[#This Row],[DATA]])</f>
        <v>4</v>
      </c>
    </row>
    <row r="243" spans="1:4" x14ac:dyDescent="0.35">
      <c r="A243" s="1">
        <v>1996</v>
      </c>
      <c r="B243" s="2">
        <v>46125</v>
      </c>
      <c r="C243" s="1" t="s">
        <v>5</v>
      </c>
      <c r="D243" s="1">
        <f>MONTH(Tabela12[[#This Row],[DATA]])</f>
        <v>4</v>
      </c>
    </row>
    <row r="244" spans="1:4" x14ac:dyDescent="0.35">
      <c r="A244" s="1">
        <v>1997</v>
      </c>
      <c r="B244" s="2">
        <v>46125</v>
      </c>
      <c r="C244" s="1" t="s">
        <v>33</v>
      </c>
      <c r="D244" s="1">
        <f>MONTH(Tabela12[[#This Row],[DATA]])</f>
        <v>4</v>
      </c>
    </row>
    <row r="245" spans="1:4" x14ac:dyDescent="0.35">
      <c r="A245" s="1">
        <v>2000</v>
      </c>
      <c r="B245" s="2">
        <v>46125</v>
      </c>
      <c r="C245" s="1" t="s">
        <v>24</v>
      </c>
      <c r="D245" s="1">
        <f>MONTH(Tabela12[[#This Row],[DATA]])</f>
        <v>4</v>
      </c>
    </row>
    <row r="246" spans="1:4" x14ac:dyDescent="0.35">
      <c r="A246" s="1">
        <v>2001</v>
      </c>
      <c r="B246" s="2">
        <v>46125</v>
      </c>
      <c r="C246" s="1" t="s">
        <v>21</v>
      </c>
      <c r="D246" s="1">
        <f>MONTH(Tabela12[[#This Row],[DATA]])</f>
        <v>4</v>
      </c>
    </row>
    <row r="247" spans="1:4" x14ac:dyDescent="0.35">
      <c r="A247" s="1">
        <v>2002</v>
      </c>
      <c r="B247" s="2">
        <v>46125</v>
      </c>
      <c r="C247" s="1" t="s">
        <v>21</v>
      </c>
      <c r="D247" s="1">
        <f>MONTH(Tabela12[[#This Row],[DATA]])</f>
        <v>4</v>
      </c>
    </row>
    <row r="248" spans="1:4" x14ac:dyDescent="0.35">
      <c r="A248" s="1">
        <v>2016</v>
      </c>
      <c r="B248" s="2">
        <v>46129</v>
      </c>
      <c r="C248" s="1" t="s">
        <v>21</v>
      </c>
      <c r="D248" s="1">
        <f>MONTH(Tabela12[[#This Row],[DATA]])</f>
        <v>4</v>
      </c>
    </row>
    <row r="249" spans="1:4" x14ac:dyDescent="0.35">
      <c r="A249" s="1">
        <v>2017</v>
      </c>
      <c r="B249" s="2">
        <v>46129</v>
      </c>
      <c r="C249" s="1" t="s">
        <v>21</v>
      </c>
      <c r="D249" s="1">
        <f>MONTH(Tabela12[[#This Row],[DATA]])</f>
        <v>4</v>
      </c>
    </row>
    <row r="250" spans="1:4" x14ac:dyDescent="0.35">
      <c r="A250" s="1">
        <v>2018</v>
      </c>
      <c r="B250" s="2">
        <v>46129</v>
      </c>
      <c r="C250" s="1" t="s">
        <v>5</v>
      </c>
      <c r="D250" s="1">
        <f>MONTH(Tabela12[[#This Row],[DATA]])</f>
        <v>4</v>
      </c>
    </row>
    <row r="251" spans="1:4" x14ac:dyDescent="0.35">
      <c r="A251" s="1">
        <v>2019</v>
      </c>
      <c r="B251" s="2">
        <v>46129</v>
      </c>
      <c r="C251" s="1" t="s">
        <v>5</v>
      </c>
      <c r="D251" s="1">
        <f>MONTH(Tabela12[[#This Row],[DATA]])</f>
        <v>4</v>
      </c>
    </row>
    <row r="252" spans="1:4" x14ac:dyDescent="0.35">
      <c r="A252" s="1">
        <v>2020</v>
      </c>
      <c r="B252" s="2">
        <v>46129</v>
      </c>
      <c r="C252" s="1" t="s">
        <v>24</v>
      </c>
      <c r="D252" s="1">
        <f>MONTH(Tabela12[[#This Row],[DATA]])</f>
        <v>4</v>
      </c>
    </row>
    <row r="253" spans="1:4" x14ac:dyDescent="0.35">
      <c r="A253" s="1">
        <v>2021</v>
      </c>
      <c r="B253" s="2">
        <v>46129</v>
      </c>
      <c r="C253" s="1" t="s">
        <v>22</v>
      </c>
      <c r="D253" s="1">
        <f>MONTH(Tabela12[[#This Row],[DATA]])</f>
        <v>4</v>
      </c>
    </row>
    <row r="254" spans="1:4" x14ac:dyDescent="0.35">
      <c r="A254" s="1">
        <v>2022</v>
      </c>
      <c r="B254" s="2">
        <v>46129</v>
      </c>
      <c r="C254" s="1" t="s">
        <v>22</v>
      </c>
      <c r="D254" s="1">
        <f>MONTH(Tabela12[[#This Row],[DATA]])</f>
        <v>4</v>
      </c>
    </row>
    <row r="255" spans="1:4" x14ac:dyDescent="0.35">
      <c r="A255" s="1">
        <v>2023</v>
      </c>
      <c r="B255" s="2">
        <v>46129</v>
      </c>
      <c r="C255" s="1" t="s">
        <v>22</v>
      </c>
      <c r="D255" s="1">
        <f>MONTH(Tabela12[[#This Row],[DATA]])</f>
        <v>4</v>
      </c>
    </row>
    <row r="256" spans="1:4" x14ac:dyDescent="0.35">
      <c r="A256" s="1">
        <v>2024</v>
      </c>
      <c r="B256" s="2">
        <v>46129</v>
      </c>
      <c r="C256" s="1" t="s">
        <v>22</v>
      </c>
      <c r="D256" s="1">
        <f>MONTH(Tabela12[[#This Row],[DATA]])</f>
        <v>4</v>
      </c>
    </row>
    <row r="257" spans="1:4" x14ac:dyDescent="0.35">
      <c r="A257" s="1">
        <v>2025</v>
      </c>
      <c r="B257" s="2">
        <v>46129</v>
      </c>
      <c r="C257" s="1" t="s">
        <v>22</v>
      </c>
      <c r="D257" s="1">
        <f>MONTH(Tabela12[[#This Row],[DATA]])</f>
        <v>4</v>
      </c>
    </row>
    <row r="258" spans="1:4" x14ac:dyDescent="0.35">
      <c r="A258" s="1">
        <v>2026</v>
      </c>
      <c r="B258" s="2">
        <v>46129</v>
      </c>
      <c r="C258" s="1" t="s">
        <v>22</v>
      </c>
      <c r="D258" s="1">
        <f>MONTH(Tabela12[[#This Row],[DATA]])</f>
        <v>4</v>
      </c>
    </row>
    <row r="259" spans="1:4" x14ac:dyDescent="0.35">
      <c r="A259" s="1">
        <v>2027</v>
      </c>
      <c r="B259" s="2">
        <v>46129</v>
      </c>
      <c r="C259" s="1" t="s">
        <v>22</v>
      </c>
      <c r="D259" s="1">
        <f>MONTH(Tabela12[[#This Row],[DATA]])</f>
        <v>4</v>
      </c>
    </row>
    <row r="260" spans="1:4" x14ac:dyDescent="0.35">
      <c r="A260" s="1">
        <v>2028</v>
      </c>
      <c r="B260" s="2">
        <v>46129</v>
      </c>
      <c r="C260" s="1" t="s">
        <v>21</v>
      </c>
      <c r="D260" s="1">
        <f>MONTH(Tabela12[[#This Row],[DATA]])</f>
        <v>4</v>
      </c>
    </row>
    <row r="261" spans="1:4" x14ac:dyDescent="0.35">
      <c r="A261" s="1">
        <v>2029</v>
      </c>
      <c r="B261" s="2">
        <v>46129</v>
      </c>
      <c r="C261" s="1" t="s">
        <v>24</v>
      </c>
      <c r="D261" s="1">
        <f>MONTH(Tabela12[[#This Row],[DATA]])</f>
        <v>4</v>
      </c>
    </row>
    <row r="262" spans="1:4" x14ac:dyDescent="0.35">
      <c r="A262" s="1">
        <v>2030</v>
      </c>
      <c r="B262" s="2">
        <v>46129</v>
      </c>
      <c r="C262" s="1" t="s">
        <v>21</v>
      </c>
      <c r="D262" s="1">
        <f>MONTH(Tabela12[[#This Row],[DATA]])</f>
        <v>4</v>
      </c>
    </row>
    <row r="263" spans="1:4" x14ac:dyDescent="0.35">
      <c r="A263" s="1">
        <v>2031</v>
      </c>
      <c r="B263" s="2">
        <v>46129</v>
      </c>
      <c r="C263" s="1" t="s">
        <v>21</v>
      </c>
      <c r="D263" s="1">
        <f>MONTH(Tabela12[[#This Row],[DATA]])</f>
        <v>4</v>
      </c>
    </row>
    <row r="264" spans="1:4" x14ac:dyDescent="0.35">
      <c r="A264" s="1">
        <v>2032</v>
      </c>
      <c r="B264" s="2">
        <v>46129</v>
      </c>
      <c r="C264" s="1" t="s">
        <v>21</v>
      </c>
      <c r="D264" s="1">
        <f>MONTH(Tabela12[[#This Row],[DATA]])</f>
        <v>4</v>
      </c>
    </row>
    <row r="265" spans="1:4" x14ac:dyDescent="0.35">
      <c r="A265" s="1">
        <v>2033</v>
      </c>
      <c r="B265" s="2">
        <v>46129</v>
      </c>
      <c r="C265" s="1" t="s">
        <v>5</v>
      </c>
      <c r="D265" s="1">
        <f>MONTH(Tabela12[[#This Row],[DATA]])</f>
        <v>4</v>
      </c>
    </row>
    <row r="266" spans="1:4" x14ac:dyDescent="0.35">
      <c r="A266" s="1">
        <v>2034</v>
      </c>
      <c r="B266" s="2">
        <v>46129</v>
      </c>
      <c r="C266" s="1" t="s">
        <v>24</v>
      </c>
      <c r="D266" s="1">
        <f>MONTH(Tabela12[[#This Row],[DATA]])</f>
        <v>4</v>
      </c>
    </row>
    <row r="267" spans="1:4" x14ac:dyDescent="0.35">
      <c r="A267" s="1">
        <v>2035</v>
      </c>
      <c r="B267" s="2">
        <v>46129</v>
      </c>
      <c r="C267" s="1" t="s">
        <v>5</v>
      </c>
      <c r="D267" s="1">
        <f>MONTH(Tabela12[[#This Row],[DATA]])</f>
        <v>4</v>
      </c>
    </row>
    <row r="268" spans="1:4" x14ac:dyDescent="0.35">
      <c r="A268" s="1">
        <v>2036</v>
      </c>
      <c r="B268" s="2">
        <v>46129</v>
      </c>
      <c r="C268" s="1" t="s">
        <v>33</v>
      </c>
      <c r="D268" s="1">
        <f>MONTH(Tabela12[[#This Row],[DATA]])</f>
        <v>4</v>
      </c>
    </row>
    <row r="269" spans="1:4" x14ac:dyDescent="0.35">
      <c r="A269" s="1">
        <v>2037</v>
      </c>
      <c r="B269" s="2">
        <v>46129</v>
      </c>
      <c r="C269" s="1" t="s">
        <v>33</v>
      </c>
      <c r="D269" s="1">
        <f>MONTH(Tabela12[[#This Row],[DATA]])</f>
        <v>4</v>
      </c>
    </row>
    <row r="270" spans="1:4" x14ac:dyDescent="0.35">
      <c r="A270" s="1">
        <v>2045</v>
      </c>
      <c r="B270" s="2">
        <v>46129</v>
      </c>
      <c r="C270" s="1" t="s">
        <v>28</v>
      </c>
      <c r="D270" s="1">
        <f>MONTH(Tabela12[[#This Row],[DATA]])</f>
        <v>4</v>
      </c>
    </row>
    <row r="271" spans="1:4" x14ac:dyDescent="0.35">
      <c r="A271" s="1">
        <v>2055</v>
      </c>
      <c r="B271" s="2">
        <v>46132</v>
      </c>
      <c r="C271" s="1" t="s">
        <v>28</v>
      </c>
      <c r="D271" s="1">
        <f>MONTH(Tabela12[[#This Row],[DATA]])</f>
        <v>4</v>
      </c>
    </row>
    <row r="272" spans="1:4" x14ac:dyDescent="0.35">
      <c r="A272" s="1">
        <v>2056</v>
      </c>
      <c r="B272" s="2">
        <v>46132</v>
      </c>
      <c r="C272" s="1" t="s">
        <v>28</v>
      </c>
      <c r="D272" s="1">
        <f>MONTH(Tabela12[[#This Row],[DATA]])</f>
        <v>4</v>
      </c>
    </row>
    <row r="273" spans="1:4" x14ac:dyDescent="0.35">
      <c r="A273" s="1">
        <v>2057</v>
      </c>
      <c r="B273" s="2">
        <v>46132</v>
      </c>
      <c r="C273" s="1" t="s">
        <v>28</v>
      </c>
      <c r="D273" s="1">
        <f>MONTH(Tabela12[[#This Row],[DATA]])</f>
        <v>4</v>
      </c>
    </row>
    <row r="274" spans="1:4" x14ac:dyDescent="0.35">
      <c r="A274" s="1">
        <v>2058</v>
      </c>
      <c r="B274" s="2">
        <v>46132</v>
      </c>
      <c r="C274" s="1" t="s">
        <v>28</v>
      </c>
      <c r="D274" s="1">
        <f>MONTH(Tabela12[[#This Row],[DATA]])</f>
        <v>4</v>
      </c>
    </row>
    <row r="275" spans="1:4" x14ac:dyDescent="0.35">
      <c r="A275" s="1">
        <v>2059</v>
      </c>
      <c r="B275" s="2">
        <v>46132</v>
      </c>
      <c r="C275" s="1" t="s">
        <v>5</v>
      </c>
      <c r="D275" s="1">
        <f>MONTH(Tabela12[[#This Row],[DATA]])</f>
        <v>4</v>
      </c>
    </row>
    <row r="276" spans="1:4" x14ac:dyDescent="0.35">
      <c r="A276" s="1">
        <v>2060</v>
      </c>
      <c r="B276" s="2">
        <v>46132</v>
      </c>
      <c r="C276" s="1" t="s">
        <v>5</v>
      </c>
      <c r="D276" s="1">
        <f>MONTH(Tabela12[[#This Row],[DATA]])</f>
        <v>4</v>
      </c>
    </row>
    <row r="277" spans="1:4" x14ac:dyDescent="0.35">
      <c r="A277" s="1">
        <v>2061</v>
      </c>
      <c r="B277" s="2">
        <v>46132</v>
      </c>
      <c r="C277" s="1" t="s">
        <v>28</v>
      </c>
      <c r="D277" s="1">
        <f>MONTH(Tabela12[[#This Row],[DATA]])</f>
        <v>4</v>
      </c>
    </row>
    <row r="278" spans="1:4" x14ac:dyDescent="0.35">
      <c r="A278" s="1">
        <v>2062</v>
      </c>
      <c r="B278" s="2">
        <v>46132</v>
      </c>
      <c r="C278" s="1" t="s">
        <v>33</v>
      </c>
      <c r="D278" s="1">
        <f>MONTH(Tabela12[[#This Row],[DATA]])</f>
        <v>4</v>
      </c>
    </row>
    <row r="279" spans="1:4" x14ac:dyDescent="0.35">
      <c r="A279" s="1">
        <v>2063</v>
      </c>
      <c r="B279" s="2">
        <v>46132</v>
      </c>
      <c r="C279" s="1" t="s">
        <v>5</v>
      </c>
      <c r="D279" s="1">
        <f>MONTH(Tabela12[[#This Row],[DATA]])</f>
        <v>4</v>
      </c>
    </row>
    <row r="280" spans="1:4" x14ac:dyDescent="0.35">
      <c r="A280" s="1">
        <v>2064</v>
      </c>
      <c r="B280" s="2">
        <v>46132</v>
      </c>
      <c r="C280" s="1" t="s">
        <v>28</v>
      </c>
      <c r="D280" s="1">
        <f>MONTH(Tabela12[[#This Row],[DATA]])</f>
        <v>4</v>
      </c>
    </row>
    <row r="281" spans="1:4" x14ac:dyDescent="0.35">
      <c r="A281" s="1">
        <v>2066</v>
      </c>
      <c r="B281" s="2">
        <v>46135</v>
      </c>
      <c r="C281" s="1" t="s">
        <v>28</v>
      </c>
      <c r="D281" s="1">
        <f>MONTH(Tabela12[[#This Row],[DATA]])</f>
        <v>4</v>
      </c>
    </row>
    <row r="282" spans="1:4" x14ac:dyDescent="0.35">
      <c r="A282" s="1">
        <v>2067</v>
      </c>
      <c r="B282" s="2">
        <v>46135</v>
      </c>
      <c r="C282" s="1" t="s">
        <v>21</v>
      </c>
      <c r="D282" s="1">
        <f>MONTH(Tabela12[[#This Row],[DATA]])</f>
        <v>4</v>
      </c>
    </row>
    <row r="283" spans="1:4" x14ac:dyDescent="0.35">
      <c r="A283" s="1">
        <v>2068</v>
      </c>
      <c r="B283" s="2">
        <v>46135</v>
      </c>
      <c r="C283" s="1" t="s">
        <v>21</v>
      </c>
      <c r="D283" s="1">
        <f>MONTH(Tabela12[[#This Row],[DATA]])</f>
        <v>4</v>
      </c>
    </row>
    <row r="284" spans="1:4" x14ac:dyDescent="0.35">
      <c r="A284" s="1">
        <v>2069</v>
      </c>
      <c r="B284" s="2">
        <v>46135</v>
      </c>
      <c r="C284" s="1" t="s">
        <v>21</v>
      </c>
      <c r="D284" s="1">
        <f>MONTH(Tabela12[[#This Row],[DATA]])</f>
        <v>4</v>
      </c>
    </row>
    <row r="285" spans="1:4" x14ac:dyDescent="0.35">
      <c r="A285" s="1">
        <v>2070</v>
      </c>
      <c r="B285" s="2">
        <v>46135</v>
      </c>
      <c r="C285" s="1" t="s">
        <v>21</v>
      </c>
      <c r="D285" s="1">
        <f>MONTH(Tabela12[[#This Row],[DATA]])</f>
        <v>4</v>
      </c>
    </row>
    <row r="286" spans="1:4" x14ac:dyDescent="0.35">
      <c r="A286" s="1">
        <v>2071</v>
      </c>
      <c r="B286" s="2">
        <v>46135</v>
      </c>
      <c r="C286" s="1" t="s">
        <v>5</v>
      </c>
      <c r="D286" s="1">
        <f>MONTH(Tabela12[[#This Row],[DATA]])</f>
        <v>4</v>
      </c>
    </row>
    <row r="287" spans="1:4" x14ac:dyDescent="0.35">
      <c r="A287" s="1">
        <v>2072</v>
      </c>
      <c r="B287" s="2">
        <v>46135</v>
      </c>
      <c r="C287" s="1" t="s">
        <v>5</v>
      </c>
      <c r="D287" s="1">
        <f>MONTH(Tabela12[[#This Row],[DATA]])</f>
        <v>4</v>
      </c>
    </row>
    <row r="288" spans="1:4" x14ac:dyDescent="0.35">
      <c r="A288" s="1">
        <v>2073</v>
      </c>
      <c r="B288" s="2">
        <v>46135</v>
      </c>
      <c r="C288" s="1" t="s">
        <v>21</v>
      </c>
      <c r="D288" s="1">
        <f>MONTH(Tabela12[[#This Row],[DATA]])</f>
        <v>4</v>
      </c>
    </row>
    <row r="289" spans="1:4" x14ac:dyDescent="0.35">
      <c r="A289" s="1">
        <v>2082</v>
      </c>
      <c r="B289" s="2">
        <v>46135</v>
      </c>
      <c r="C289" s="1" t="s">
        <v>5</v>
      </c>
      <c r="D289" s="1">
        <f>MONTH(Tabela12[[#This Row],[DATA]])</f>
        <v>4</v>
      </c>
    </row>
    <row r="290" spans="1:4" x14ac:dyDescent="0.35">
      <c r="A290" s="1">
        <v>2083</v>
      </c>
      <c r="B290" s="2">
        <v>46135</v>
      </c>
      <c r="C290" s="1" t="s">
        <v>5</v>
      </c>
      <c r="D290" s="1">
        <f>MONTH(Tabela12[[#This Row],[DATA]])</f>
        <v>4</v>
      </c>
    </row>
    <row r="291" spans="1:4" x14ac:dyDescent="0.35">
      <c r="A291" s="1">
        <v>2084</v>
      </c>
      <c r="B291" s="2">
        <v>46135</v>
      </c>
      <c r="C291" s="1" t="s">
        <v>22</v>
      </c>
      <c r="D291" s="1">
        <f>MONTH(Tabela12[[#This Row],[DATA]])</f>
        <v>4</v>
      </c>
    </row>
    <row r="292" spans="1:4" x14ac:dyDescent="0.35">
      <c r="A292" s="1">
        <v>2085</v>
      </c>
      <c r="B292" s="2">
        <v>46135</v>
      </c>
      <c r="C292" s="1" t="s">
        <v>5</v>
      </c>
      <c r="D292" s="1">
        <f>MONTH(Tabela12[[#This Row],[DATA]])</f>
        <v>4</v>
      </c>
    </row>
    <row r="293" spans="1:4" x14ac:dyDescent="0.35">
      <c r="A293" s="1">
        <v>2087</v>
      </c>
      <c r="B293" s="2">
        <v>46135</v>
      </c>
      <c r="C293" s="1" t="s">
        <v>21</v>
      </c>
      <c r="D293" s="1">
        <f>MONTH(Tabela12[[#This Row],[DATA]])</f>
        <v>4</v>
      </c>
    </row>
    <row r="294" spans="1:4" x14ac:dyDescent="0.35">
      <c r="A294" s="1">
        <v>2088</v>
      </c>
      <c r="B294" s="2">
        <v>46139</v>
      </c>
      <c r="C294" s="1" t="s">
        <v>5</v>
      </c>
      <c r="D294" s="1">
        <f>MONTH(Tabela12[[#This Row],[DATA]])</f>
        <v>4</v>
      </c>
    </row>
    <row r="295" spans="1:4" x14ac:dyDescent="0.35">
      <c r="A295" s="1">
        <v>2089</v>
      </c>
      <c r="B295" s="2">
        <v>46139</v>
      </c>
      <c r="C295" s="1" t="s">
        <v>5</v>
      </c>
      <c r="D295" s="1">
        <f>MONTH(Tabela12[[#This Row],[DATA]])</f>
        <v>4</v>
      </c>
    </row>
    <row r="296" spans="1:4" x14ac:dyDescent="0.35">
      <c r="A296" s="1">
        <v>2090</v>
      </c>
      <c r="B296" s="2">
        <v>46139</v>
      </c>
      <c r="C296" s="1" t="s">
        <v>5</v>
      </c>
      <c r="D296" s="1">
        <f>MONTH(Tabela12[[#This Row],[DATA]])</f>
        <v>4</v>
      </c>
    </row>
    <row r="297" spans="1:4" x14ac:dyDescent="0.35">
      <c r="A297" s="1">
        <v>2091</v>
      </c>
      <c r="B297" s="2">
        <v>46139</v>
      </c>
      <c r="C297" s="1" t="s">
        <v>33</v>
      </c>
      <c r="D297" s="1">
        <f>MONTH(Tabela12[[#This Row],[DATA]])</f>
        <v>4</v>
      </c>
    </row>
    <row r="298" spans="1:4" x14ac:dyDescent="0.35">
      <c r="A298" s="1">
        <v>2092</v>
      </c>
      <c r="B298" s="2">
        <v>46139</v>
      </c>
      <c r="C298" s="1" t="s">
        <v>33</v>
      </c>
      <c r="D298" s="1">
        <f>MONTH(Tabela12[[#This Row],[DATA]])</f>
        <v>4</v>
      </c>
    </row>
    <row r="299" spans="1:4" x14ac:dyDescent="0.35">
      <c r="A299" s="1">
        <v>2093</v>
      </c>
      <c r="B299" s="2">
        <v>46139</v>
      </c>
      <c r="C299" s="1" t="s">
        <v>21</v>
      </c>
      <c r="D299" s="1">
        <f>MONTH(Tabela12[[#This Row],[DATA]])</f>
        <v>4</v>
      </c>
    </row>
    <row r="300" spans="1:4" x14ac:dyDescent="0.35">
      <c r="A300" s="1">
        <v>2095</v>
      </c>
      <c r="B300" s="2">
        <v>46139</v>
      </c>
      <c r="C300" s="1" t="s">
        <v>28</v>
      </c>
      <c r="D300" s="1">
        <f>MONTH(Tabela12[[#This Row],[DATA]])</f>
        <v>4</v>
      </c>
    </row>
    <row r="301" spans="1:4" x14ac:dyDescent="0.35">
      <c r="A301" s="1">
        <v>2096</v>
      </c>
      <c r="B301" s="2">
        <v>46139</v>
      </c>
      <c r="C301" s="1" t="s">
        <v>5</v>
      </c>
      <c r="D301" s="1">
        <f>MONTH(Tabela12[[#This Row],[DATA]])</f>
        <v>4</v>
      </c>
    </row>
    <row r="302" spans="1:4" x14ac:dyDescent="0.35">
      <c r="A302" s="1">
        <v>2097</v>
      </c>
      <c r="B302" s="2">
        <v>46139</v>
      </c>
      <c r="C302" s="1" t="s">
        <v>5</v>
      </c>
      <c r="D302" s="1">
        <f>MONTH(Tabela12[[#This Row],[DATA]])</f>
        <v>4</v>
      </c>
    </row>
    <row r="303" spans="1:4" x14ac:dyDescent="0.35">
      <c r="A303" s="1">
        <v>2098</v>
      </c>
      <c r="B303" s="2">
        <v>46139</v>
      </c>
      <c r="C303" s="1" t="s">
        <v>21</v>
      </c>
      <c r="D303" s="1">
        <f>MONTH(Tabela12[[#This Row],[DATA]])</f>
        <v>4</v>
      </c>
    </row>
    <row r="304" spans="1:4" x14ac:dyDescent="0.35">
      <c r="A304" s="1">
        <v>2099</v>
      </c>
      <c r="B304" s="2">
        <v>46139</v>
      </c>
      <c r="C304" s="1" t="s">
        <v>21</v>
      </c>
      <c r="D304" s="1">
        <f>MONTH(Tabela12[[#This Row],[DATA]])</f>
        <v>4</v>
      </c>
    </row>
    <row r="305" spans="1:4" x14ac:dyDescent="0.35">
      <c r="A305" s="1">
        <v>2100</v>
      </c>
      <c r="B305" s="2">
        <v>46139</v>
      </c>
      <c r="C305" s="1" t="s">
        <v>21</v>
      </c>
      <c r="D305" s="1">
        <f>MONTH(Tabela12[[#This Row],[DATA]])</f>
        <v>4</v>
      </c>
    </row>
    <row r="306" spans="1:4" x14ac:dyDescent="0.35">
      <c r="A306" s="1">
        <v>2101</v>
      </c>
      <c r="B306" s="2">
        <v>46139</v>
      </c>
      <c r="C306" s="1" t="s">
        <v>21</v>
      </c>
      <c r="D306" s="1">
        <f>MONTH(Tabela12[[#This Row],[DATA]])</f>
        <v>4</v>
      </c>
    </row>
    <row r="307" spans="1:4" x14ac:dyDescent="0.35">
      <c r="A307" s="1">
        <v>2107</v>
      </c>
      <c r="B307" s="2">
        <v>46140</v>
      </c>
      <c r="C307" s="1" t="s">
        <v>33</v>
      </c>
      <c r="D307" s="1">
        <f>MONTH(Tabela12[[#This Row],[DATA]])</f>
        <v>4</v>
      </c>
    </row>
    <row r="308" spans="1:4" x14ac:dyDescent="0.35">
      <c r="A308" s="1">
        <v>2108</v>
      </c>
      <c r="B308" s="2">
        <v>46140</v>
      </c>
      <c r="C308" s="1" t="s">
        <v>24</v>
      </c>
      <c r="D308" s="1">
        <f>MONTH(Tabela12[[#This Row],[DATA]])</f>
        <v>4</v>
      </c>
    </row>
    <row r="309" spans="1:4" x14ac:dyDescent="0.35">
      <c r="A309" s="1">
        <v>2109</v>
      </c>
      <c r="B309" s="2">
        <v>46140</v>
      </c>
      <c r="C309" s="1" t="s">
        <v>24</v>
      </c>
      <c r="D309" s="1">
        <f>MONTH(Tabela12[[#This Row],[DATA]])</f>
        <v>4</v>
      </c>
    </row>
    <row r="310" spans="1:4" x14ac:dyDescent="0.35">
      <c r="A310" s="1">
        <v>2125</v>
      </c>
      <c r="B310" s="2">
        <v>46147</v>
      </c>
      <c r="C310" s="1" t="s">
        <v>9</v>
      </c>
      <c r="D310" s="1">
        <f>MONTH(Tabela12[[#This Row],[DATA]])</f>
        <v>5</v>
      </c>
    </row>
    <row r="311" spans="1:4" x14ac:dyDescent="0.35">
      <c r="A311" s="1">
        <v>2126</v>
      </c>
      <c r="B311" s="2">
        <v>46147</v>
      </c>
      <c r="C311" s="1" t="s">
        <v>9</v>
      </c>
      <c r="D311" s="1">
        <f>MONTH(Tabela12[[#This Row],[DATA]])</f>
        <v>5</v>
      </c>
    </row>
    <row r="312" spans="1:4" x14ac:dyDescent="0.35">
      <c r="A312" s="1">
        <v>2127</v>
      </c>
      <c r="B312" s="2">
        <v>46147</v>
      </c>
      <c r="C312" s="1" t="s">
        <v>9</v>
      </c>
      <c r="D312" s="1">
        <f>MONTH(Tabela12[[#This Row],[DATA]])</f>
        <v>5</v>
      </c>
    </row>
    <row r="313" spans="1:4" x14ac:dyDescent="0.35">
      <c r="A313" s="1">
        <v>2128</v>
      </c>
      <c r="B313" s="2">
        <v>46147</v>
      </c>
      <c r="C313" s="1" t="s">
        <v>24</v>
      </c>
      <c r="D313" s="1">
        <f>MONTH(Tabela12[[#This Row],[DATA]])</f>
        <v>5</v>
      </c>
    </row>
    <row r="314" spans="1:4" x14ac:dyDescent="0.35">
      <c r="A314" s="1">
        <v>2129</v>
      </c>
      <c r="B314" s="2">
        <v>46147</v>
      </c>
      <c r="C314" s="1" t="s">
        <v>9</v>
      </c>
      <c r="D314" s="1">
        <f>MONTH(Tabela12[[#This Row],[DATA]])</f>
        <v>5</v>
      </c>
    </row>
    <row r="315" spans="1:4" x14ac:dyDescent="0.35">
      <c r="A315" s="1">
        <v>2130</v>
      </c>
      <c r="B315" s="2">
        <v>46147</v>
      </c>
      <c r="C315" s="1" t="s">
        <v>5</v>
      </c>
      <c r="D315" s="1">
        <f>MONTH(Tabela12[[#This Row],[DATA]])</f>
        <v>5</v>
      </c>
    </row>
    <row r="316" spans="1:4" x14ac:dyDescent="0.35">
      <c r="A316" s="1">
        <v>2131</v>
      </c>
      <c r="B316" s="2">
        <v>46147</v>
      </c>
      <c r="C316" s="1" t="s">
        <v>5</v>
      </c>
      <c r="D316" s="1">
        <f>MONTH(Tabela12[[#This Row],[DATA]])</f>
        <v>5</v>
      </c>
    </row>
    <row r="317" spans="1:4" x14ac:dyDescent="0.35">
      <c r="A317" s="1">
        <v>2132</v>
      </c>
      <c r="B317" s="2">
        <v>46147</v>
      </c>
      <c r="C317" s="1" t="s">
        <v>5</v>
      </c>
      <c r="D317" s="1">
        <f>MONTH(Tabela12[[#This Row],[DATA]])</f>
        <v>5</v>
      </c>
    </row>
    <row r="318" spans="1:4" x14ac:dyDescent="0.35">
      <c r="A318" s="1">
        <v>2133</v>
      </c>
      <c r="B318" s="2">
        <v>46147</v>
      </c>
      <c r="C318" s="1" t="s">
        <v>5</v>
      </c>
      <c r="D318" s="1">
        <f>MONTH(Tabela12[[#This Row],[DATA]])</f>
        <v>5</v>
      </c>
    </row>
    <row r="319" spans="1:4" x14ac:dyDescent="0.35">
      <c r="A319" s="1">
        <v>2134</v>
      </c>
      <c r="B319" s="2">
        <v>46147</v>
      </c>
      <c r="C319" s="1" t="s">
        <v>28</v>
      </c>
      <c r="D319" s="1">
        <f>MONTH(Tabela12[[#This Row],[DATA]])</f>
        <v>5</v>
      </c>
    </row>
    <row r="320" spans="1:4" x14ac:dyDescent="0.35">
      <c r="A320" s="1">
        <v>2135</v>
      </c>
      <c r="B320" s="2">
        <v>46147</v>
      </c>
      <c r="C320" s="1" t="s">
        <v>5</v>
      </c>
      <c r="D320" s="1">
        <f>MONTH(Tabela12[[#This Row],[DATA]])</f>
        <v>5</v>
      </c>
    </row>
    <row r="321" spans="1:4" x14ac:dyDescent="0.35">
      <c r="A321" s="1">
        <v>2136</v>
      </c>
      <c r="B321" s="2">
        <v>46147</v>
      </c>
      <c r="C321" s="1" t="s">
        <v>9</v>
      </c>
      <c r="D321" s="1">
        <f>MONTH(Tabela12[[#This Row],[DATA]])</f>
        <v>5</v>
      </c>
    </row>
    <row r="322" spans="1:4" x14ac:dyDescent="0.35">
      <c r="A322" s="1">
        <v>2137</v>
      </c>
      <c r="B322" s="2">
        <v>46147</v>
      </c>
      <c r="C322" s="1" t="s">
        <v>33</v>
      </c>
      <c r="D322" s="1">
        <f>MONTH(Tabela12[[#This Row],[DATA]])</f>
        <v>5</v>
      </c>
    </row>
    <row r="323" spans="1:4" x14ac:dyDescent="0.35">
      <c r="A323" s="1">
        <v>2138</v>
      </c>
      <c r="B323" s="2">
        <v>46147</v>
      </c>
      <c r="C323" s="1" t="s">
        <v>9</v>
      </c>
      <c r="D323" s="1">
        <f>MONTH(Tabela12[[#This Row],[DATA]])</f>
        <v>5</v>
      </c>
    </row>
    <row r="324" spans="1:4" x14ac:dyDescent="0.35">
      <c r="A324" s="1">
        <v>2139</v>
      </c>
      <c r="B324" s="2">
        <v>46147</v>
      </c>
      <c r="C324" s="1" t="s">
        <v>33</v>
      </c>
      <c r="D324" s="1">
        <f>MONTH(Tabela12[[#This Row],[DATA]])</f>
        <v>5</v>
      </c>
    </row>
    <row r="325" spans="1:4" x14ac:dyDescent="0.35">
      <c r="A325" s="1">
        <v>2140</v>
      </c>
      <c r="B325" s="2">
        <v>46147</v>
      </c>
      <c r="C325" s="1" t="s">
        <v>24</v>
      </c>
      <c r="D325" s="1">
        <f>MONTH(Tabela12[[#This Row],[DATA]])</f>
        <v>5</v>
      </c>
    </row>
    <row r="326" spans="1:4" x14ac:dyDescent="0.35">
      <c r="A326" s="1">
        <v>2141</v>
      </c>
      <c r="B326" s="2">
        <v>46147</v>
      </c>
      <c r="C326" s="1" t="s">
        <v>24</v>
      </c>
      <c r="D326" s="1">
        <f>MONTH(Tabela12[[#This Row],[DATA]])</f>
        <v>5</v>
      </c>
    </row>
    <row r="327" spans="1:4" x14ac:dyDescent="0.35">
      <c r="A327" s="1">
        <v>2142</v>
      </c>
      <c r="B327" s="2">
        <v>46147</v>
      </c>
      <c r="C327" s="1" t="s">
        <v>28</v>
      </c>
      <c r="D327" s="1">
        <f>MONTH(Tabela12[[#This Row],[DATA]])</f>
        <v>5</v>
      </c>
    </row>
    <row r="328" spans="1:4" x14ac:dyDescent="0.35">
      <c r="A328" s="1">
        <v>2143</v>
      </c>
      <c r="B328" s="2">
        <v>46147</v>
      </c>
      <c r="C328" s="1" t="s">
        <v>33</v>
      </c>
      <c r="D328" s="1">
        <f>MONTH(Tabela12[[#This Row],[DATA]])</f>
        <v>5</v>
      </c>
    </row>
    <row r="329" spans="1:4" x14ac:dyDescent="0.35">
      <c r="A329" s="1">
        <v>2144</v>
      </c>
      <c r="B329" s="2">
        <v>46147</v>
      </c>
      <c r="C329" s="1" t="s">
        <v>24</v>
      </c>
      <c r="D329" s="1">
        <f>MONTH(Tabela12[[#This Row],[DATA]])</f>
        <v>5</v>
      </c>
    </row>
    <row r="330" spans="1:4" x14ac:dyDescent="0.35">
      <c r="A330" s="1">
        <v>2145</v>
      </c>
      <c r="B330" s="2">
        <v>46147</v>
      </c>
      <c r="C330" s="1" t="s">
        <v>24</v>
      </c>
      <c r="D330" s="1">
        <f>MONTH(Tabela12[[#This Row],[DATA]])</f>
        <v>5</v>
      </c>
    </row>
    <row r="331" spans="1:4" x14ac:dyDescent="0.35">
      <c r="A331" s="1">
        <v>2146</v>
      </c>
      <c r="B331" s="2">
        <v>46147</v>
      </c>
      <c r="C331" s="1" t="s">
        <v>24</v>
      </c>
      <c r="D331" s="1">
        <f>MONTH(Tabela12[[#This Row],[DATA]])</f>
        <v>5</v>
      </c>
    </row>
    <row r="332" spans="1:4" x14ac:dyDescent="0.35">
      <c r="A332" s="1">
        <v>2147</v>
      </c>
      <c r="B332" s="2">
        <v>46147</v>
      </c>
      <c r="C332" s="1" t="s">
        <v>24</v>
      </c>
      <c r="D332" s="1">
        <f>MONTH(Tabela12[[#This Row],[DATA]])</f>
        <v>5</v>
      </c>
    </row>
    <row r="333" spans="1:4" x14ac:dyDescent="0.35">
      <c r="A333" s="1">
        <v>2148</v>
      </c>
      <c r="B333" s="2">
        <v>46147</v>
      </c>
      <c r="C333" s="1" t="s">
        <v>24</v>
      </c>
      <c r="D333" s="1">
        <f>MONTH(Tabela12[[#This Row],[DATA]])</f>
        <v>5</v>
      </c>
    </row>
    <row r="334" spans="1:4" x14ac:dyDescent="0.35">
      <c r="A334" s="1">
        <v>2149</v>
      </c>
      <c r="B334" s="2">
        <v>46147</v>
      </c>
      <c r="C334" s="1" t="s">
        <v>24</v>
      </c>
      <c r="D334" s="1">
        <f>MONTH(Tabela12[[#This Row],[DATA]])</f>
        <v>5</v>
      </c>
    </row>
    <row r="335" spans="1:4" x14ac:dyDescent="0.35">
      <c r="A335" s="1">
        <v>2150</v>
      </c>
      <c r="B335" s="2">
        <v>46147</v>
      </c>
      <c r="C335" s="1" t="s">
        <v>24</v>
      </c>
      <c r="D335" s="1">
        <f>MONTH(Tabela12[[#This Row],[DATA]])</f>
        <v>5</v>
      </c>
    </row>
    <row r="336" spans="1:4" x14ac:dyDescent="0.35">
      <c r="A336" s="1">
        <v>2151</v>
      </c>
      <c r="B336" s="2">
        <v>46147</v>
      </c>
      <c r="C336" s="1" t="s">
        <v>24</v>
      </c>
      <c r="D336" s="1">
        <f>MONTH(Tabela12[[#This Row],[DATA]])</f>
        <v>5</v>
      </c>
    </row>
    <row r="337" spans="1:4" x14ac:dyDescent="0.35">
      <c r="A337" s="1">
        <v>2152</v>
      </c>
      <c r="B337" s="2">
        <v>46147</v>
      </c>
      <c r="C337" s="1" t="s">
        <v>9</v>
      </c>
      <c r="D337" s="1">
        <f>MONTH(Tabela12[[#This Row],[DATA]])</f>
        <v>5</v>
      </c>
    </row>
    <row r="338" spans="1:4" x14ac:dyDescent="0.35">
      <c r="A338" s="1">
        <v>2154</v>
      </c>
      <c r="B338" s="2">
        <v>46148</v>
      </c>
      <c r="C338" s="1" t="s">
        <v>24</v>
      </c>
      <c r="D338" s="1">
        <f>MONTH(Tabela12[[#This Row],[DATA]])</f>
        <v>5</v>
      </c>
    </row>
    <row r="339" spans="1:4" x14ac:dyDescent="0.35">
      <c r="A339" s="1">
        <v>2155</v>
      </c>
      <c r="B339" s="2">
        <v>46148</v>
      </c>
      <c r="C339" s="1" t="s">
        <v>28</v>
      </c>
      <c r="D339" s="1">
        <f>MONTH(Tabela12[[#This Row],[DATA]])</f>
        <v>5</v>
      </c>
    </row>
    <row r="340" spans="1:4" x14ac:dyDescent="0.35">
      <c r="A340" s="1">
        <v>2156</v>
      </c>
      <c r="B340" s="2">
        <v>46148</v>
      </c>
      <c r="C340" s="1" t="s">
        <v>5</v>
      </c>
      <c r="D340" s="1">
        <f>MONTH(Tabela12[[#This Row],[DATA]])</f>
        <v>5</v>
      </c>
    </row>
    <row r="341" spans="1:4" x14ac:dyDescent="0.35">
      <c r="A341" s="1">
        <v>2157</v>
      </c>
      <c r="B341" s="2">
        <v>46148</v>
      </c>
      <c r="C341" s="1" t="s">
        <v>24</v>
      </c>
      <c r="D341" s="1">
        <f>MONTH(Tabela12[[#This Row],[DATA]])</f>
        <v>5</v>
      </c>
    </row>
    <row r="342" spans="1:4" x14ac:dyDescent="0.35">
      <c r="A342" s="1">
        <v>2158</v>
      </c>
      <c r="B342" s="2">
        <v>46148</v>
      </c>
      <c r="C342" s="1" t="s">
        <v>24</v>
      </c>
      <c r="D342" s="1">
        <f>MONTH(Tabela12[[#This Row],[DATA]])</f>
        <v>5</v>
      </c>
    </row>
    <row r="343" spans="1:4" x14ac:dyDescent="0.35">
      <c r="A343" s="1">
        <v>2161</v>
      </c>
      <c r="B343" s="2">
        <v>46149</v>
      </c>
      <c r="C343" s="1" t="s">
        <v>9</v>
      </c>
      <c r="D343" s="1">
        <f>MONTH(Tabela12[[#This Row],[DATA]])</f>
        <v>5</v>
      </c>
    </row>
    <row r="344" spans="1:4" x14ac:dyDescent="0.35">
      <c r="A344" s="1">
        <v>2162</v>
      </c>
      <c r="B344" s="2">
        <v>46149</v>
      </c>
      <c r="C344" s="1" t="s">
        <v>9</v>
      </c>
      <c r="D344" s="1">
        <f>MONTH(Tabela12[[#This Row],[DATA]])</f>
        <v>5</v>
      </c>
    </row>
    <row r="345" spans="1:4" x14ac:dyDescent="0.35">
      <c r="A345" s="1">
        <v>2163</v>
      </c>
      <c r="B345" s="2">
        <v>46149</v>
      </c>
      <c r="C345" s="1" t="s">
        <v>9</v>
      </c>
      <c r="D345" s="1">
        <f>MONTH(Tabela12[[#This Row],[DATA]])</f>
        <v>5</v>
      </c>
    </row>
    <row r="346" spans="1:4" x14ac:dyDescent="0.35">
      <c r="A346" s="1">
        <v>2164</v>
      </c>
      <c r="B346" s="2">
        <v>46149</v>
      </c>
      <c r="C346" s="1" t="s">
        <v>9</v>
      </c>
      <c r="D346" s="1">
        <f>MONTH(Tabela12[[#This Row],[DATA]])</f>
        <v>5</v>
      </c>
    </row>
    <row r="347" spans="1:4" x14ac:dyDescent="0.35">
      <c r="A347" s="1">
        <v>2165</v>
      </c>
      <c r="B347" s="2">
        <v>46149</v>
      </c>
      <c r="C347" s="1" t="s">
        <v>9</v>
      </c>
      <c r="D347" s="1">
        <f>MONTH(Tabela12[[#This Row],[DATA]])</f>
        <v>5</v>
      </c>
    </row>
    <row r="348" spans="1:4" x14ac:dyDescent="0.35">
      <c r="A348" s="1">
        <v>2166</v>
      </c>
      <c r="B348" s="2">
        <v>46149</v>
      </c>
      <c r="C348" s="1" t="s">
        <v>5</v>
      </c>
      <c r="D348" s="1">
        <f>MONTH(Tabela12[[#This Row],[DATA]])</f>
        <v>5</v>
      </c>
    </row>
    <row r="349" spans="1:4" x14ac:dyDescent="0.35">
      <c r="A349" s="1">
        <v>2167</v>
      </c>
      <c r="B349" s="2">
        <v>46149</v>
      </c>
      <c r="C349" s="1" t="s">
        <v>5</v>
      </c>
      <c r="D349" s="1">
        <f>MONTH(Tabela12[[#This Row],[DATA]])</f>
        <v>5</v>
      </c>
    </row>
    <row r="350" spans="1:4" x14ac:dyDescent="0.35">
      <c r="A350" s="1">
        <v>2168</v>
      </c>
      <c r="B350" s="2">
        <v>46150</v>
      </c>
      <c r="C350" s="1" t="s">
        <v>33</v>
      </c>
      <c r="D350" s="1">
        <f>MONTH(Tabela12[[#This Row],[DATA]])</f>
        <v>5</v>
      </c>
    </row>
    <row r="351" spans="1:4" x14ac:dyDescent="0.35">
      <c r="A351" s="1">
        <v>2169</v>
      </c>
      <c r="B351" s="2">
        <v>46150</v>
      </c>
      <c r="C351" s="1" t="s">
        <v>33</v>
      </c>
      <c r="D351" s="1">
        <f>MONTH(Tabela12[[#This Row],[DATA]])</f>
        <v>5</v>
      </c>
    </row>
    <row r="352" spans="1:4" x14ac:dyDescent="0.35">
      <c r="A352" s="1">
        <v>2170</v>
      </c>
      <c r="B352" s="2">
        <v>46150</v>
      </c>
      <c r="C352" s="1" t="s">
        <v>9</v>
      </c>
      <c r="D352" s="1">
        <f>MONTH(Tabela12[[#This Row],[DATA]])</f>
        <v>5</v>
      </c>
    </row>
    <row r="353" spans="1:4" x14ac:dyDescent="0.35">
      <c r="A353" s="1">
        <v>2171</v>
      </c>
      <c r="B353" s="2">
        <v>46150</v>
      </c>
      <c r="C353" s="1" t="s">
        <v>9</v>
      </c>
      <c r="D353" s="1">
        <f>MONTH(Tabela12[[#This Row],[DATA]])</f>
        <v>5</v>
      </c>
    </row>
    <row r="354" spans="1:4" x14ac:dyDescent="0.35">
      <c r="A354" s="1">
        <v>2172</v>
      </c>
      <c r="B354" s="2">
        <v>46150</v>
      </c>
      <c r="C354" s="1" t="s">
        <v>28</v>
      </c>
      <c r="D354" s="1">
        <f>MONTH(Tabela12[[#This Row],[DATA]])</f>
        <v>5</v>
      </c>
    </row>
    <row r="355" spans="1:4" x14ac:dyDescent="0.35">
      <c r="A355" s="1">
        <v>2197</v>
      </c>
      <c r="B355" s="2">
        <v>46156</v>
      </c>
      <c r="C355" s="1" t="s">
        <v>32</v>
      </c>
      <c r="D355" s="1">
        <f>MONTH(Tabela12[[#This Row],[DATA]])</f>
        <v>5</v>
      </c>
    </row>
    <row r="356" spans="1:4" x14ac:dyDescent="0.35">
      <c r="A356" s="1">
        <v>2199</v>
      </c>
      <c r="B356" s="2">
        <v>46157</v>
      </c>
      <c r="C356" s="1" t="s">
        <v>24</v>
      </c>
      <c r="D356" s="1">
        <f>MONTH(Tabela12[[#This Row],[DATA]])</f>
        <v>5</v>
      </c>
    </row>
    <row r="357" spans="1:4" x14ac:dyDescent="0.35">
      <c r="A357" s="1">
        <v>2208</v>
      </c>
      <c r="B357" s="2">
        <v>46160</v>
      </c>
      <c r="C357" s="1" t="s">
        <v>28</v>
      </c>
      <c r="D357" s="1">
        <f>MONTH(Tabela12[[#This Row],[DATA]])</f>
        <v>5</v>
      </c>
    </row>
    <row r="358" spans="1:4" x14ac:dyDescent="0.35">
      <c r="A358" s="1">
        <v>2209</v>
      </c>
      <c r="B358" s="2">
        <v>46160</v>
      </c>
      <c r="C358" s="1" t="s">
        <v>28</v>
      </c>
      <c r="D358" s="1">
        <f>MONTH(Tabela12[[#This Row],[DATA]])</f>
        <v>5</v>
      </c>
    </row>
    <row r="359" spans="1:4" x14ac:dyDescent="0.35">
      <c r="A359" s="1">
        <v>2210</v>
      </c>
      <c r="B359" s="2">
        <v>46160</v>
      </c>
      <c r="C359" s="1" t="s">
        <v>28</v>
      </c>
      <c r="D359" s="1">
        <f>MONTH(Tabela12[[#This Row],[DATA]])</f>
        <v>5</v>
      </c>
    </row>
    <row r="360" spans="1:4" x14ac:dyDescent="0.35">
      <c r="A360" s="1">
        <v>2211</v>
      </c>
      <c r="B360" s="2">
        <v>46160</v>
      </c>
      <c r="C360" s="1" t="s">
        <v>28</v>
      </c>
      <c r="D360" s="1">
        <f>MONTH(Tabela12[[#This Row],[DATA]])</f>
        <v>5</v>
      </c>
    </row>
    <row r="361" spans="1:4" x14ac:dyDescent="0.35">
      <c r="A361" s="1">
        <v>2219</v>
      </c>
      <c r="B361" s="2">
        <v>46161</v>
      </c>
      <c r="C361" s="1" t="s">
        <v>9</v>
      </c>
      <c r="D361" s="1">
        <f>MONTH(Tabela12[[#This Row],[DATA]])</f>
        <v>5</v>
      </c>
    </row>
    <row r="362" spans="1:4" x14ac:dyDescent="0.35">
      <c r="A362" s="1">
        <v>2220</v>
      </c>
      <c r="B362" s="2">
        <v>46161</v>
      </c>
      <c r="C362" s="1" t="s">
        <v>24</v>
      </c>
      <c r="D362" s="1">
        <f>MONTH(Tabela12[[#This Row],[DATA]])</f>
        <v>5</v>
      </c>
    </row>
    <row r="363" spans="1:4" x14ac:dyDescent="0.35">
      <c r="A363" s="1">
        <v>2221</v>
      </c>
      <c r="B363" s="2">
        <v>46161</v>
      </c>
      <c r="C363" s="1" t="s">
        <v>24</v>
      </c>
      <c r="D363" s="1">
        <f>MONTH(Tabela12[[#This Row],[DATA]])</f>
        <v>5</v>
      </c>
    </row>
    <row r="364" spans="1:4" x14ac:dyDescent="0.35">
      <c r="A364" s="1">
        <v>2223</v>
      </c>
      <c r="B364" s="2">
        <v>46162</v>
      </c>
      <c r="C364" s="1" t="s">
        <v>9</v>
      </c>
      <c r="D364" s="1">
        <f>MONTH(Tabela12[[#This Row],[DATA]])</f>
        <v>5</v>
      </c>
    </row>
    <row r="365" spans="1:4" x14ac:dyDescent="0.35">
      <c r="A365" s="1">
        <v>2224</v>
      </c>
      <c r="B365" s="2">
        <v>46162</v>
      </c>
      <c r="C365" s="1" t="s">
        <v>24</v>
      </c>
      <c r="D365" s="1">
        <f>MONTH(Tabela12[[#This Row],[DATA]])</f>
        <v>5</v>
      </c>
    </row>
    <row r="366" spans="1:4" x14ac:dyDescent="0.35">
      <c r="A366" s="1">
        <v>2225</v>
      </c>
      <c r="B366" s="2">
        <v>46162</v>
      </c>
      <c r="C366" s="1" t="s">
        <v>24</v>
      </c>
      <c r="D366" s="1">
        <f>MONTH(Tabela12[[#This Row],[DATA]])</f>
        <v>5</v>
      </c>
    </row>
    <row r="367" spans="1:4" x14ac:dyDescent="0.35">
      <c r="A367" s="1">
        <v>2226</v>
      </c>
      <c r="B367" s="2">
        <v>46162</v>
      </c>
      <c r="C367" s="1" t="s">
        <v>24</v>
      </c>
      <c r="D367" s="1">
        <f>MONTH(Tabela12[[#This Row],[DATA]])</f>
        <v>5</v>
      </c>
    </row>
    <row r="368" spans="1:4" x14ac:dyDescent="0.35">
      <c r="A368" s="1">
        <v>2227</v>
      </c>
      <c r="B368" s="2">
        <v>46162</v>
      </c>
      <c r="C368" s="1" t="s">
        <v>24</v>
      </c>
      <c r="D368" s="1">
        <f>MONTH(Tabela12[[#This Row],[DATA]])</f>
        <v>5</v>
      </c>
    </row>
    <row r="369" spans="1:4" x14ac:dyDescent="0.35">
      <c r="A369" s="1">
        <v>2228</v>
      </c>
      <c r="B369" s="2">
        <v>46162</v>
      </c>
      <c r="C369" s="1" t="s">
        <v>24</v>
      </c>
      <c r="D369" s="1">
        <f>MONTH(Tabela12[[#This Row],[DATA]])</f>
        <v>5</v>
      </c>
    </row>
    <row r="370" spans="1:4" x14ac:dyDescent="0.35">
      <c r="A370" s="1">
        <v>2229</v>
      </c>
      <c r="B370" s="2">
        <v>46162</v>
      </c>
      <c r="C370" s="1" t="s">
        <v>24</v>
      </c>
      <c r="D370" s="1">
        <f>MONTH(Tabela12[[#This Row],[DATA]])</f>
        <v>5</v>
      </c>
    </row>
    <row r="371" spans="1:4" x14ac:dyDescent="0.35">
      <c r="A371" s="1">
        <v>2230</v>
      </c>
      <c r="B371" s="2">
        <v>46162</v>
      </c>
      <c r="C371" s="1" t="s">
        <v>24</v>
      </c>
      <c r="D371" s="1">
        <f>MONTH(Tabela12[[#This Row],[DATA]])</f>
        <v>5</v>
      </c>
    </row>
    <row r="372" spans="1:4" x14ac:dyDescent="0.35">
      <c r="A372" s="1">
        <v>2236</v>
      </c>
      <c r="B372" s="2">
        <v>46167</v>
      </c>
      <c r="C372" s="1" t="s">
        <v>9</v>
      </c>
      <c r="D372" s="1">
        <f>MONTH(Tabela12[[#This Row],[DATA]])</f>
        <v>5</v>
      </c>
    </row>
    <row r="373" spans="1:4" x14ac:dyDescent="0.35">
      <c r="A373" s="1">
        <v>2237</v>
      </c>
      <c r="B373" s="2">
        <v>46167</v>
      </c>
      <c r="C373" s="1" t="s">
        <v>9</v>
      </c>
      <c r="D373" s="1">
        <f>MONTH(Tabela12[[#This Row],[DATA]])</f>
        <v>5</v>
      </c>
    </row>
    <row r="374" spans="1:4" x14ac:dyDescent="0.35">
      <c r="A374" s="1">
        <v>2238</v>
      </c>
      <c r="B374" s="2">
        <v>46167</v>
      </c>
      <c r="C374" s="1" t="s">
        <v>9</v>
      </c>
      <c r="D374" s="1">
        <f>MONTH(Tabela12[[#This Row],[DATA]])</f>
        <v>5</v>
      </c>
    </row>
    <row r="375" spans="1:4" x14ac:dyDescent="0.35">
      <c r="A375" s="1">
        <v>2239</v>
      </c>
      <c r="B375" s="2">
        <v>46167</v>
      </c>
      <c r="C375" s="1" t="s">
        <v>28</v>
      </c>
      <c r="D375" s="1">
        <f>MONTH(Tabela12[[#This Row],[DATA]])</f>
        <v>5</v>
      </c>
    </row>
    <row r="376" spans="1:4" x14ac:dyDescent="0.35">
      <c r="A376" s="1">
        <v>2243</v>
      </c>
      <c r="B376" s="2">
        <v>46168</v>
      </c>
      <c r="C376" s="1" t="s">
        <v>28</v>
      </c>
      <c r="D376" s="1">
        <f>MONTH(Tabela12[[#This Row],[DATA]])</f>
        <v>5</v>
      </c>
    </row>
    <row r="377" spans="1:4" x14ac:dyDescent="0.35">
      <c r="A377" s="1">
        <v>2245</v>
      </c>
      <c r="B377" s="2">
        <v>46170</v>
      </c>
      <c r="C377" s="1" t="s">
        <v>5</v>
      </c>
      <c r="D377" s="1">
        <f>MONTH(Tabela12[[#This Row],[DATA]])</f>
        <v>5</v>
      </c>
    </row>
    <row r="378" spans="1:4" x14ac:dyDescent="0.35">
      <c r="A378" s="1">
        <v>2252</v>
      </c>
      <c r="B378" s="2">
        <v>46174</v>
      </c>
      <c r="C378" s="1" t="s">
        <v>24</v>
      </c>
      <c r="D378" s="1">
        <f>MONTH(Tabela12[[#This Row],[DATA]])</f>
        <v>6</v>
      </c>
    </row>
    <row r="379" spans="1:4" x14ac:dyDescent="0.35">
      <c r="A379" s="1">
        <v>2253</v>
      </c>
      <c r="B379" s="2">
        <v>46174</v>
      </c>
      <c r="C379" s="1" t="s">
        <v>5</v>
      </c>
      <c r="D379" s="1">
        <f>MONTH(Tabela12[[#This Row],[DATA]])</f>
        <v>6</v>
      </c>
    </row>
    <row r="380" spans="1:4" x14ac:dyDescent="0.35">
      <c r="A380" s="1">
        <v>2255</v>
      </c>
      <c r="B380" s="2">
        <v>46174</v>
      </c>
      <c r="C380" s="1" t="s">
        <v>21</v>
      </c>
      <c r="D380" s="1">
        <f>MONTH(Tabela12[[#This Row],[DATA]])</f>
        <v>6</v>
      </c>
    </row>
    <row r="381" spans="1:4" x14ac:dyDescent="0.35">
      <c r="A381" s="1">
        <v>2256</v>
      </c>
      <c r="B381" s="2">
        <v>46174</v>
      </c>
      <c r="C381" s="1" t="s">
        <v>21</v>
      </c>
      <c r="D381" s="1">
        <f>MONTH(Tabela12[[#This Row],[DATA]])</f>
        <v>6</v>
      </c>
    </row>
    <row r="382" spans="1:4" x14ac:dyDescent="0.35">
      <c r="A382" s="1">
        <v>2257</v>
      </c>
      <c r="B382" s="2">
        <v>46174</v>
      </c>
      <c r="C382" s="1" t="s">
        <v>21</v>
      </c>
      <c r="D382" s="1">
        <f>MONTH(Tabela12[[#This Row],[DATA]])</f>
        <v>6</v>
      </c>
    </row>
    <row r="383" spans="1:4" x14ac:dyDescent="0.35">
      <c r="A383" s="1">
        <v>2259</v>
      </c>
      <c r="B383" s="2">
        <v>46175</v>
      </c>
      <c r="C383" s="1" t="s">
        <v>9</v>
      </c>
      <c r="D383" s="1">
        <f>MONTH(Tabela12[[#This Row],[DATA]])</f>
        <v>6</v>
      </c>
    </row>
    <row r="384" spans="1:4" x14ac:dyDescent="0.35">
      <c r="A384" s="1">
        <v>2260</v>
      </c>
      <c r="B384" s="2">
        <v>46175</v>
      </c>
      <c r="C384" s="1" t="s">
        <v>21</v>
      </c>
      <c r="D384" s="1">
        <f>MONTH(Tabela12[[#This Row],[DATA]])</f>
        <v>6</v>
      </c>
    </row>
    <row r="385" spans="1:4" x14ac:dyDescent="0.35">
      <c r="A385" s="1">
        <v>2270</v>
      </c>
      <c r="B385" s="2">
        <v>46181</v>
      </c>
      <c r="C385" s="1" t="s">
        <v>24</v>
      </c>
      <c r="D385" s="1">
        <f>MONTH(Tabela12[[#This Row],[DATA]])</f>
        <v>6</v>
      </c>
    </row>
    <row r="386" spans="1:4" x14ac:dyDescent="0.35">
      <c r="A386" s="1">
        <v>2271</v>
      </c>
      <c r="B386" s="2">
        <v>46181</v>
      </c>
      <c r="C386" s="1" t="s">
        <v>24</v>
      </c>
      <c r="D386" s="1">
        <f>MONTH(Tabela12[[#This Row],[DATA]])</f>
        <v>6</v>
      </c>
    </row>
    <row r="387" spans="1:4" x14ac:dyDescent="0.35">
      <c r="A387" s="1">
        <v>2282</v>
      </c>
      <c r="B387" s="2">
        <v>46183</v>
      </c>
      <c r="C387" s="1" t="s">
        <v>5</v>
      </c>
      <c r="D387" s="1">
        <f>MONTH(Tabela12[[#This Row],[DATA]])</f>
        <v>6</v>
      </c>
    </row>
    <row r="388" spans="1:4" x14ac:dyDescent="0.35">
      <c r="A388" s="1">
        <v>2283</v>
      </c>
      <c r="B388" s="2">
        <v>46183</v>
      </c>
      <c r="C388" s="1" t="s">
        <v>21</v>
      </c>
      <c r="D388" s="1">
        <f>MONTH(Tabela12[[#This Row],[DATA]])</f>
        <v>6</v>
      </c>
    </row>
    <row r="389" spans="1:4" x14ac:dyDescent="0.35">
      <c r="A389" s="1">
        <v>2288</v>
      </c>
      <c r="B389" s="2">
        <v>46188</v>
      </c>
      <c r="C389" s="1" t="s">
        <v>5</v>
      </c>
      <c r="D389" s="1">
        <f>MONTH(Tabela12[[#This Row],[DATA]])</f>
        <v>6</v>
      </c>
    </row>
    <row r="390" spans="1:4" x14ac:dyDescent="0.35">
      <c r="A390" s="1">
        <v>2292</v>
      </c>
      <c r="B390" s="2">
        <v>46189</v>
      </c>
      <c r="C390" s="1" t="s">
        <v>3</v>
      </c>
      <c r="D390" s="1">
        <f>MONTH(Tabela12[[#This Row],[DATA]])</f>
        <v>6</v>
      </c>
    </row>
    <row r="391" spans="1:4" x14ac:dyDescent="0.35">
      <c r="A391" s="1">
        <v>2293</v>
      </c>
      <c r="B391" s="2">
        <v>46189</v>
      </c>
      <c r="C391" s="1" t="s">
        <v>21</v>
      </c>
      <c r="D391" s="1">
        <f>MONTH(Tabela12[[#This Row],[DATA]])</f>
        <v>6</v>
      </c>
    </row>
    <row r="392" spans="1:4" x14ac:dyDescent="0.35">
      <c r="A392" s="1">
        <v>2294</v>
      </c>
      <c r="B392" s="2">
        <v>46189</v>
      </c>
      <c r="C392" s="1" t="s">
        <v>21</v>
      </c>
      <c r="D392" s="1">
        <f>MONTH(Tabela12[[#This Row],[DATA]])</f>
        <v>6</v>
      </c>
    </row>
    <row r="393" spans="1:4" x14ac:dyDescent="0.35">
      <c r="A393" s="1">
        <v>2295</v>
      </c>
      <c r="B393" s="2">
        <v>46189</v>
      </c>
      <c r="C393" s="1" t="s">
        <v>21</v>
      </c>
      <c r="D393" s="1">
        <f>MONTH(Tabela12[[#This Row],[DATA]])</f>
        <v>6</v>
      </c>
    </row>
    <row r="394" spans="1:4" x14ac:dyDescent="0.35">
      <c r="A394" s="1">
        <v>2296</v>
      </c>
      <c r="B394" s="2">
        <v>46190</v>
      </c>
      <c r="C394" s="1" t="s">
        <v>21</v>
      </c>
      <c r="D394" s="1">
        <f>MONTH(Tabela12[[#This Row],[DATA]])</f>
        <v>6</v>
      </c>
    </row>
    <row r="395" spans="1:4" x14ac:dyDescent="0.35">
      <c r="A395" s="1">
        <v>2301</v>
      </c>
      <c r="B395" s="2">
        <v>46191</v>
      </c>
      <c r="C395" s="1" t="s">
        <v>21</v>
      </c>
      <c r="D395" s="1">
        <f>MONTH(Tabela12[[#This Row],[DATA]])</f>
        <v>6</v>
      </c>
    </row>
    <row r="396" spans="1:4" x14ac:dyDescent="0.35">
      <c r="A396" s="1">
        <v>2307</v>
      </c>
      <c r="B396" s="2">
        <v>46198</v>
      </c>
      <c r="C396" s="1" t="s">
        <v>5</v>
      </c>
      <c r="D396" s="1">
        <f>MONTH(Tabela12[[#This Row],[DATA]])</f>
        <v>6</v>
      </c>
    </row>
    <row r="397" spans="1:4" x14ac:dyDescent="0.35">
      <c r="A397" s="1">
        <v>2306</v>
      </c>
      <c r="B397" s="2">
        <v>46198</v>
      </c>
      <c r="C397" s="1" t="s">
        <v>5</v>
      </c>
      <c r="D397" s="1">
        <f>MONTH(Tabela12[[#This Row],[DATA]])</f>
        <v>6</v>
      </c>
    </row>
    <row r="398" spans="1:4" x14ac:dyDescent="0.35">
      <c r="A398" s="1">
        <v>2311</v>
      </c>
      <c r="B398" s="2">
        <v>46199</v>
      </c>
      <c r="C398" s="1" t="s">
        <v>5</v>
      </c>
      <c r="D398" s="1">
        <f>MONTH(Tabela12[[#This Row],[DATA]])</f>
        <v>6</v>
      </c>
    </row>
    <row r="399" spans="1:4" x14ac:dyDescent="0.35">
      <c r="A399" s="1">
        <v>2310</v>
      </c>
      <c r="B399" s="2">
        <v>46199</v>
      </c>
      <c r="C399" s="1" t="s">
        <v>5</v>
      </c>
      <c r="D399" s="1">
        <f>MONTH(Tabela12[[#This Row],[DATA]])</f>
        <v>6</v>
      </c>
    </row>
    <row r="400" spans="1:4" x14ac:dyDescent="0.35">
      <c r="A400" s="1">
        <v>2317</v>
      </c>
      <c r="B400" s="2">
        <v>46217</v>
      </c>
      <c r="C400" s="1" t="s">
        <v>3</v>
      </c>
      <c r="D400" s="1">
        <f>MONTH(Tabela12[[#This Row],[DATA]])</f>
        <v>7</v>
      </c>
    </row>
    <row r="401" spans="1:4" x14ac:dyDescent="0.35">
      <c r="A401" s="1">
        <v>2318</v>
      </c>
      <c r="B401" s="2">
        <v>46217</v>
      </c>
      <c r="C401" s="1" t="s">
        <v>3</v>
      </c>
      <c r="D401" s="1">
        <f>MONTH(Tabela12[[#This Row],[DATA]])</f>
        <v>7</v>
      </c>
    </row>
    <row r="402" spans="1:4" x14ac:dyDescent="0.35">
      <c r="A402" s="1">
        <v>2319</v>
      </c>
      <c r="B402" s="2">
        <v>46217</v>
      </c>
      <c r="C402" s="1" t="s">
        <v>3</v>
      </c>
      <c r="D402" s="1">
        <f>MONTH(Tabela12[[#This Row],[DATA]])</f>
        <v>7</v>
      </c>
    </row>
    <row r="403" spans="1:4" x14ac:dyDescent="0.35">
      <c r="A403" s="1">
        <v>2327</v>
      </c>
      <c r="B403" s="2">
        <v>46225</v>
      </c>
      <c r="C403" s="1" t="s">
        <v>19</v>
      </c>
      <c r="D403" s="1">
        <f>MONTH(Tabela12[[#This Row],[DATA]])</f>
        <v>7</v>
      </c>
    </row>
    <row r="404" spans="1:4" x14ac:dyDescent="0.35">
      <c r="A404" s="1">
        <v>2328</v>
      </c>
      <c r="B404" s="2">
        <v>46225</v>
      </c>
      <c r="C404" s="1" t="s">
        <v>9</v>
      </c>
      <c r="D404" s="1">
        <f>MONTH(Tabela12[[#This Row],[DATA]])</f>
        <v>7</v>
      </c>
    </row>
    <row r="405" spans="1:4" x14ac:dyDescent="0.35">
      <c r="A405" s="1">
        <v>2329</v>
      </c>
      <c r="B405" s="2">
        <v>46225</v>
      </c>
      <c r="C405" s="1" t="s">
        <v>9</v>
      </c>
      <c r="D405" s="1">
        <f>MONTH(Tabela12[[#This Row],[DATA]])</f>
        <v>7</v>
      </c>
    </row>
    <row r="406" spans="1:4" x14ac:dyDescent="0.35">
      <c r="A406" s="1">
        <v>2330</v>
      </c>
      <c r="B406" s="2">
        <v>46225</v>
      </c>
      <c r="C406" s="1" t="s">
        <v>19</v>
      </c>
      <c r="D406" s="1">
        <f>MONTH(Tabela12[[#This Row],[DATA]])</f>
        <v>7</v>
      </c>
    </row>
    <row r="407" spans="1:4" x14ac:dyDescent="0.35">
      <c r="A407" s="1">
        <v>2331</v>
      </c>
      <c r="B407" s="2">
        <v>46225</v>
      </c>
      <c r="C407" s="1" t="s">
        <v>19</v>
      </c>
      <c r="D407" s="1">
        <f>MONTH(Tabela12[[#This Row],[DATA]])</f>
        <v>7</v>
      </c>
    </row>
    <row r="408" spans="1:4" x14ac:dyDescent="0.35">
      <c r="A408" s="1">
        <v>2332</v>
      </c>
      <c r="B408" s="2">
        <v>46225</v>
      </c>
      <c r="C408" s="1" t="s">
        <v>19</v>
      </c>
      <c r="D408" s="1">
        <f>MONTH(Tabela12[[#This Row],[DATA]])</f>
        <v>7</v>
      </c>
    </row>
    <row r="409" spans="1:4" x14ac:dyDescent="0.35">
      <c r="A409" s="1">
        <v>2333</v>
      </c>
      <c r="B409" s="2">
        <v>46225</v>
      </c>
      <c r="C409" s="1" t="s">
        <v>19</v>
      </c>
      <c r="D409" s="1">
        <f>MONTH(Tabela12[[#This Row],[DATA]])</f>
        <v>7</v>
      </c>
    </row>
    <row r="410" spans="1:4" x14ac:dyDescent="0.35">
      <c r="A410" s="1">
        <v>2334</v>
      </c>
      <c r="B410" s="2">
        <v>46225</v>
      </c>
      <c r="C410" s="1" t="s">
        <v>19</v>
      </c>
      <c r="D410" s="1">
        <f>MONTH(Tabela12[[#This Row],[DATA]])</f>
        <v>7</v>
      </c>
    </row>
    <row r="411" spans="1:4" x14ac:dyDescent="0.35">
      <c r="A411" s="1">
        <v>2336</v>
      </c>
      <c r="B411" s="2">
        <v>46225</v>
      </c>
      <c r="C411" s="1" t="s">
        <v>19</v>
      </c>
      <c r="D411" s="1">
        <f>MONTH(Tabela12[[#This Row],[DATA]])</f>
        <v>7</v>
      </c>
    </row>
    <row r="412" spans="1:4" x14ac:dyDescent="0.35">
      <c r="A412" s="1">
        <v>2337</v>
      </c>
      <c r="B412" s="2">
        <v>46225</v>
      </c>
      <c r="C412" s="1" t="s">
        <v>19</v>
      </c>
      <c r="D412" s="1">
        <f>MONTH(Tabela12[[#This Row],[DATA]])</f>
        <v>7</v>
      </c>
    </row>
    <row r="413" spans="1:4" x14ac:dyDescent="0.35">
      <c r="A413" s="1">
        <v>2338</v>
      </c>
      <c r="B413" s="2">
        <v>46225</v>
      </c>
      <c r="C413" s="1" t="s">
        <v>9</v>
      </c>
      <c r="D413" s="1">
        <f>MONTH(Tabela12[[#This Row],[DATA]])</f>
        <v>7</v>
      </c>
    </row>
    <row r="414" spans="1:4" x14ac:dyDescent="0.35">
      <c r="A414" s="1">
        <v>2339</v>
      </c>
      <c r="B414" s="2">
        <v>46225</v>
      </c>
      <c r="C414" s="1" t="s">
        <v>9</v>
      </c>
      <c r="D414" s="1">
        <f>MONTH(Tabela12[[#This Row],[DATA]])</f>
        <v>7</v>
      </c>
    </row>
    <row r="415" spans="1:4" x14ac:dyDescent="0.35">
      <c r="A415" s="1">
        <v>2340</v>
      </c>
      <c r="B415" s="2">
        <v>46225</v>
      </c>
      <c r="C415" s="1" t="s">
        <v>9</v>
      </c>
      <c r="D415" s="1">
        <f>MONTH(Tabela12[[#This Row],[DATA]])</f>
        <v>7</v>
      </c>
    </row>
    <row r="416" spans="1:4" x14ac:dyDescent="0.35">
      <c r="A416" s="1">
        <v>2341</v>
      </c>
      <c r="B416" s="2">
        <v>46225</v>
      </c>
      <c r="C416" s="1" t="s">
        <v>9</v>
      </c>
      <c r="D416" s="1">
        <f>MONTH(Tabela12[[#This Row],[DATA]])</f>
        <v>7</v>
      </c>
    </row>
    <row r="417" spans="1:4" x14ac:dyDescent="0.35">
      <c r="A417" s="1">
        <v>2344</v>
      </c>
      <c r="B417" s="2">
        <v>46226</v>
      </c>
      <c r="C417" s="1" t="s">
        <v>19</v>
      </c>
      <c r="D417" s="1">
        <f>MONTH(Tabela12[[#This Row],[DATA]])</f>
        <v>7</v>
      </c>
    </row>
    <row r="418" spans="1:4" x14ac:dyDescent="0.35">
      <c r="A418" s="1">
        <v>2345</v>
      </c>
      <c r="B418" s="2">
        <v>46226</v>
      </c>
      <c r="C418" s="1" t="s">
        <v>19</v>
      </c>
      <c r="D418" s="1">
        <f>MONTH(Tabela12[[#This Row],[DATA]])</f>
        <v>7</v>
      </c>
    </row>
    <row r="419" spans="1:4" x14ac:dyDescent="0.35">
      <c r="A419" s="1">
        <v>2346</v>
      </c>
      <c r="B419" s="2">
        <v>46226</v>
      </c>
      <c r="C419" s="1" t="s">
        <v>9</v>
      </c>
      <c r="D419" s="1">
        <f>MONTH(Tabela12[[#This Row],[DATA]])</f>
        <v>7</v>
      </c>
    </row>
    <row r="420" spans="1:4" x14ac:dyDescent="0.35">
      <c r="A420" s="1">
        <v>2347</v>
      </c>
      <c r="B420" s="2">
        <v>46226</v>
      </c>
      <c r="C420" s="1" t="s">
        <v>3</v>
      </c>
      <c r="D420" s="1">
        <f>MONTH(Tabela12[[#This Row],[DATA]])</f>
        <v>7</v>
      </c>
    </row>
    <row r="421" spans="1:4" x14ac:dyDescent="0.35">
      <c r="A421" s="1">
        <v>2348</v>
      </c>
      <c r="B421" s="2">
        <v>46226</v>
      </c>
      <c r="C421" s="1" t="s">
        <v>3</v>
      </c>
      <c r="D421" s="1">
        <f>MONTH(Tabela12[[#This Row],[DATA]])</f>
        <v>7</v>
      </c>
    </row>
    <row r="422" spans="1:4" x14ac:dyDescent="0.35">
      <c r="A422" s="1">
        <v>2349</v>
      </c>
      <c r="B422" s="2">
        <v>46226</v>
      </c>
      <c r="C422" s="1" t="s">
        <v>9</v>
      </c>
      <c r="D422" s="1">
        <f>MONTH(Tabela12[[#This Row],[DATA]])</f>
        <v>7</v>
      </c>
    </row>
    <row r="423" spans="1:4" x14ac:dyDescent="0.35">
      <c r="A423" s="1">
        <v>2351</v>
      </c>
      <c r="B423" s="2">
        <v>46227</v>
      </c>
      <c r="C423" s="1" t="s">
        <v>3</v>
      </c>
      <c r="D423" s="1">
        <f>MONTH(Tabela12[[#This Row],[DATA]])</f>
        <v>7</v>
      </c>
    </row>
    <row r="424" spans="1:4" x14ac:dyDescent="0.35">
      <c r="A424" s="1">
        <v>2352</v>
      </c>
      <c r="B424" s="2">
        <v>46227</v>
      </c>
      <c r="C424" s="1" t="s">
        <v>3</v>
      </c>
      <c r="D424" s="1">
        <f>MONTH(Tabela12[[#This Row],[DATA]])</f>
        <v>7</v>
      </c>
    </row>
    <row r="425" spans="1:4" x14ac:dyDescent="0.35">
      <c r="A425" s="1">
        <v>2354</v>
      </c>
      <c r="B425" s="2">
        <v>46230</v>
      </c>
      <c r="C425" s="1" t="s">
        <v>19</v>
      </c>
      <c r="D425" s="1">
        <f>MONTH(Tabela12[[#This Row],[DATA]])</f>
        <v>7</v>
      </c>
    </row>
    <row r="426" spans="1:4" x14ac:dyDescent="0.35">
      <c r="A426" s="1">
        <v>2355</v>
      </c>
      <c r="B426" s="2">
        <v>46230</v>
      </c>
      <c r="C426" s="1" t="s">
        <v>19</v>
      </c>
      <c r="D426" s="1">
        <f>MONTH(Tabela12[[#This Row],[DATA]])</f>
        <v>7</v>
      </c>
    </row>
    <row r="427" spans="1:4" x14ac:dyDescent="0.35">
      <c r="A427" s="1">
        <v>2356</v>
      </c>
      <c r="B427" s="2">
        <v>46230</v>
      </c>
      <c r="C427" s="1" t="s">
        <v>19</v>
      </c>
      <c r="D427" s="1">
        <f>MONTH(Tabela12[[#This Row],[DATA]])</f>
        <v>7</v>
      </c>
    </row>
    <row r="428" spans="1:4" x14ac:dyDescent="0.35">
      <c r="A428" s="1">
        <v>2357</v>
      </c>
      <c r="B428" s="2">
        <v>46230</v>
      </c>
      <c r="C428" s="1" t="s">
        <v>19</v>
      </c>
      <c r="D428" s="1">
        <f>MONTH(Tabela12[[#This Row],[DATA]])</f>
        <v>7</v>
      </c>
    </row>
    <row r="429" spans="1:4" x14ac:dyDescent="0.35">
      <c r="A429" s="1">
        <v>2359</v>
      </c>
      <c r="B429" s="2">
        <v>46231</v>
      </c>
      <c r="C429" s="1" t="s">
        <v>9</v>
      </c>
      <c r="D429" s="1">
        <f>MONTH(Tabela12[[#This Row],[DATA]])</f>
        <v>7</v>
      </c>
    </row>
    <row r="430" spans="1:4" x14ac:dyDescent="0.35">
      <c r="A430" s="1">
        <v>2360</v>
      </c>
      <c r="B430" s="2">
        <v>46231</v>
      </c>
      <c r="C430" s="1" t="s">
        <v>3</v>
      </c>
      <c r="D430" s="1">
        <f>MONTH(Tabela12[[#This Row],[DATA]])</f>
        <v>7</v>
      </c>
    </row>
    <row r="431" spans="1:4" x14ac:dyDescent="0.35">
      <c r="A431" s="1">
        <v>2361</v>
      </c>
      <c r="B431" s="2">
        <v>46231</v>
      </c>
      <c r="C431" s="1" t="s">
        <v>19</v>
      </c>
      <c r="D431" s="1">
        <f>MONTH(Tabela12[[#This Row],[DATA]])</f>
        <v>7</v>
      </c>
    </row>
    <row r="432" spans="1:4" x14ac:dyDescent="0.35">
      <c r="A432" s="1">
        <v>2362</v>
      </c>
      <c r="B432" s="2">
        <v>46231</v>
      </c>
      <c r="C432" s="1" t="s">
        <v>19</v>
      </c>
      <c r="D432" s="1">
        <f>MONTH(Tabela12[[#This Row],[DATA]])</f>
        <v>7</v>
      </c>
    </row>
    <row r="433" spans="1:4" x14ac:dyDescent="0.35">
      <c r="A433" s="1">
        <v>2363</v>
      </c>
      <c r="B433" s="2">
        <v>46231</v>
      </c>
      <c r="C433" s="1" t="s">
        <v>19</v>
      </c>
      <c r="D433" s="1">
        <f>MONTH(Tabela12[[#This Row],[DATA]])</f>
        <v>7</v>
      </c>
    </row>
    <row r="434" spans="1:4" x14ac:dyDescent="0.35">
      <c r="A434" s="1">
        <v>2364</v>
      </c>
      <c r="B434" s="2">
        <v>46231</v>
      </c>
      <c r="C434" s="1" t="s">
        <v>19</v>
      </c>
      <c r="D434" s="1">
        <f>MONTH(Tabela12[[#This Row],[DATA]])</f>
        <v>7</v>
      </c>
    </row>
    <row r="435" spans="1:4" x14ac:dyDescent="0.35">
      <c r="A435" s="1">
        <v>2365</v>
      </c>
      <c r="B435" s="2">
        <v>46231</v>
      </c>
      <c r="C435" s="1" t="s">
        <v>19</v>
      </c>
      <c r="D435" s="1">
        <f>MONTH(Tabela12[[#This Row],[DATA]])</f>
        <v>7</v>
      </c>
    </row>
    <row r="436" spans="1:4" x14ac:dyDescent="0.35">
      <c r="A436" s="1">
        <v>2366</v>
      </c>
      <c r="B436" s="2">
        <v>46231</v>
      </c>
      <c r="C436" s="1" t="s">
        <v>19</v>
      </c>
      <c r="D436" s="1">
        <f>MONTH(Tabela12[[#This Row],[DATA]])</f>
        <v>7</v>
      </c>
    </row>
    <row r="437" spans="1:4" x14ac:dyDescent="0.35">
      <c r="A437" s="1">
        <v>2368</v>
      </c>
      <c r="B437" s="2">
        <v>46232</v>
      </c>
      <c r="C437" s="1" t="s">
        <v>19</v>
      </c>
      <c r="D437" s="1">
        <f>MONTH(Tabela12[[#This Row],[DATA]])</f>
        <v>7</v>
      </c>
    </row>
    <row r="438" spans="1:4" x14ac:dyDescent="0.35">
      <c r="A438" s="1">
        <v>2369</v>
      </c>
      <c r="B438" s="2">
        <v>46232</v>
      </c>
      <c r="C438" s="1" t="s">
        <v>19</v>
      </c>
      <c r="D438" s="1">
        <f>MONTH(Tabela12[[#This Row],[DATA]])</f>
        <v>7</v>
      </c>
    </row>
    <row r="439" spans="1:4" x14ac:dyDescent="0.35">
      <c r="A439" s="1">
        <v>2370</v>
      </c>
      <c r="B439" s="2">
        <v>46232</v>
      </c>
      <c r="C439" s="1" t="s">
        <v>19</v>
      </c>
      <c r="D439" s="1">
        <f>MONTH(Tabela12[[#This Row],[DATA]])</f>
        <v>7</v>
      </c>
    </row>
    <row r="440" spans="1:4" x14ac:dyDescent="0.35">
      <c r="A440" s="1">
        <v>2371</v>
      </c>
      <c r="B440" s="2">
        <v>46232</v>
      </c>
      <c r="C440" s="1" t="s">
        <v>9</v>
      </c>
      <c r="D440" s="1">
        <f>MONTH(Tabela12[[#This Row],[DATA]])</f>
        <v>7</v>
      </c>
    </row>
    <row r="441" spans="1:4" x14ac:dyDescent="0.35">
      <c r="A441" s="1">
        <v>2372</v>
      </c>
      <c r="B441" s="2">
        <v>46232</v>
      </c>
      <c r="C441" s="1" t="s">
        <v>9</v>
      </c>
      <c r="D441" s="1">
        <f>MONTH(Tabela12[[#This Row],[DATA]])</f>
        <v>7</v>
      </c>
    </row>
    <row r="442" spans="1:4" x14ac:dyDescent="0.35">
      <c r="A442" s="1">
        <v>2373</v>
      </c>
      <c r="B442" s="2">
        <v>46232</v>
      </c>
      <c r="C442" s="1" t="s">
        <v>9</v>
      </c>
      <c r="D442" s="1">
        <f>MONTH(Tabela12[[#This Row],[DATA]])</f>
        <v>7</v>
      </c>
    </row>
    <row r="443" spans="1:4" x14ac:dyDescent="0.35">
      <c r="A443" s="1">
        <v>2374</v>
      </c>
      <c r="B443" s="2">
        <v>46232</v>
      </c>
      <c r="C443" s="1" t="s">
        <v>3</v>
      </c>
      <c r="D443" s="1">
        <f>MONTH(Tabela12[[#This Row],[DATA]])</f>
        <v>7</v>
      </c>
    </row>
    <row r="444" spans="1:4" x14ac:dyDescent="0.35">
      <c r="A444" s="1">
        <v>2375</v>
      </c>
      <c r="B444" s="2">
        <v>46234</v>
      </c>
      <c r="C444" s="1" t="s">
        <v>19</v>
      </c>
      <c r="D444" s="1">
        <f>MONTH(Tabela12[[#This Row],[DATA]])</f>
        <v>7</v>
      </c>
    </row>
    <row r="445" spans="1:4" x14ac:dyDescent="0.35">
      <c r="A445" s="1">
        <v>2376</v>
      </c>
      <c r="B445" s="2">
        <v>46234</v>
      </c>
      <c r="C445" s="1" t="s">
        <v>19</v>
      </c>
      <c r="D445" s="1">
        <f>MONTH(Tabela12[[#This Row],[DATA]])</f>
        <v>7</v>
      </c>
    </row>
    <row r="446" spans="1:4" x14ac:dyDescent="0.35">
      <c r="A446" s="1">
        <v>2377</v>
      </c>
      <c r="B446" s="2">
        <v>46234</v>
      </c>
      <c r="C446" s="1" t="s">
        <v>19</v>
      </c>
      <c r="D446" s="1">
        <f>MONTH(Tabela12[[#This Row],[DATA]])</f>
        <v>7</v>
      </c>
    </row>
    <row r="447" spans="1:4" x14ac:dyDescent="0.35">
      <c r="A447" s="1">
        <v>2378</v>
      </c>
      <c r="B447" s="2">
        <v>46234</v>
      </c>
      <c r="C447" s="1" t="s">
        <v>19</v>
      </c>
      <c r="D447" s="1">
        <f>MONTH(Tabela12[[#This Row],[DATA]])</f>
        <v>7</v>
      </c>
    </row>
    <row r="448" spans="1:4" x14ac:dyDescent="0.35">
      <c r="A448" s="1">
        <v>2380</v>
      </c>
      <c r="B448" s="2">
        <v>46239</v>
      </c>
      <c r="C448" s="1" t="s">
        <v>3</v>
      </c>
      <c r="D448" s="1">
        <f>MONTH(Tabela12[[#This Row],[DATA]])</f>
        <v>8</v>
      </c>
    </row>
    <row r="449" spans="1:4" x14ac:dyDescent="0.35">
      <c r="A449" s="1">
        <v>2381</v>
      </c>
      <c r="B449" s="2">
        <v>46239</v>
      </c>
      <c r="C449" s="1" t="s">
        <v>19</v>
      </c>
      <c r="D449" s="1">
        <f>MONTH(Tabela12[[#This Row],[DATA]])</f>
        <v>8</v>
      </c>
    </row>
    <row r="450" spans="1:4" x14ac:dyDescent="0.35">
      <c r="A450" s="1">
        <v>2382</v>
      </c>
      <c r="B450" s="2">
        <v>46239</v>
      </c>
      <c r="C450" s="1" t="s">
        <v>3</v>
      </c>
      <c r="D450" s="1">
        <f>MONTH(Tabela12[[#This Row],[DATA]])</f>
        <v>8</v>
      </c>
    </row>
    <row r="451" spans="1:4" x14ac:dyDescent="0.35">
      <c r="A451" s="1">
        <v>2384</v>
      </c>
      <c r="B451" s="2">
        <v>46239</v>
      </c>
      <c r="C451" s="1" t="s">
        <v>3</v>
      </c>
      <c r="D451" s="1">
        <f>MONTH(Tabela12[[#This Row],[DATA]])</f>
        <v>8</v>
      </c>
    </row>
    <row r="452" spans="1:4" x14ac:dyDescent="0.35">
      <c r="A452" s="1">
        <v>2385</v>
      </c>
      <c r="B452" s="2">
        <v>46239</v>
      </c>
      <c r="C452" s="1" t="s">
        <v>3</v>
      </c>
      <c r="D452" s="1">
        <f>MONTH(Tabela12[[#This Row],[DATA]])</f>
        <v>8</v>
      </c>
    </row>
    <row r="453" spans="1:4" x14ac:dyDescent="0.35">
      <c r="A453" s="1">
        <v>2386</v>
      </c>
      <c r="B453" s="2">
        <v>46239</v>
      </c>
      <c r="C453" s="1" t="s">
        <v>3</v>
      </c>
      <c r="D453" s="1">
        <f>MONTH(Tabela12[[#This Row],[DATA]])</f>
        <v>8</v>
      </c>
    </row>
    <row r="454" spans="1:4" x14ac:dyDescent="0.35">
      <c r="A454" s="1">
        <v>2387</v>
      </c>
      <c r="B454" s="2">
        <v>46239</v>
      </c>
      <c r="C454" s="1" t="s">
        <v>19</v>
      </c>
      <c r="D454" s="1">
        <f>MONTH(Tabela12[[#This Row],[DATA]])</f>
        <v>8</v>
      </c>
    </row>
    <row r="455" spans="1:4" x14ac:dyDescent="0.35">
      <c r="A455" s="1">
        <v>2388</v>
      </c>
      <c r="B455" s="2">
        <v>46239</v>
      </c>
      <c r="C455" s="1" t="s">
        <v>19</v>
      </c>
      <c r="D455" s="1">
        <f>MONTH(Tabela12[[#This Row],[DATA]])</f>
        <v>8</v>
      </c>
    </row>
    <row r="456" spans="1:4" x14ac:dyDescent="0.35">
      <c r="A456" s="1">
        <v>2389</v>
      </c>
      <c r="B456" s="2">
        <v>46239</v>
      </c>
      <c r="C456" s="1" t="s">
        <v>19</v>
      </c>
      <c r="D456" s="1">
        <f>MONTH(Tabela12[[#This Row],[DATA]])</f>
        <v>8</v>
      </c>
    </row>
    <row r="457" spans="1:4" x14ac:dyDescent="0.35">
      <c r="A457" s="1">
        <v>2391</v>
      </c>
      <c r="B457" s="2">
        <v>46240</v>
      </c>
      <c r="C457" s="1" t="s">
        <v>3</v>
      </c>
      <c r="D457" s="1">
        <f>MONTH(Tabela12[[#This Row],[DATA]])</f>
        <v>8</v>
      </c>
    </row>
    <row r="458" spans="1:4" x14ac:dyDescent="0.35">
      <c r="A458" s="1">
        <v>2392</v>
      </c>
      <c r="B458" s="2">
        <v>46240</v>
      </c>
      <c r="C458" s="1" t="s">
        <v>3</v>
      </c>
      <c r="D458" s="1">
        <f>MONTH(Tabela12[[#This Row],[DATA]])</f>
        <v>8</v>
      </c>
    </row>
    <row r="459" spans="1:4" x14ac:dyDescent="0.35">
      <c r="A459" s="1">
        <v>2393</v>
      </c>
      <c r="B459" s="2">
        <v>46240</v>
      </c>
      <c r="C459" s="1" t="s">
        <v>3</v>
      </c>
      <c r="D459" s="1">
        <f>MONTH(Tabela12[[#This Row],[DATA]])</f>
        <v>8</v>
      </c>
    </row>
    <row r="460" spans="1:4" x14ac:dyDescent="0.35">
      <c r="A460" s="1">
        <v>2394</v>
      </c>
      <c r="B460" s="2">
        <v>46240</v>
      </c>
      <c r="C460" s="1" t="s">
        <v>19</v>
      </c>
      <c r="D460" s="1">
        <f>MONTH(Tabela12[[#This Row],[DATA]])</f>
        <v>8</v>
      </c>
    </row>
    <row r="461" spans="1:4" x14ac:dyDescent="0.35">
      <c r="A461" s="1">
        <v>2395</v>
      </c>
      <c r="B461" s="2">
        <v>46240</v>
      </c>
      <c r="C461" s="1" t="s">
        <v>3</v>
      </c>
      <c r="D461" s="1">
        <f>MONTH(Tabela12[[#This Row],[DATA]])</f>
        <v>8</v>
      </c>
    </row>
    <row r="462" spans="1:4" x14ac:dyDescent="0.35">
      <c r="A462" s="1">
        <v>2397</v>
      </c>
      <c r="B462" s="2">
        <v>46244</v>
      </c>
      <c r="C462" s="1" t="s">
        <v>19</v>
      </c>
      <c r="D462" s="1">
        <f>MONTH(Tabela12[[#This Row],[DATA]])</f>
        <v>8</v>
      </c>
    </row>
    <row r="463" spans="1:4" x14ac:dyDescent="0.35">
      <c r="A463" s="1">
        <v>2398</v>
      </c>
      <c r="B463" s="2">
        <v>46244</v>
      </c>
      <c r="C463" s="1" t="s">
        <v>19</v>
      </c>
      <c r="D463" s="1">
        <f>MONTH(Tabela12[[#This Row],[DATA]])</f>
        <v>8</v>
      </c>
    </row>
    <row r="464" spans="1:4" x14ac:dyDescent="0.35">
      <c r="A464" s="1">
        <v>2399</v>
      </c>
      <c r="B464" s="2">
        <v>46244</v>
      </c>
      <c r="C464" s="1" t="s">
        <v>3</v>
      </c>
      <c r="D464" s="1">
        <f>MONTH(Tabela12[[#This Row],[DATA]])</f>
        <v>8</v>
      </c>
    </row>
    <row r="465" spans="1:4" x14ac:dyDescent="0.35">
      <c r="A465" s="1">
        <v>2400</v>
      </c>
      <c r="B465" s="2">
        <v>46244</v>
      </c>
      <c r="C465" s="1" t="s">
        <v>3</v>
      </c>
      <c r="D465" s="1">
        <f>MONTH(Tabela12[[#This Row],[DATA]])</f>
        <v>8</v>
      </c>
    </row>
    <row r="466" spans="1:4" x14ac:dyDescent="0.35">
      <c r="A466" s="1">
        <v>2401</v>
      </c>
      <c r="B466" s="2">
        <v>46244</v>
      </c>
      <c r="C466" s="1" t="s">
        <v>21</v>
      </c>
      <c r="D466" s="1">
        <f>MONTH(Tabela12[[#This Row],[DATA]])</f>
        <v>8</v>
      </c>
    </row>
    <row r="467" spans="1:4" x14ac:dyDescent="0.35">
      <c r="A467" s="1">
        <v>2402</v>
      </c>
      <c r="B467" s="2">
        <v>46244</v>
      </c>
      <c r="C467" s="1" t="s">
        <v>3</v>
      </c>
      <c r="D467" s="1">
        <f>MONTH(Tabela12[[#This Row],[DATA]])</f>
        <v>8</v>
      </c>
    </row>
    <row r="468" spans="1:4" x14ac:dyDescent="0.35">
      <c r="A468" s="1">
        <v>2404</v>
      </c>
      <c r="B468" s="2">
        <v>46244</v>
      </c>
      <c r="C468" s="1" t="s">
        <v>21</v>
      </c>
      <c r="D468" s="1">
        <f>MONTH(Tabela12[[#This Row],[DATA]])</f>
        <v>8</v>
      </c>
    </row>
    <row r="469" spans="1:4" x14ac:dyDescent="0.35">
      <c r="A469" s="1">
        <v>2405</v>
      </c>
      <c r="B469" s="2">
        <v>46245</v>
      </c>
      <c r="C469" s="1" t="s">
        <v>19</v>
      </c>
      <c r="D469" s="1">
        <f>MONTH(Tabela12[[#This Row],[DATA]])</f>
        <v>8</v>
      </c>
    </row>
    <row r="470" spans="1:4" x14ac:dyDescent="0.35">
      <c r="A470" s="1">
        <v>2406</v>
      </c>
      <c r="B470" s="2">
        <v>46245</v>
      </c>
      <c r="C470" s="1" t="s">
        <v>19</v>
      </c>
      <c r="D470" s="1">
        <f>MONTH(Tabela12[[#This Row],[DATA]])</f>
        <v>8</v>
      </c>
    </row>
    <row r="471" spans="1:4" x14ac:dyDescent="0.35">
      <c r="A471" s="1">
        <v>2407</v>
      </c>
      <c r="B471" s="2">
        <v>46245</v>
      </c>
      <c r="C471" s="1" t="s">
        <v>19</v>
      </c>
      <c r="D471" s="1">
        <f>MONTH(Tabela12[[#This Row],[DATA]])</f>
        <v>8</v>
      </c>
    </row>
    <row r="472" spans="1:4" x14ac:dyDescent="0.35">
      <c r="A472" s="1">
        <v>2408</v>
      </c>
      <c r="B472" s="2">
        <v>46245</v>
      </c>
      <c r="C472" s="1" t="s">
        <v>19</v>
      </c>
      <c r="D472" s="1">
        <f>MONTH(Tabela12[[#This Row],[DATA]])</f>
        <v>8</v>
      </c>
    </row>
    <row r="473" spans="1:4" x14ac:dyDescent="0.35">
      <c r="A473" s="1">
        <v>2409</v>
      </c>
      <c r="B473" s="2">
        <v>46245</v>
      </c>
      <c r="C473" s="1" t="s">
        <v>19</v>
      </c>
      <c r="D473" s="1">
        <f>MONTH(Tabela12[[#This Row],[DATA]])</f>
        <v>8</v>
      </c>
    </row>
    <row r="474" spans="1:4" x14ac:dyDescent="0.35">
      <c r="A474" s="1">
        <v>2410</v>
      </c>
      <c r="B474" s="2">
        <v>46245</v>
      </c>
      <c r="C474" s="1" t="s">
        <v>19</v>
      </c>
      <c r="D474" s="1">
        <f>MONTH(Tabela12[[#This Row],[DATA]])</f>
        <v>8</v>
      </c>
    </row>
    <row r="475" spans="1:4" x14ac:dyDescent="0.35">
      <c r="A475" s="1">
        <v>2411</v>
      </c>
      <c r="B475" s="2">
        <v>46245</v>
      </c>
      <c r="C475" s="1" t="s">
        <v>19</v>
      </c>
      <c r="D475" s="1">
        <f>MONTH(Tabela12[[#This Row],[DATA]])</f>
        <v>8</v>
      </c>
    </row>
    <row r="476" spans="1:4" x14ac:dyDescent="0.35">
      <c r="A476" s="1">
        <v>2412</v>
      </c>
      <c r="B476" s="2">
        <v>46245</v>
      </c>
      <c r="C476" s="1" t="s">
        <v>19</v>
      </c>
      <c r="D476" s="1">
        <f>MONTH(Tabela12[[#This Row],[DATA]])</f>
        <v>8</v>
      </c>
    </row>
    <row r="477" spans="1:4" x14ac:dyDescent="0.35">
      <c r="A477" s="1">
        <v>2413</v>
      </c>
      <c r="B477" s="2">
        <v>46245</v>
      </c>
      <c r="C477" s="1" t="s">
        <v>9</v>
      </c>
      <c r="D477" s="1">
        <f>MONTH(Tabela12[[#This Row],[DATA]])</f>
        <v>8</v>
      </c>
    </row>
    <row r="478" spans="1:4" x14ac:dyDescent="0.35">
      <c r="A478" s="1">
        <v>2414</v>
      </c>
      <c r="B478" s="2">
        <v>46245</v>
      </c>
      <c r="C478" s="1" t="s">
        <v>19</v>
      </c>
      <c r="D478" s="1">
        <f>MONTH(Tabela12[[#This Row],[DATA]])</f>
        <v>8</v>
      </c>
    </row>
    <row r="479" spans="1:4" x14ac:dyDescent="0.35">
      <c r="A479" s="1">
        <v>2415</v>
      </c>
      <c r="B479" s="2">
        <v>46245</v>
      </c>
      <c r="C479" s="1" t="s">
        <v>19</v>
      </c>
      <c r="D479" s="1">
        <f>MONTH(Tabela12[[#This Row],[DATA]])</f>
        <v>8</v>
      </c>
    </row>
    <row r="480" spans="1:4" x14ac:dyDescent="0.35">
      <c r="A480" s="1">
        <v>2416</v>
      </c>
      <c r="B480" s="2">
        <v>46245</v>
      </c>
      <c r="C480" s="1" t="s">
        <v>19</v>
      </c>
      <c r="D480" s="1">
        <f>MONTH(Tabela12[[#This Row],[DATA]])</f>
        <v>8</v>
      </c>
    </row>
    <row r="481" spans="1:4" x14ac:dyDescent="0.35">
      <c r="A481" s="1">
        <v>2417</v>
      </c>
      <c r="B481" s="2">
        <v>46245</v>
      </c>
      <c r="C481" s="1" t="s">
        <v>19</v>
      </c>
      <c r="D481" s="1">
        <f>MONTH(Tabela12[[#This Row],[DATA]])</f>
        <v>8</v>
      </c>
    </row>
    <row r="482" spans="1:4" x14ac:dyDescent="0.35">
      <c r="A482" s="1">
        <v>2418</v>
      </c>
      <c r="B482" s="2">
        <v>46245</v>
      </c>
      <c r="C482" s="1" t="s">
        <v>21</v>
      </c>
      <c r="D482" s="1">
        <f>MONTH(Tabela12[[#This Row],[DATA]])</f>
        <v>8</v>
      </c>
    </row>
    <row r="483" spans="1:4" x14ac:dyDescent="0.35">
      <c r="A483" s="1">
        <v>2419</v>
      </c>
      <c r="B483" s="2">
        <v>46246</v>
      </c>
      <c r="C483" s="1" t="s">
        <v>19</v>
      </c>
      <c r="D483" s="1">
        <f>MONTH(Tabela12[[#This Row],[DATA]])</f>
        <v>8</v>
      </c>
    </row>
    <row r="484" spans="1:4" x14ac:dyDescent="0.35">
      <c r="A484" s="1">
        <v>2422</v>
      </c>
      <c r="B484" s="2">
        <v>46247</v>
      </c>
      <c r="C484" s="1" t="s">
        <v>3</v>
      </c>
      <c r="D484" s="1">
        <f>MONTH(Tabela12[[#This Row],[DATA]])</f>
        <v>8</v>
      </c>
    </row>
    <row r="485" spans="1:4" x14ac:dyDescent="0.35">
      <c r="A485" s="1">
        <v>2423</v>
      </c>
      <c r="B485" s="2">
        <v>46247</v>
      </c>
      <c r="C485" s="1" t="s">
        <v>3</v>
      </c>
      <c r="D485" s="1">
        <f>MONTH(Tabela12[[#This Row],[DATA]])</f>
        <v>8</v>
      </c>
    </row>
    <row r="486" spans="1:4" x14ac:dyDescent="0.35">
      <c r="A486" s="1">
        <v>2424</v>
      </c>
      <c r="B486" s="2">
        <v>46247</v>
      </c>
      <c r="C486" s="1" t="s">
        <v>3</v>
      </c>
      <c r="D486" s="1">
        <f>MONTH(Tabela12[[#This Row],[DATA]])</f>
        <v>8</v>
      </c>
    </row>
    <row r="487" spans="1:4" x14ac:dyDescent="0.35">
      <c r="A487" s="1">
        <v>2439</v>
      </c>
      <c r="B487" s="2">
        <v>46253</v>
      </c>
      <c r="C487" s="1" t="s">
        <v>24</v>
      </c>
      <c r="D487" s="1">
        <f>MONTH(Tabela12[[#This Row],[DATA]])</f>
        <v>8</v>
      </c>
    </row>
    <row r="488" spans="1:4" x14ac:dyDescent="0.35">
      <c r="A488" s="1">
        <v>2440</v>
      </c>
      <c r="B488" s="2">
        <v>46253</v>
      </c>
      <c r="C488" s="1" t="s">
        <v>24</v>
      </c>
      <c r="D488" s="1">
        <f>MONTH(Tabela12[[#This Row],[DATA]])</f>
        <v>8</v>
      </c>
    </row>
    <row r="489" spans="1:4" x14ac:dyDescent="0.35">
      <c r="A489" s="1">
        <v>2441</v>
      </c>
      <c r="B489" s="2">
        <v>46253</v>
      </c>
      <c r="C489" s="1" t="s">
        <v>21</v>
      </c>
      <c r="D489" s="1">
        <f>MONTH(Tabela12[[#This Row],[DATA]])</f>
        <v>8</v>
      </c>
    </row>
    <row r="490" spans="1:4" x14ac:dyDescent="0.35">
      <c r="A490" s="1">
        <v>2442</v>
      </c>
      <c r="B490" s="2">
        <v>46253</v>
      </c>
      <c r="C490" s="1" t="s">
        <v>5</v>
      </c>
      <c r="D490" s="1">
        <f>MONTH(Tabela12[[#This Row],[DATA]])</f>
        <v>8</v>
      </c>
    </row>
    <row r="491" spans="1:4" x14ac:dyDescent="0.35">
      <c r="A491" s="1">
        <v>2443</v>
      </c>
      <c r="B491" s="2">
        <v>46253</v>
      </c>
      <c r="C491" s="1" t="s">
        <v>5</v>
      </c>
      <c r="D491" s="1">
        <f>MONTH(Tabela12[[#This Row],[DATA]])</f>
        <v>8</v>
      </c>
    </row>
    <row r="492" spans="1:4" x14ac:dyDescent="0.35">
      <c r="A492" s="1">
        <v>2444</v>
      </c>
      <c r="B492" s="2">
        <v>46253</v>
      </c>
      <c r="C492" s="1" t="s">
        <v>19</v>
      </c>
      <c r="D492" s="1">
        <f>MONTH(Tabela12[[#This Row],[DATA]])</f>
        <v>8</v>
      </c>
    </row>
    <row r="493" spans="1:4" x14ac:dyDescent="0.35">
      <c r="A493" s="1">
        <v>2445</v>
      </c>
      <c r="B493" s="2">
        <v>46253</v>
      </c>
      <c r="C493" s="1" t="s">
        <v>19</v>
      </c>
      <c r="D493" s="1">
        <f>MONTH(Tabela12[[#This Row],[DATA]])</f>
        <v>8</v>
      </c>
    </row>
    <row r="494" spans="1:4" x14ac:dyDescent="0.35">
      <c r="A494" s="1">
        <v>2446</v>
      </c>
      <c r="B494" s="2">
        <v>46253</v>
      </c>
      <c r="C494" s="1" t="s">
        <v>19</v>
      </c>
      <c r="D494" s="1">
        <f>MONTH(Tabela12[[#This Row],[DATA]])</f>
        <v>8</v>
      </c>
    </row>
    <row r="495" spans="1:4" x14ac:dyDescent="0.35">
      <c r="A495" s="1">
        <v>2447</v>
      </c>
      <c r="B495" s="2">
        <v>46253</v>
      </c>
      <c r="C495" s="1" t="s">
        <v>24</v>
      </c>
      <c r="D495" s="1">
        <f>MONTH(Tabela12[[#This Row],[DATA]])</f>
        <v>8</v>
      </c>
    </row>
    <row r="496" spans="1:4" x14ac:dyDescent="0.35">
      <c r="A496" s="1">
        <v>2448</v>
      </c>
      <c r="B496" s="2">
        <v>46253</v>
      </c>
      <c r="C496" s="1" t="s">
        <v>3</v>
      </c>
      <c r="D496" s="1">
        <f>MONTH(Tabela12[[#This Row],[DATA]])</f>
        <v>8</v>
      </c>
    </row>
    <row r="497" spans="1:4" x14ac:dyDescent="0.35">
      <c r="A497" s="1">
        <v>2449</v>
      </c>
      <c r="B497" s="2">
        <v>46253</v>
      </c>
      <c r="C497" s="1" t="s">
        <v>3</v>
      </c>
      <c r="D497" s="1">
        <f>MONTH(Tabela12[[#This Row],[DATA]])</f>
        <v>8</v>
      </c>
    </row>
    <row r="498" spans="1:4" x14ac:dyDescent="0.35">
      <c r="A498" s="1">
        <v>2450</v>
      </c>
      <c r="B498" s="2">
        <v>46255</v>
      </c>
      <c r="C498" s="1" t="s">
        <v>21</v>
      </c>
      <c r="D498" s="1">
        <f>MONTH(Tabela12[[#This Row],[DATA]])</f>
        <v>8</v>
      </c>
    </row>
    <row r="499" spans="1:4" x14ac:dyDescent="0.35">
      <c r="A499" s="1">
        <v>2451</v>
      </c>
      <c r="B499" s="2">
        <v>46255</v>
      </c>
      <c r="C499" s="1" t="s">
        <v>3</v>
      </c>
      <c r="D499" s="1">
        <f>MONTH(Tabela12[[#This Row],[DATA]])</f>
        <v>8</v>
      </c>
    </row>
    <row r="500" spans="1:4" x14ac:dyDescent="0.35">
      <c r="A500" s="1">
        <v>2452</v>
      </c>
      <c r="B500" s="2">
        <v>46255</v>
      </c>
      <c r="C500" s="1" t="s">
        <v>3</v>
      </c>
      <c r="D500" s="1">
        <f>MONTH(Tabela12[[#This Row],[DATA]])</f>
        <v>8</v>
      </c>
    </row>
    <row r="501" spans="1:4" x14ac:dyDescent="0.35">
      <c r="A501" s="1">
        <v>2453</v>
      </c>
      <c r="B501" s="2">
        <v>46255</v>
      </c>
      <c r="C501" s="1" t="s">
        <v>5</v>
      </c>
      <c r="D501" s="1">
        <f>MONTH(Tabela12[[#This Row],[DATA]])</f>
        <v>8</v>
      </c>
    </row>
    <row r="502" spans="1:4" x14ac:dyDescent="0.35">
      <c r="A502" s="1">
        <v>2454</v>
      </c>
      <c r="B502" s="2">
        <v>46255</v>
      </c>
      <c r="C502" s="1" t="s">
        <v>5</v>
      </c>
      <c r="D502" s="1">
        <f>MONTH(Tabela12[[#This Row],[DATA]])</f>
        <v>8</v>
      </c>
    </row>
    <row r="503" spans="1:4" x14ac:dyDescent="0.35">
      <c r="A503" s="1">
        <v>2457</v>
      </c>
      <c r="B503" s="2">
        <v>46258</v>
      </c>
      <c r="C503" s="1" t="s">
        <v>3</v>
      </c>
      <c r="D503" s="1">
        <f>MONTH(Tabela12[[#This Row],[DATA]])</f>
        <v>8</v>
      </c>
    </row>
    <row r="504" spans="1:4" x14ac:dyDescent="0.35">
      <c r="A504" s="1">
        <v>2458</v>
      </c>
      <c r="B504" s="2">
        <v>46258</v>
      </c>
      <c r="C504" s="1" t="s">
        <v>3</v>
      </c>
      <c r="D504" s="1">
        <f>MONTH(Tabela12[[#This Row],[DATA]])</f>
        <v>8</v>
      </c>
    </row>
    <row r="505" spans="1:4" x14ac:dyDescent="0.35">
      <c r="A505" s="1">
        <v>2465</v>
      </c>
      <c r="B505" s="2">
        <v>46266</v>
      </c>
      <c r="C505" s="1" t="s">
        <v>19</v>
      </c>
      <c r="D505" s="1">
        <f>MONTH(Tabela12[[#This Row],[DATA]])</f>
        <v>9</v>
      </c>
    </row>
    <row r="506" spans="1:4" x14ac:dyDescent="0.35">
      <c r="A506" s="1">
        <v>2466</v>
      </c>
      <c r="B506" s="2">
        <v>46266</v>
      </c>
      <c r="C506" s="1" t="s">
        <v>19</v>
      </c>
      <c r="D506" s="1">
        <f>MONTH(Tabela12[[#This Row],[DATA]])</f>
        <v>9</v>
      </c>
    </row>
    <row r="507" spans="1:4" x14ac:dyDescent="0.35">
      <c r="A507" s="1">
        <v>2467</v>
      </c>
      <c r="B507" s="2">
        <v>46266</v>
      </c>
      <c r="C507" s="1" t="s">
        <v>21</v>
      </c>
      <c r="D507" s="1">
        <f>MONTH(Tabela12[[#This Row],[DATA]])</f>
        <v>9</v>
      </c>
    </row>
    <row r="508" spans="1:4" x14ac:dyDescent="0.35">
      <c r="A508" s="1">
        <v>2468</v>
      </c>
      <c r="B508" s="2">
        <v>46267</v>
      </c>
      <c r="C508" s="1" t="s">
        <v>3</v>
      </c>
      <c r="D508" s="1">
        <f>MONTH(Tabela12[[#This Row],[DATA]])</f>
        <v>9</v>
      </c>
    </row>
    <row r="509" spans="1:4" x14ac:dyDescent="0.35">
      <c r="A509" s="1">
        <v>2469</v>
      </c>
      <c r="B509" s="2">
        <v>46268</v>
      </c>
      <c r="C509" s="1" t="s">
        <v>3</v>
      </c>
      <c r="D509" s="1">
        <f>MONTH(Tabela12[[#This Row],[DATA]])</f>
        <v>9</v>
      </c>
    </row>
    <row r="510" spans="1:4" x14ac:dyDescent="0.35">
      <c r="A510" s="1">
        <v>2470</v>
      </c>
      <c r="B510" s="2">
        <v>46268</v>
      </c>
      <c r="C510" s="1" t="s">
        <v>3</v>
      </c>
      <c r="D510" s="1">
        <f>MONTH(Tabela12[[#This Row],[DATA]])</f>
        <v>9</v>
      </c>
    </row>
    <row r="511" spans="1:4" x14ac:dyDescent="0.35">
      <c r="A511" s="1">
        <v>2478</v>
      </c>
      <c r="B511" s="2">
        <v>46275</v>
      </c>
      <c r="C511" s="1" t="s">
        <v>3</v>
      </c>
      <c r="D511" s="1">
        <f>MONTH(Tabela12[[#This Row],[DATA]])</f>
        <v>9</v>
      </c>
    </row>
    <row r="512" spans="1:4" x14ac:dyDescent="0.35">
      <c r="A512" s="1">
        <v>2479</v>
      </c>
      <c r="B512" s="2">
        <v>46275</v>
      </c>
      <c r="C512" s="1" t="s">
        <v>3</v>
      </c>
      <c r="D512" s="1">
        <f>MONTH(Tabela12[[#This Row],[DATA]])</f>
        <v>9</v>
      </c>
    </row>
    <row r="513" spans="1:4" x14ac:dyDescent="0.35">
      <c r="A513" s="1">
        <v>2480</v>
      </c>
      <c r="B513" s="2">
        <v>46275</v>
      </c>
      <c r="C513" s="1" t="s">
        <v>28</v>
      </c>
      <c r="D513" s="1">
        <f>MONTH(Tabela12[[#This Row],[DATA]])</f>
        <v>9</v>
      </c>
    </row>
    <row r="514" spans="1:4" x14ac:dyDescent="0.35">
      <c r="A514" s="1">
        <v>2481</v>
      </c>
      <c r="B514" s="2">
        <v>46275</v>
      </c>
      <c r="C514" s="1" t="s">
        <v>9</v>
      </c>
      <c r="D514" s="1">
        <f>MONTH(Tabela12[[#This Row],[DATA]])</f>
        <v>9</v>
      </c>
    </row>
    <row r="515" spans="1:4" x14ac:dyDescent="0.35">
      <c r="A515" s="1">
        <v>2482</v>
      </c>
      <c r="B515" s="2">
        <v>46275</v>
      </c>
      <c r="C515" s="1" t="s">
        <v>9</v>
      </c>
      <c r="D515" s="1">
        <f>MONTH(Tabela12[[#This Row],[DATA]])</f>
        <v>9</v>
      </c>
    </row>
    <row r="516" spans="1:4" x14ac:dyDescent="0.35">
      <c r="A516" s="1">
        <v>2485</v>
      </c>
      <c r="B516" s="2">
        <v>46280</v>
      </c>
      <c r="C516" s="1" t="s">
        <v>22</v>
      </c>
      <c r="D516" s="1">
        <f>MONTH(Tabela12[[#This Row],[DATA]])</f>
        <v>9</v>
      </c>
    </row>
    <row r="517" spans="1:4" x14ac:dyDescent="0.35">
      <c r="A517" s="1">
        <v>2486</v>
      </c>
      <c r="B517" s="2">
        <v>46280</v>
      </c>
      <c r="C517" s="1" t="s">
        <v>22</v>
      </c>
      <c r="D517" s="1">
        <f>MONTH(Tabela12[[#This Row],[DATA]])</f>
        <v>9</v>
      </c>
    </row>
    <row r="518" spans="1:4" x14ac:dyDescent="0.35">
      <c r="A518" s="1">
        <v>2487</v>
      </c>
      <c r="B518" s="2">
        <v>46280</v>
      </c>
      <c r="C518" s="1" t="s">
        <v>22</v>
      </c>
      <c r="D518" s="1">
        <f>MONTH(Tabela12[[#This Row],[DATA]])</f>
        <v>9</v>
      </c>
    </row>
    <row r="519" spans="1:4" x14ac:dyDescent="0.35">
      <c r="A519" s="1">
        <v>2488</v>
      </c>
      <c r="B519" s="2">
        <v>46280</v>
      </c>
      <c r="C519" s="1" t="s">
        <v>22</v>
      </c>
      <c r="D519" s="1">
        <f>MONTH(Tabela12[[#This Row],[DATA]])</f>
        <v>9</v>
      </c>
    </row>
    <row r="520" spans="1:4" x14ac:dyDescent="0.35">
      <c r="A520" s="1">
        <v>2489</v>
      </c>
      <c r="B520" s="2">
        <v>46280</v>
      </c>
      <c r="C520" s="1" t="s">
        <v>22</v>
      </c>
      <c r="D520" s="1">
        <f>MONTH(Tabela12[[#This Row],[DATA]])</f>
        <v>9</v>
      </c>
    </row>
    <row r="521" spans="1:4" x14ac:dyDescent="0.35">
      <c r="A521" s="1">
        <v>2490</v>
      </c>
      <c r="B521" s="2">
        <v>46280</v>
      </c>
      <c r="C521" s="1" t="s">
        <v>22</v>
      </c>
      <c r="D521" s="1">
        <f>MONTH(Tabela12[[#This Row],[DATA]])</f>
        <v>9</v>
      </c>
    </row>
    <row r="522" spans="1:4" x14ac:dyDescent="0.35">
      <c r="A522" s="1">
        <v>2491</v>
      </c>
      <c r="B522" s="2">
        <v>46280</v>
      </c>
      <c r="C522" s="1" t="s">
        <v>22</v>
      </c>
      <c r="D522" s="1">
        <f>MONTH(Tabela12[[#This Row],[DATA]])</f>
        <v>9</v>
      </c>
    </row>
    <row r="523" spans="1:4" x14ac:dyDescent="0.35">
      <c r="A523" s="1">
        <v>2492</v>
      </c>
      <c r="B523" s="2">
        <v>46280</v>
      </c>
      <c r="C523" s="1" t="s">
        <v>22</v>
      </c>
      <c r="D523" s="1">
        <f>MONTH(Tabela12[[#This Row],[DATA]])</f>
        <v>9</v>
      </c>
    </row>
    <row r="524" spans="1:4" x14ac:dyDescent="0.35">
      <c r="A524" s="1">
        <v>2493</v>
      </c>
      <c r="B524" s="2">
        <v>46280</v>
      </c>
      <c r="C524" s="1" t="s">
        <v>22</v>
      </c>
      <c r="D524" s="1">
        <f>MONTH(Tabela12[[#This Row],[DATA]])</f>
        <v>9</v>
      </c>
    </row>
    <row r="525" spans="1:4" x14ac:dyDescent="0.35">
      <c r="A525" s="1">
        <v>2494</v>
      </c>
      <c r="B525" s="2">
        <v>46280</v>
      </c>
      <c r="C525" s="1" t="s">
        <v>22</v>
      </c>
      <c r="D525" s="1">
        <f>MONTH(Tabela12[[#This Row],[DATA]])</f>
        <v>9</v>
      </c>
    </row>
    <row r="526" spans="1:4" x14ac:dyDescent="0.35">
      <c r="A526" s="1">
        <v>2495</v>
      </c>
      <c r="B526" s="2">
        <v>46280</v>
      </c>
      <c r="C526" s="1" t="s">
        <v>22</v>
      </c>
      <c r="D526" s="1">
        <f>MONTH(Tabela12[[#This Row],[DATA]])</f>
        <v>9</v>
      </c>
    </row>
    <row r="527" spans="1:4" x14ac:dyDescent="0.35">
      <c r="A527" s="1">
        <v>2496</v>
      </c>
      <c r="B527" s="2">
        <v>46280</v>
      </c>
      <c r="C527" s="1" t="s">
        <v>22</v>
      </c>
      <c r="D527" s="1">
        <f>MONTH(Tabela12[[#This Row],[DATA]])</f>
        <v>9</v>
      </c>
    </row>
    <row r="528" spans="1:4" x14ac:dyDescent="0.35">
      <c r="A528" s="1">
        <v>2497</v>
      </c>
      <c r="B528" s="2">
        <v>46280</v>
      </c>
      <c r="C528" s="1" t="s">
        <v>22</v>
      </c>
      <c r="D528" s="1">
        <f>MONTH(Tabela12[[#This Row],[DATA]])</f>
        <v>9</v>
      </c>
    </row>
    <row r="529" spans="1:4" x14ac:dyDescent="0.35">
      <c r="A529" s="1">
        <v>2498</v>
      </c>
      <c r="B529" s="2">
        <v>46280</v>
      </c>
      <c r="C529" s="1" t="s">
        <v>22</v>
      </c>
      <c r="D529" s="1">
        <f>MONTH(Tabela12[[#This Row],[DATA]])</f>
        <v>9</v>
      </c>
    </row>
    <row r="530" spans="1:4" x14ac:dyDescent="0.35">
      <c r="A530" s="1">
        <v>2499</v>
      </c>
      <c r="B530" s="2">
        <v>46280</v>
      </c>
      <c r="C530" s="1" t="s">
        <v>19</v>
      </c>
      <c r="D530" s="1">
        <f>MONTH(Tabela12[[#This Row],[DATA]])</f>
        <v>9</v>
      </c>
    </row>
    <row r="531" spans="1:4" x14ac:dyDescent="0.35">
      <c r="A531" s="1">
        <v>2500</v>
      </c>
      <c r="B531" s="2">
        <v>46280</v>
      </c>
      <c r="C531" s="1" t="s">
        <v>19</v>
      </c>
      <c r="D531" s="1">
        <f>MONTH(Tabela12[[#This Row],[DATA]])</f>
        <v>9</v>
      </c>
    </row>
    <row r="532" spans="1:4" x14ac:dyDescent="0.35">
      <c r="A532" s="1">
        <v>2501</v>
      </c>
      <c r="B532" s="2">
        <v>46280</v>
      </c>
      <c r="C532" s="1" t="s">
        <v>21</v>
      </c>
      <c r="D532" s="1">
        <f>MONTH(Tabela12[[#This Row],[DATA]])</f>
        <v>9</v>
      </c>
    </row>
    <row r="533" spans="1:4" x14ac:dyDescent="0.35">
      <c r="A533" s="1">
        <v>2502</v>
      </c>
      <c r="B533" s="2">
        <v>46280</v>
      </c>
      <c r="C533" s="1" t="s">
        <v>21</v>
      </c>
      <c r="D533" s="1">
        <f>MONTH(Tabela12[[#This Row],[DATA]])</f>
        <v>9</v>
      </c>
    </row>
    <row r="534" spans="1:4" x14ac:dyDescent="0.35">
      <c r="A534" s="1">
        <v>2503</v>
      </c>
      <c r="B534" s="2">
        <v>46281</v>
      </c>
      <c r="C534" s="1" t="s">
        <v>3</v>
      </c>
      <c r="D534" s="1">
        <f>MONTH(Tabela12[[#This Row],[DATA]])</f>
        <v>9</v>
      </c>
    </row>
    <row r="535" spans="1:4" x14ac:dyDescent="0.35">
      <c r="A535" s="1">
        <v>2515</v>
      </c>
      <c r="B535" s="2">
        <v>46281</v>
      </c>
      <c r="C535" s="1" t="s">
        <v>21</v>
      </c>
      <c r="D535" s="1">
        <f>MONTH(Tabela12[[#This Row],[DATA]])</f>
        <v>9</v>
      </c>
    </row>
    <row r="536" spans="1:4" x14ac:dyDescent="0.35">
      <c r="A536" s="1">
        <v>2516</v>
      </c>
      <c r="B536" s="2">
        <v>46281</v>
      </c>
      <c r="C536" s="1" t="s">
        <v>21</v>
      </c>
      <c r="D536" s="1">
        <f>MONTH(Tabela12[[#This Row],[DATA]])</f>
        <v>9</v>
      </c>
    </row>
    <row r="537" spans="1:4" x14ac:dyDescent="0.35">
      <c r="A537" s="1">
        <v>2517</v>
      </c>
      <c r="B537" s="2">
        <v>46281</v>
      </c>
      <c r="C537" s="1" t="s">
        <v>19</v>
      </c>
      <c r="D537" s="1">
        <f>MONTH(Tabela12[[#This Row],[DATA]])</f>
        <v>9</v>
      </c>
    </row>
    <row r="538" spans="1:4" x14ac:dyDescent="0.35">
      <c r="A538" s="1">
        <v>2518</v>
      </c>
      <c r="B538" s="2">
        <v>46281</v>
      </c>
      <c r="C538" s="1" t="s">
        <v>21</v>
      </c>
      <c r="D538" s="1">
        <f>MONTH(Tabela12[[#This Row],[DATA]])</f>
        <v>9</v>
      </c>
    </row>
    <row r="539" spans="1:4" x14ac:dyDescent="0.35">
      <c r="A539" s="1">
        <v>2519</v>
      </c>
      <c r="B539" s="2">
        <v>46281</v>
      </c>
      <c r="C539" s="1" t="s">
        <v>21</v>
      </c>
      <c r="D539" s="1">
        <f>MONTH(Tabela12[[#This Row],[DATA]])</f>
        <v>9</v>
      </c>
    </row>
    <row r="540" spans="1:4" x14ac:dyDescent="0.35">
      <c r="A540" s="1">
        <v>2520</v>
      </c>
      <c r="B540" s="2">
        <v>46283</v>
      </c>
      <c r="C540" s="1" t="s">
        <v>19</v>
      </c>
      <c r="D540" s="1">
        <f>MONTH(Tabela12[[#This Row],[DATA]])</f>
        <v>9</v>
      </c>
    </row>
    <row r="541" spans="1:4" x14ac:dyDescent="0.35">
      <c r="A541" s="1">
        <v>2521</v>
      </c>
      <c r="B541" s="2">
        <v>46283</v>
      </c>
      <c r="C541" s="1" t="s">
        <v>21</v>
      </c>
      <c r="D541" s="1">
        <f>MONTH(Tabela12[[#This Row],[DATA]])</f>
        <v>9</v>
      </c>
    </row>
    <row r="542" spans="1:4" x14ac:dyDescent="0.35">
      <c r="A542" s="1">
        <v>2522</v>
      </c>
      <c r="B542" s="2">
        <v>46283</v>
      </c>
      <c r="C542" s="1" t="s">
        <v>24</v>
      </c>
      <c r="D542" s="1">
        <f>MONTH(Tabela12[[#This Row],[DATA]])</f>
        <v>9</v>
      </c>
    </row>
    <row r="543" spans="1:4" x14ac:dyDescent="0.35">
      <c r="A543" s="1">
        <v>2523</v>
      </c>
      <c r="B543" s="2">
        <v>46283</v>
      </c>
      <c r="C543" s="1" t="s">
        <v>24</v>
      </c>
      <c r="D543" s="1">
        <f>MONTH(Tabela12[[#This Row],[DATA]])</f>
        <v>9</v>
      </c>
    </row>
    <row r="544" spans="1:4" x14ac:dyDescent="0.35">
      <c r="A544" s="1">
        <v>2524</v>
      </c>
      <c r="B544" s="2">
        <v>46283</v>
      </c>
      <c r="C544" s="1" t="s">
        <v>24</v>
      </c>
      <c r="D544" s="1">
        <f>MONTH(Tabela12[[#This Row],[DATA]])</f>
        <v>9</v>
      </c>
    </row>
    <row r="545" spans="1:4" x14ac:dyDescent="0.35">
      <c r="A545" s="1">
        <v>2525</v>
      </c>
      <c r="B545" s="2">
        <v>46283</v>
      </c>
      <c r="C545" s="1" t="s">
        <v>24</v>
      </c>
      <c r="D545" s="1">
        <f>MONTH(Tabela12[[#This Row],[DATA]])</f>
        <v>9</v>
      </c>
    </row>
    <row r="546" spans="1:4" x14ac:dyDescent="0.35">
      <c r="A546" s="1">
        <v>2526</v>
      </c>
      <c r="B546" s="2">
        <v>46283</v>
      </c>
      <c r="C546" s="1" t="s">
        <v>3</v>
      </c>
      <c r="D546" s="1">
        <f>MONTH(Tabela12[[#This Row],[DATA]])</f>
        <v>9</v>
      </c>
    </row>
    <row r="547" spans="1:4" x14ac:dyDescent="0.35">
      <c r="A547" s="1">
        <v>2527</v>
      </c>
      <c r="B547" s="2">
        <v>46283</v>
      </c>
      <c r="C547" s="1" t="s">
        <v>3</v>
      </c>
      <c r="D547" s="1">
        <f>MONTH(Tabela12[[#This Row],[DATA]])</f>
        <v>9</v>
      </c>
    </row>
    <row r="548" spans="1:4" x14ac:dyDescent="0.35">
      <c r="A548" s="1">
        <v>2528</v>
      </c>
      <c r="B548" s="2">
        <v>46283</v>
      </c>
      <c r="C548" s="1" t="s">
        <v>24</v>
      </c>
      <c r="D548" s="1">
        <f>MONTH(Tabela12[[#This Row],[DATA]])</f>
        <v>9</v>
      </c>
    </row>
    <row r="549" spans="1:4" x14ac:dyDescent="0.35">
      <c r="A549" s="1">
        <v>2529</v>
      </c>
      <c r="B549" s="2">
        <v>46283</v>
      </c>
      <c r="C549" s="1" t="s">
        <v>24</v>
      </c>
      <c r="D549" s="1">
        <f>MONTH(Tabela12[[#This Row],[DATA]])</f>
        <v>9</v>
      </c>
    </row>
    <row r="550" spans="1:4" x14ac:dyDescent="0.35">
      <c r="A550" s="1">
        <v>2512</v>
      </c>
      <c r="B550" s="2">
        <v>46287</v>
      </c>
      <c r="C550" s="1" t="s">
        <v>19</v>
      </c>
      <c r="D550" s="1">
        <f>MONTH(Tabela12[[#This Row],[DATA]])</f>
        <v>9</v>
      </c>
    </row>
    <row r="551" spans="1:4" x14ac:dyDescent="0.35">
      <c r="A551" s="1">
        <v>2513</v>
      </c>
      <c r="B551" s="2">
        <v>46288</v>
      </c>
      <c r="C551" s="1" t="s">
        <v>3</v>
      </c>
      <c r="D551" s="1">
        <f>MONTH(Tabela12[[#This Row],[DATA]])</f>
        <v>9</v>
      </c>
    </row>
    <row r="552" spans="1:4" x14ac:dyDescent="0.35">
      <c r="A552" s="1">
        <v>2514</v>
      </c>
      <c r="B552" s="2">
        <v>46288</v>
      </c>
      <c r="C552" s="1" t="s">
        <v>19</v>
      </c>
      <c r="D552" s="1">
        <f>MONTH(Tabela12[[#This Row],[DATA]])</f>
        <v>9</v>
      </c>
    </row>
    <row r="553" spans="1:4" x14ac:dyDescent="0.35">
      <c r="A553" s="1">
        <v>2530</v>
      </c>
      <c r="B553" s="2">
        <v>46289</v>
      </c>
      <c r="C553" s="1" t="s">
        <v>3</v>
      </c>
      <c r="D553" s="1">
        <f>MONTH(Tabela12[[#This Row],[DATA]])</f>
        <v>9</v>
      </c>
    </row>
    <row r="554" spans="1:4" x14ac:dyDescent="0.35">
      <c r="A554" s="1">
        <v>2531</v>
      </c>
      <c r="B554" s="2">
        <v>46289</v>
      </c>
      <c r="C554" s="1" t="s">
        <v>3</v>
      </c>
      <c r="D554" s="1">
        <f>MONTH(Tabela12[[#This Row],[DATA]])</f>
        <v>9</v>
      </c>
    </row>
    <row r="555" spans="1:4" x14ac:dyDescent="0.35">
      <c r="A555" s="1">
        <v>2532</v>
      </c>
      <c r="B555" s="2">
        <v>46289</v>
      </c>
      <c r="C555" s="1" t="s">
        <v>21</v>
      </c>
      <c r="D555" s="1">
        <f>MONTH(Tabela12[[#This Row],[DATA]])</f>
        <v>9</v>
      </c>
    </row>
    <row r="556" spans="1:4" x14ac:dyDescent="0.35">
      <c r="A556" s="1">
        <v>2533</v>
      </c>
      <c r="B556" s="2">
        <v>46289</v>
      </c>
      <c r="C556" s="1" t="s">
        <v>9</v>
      </c>
      <c r="D556" s="1">
        <f>MONTH(Tabela12[[#This Row],[DATA]])</f>
        <v>9</v>
      </c>
    </row>
    <row r="557" spans="1:4" x14ac:dyDescent="0.35">
      <c r="A557" s="1">
        <v>2534</v>
      </c>
      <c r="B557" s="2">
        <v>46289</v>
      </c>
      <c r="C557" s="1" t="s">
        <v>9</v>
      </c>
      <c r="D557" s="1">
        <f>MONTH(Tabela12[[#This Row],[DATA]])</f>
        <v>9</v>
      </c>
    </row>
    <row r="558" spans="1:4" x14ac:dyDescent="0.35">
      <c r="A558" s="1">
        <v>2542</v>
      </c>
      <c r="B558" s="2">
        <v>46294</v>
      </c>
      <c r="C558" s="1" t="s">
        <v>19</v>
      </c>
      <c r="D558" s="1">
        <f>MONTH(Tabela12[[#This Row],[DATA]])</f>
        <v>9</v>
      </c>
    </row>
    <row r="559" spans="1:4" x14ac:dyDescent="0.35">
      <c r="A559" s="1">
        <v>2543</v>
      </c>
      <c r="B559" s="2">
        <v>46294</v>
      </c>
      <c r="C559" s="1" t="s">
        <v>19</v>
      </c>
      <c r="D559" s="1">
        <f>MONTH(Tabela12[[#This Row],[DATA]])</f>
        <v>9</v>
      </c>
    </row>
    <row r="560" spans="1:4" x14ac:dyDescent="0.35">
      <c r="A560" s="1">
        <v>2544</v>
      </c>
      <c r="B560" s="2">
        <v>46295</v>
      </c>
      <c r="C560" s="1" t="s">
        <v>9</v>
      </c>
      <c r="D560" s="1">
        <f>MONTH(Tabela12[[#This Row],[DATA]])</f>
        <v>9</v>
      </c>
    </row>
    <row r="561" spans="1:4" x14ac:dyDescent="0.35">
      <c r="A561" s="1">
        <v>2547</v>
      </c>
      <c r="B561" s="2">
        <v>46296</v>
      </c>
      <c r="C561" s="1" t="s">
        <v>19</v>
      </c>
      <c r="D561" s="1">
        <f>MONTH(Tabela12[[#This Row],[DATA]])</f>
        <v>10</v>
      </c>
    </row>
    <row r="562" spans="1:4" x14ac:dyDescent="0.35">
      <c r="A562" s="1">
        <v>2548</v>
      </c>
      <c r="B562" s="2">
        <v>46296</v>
      </c>
      <c r="C562" s="1" t="s">
        <v>24</v>
      </c>
      <c r="D562" s="1">
        <f>MONTH(Tabela12[[#This Row],[DATA]])</f>
        <v>10</v>
      </c>
    </row>
    <row r="563" spans="1:4" x14ac:dyDescent="0.35">
      <c r="A563" s="1">
        <v>2549</v>
      </c>
      <c r="B563" s="2">
        <v>46297</v>
      </c>
      <c r="C563" s="1" t="s">
        <v>24</v>
      </c>
      <c r="D563" s="1">
        <f>MONTH(Tabela12[[#This Row],[DATA]])</f>
        <v>10</v>
      </c>
    </row>
    <row r="564" spans="1:4" x14ac:dyDescent="0.35">
      <c r="A564" s="1">
        <v>2550</v>
      </c>
      <c r="B564" s="2">
        <v>46297</v>
      </c>
      <c r="C564" s="1" t="s">
        <v>24</v>
      </c>
      <c r="D564" s="1">
        <f>MONTH(Tabela12[[#This Row],[DATA]])</f>
        <v>10</v>
      </c>
    </row>
    <row r="565" spans="1:4" x14ac:dyDescent="0.35">
      <c r="A565" s="1">
        <v>2551</v>
      </c>
      <c r="B565" s="2">
        <v>46297</v>
      </c>
      <c r="C565" s="1" t="s">
        <v>9</v>
      </c>
      <c r="D565" s="1">
        <f>MONTH(Tabela12[[#This Row],[DATA]])</f>
        <v>10</v>
      </c>
    </row>
    <row r="566" spans="1:4" x14ac:dyDescent="0.35">
      <c r="A566" s="1">
        <v>2553</v>
      </c>
      <c r="B566" s="2">
        <v>46300</v>
      </c>
      <c r="C566" s="1" t="s">
        <v>3</v>
      </c>
      <c r="D566" s="1">
        <f>MONTH(Tabela12[[#This Row],[DATA]])</f>
        <v>10</v>
      </c>
    </row>
    <row r="567" spans="1:4" x14ac:dyDescent="0.35">
      <c r="A567" s="1">
        <v>2554</v>
      </c>
      <c r="B567" s="2">
        <v>46300</v>
      </c>
      <c r="C567" s="1" t="s">
        <v>3</v>
      </c>
      <c r="D567" s="1">
        <f>MONTH(Tabela12[[#This Row],[DATA]])</f>
        <v>10</v>
      </c>
    </row>
    <row r="568" spans="1:4" x14ac:dyDescent="0.35">
      <c r="A568" s="1">
        <v>2555</v>
      </c>
      <c r="B568" s="2">
        <v>46300</v>
      </c>
      <c r="C568" s="1" t="s">
        <v>5</v>
      </c>
      <c r="D568" s="1">
        <f>MONTH(Tabela12[[#This Row],[DATA]])</f>
        <v>10</v>
      </c>
    </row>
    <row r="569" spans="1:4" x14ac:dyDescent="0.35">
      <c r="A569" s="1">
        <v>2556</v>
      </c>
      <c r="B569" s="2">
        <v>46300</v>
      </c>
      <c r="C569" s="1" t="s">
        <v>5</v>
      </c>
      <c r="D569" s="1">
        <f>MONTH(Tabela12[[#This Row],[DATA]])</f>
        <v>10</v>
      </c>
    </row>
    <row r="570" spans="1:4" x14ac:dyDescent="0.35">
      <c r="A570" s="1">
        <v>2557</v>
      </c>
      <c r="B570" s="2">
        <v>46300</v>
      </c>
      <c r="C570" s="1" t="s">
        <v>5</v>
      </c>
      <c r="D570" s="1">
        <f>MONTH(Tabela12[[#This Row],[DATA]])</f>
        <v>10</v>
      </c>
    </row>
    <row r="571" spans="1:4" x14ac:dyDescent="0.35">
      <c r="A571" s="1">
        <v>2558</v>
      </c>
      <c r="B571" s="2">
        <v>46300</v>
      </c>
      <c r="C571" s="1" t="s">
        <v>3</v>
      </c>
      <c r="D571" s="1">
        <f>MONTH(Tabela12[[#This Row],[DATA]])</f>
        <v>10</v>
      </c>
    </row>
    <row r="572" spans="1:4" x14ac:dyDescent="0.35">
      <c r="A572" s="1">
        <v>2559</v>
      </c>
      <c r="B572" s="2">
        <v>46300</v>
      </c>
      <c r="C572" s="1" t="s">
        <v>5</v>
      </c>
      <c r="D572" s="1">
        <f>MONTH(Tabela12[[#This Row],[DATA]])</f>
        <v>10</v>
      </c>
    </row>
    <row r="573" spans="1:4" x14ac:dyDescent="0.35">
      <c r="A573" s="1">
        <v>2560</v>
      </c>
      <c r="B573" s="2">
        <v>46300</v>
      </c>
      <c r="C573" s="1" t="s">
        <v>5</v>
      </c>
      <c r="D573" s="1">
        <f>MONTH(Tabela12[[#This Row],[DATA]])</f>
        <v>10</v>
      </c>
    </row>
    <row r="574" spans="1:4" x14ac:dyDescent="0.35">
      <c r="A574" s="1">
        <v>2561</v>
      </c>
      <c r="B574" s="2">
        <v>46300</v>
      </c>
      <c r="C574" s="1" t="s">
        <v>9</v>
      </c>
      <c r="D574" s="1">
        <f>MONTH(Tabela12[[#This Row],[DATA]])</f>
        <v>10</v>
      </c>
    </row>
    <row r="575" spans="1:4" x14ac:dyDescent="0.35">
      <c r="A575" s="1">
        <v>2562</v>
      </c>
      <c r="B575" s="2">
        <v>46300</v>
      </c>
      <c r="C575" s="1" t="s">
        <v>21</v>
      </c>
      <c r="D575" s="1">
        <f>MONTH(Tabela12[[#This Row],[DATA]])</f>
        <v>10</v>
      </c>
    </row>
    <row r="576" spans="1:4" x14ac:dyDescent="0.35">
      <c r="A576" s="1">
        <v>2565</v>
      </c>
      <c r="B576" s="2">
        <v>46302</v>
      </c>
      <c r="C576" s="1" t="s">
        <v>19</v>
      </c>
      <c r="D576" s="1">
        <f>MONTH(Tabela12[[#This Row],[DATA]])</f>
        <v>10</v>
      </c>
    </row>
    <row r="577" spans="1:4" x14ac:dyDescent="0.35">
      <c r="A577" s="1">
        <v>2567</v>
      </c>
      <c r="B577" s="2">
        <v>46302</v>
      </c>
      <c r="C577" s="1" t="s">
        <v>19</v>
      </c>
      <c r="D577" s="1">
        <f>MONTH(Tabela12[[#This Row],[DATA]])</f>
        <v>10</v>
      </c>
    </row>
    <row r="578" spans="1:4" x14ac:dyDescent="0.35">
      <c r="A578" s="1">
        <v>2568</v>
      </c>
      <c r="B578" s="2">
        <v>46302</v>
      </c>
      <c r="C578" s="1" t="s">
        <v>19</v>
      </c>
      <c r="D578" s="1">
        <f>MONTH(Tabela12[[#This Row],[DATA]])</f>
        <v>10</v>
      </c>
    </row>
    <row r="579" spans="1:4" x14ac:dyDescent="0.35">
      <c r="A579" s="1">
        <v>2569</v>
      </c>
      <c r="B579" s="2">
        <v>46302</v>
      </c>
      <c r="C579" s="1" t="s">
        <v>19</v>
      </c>
      <c r="D579" s="1">
        <f>MONTH(Tabela12[[#This Row],[DATA]])</f>
        <v>10</v>
      </c>
    </row>
    <row r="580" spans="1:4" x14ac:dyDescent="0.35">
      <c r="A580" s="1">
        <v>2570</v>
      </c>
      <c r="B580" s="2">
        <v>46302</v>
      </c>
      <c r="C580" s="1" t="s">
        <v>19</v>
      </c>
      <c r="D580" s="1">
        <f>MONTH(Tabela12[[#This Row],[DATA]])</f>
        <v>10</v>
      </c>
    </row>
    <row r="581" spans="1:4" x14ac:dyDescent="0.35">
      <c r="A581" s="1">
        <v>2571</v>
      </c>
      <c r="B581" s="2">
        <v>46302</v>
      </c>
      <c r="C581" s="1" t="s">
        <v>19</v>
      </c>
      <c r="D581" s="1">
        <f>MONTH(Tabela12[[#This Row],[DATA]])</f>
        <v>10</v>
      </c>
    </row>
    <row r="582" spans="1:4" x14ac:dyDescent="0.35">
      <c r="A582" s="1">
        <v>2572</v>
      </c>
      <c r="B582" s="2">
        <v>46302</v>
      </c>
      <c r="C582" s="1" t="s">
        <v>19</v>
      </c>
      <c r="D582" s="1">
        <f>MONTH(Tabela12[[#This Row],[DATA]])</f>
        <v>10</v>
      </c>
    </row>
    <row r="583" spans="1:4" x14ac:dyDescent="0.35">
      <c r="A583" s="1">
        <v>2573</v>
      </c>
      <c r="B583" s="2">
        <v>46302</v>
      </c>
      <c r="C583" s="1" t="s">
        <v>19</v>
      </c>
      <c r="D583" s="1">
        <f>MONTH(Tabela12[[#This Row],[DATA]])</f>
        <v>10</v>
      </c>
    </row>
    <row r="584" spans="1:4" x14ac:dyDescent="0.35">
      <c r="A584" s="1">
        <v>2574</v>
      </c>
      <c r="B584" s="2">
        <v>46302</v>
      </c>
      <c r="C584" s="1" t="s">
        <v>19</v>
      </c>
      <c r="D584" s="1">
        <f>MONTH(Tabela12[[#This Row],[DATA]])</f>
        <v>10</v>
      </c>
    </row>
    <row r="585" spans="1:4" x14ac:dyDescent="0.35">
      <c r="A585" s="1">
        <v>2575</v>
      </c>
      <c r="B585" s="2">
        <v>46302</v>
      </c>
      <c r="C585" s="1" t="s">
        <v>24</v>
      </c>
      <c r="D585" s="1">
        <f>MONTH(Tabela12[[#This Row],[DATA]])</f>
        <v>10</v>
      </c>
    </row>
    <row r="586" spans="1:4" x14ac:dyDescent="0.35">
      <c r="A586" s="1">
        <v>2576</v>
      </c>
      <c r="B586" s="2">
        <v>46302</v>
      </c>
      <c r="C586" s="1" t="s">
        <v>21</v>
      </c>
      <c r="D586" s="1">
        <f>MONTH(Tabela12[[#This Row],[DATA]])</f>
        <v>10</v>
      </c>
    </row>
    <row r="587" spans="1:4" x14ac:dyDescent="0.35">
      <c r="A587" s="1">
        <v>2577</v>
      </c>
      <c r="B587" s="2">
        <v>46302</v>
      </c>
      <c r="C587" s="1" t="s">
        <v>19</v>
      </c>
      <c r="D587" s="1">
        <f>MONTH(Tabela12[[#This Row],[DATA]])</f>
        <v>10</v>
      </c>
    </row>
    <row r="588" spans="1:4" x14ac:dyDescent="0.35">
      <c r="A588" s="1">
        <v>2578</v>
      </c>
      <c r="B588" s="2">
        <v>46302</v>
      </c>
      <c r="C588" s="1" t="s">
        <v>9</v>
      </c>
      <c r="D588" s="1">
        <f>MONTH(Tabela12[[#This Row],[DATA]])</f>
        <v>10</v>
      </c>
    </row>
    <row r="589" spans="1:4" x14ac:dyDescent="0.35">
      <c r="A589" s="1">
        <v>2579</v>
      </c>
      <c r="B589" s="2">
        <v>46302</v>
      </c>
      <c r="C589" s="1" t="s">
        <v>9</v>
      </c>
      <c r="D589" s="1">
        <f>MONTH(Tabela12[[#This Row],[DATA]])</f>
        <v>10</v>
      </c>
    </row>
    <row r="590" spans="1:4" x14ac:dyDescent="0.35">
      <c r="A590" s="1">
        <v>2580</v>
      </c>
      <c r="B590" s="2">
        <v>46302</v>
      </c>
      <c r="C590" s="1" t="s">
        <v>3</v>
      </c>
      <c r="D590" s="1">
        <f>MONTH(Tabela12[[#This Row],[DATA]])</f>
        <v>10</v>
      </c>
    </row>
    <row r="591" spans="1:4" x14ac:dyDescent="0.35">
      <c r="A591" s="1">
        <v>2590</v>
      </c>
      <c r="B591" s="2">
        <v>46302</v>
      </c>
      <c r="C591" s="1" t="s">
        <v>24</v>
      </c>
      <c r="D591" s="1">
        <f>MONTH(Tabela12[[#This Row],[DATA]])</f>
        <v>10</v>
      </c>
    </row>
    <row r="592" spans="1:4" x14ac:dyDescent="0.35">
      <c r="A592" s="1">
        <v>2591</v>
      </c>
      <c r="B592" s="2">
        <v>46302</v>
      </c>
      <c r="C592" s="1" t="s">
        <v>19</v>
      </c>
      <c r="D592" s="1">
        <f>MONTH(Tabela12[[#This Row],[DATA]])</f>
        <v>10</v>
      </c>
    </row>
    <row r="593" spans="1:4" x14ac:dyDescent="0.35">
      <c r="A593" s="1">
        <v>2592</v>
      </c>
      <c r="B593" s="2">
        <v>46302</v>
      </c>
      <c r="C593" s="1" t="s">
        <v>19</v>
      </c>
      <c r="D593" s="1">
        <f>MONTH(Tabela12[[#This Row],[DATA]])</f>
        <v>10</v>
      </c>
    </row>
    <row r="594" spans="1:4" x14ac:dyDescent="0.35">
      <c r="A594" s="1">
        <v>2593</v>
      </c>
      <c r="B594" s="2">
        <v>46302</v>
      </c>
      <c r="C594" s="1" t="s">
        <v>3</v>
      </c>
      <c r="D594" s="1">
        <f>MONTH(Tabela12[[#This Row],[DATA]])</f>
        <v>10</v>
      </c>
    </row>
    <row r="595" spans="1:4" x14ac:dyDescent="0.35">
      <c r="A595" s="1">
        <v>2594</v>
      </c>
      <c r="B595" s="2">
        <v>46302</v>
      </c>
      <c r="C595" s="1" t="s">
        <v>24</v>
      </c>
      <c r="D595" s="1">
        <f>MONTH(Tabela12[[#This Row],[DATA]])</f>
        <v>10</v>
      </c>
    </row>
    <row r="596" spans="1:4" x14ac:dyDescent="0.35">
      <c r="A596" s="1">
        <v>2595</v>
      </c>
      <c r="B596" s="2">
        <v>46302</v>
      </c>
      <c r="C596" s="1" t="s">
        <v>24</v>
      </c>
      <c r="D596" s="1">
        <f>MONTH(Tabela12[[#This Row],[DATA]])</f>
        <v>10</v>
      </c>
    </row>
    <row r="597" spans="1:4" x14ac:dyDescent="0.35">
      <c r="A597" s="1">
        <v>2596</v>
      </c>
      <c r="B597" s="2">
        <v>46302</v>
      </c>
      <c r="C597" s="1" t="s">
        <v>9</v>
      </c>
      <c r="D597" s="1">
        <f>MONTH(Tabela12[[#This Row],[DATA]])</f>
        <v>10</v>
      </c>
    </row>
    <row r="598" spans="1:4" x14ac:dyDescent="0.35">
      <c r="A598" s="1">
        <v>2597</v>
      </c>
      <c r="B598" s="2">
        <v>46302</v>
      </c>
      <c r="C598" s="1" t="s">
        <v>9</v>
      </c>
      <c r="D598" s="1">
        <f>MONTH(Tabela12[[#This Row],[DATA]])</f>
        <v>10</v>
      </c>
    </row>
    <row r="599" spans="1:4" x14ac:dyDescent="0.35">
      <c r="A599" s="1">
        <v>2598</v>
      </c>
      <c r="B599" s="2">
        <v>46302</v>
      </c>
      <c r="C599" s="1" t="s">
        <v>9</v>
      </c>
      <c r="D599" s="1">
        <f>MONTH(Tabela12[[#This Row],[DATA]])</f>
        <v>10</v>
      </c>
    </row>
    <row r="600" spans="1:4" x14ac:dyDescent="0.35">
      <c r="A600" s="1">
        <v>2599</v>
      </c>
      <c r="B600" s="2">
        <v>46302</v>
      </c>
      <c r="C600" s="1" t="s">
        <v>19</v>
      </c>
      <c r="D600" s="1">
        <f>MONTH(Tabela12[[#This Row],[DATA]])</f>
        <v>10</v>
      </c>
    </row>
    <row r="601" spans="1:4" x14ac:dyDescent="0.35">
      <c r="A601" s="1">
        <v>2600</v>
      </c>
      <c r="B601" s="2">
        <v>46308</v>
      </c>
      <c r="C601" s="1" t="s">
        <v>21</v>
      </c>
      <c r="D601" s="1">
        <f>MONTH(Tabela12[[#This Row],[DATA]])</f>
        <v>10</v>
      </c>
    </row>
    <row r="602" spans="1:4" x14ac:dyDescent="0.35">
      <c r="A602" s="1">
        <v>2601</v>
      </c>
      <c r="B602" s="2">
        <v>46308</v>
      </c>
      <c r="C602" s="1" t="s">
        <v>9</v>
      </c>
      <c r="D602" s="1">
        <f>MONTH(Tabela12[[#This Row],[DATA]])</f>
        <v>10</v>
      </c>
    </row>
    <row r="603" spans="1:4" x14ac:dyDescent="0.35">
      <c r="A603" s="1">
        <v>2602</v>
      </c>
      <c r="B603" s="2">
        <v>46308</v>
      </c>
      <c r="C603" s="1" t="s">
        <v>19</v>
      </c>
      <c r="D603" s="1">
        <f>MONTH(Tabela12[[#This Row],[DATA]])</f>
        <v>10</v>
      </c>
    </row>
    <row r="604" spans="1:4" x14ac:dyDescent="0.35">
      <c r="A604" s="1">
        <v>2603</v>
      </c>
      <c r="B604" s="2">
        <v>46308</v>
      </c>
      <c r="C604" s="1" t="s">
        <v>21</v>
      </c>
      <c r="D604" s="1">
        <f>MONTH(Tabela12[[#This Row],[DATA]])</f>
        <v>10</v>
      </c>
    </row>
    <row r="605" spans="1:4" x14ac:dyDescent="0.35">
      <c r="A605" s="1">
        <v>2604</v>
      </c>
      <c r="B605" s="2">
        <v>46308</v>
      </c>
      <c r="C605" s="1" t="s">
        <v>24</v>
      </c>
      <c r="D605" s="1">
        <f>MONTH(Tabela12[[#This Row],[DATA]])</f>
        <v>10</v>
      </c>
    </row>
    <row r="606" spans="1:4" x14ac:dyDescent="0.35">
      <c r="A606" s="1">
        <v>2605</v>
      </c>
      <c r="B606" s="2">
        <v>46308</v>
      </c>
      <c r="C606" s="1" t="s">
        <v>24</v>
      </c>
      <c r="D606" s="1">
        <f>MONTH(Tabela12[[#This Row],[DATA]])</f>
        <v>10</v>
      </c>
    </row>
    <row r="607" spans="1:4" x14ac:dyDescent="0.35">
      <c r="A607" s="1">
        <v>2606</v>
      </c>
      <c r="B607" s="2">
        <v>46308</v>
      </c>
      <c r="C607" s="1" t="s">
        <v>24</v>
      </c>
      <c r="D607" s="1">
        <f>MONTH(Tabela12[[#This Row],[DATA]])</f>
        <v>10</v>
      </c>
    </row>
    <row r="608" spans="1:4" x14ac:dyDescent="0.35">
      <c r="A608" s="1">
        <v>2607</v>
      </c>
      <c r="B608" s="2">
        <v>46308</v>
      </c>
      <c r="C608" s="1" t="s">
        <v>24</v>
      </c>
      <c r="D608" s="1">
        <f>MONTH(Tabela12[[#This Row],[DATA]])</f>
        <v>10</v>
      </c>
    </row>
    <row r="609" spans="1:4" x14ac:dyDescent="0.35">
      <c r="A609" s="1">
        <v>2612</v>
      </c>
      <c r="B609" s="2">
        <v>46309</v>
      </c>
      <c r="C609" s="1" t="s">
        <v>28</v>
      </c>
      <c r="D609" s="1">
        <f>MONTH(Tabela12[[#This Row],[DATA]])</f>
        <v>10</v>
      </c>
    </row>
    <row r="610" spans="1:4" x14ac:dyDescent="0.35">
      <c r="A610" s="1">
        <v>2613</v>
      </c>
      <c r="B610" s="2">
        <v>46309</v>
      </c>
      <c r="C610" s="1" t="s">
        <v>21</v>
      </c>
      <c r="D610" s="1">
        <f>MONTH(Tabela12[[#This Row],[DATA]])</f>
        <v>10</v>
      </c>
    </row>
    <row r="611" spans="1:4" x14ac:dyDescent="0.35">
      <c r="A611" s="1">
        <v>2614</v>
      </c>
      <c r="B611" s="2">
        <v>46309</v>
      </c>
      <c r="C611" s="1" t="s">
        <v>19</v>
      </c>
      <c r="D611" s="1">
        <f>MONTH(Tabela12[[#This Row],[DATA]])</f>
        <v>10</v>
      </c>
    </row>
    <row r="612" spans="1:4" x14ac:dyDescent="0.35">
      <c r="A612" s="1">
        <v>2615</v>
      </c>
      <c r="B612" s="2">
        <v>46309</v>
      </c>
      <c r="C612" s="1" t="s">
        <v>19</v>
      </c>
      <c r="D612" s="1">
        <f>MONTH(Tabela12[[#This Row],[DATA]])</f>
        <v>10</v>
      </c>
    </row>
    <row r="613" spans="1:4" x14ac:dyDescent="0.35">
      <c r="A613" s="1">
        <v>2616</v>
      </c>
      <c r="B613" s="2">
        <v>46309</v>
      </c>
      <c r="C613" s="1" t="s">
        <v>19</v>
      </c>
      <c r="D613" s="1">
        <f>MONTH(Tabela12[[#This Row],[DATA]])</f>
        <v>10</v>
      </c>
    </row>
    <row r="614" spans="1:4" x14ac:dyDescent="0.35">
      <c r="A614" s="1">
        <v>2617</v>
      </c>
      <c r="B614" s="2">
        <v>46309</v>
      </c>
      <c r="C614" s="1" t="s">
        <v>19</v>
      </c>
      <c r="D614" s="1">
        <f>MONTH(Tabela12[[#This Row],[DATA]])</f>
        <v>10</v>
      </c>
    </row>
    <row r="615" spans="1:4" x14ac:dyDescent="0.35">
      <c r="A615" s="1">
        <v>2618</v>
      </c>
      <c r="B615" s="2">
        <v>46309</v>
      </c>
      <c r="C615" s="1" t="s">
        <v>9</v>
      </c>
      <c r="D615" s="1">
        <f>MONTH(Tabela12[[#This Row],[DATA]])</f>
        <v>10</v>
      </c>
    </row>
    <row r="616" spans="1:4" x14ac:dyDescent="0.35">
      <c r="A616" s="1">
        <v>2619</v>
      </c>
      <c r="B616" s="2">
        <v>46309</v>
      </c>
      <c r="C616" s="1" t="s">
        <v>9</v>
      </c>
      <c r="D616" s="1">
        <f>MONTH(Tabela12[[#This Row],[DATA]])</f>
        <v>10</v>
      </c>
    </row>
    <row r="617" spans="1:4" x14ac:dyDescent="0.35">
      <c r="A617" s="1">
        <v>2620</v>
      </c>
      <c r="B617" s="2">
        <v>46310</v>
      </c>
      <c r="C617" s="1" t="s">
        <v>3</v>
      </c>
      <c r="D617" s="1">
        <f>MONTH(Tabela12[[#This Row],[DATA]])</f>
        <v>10</v>
      </c>
    </row>
    <row r="618" spans="1:4" x14ac:dyDescent="0.35">
      <c r="A618" s="1">
        <v>2621</v>
      </c>
      <c r="B618" s="2">
        <v>46310</v>
      </c>
      <c r="C618" s="1" t="s">
        <v>19</v>
      </c>
      <c r="D618" s="1">
        <f>MONTH(Tabela12[[#This Row],[DATA]])</f>
        <v>10</v>
      </c>
    </row>
    <row r="619" spans="1:4" x14ac:dyDescent="0.35">
      <c r="A619" s="1">
        <v>2622</v>
      </c>
      <c r="B619" s="2">
        <v>46310</v>
      </c>
      <c r="C619" s="1" t="s">
        <v>19</v>
      </c>
      <c r="D619" s="1">
        <f>MONTH(Tabela12[[#This Row],[DATA]])</f>
        <v>10</v>
      </c>
    </row>
    <row r="620" spans="1:4" x14ac:dyDescent="0.35">
      <c r="A620" s="1">
        <v>2623</v>
      </c>
      <c r="B620" s="2">
        <v>46310</v>
      </c>
      <c r="C620" s="1" t="s">
        <v>3</v>
      </c>
      <c r="D620" s="1">
        <f>MONTH(Tabela12[[#This Row],[DATA]])</f>
        <v>10</v>
      </c>
    </row>
    <row r="621" spans="1:4" x14ac:dyDescent="0.35">
      <c r="A621" s="1">
        <v>2624</v>
      </c>
      <c r="B621" s="2">
        <v>46310</v>
      </c>
      <c r="C621" s="1" t="s">
        <v>19</v>
      </c>
      <c r="D621" s="1">
        <f>MONTH(Tabela12[[#This Row],[DATA]])</f>
        <v>10</v>
      </c>
    </row>
    <row r="622" spans="1:4" x14ac:dyDescent="0.35">
      <c r="A622" s="1">
        <v>2625</v>
      </c>
      <c r="B622" s="2">
        <v>46310</v>
      </c>
      <c r="C622" s="1" t="s">
        <v>9</v>
      </c>
      <c r="D622" s="1">
        <f>MONTH(Tabela12[[#This Row],[DATA]])</f>
        <v>10</v>
      </c>
    </row>
    <row r="623" spans="1:4" x14ac:dyDescent="0.35">
      <c r="A623" s="1">
        <v>2629</v>
      </c>
      <c r="B623" s="2">
        <v>46314</v>
      </c>
      <c r="C623" s="1" t="s">
        <v>3</v>
      </c>
      <c r="D623" s="1">
        <f>MONTH(Tabela12[[#This Row],[DATA]])</f>
        <v>10</v>
      </c>
    </row>
    <row r="624" spans="1:4" x14ac:dyDescent="0.35">
      <c r="A624" s="1">
        <v>2630</v>
      </c>
      <c r="B624" s="2">
        <v>46314</v>
      </c>
      <c r="C624" s="1" t="s">
        <v>3</v>
      </c>
      <c r="D624" s="1">
        <f>MONTH(Tabela12[[#This Row],[DATA]])</f>
        <v>10</v>
      </c>
    </row>
    <row r="625" spans="1:4" x14ac:dyDescent="0.35">
      <c r="A625" s="1">
        <v>2631</v>
      </c>
      <c r="B625" s="2">
        <v>46314</v>
      </c>
      <c r="C625" s="1" t="s">
        <v>9</v>
      </c>
      <c r="D625" s="1">
        <f>MONTH(Tabela12[[#This Row],[DATA]])</f>
        <v>10</v>
      </c>
    </row>
    <row r="626" spans="1:4" x14ac:dyDescent="0.35">
      <c r="A626" s="1">
        <v>2632</v>
      </c>
      <c r="B626" s="2">
        <v>46314</v>
      </c>
      <c r="C626" s="1" t="s">
        <v>19</v>
      </c>
      <c r="D626" s="1">
        <f>MONTH(Tabela12[[#This Row],[DATA]])</f>
        <v>10</v>
      </c>
    </row>
    <row r="627" spans="1:4" x14ac:dyDescent="0.35">
      <c r="A627" s="1">
        <v>2633</v>
      </c>
      <c r="B627" s="2">
        <v>46314</v>
      </c>
      <c r="C627" s="1" t="s">
        <v>19</v>
      </c>
      <c r="D627" s="1">
        <f>MONTH(Tabela12[[#This Row],[DATA]])</f>
        <v>10</v>
      </c>
    </row>
    <row r="628" spans="1:4" x14ac:dyDescent="0.35">
      <c r="A628" s="1">
        <v>2634</v>
      </c>
      <c r="B628" s="2">
        <v>46314</v>
      </c>
      <c r="C628" s="1" t="s">
        <v>19</v>
      </c>
      <c r="D628" s="1">
        <f>MONTH(Tabela12[[#This Row],[DATA]])</f>
        <v>10</v>
      </c>
    </row>
    <row r="629" spans="1:4" x14ac:dyDescent="0.35">
      <c r="A629" s="1">
        <v>2635</v>
      </c>
      <c r="B629" s="2">
        <v>46314</v>
      </c>
      <c r="C629" s="1" t="s">
        <v>3</v>
      </c>
      <c r="D629" s="1">
        <f>MONTH(Tabela12[[#This Row],[DATA]])</f>
        <v>10</v>
      </c>
    </row>
    <row r="630" spans="1:4" x14ac:dyDescent="0.35">
      <c r="A630" s="1">
        <v>2636</v>
      </c>
      <c r="B630" s="2">
        <v>46314</v>
      </c>
      <c r="C630" s="1" t="s">
        <v>9</v>
      </c>
      <c r="D630" s="1">
        <f>MONTH(Tabela12[[#This Row],[DATA]])</f>
        <v>10</v>
      </c>
    </row>
    <row r="631" spans="1:4" x14ac:dyDescent="0.35">
      <c r="A631" s="1">
        <v>2637</v>
      </c>
      <c r="B631" s="2">
        <v>46314</v>
      </c>
      <c r="C631" s="1" t="s">
        <v>24</v>
      </c>
      <c r="D631" s="1">
        <f>MONTH(Tabela12[[#This Row],[DATA]])</f>
        <v>10</v>
      </c>
    </row>
    <row r="632" spans="1:4" x14ac:dyDescent="0.35">
      <c r="A632" s="1">
        <v>2638</v>
      </c>
      <c r="B632" s="2">
        <v>46314</v>
      </c>
      <c r="C632" s="1" t="s">
        <v>3</v>
      </c>
      <c r="D632" s="1">
        <f>MONTH(Tabela12[[#This Row],[DATA]])</f>
        <v>10</v>
      </c>
    </row>
    <row r="633" spans="1:4" x14ac:dyDescent="0.35">
      <c r="A633" s="1">
        <v>2639</v>
      </c>
      <c r="B633" s="2">
        <v>46314</v>
      </c>
      <c r="C633" s="1" t="s">
        <v>3</v>
      </c>
      <c r="D633" s="1">
        <f>MONTH(Tabela12[[#This Row],[DATA]])</f>
        <v>10</v>
      </c>
    </row>
    <row r="634" spans="1:4" x14ac:dyDescent="0.35">
      <c r="A634" s="1">
        <v>2640</v>
      </c>
      <c r="B634" s="2">
        <v>46314</v>
      </c>
      <c r="C634" s="1" t="s">
        <v>9</v>
      </c>
      <c r="D634" s="1">
        <f>MONTH(Tabela12[[#This Row],[DATA]])</f>
        <v>10</v>
      </c>
    </row>
    <row r="635" spans="1:4" x14ac:dyDescent="0.35">
      <c r="A635" s="1">
        <v>2641</v>
      </c>
      <c r="B635" s="2">
        <v>46314</v>
      </c>
      <c r="C635" s="1" t="s">
        <v>9</v>
      </c>
      <c r="D635" s="1">
        <f>MONTH(Tabela12[[#This Row],[DATA]])</f>
        <v>10</v>
      </c>
    </row>
    <row r="636" spans="1:4" x14ac:dyDescent="0.35">
      <c r="A636" s="1">
        <v>2642</v>
      </c>
      <c r="B636" s="2">
        <v>46314</v>
      </c>
      <c r="C636" s="1" t="s">
        <v>9</v>
      </c>
      <c r="D636" s="1">
        <f>MONTH(Tabela12[[#This Row],[DATA]])</f>
        <v>10</v>
      </c>
    </row>
    <row r="637" spans="1:4" x14ac:dyDescent="0.35">
      <c r="A637" s="1">
        <v>2643</v>
      </c>
      <c r="B637" s="2">
        <v>46314</v>
      </c>
      <c r="C637" s="1" t="s">
        <v>9</v>
      </c>
      <c r="D637" s="1">
        <f>MONTH(Tabela12[[#This Row],[DATA]])</f>
        <v>10</v>
      </c>
    </row>
    <row r="638" spans="1:4" x14ac:dyDescent="0.35">
      <c r="A638" s="1">
        <v>2646</v>
      </c>
      <c r="B638" s="2">
        <v>46314</v>
      </c>
      <c r="C638" s="1" t="s">
        <v>3</v>
      </c>
      <c r="D638" s="1">
        <f>MONTH(Tabela12[[#This Row],[DATA]])</f>
        <v>10</v>
      </c>
    </row>
    <row r="639" spans="1:4" x14ac:dyDescent="0.35">
      <c r="A639" s="1">
        <v>2652</v>
      </c>
      <c r="B639" s="2">
        <v>46315</v>
      </c>
      <c r="C639" s="1" t="s">
        <v>3</v>
      </c>
      <c r="D639" s="1">
        <f>MONTH(Tabela12[[#This Row],[DATA]])</f>
        <v>10</v>
      </c>
    </row>
    <row r="640" spans="1:4" x14ac:dyDescent="0.35">
      <c r="A640" s="1">
        <v>2653</v>
      </c>
      <c r="B640" s="2">
        <v>46315</v>
      </c>
      <c r="C640" s="1" t="s">
        <v>3</v>
      </c>
      <c r="D640" s="1">
        <f>MONTH(Tabela12[[#This Row],[DATA]])</f>
        <v>10</v>
      </c>
    </row>
    <row r="641" spans="1:4" x14ac:dyDescent="0.35">
      <c r="A641" s="1">
        <v>2654</v>
      </c>
      <c r="B641" s="2">
        <v>46315</v>
      </c>
      <c r="C641" s="1" t="s">
        <v>3</v>
      </c>
      <c r="D641" s="1">
        <f>MONTH(Tabela12[[#This Row],[DATA]])</f>
        <v>10</v>
      </c>
    </row>
    <row r="642" spans="1:4" x14ac:dyDescent="0.35">
      <c r="A642" s="1">
        <v>2655</v>
      </c>
      <c r="B642" s="2">
        <v>46315</v>
      </c>
      <c r="C642" s="1" t="s">
        <v>19</v>
      </c>
      <c r="D642" s="1">
        <f>MONTH(Tabela12[[#This Row],[DATA]])</f>
        <v>10</v>
      </c>
    </row>
    <row r="643" spans="1:4" x14ac:dyDescent="0.35">
      <c r="A643" s="1">
        <v>2656</v>
      </c>
      <c r="B643" s="2">
        <v>46315</v>
      </c>
      <c r="C643" s="1" t="s">
        <v>19</v>
      </c>
      <c r="D643" s="1">
        <f>MONTH(Tabela12[[#This Row],[DATA]])</f>
        <v>10</v>
      </c>
    </row>
    <row r="644" spans="1:4" x14ac:dyDescent="0.35">
      <c r="A644" s="1">
        <v>2659</v>
      </c>
      <c r="B644" s="2">
        <v>46315</v>
      </c>
      <c r="C644" s="1" t="s">
        <v>19</v>
      </c>
      <c r="D644" s="1">
        <f>MONTH(Tabela12[[#This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7D9B-C1CE-43DB-BAAF-311459C7746C}">
  <dimension ref="A1:B3421"/>
  <sheetViews>
    <sheetView showGridLines="0" topLeftCell="A3404" workbookViewId="0">
      <selection activeCell="A3419" sqref="A3419:B3421"/>
    </sheetView>
  </sheetViews>
  <sheetFormatPr defaultRowHeight="10.5" x14ac:dyDescent="0.35"/>
  <cols>
    <col min="1" max="1" width="7.36328125" style="1" bestFit="1" customWidth="1"/>
    <col min="2" max="2" width="26.6328125" style="1" bestFit="1" customWidth="1"/>
    <col min="3" max="16384" width="8.7265625" style="1"/>
  </cols>
  <sheetData>
    <row r="1" spans="1:2" x14ac:dyDescent="0.35">
      <c r="A1" s="1" t="s">
        <v>1</v>
      </c>
      <c r="B1" s="1" t="s">
        <v>66</v>
      </c>
    </row>
    <row r="2" spans="1:2" x14ac:dyDescent="0.35">
      <c r="A2" s="2">
        <v>45721</v>
      </c>
      <c r="B2" s="1" t="s">
        <v>76</v>
      </c>
    </row>
    <row r="3" spans="1:2" x14ac:dyDescent="0.35">
      <c r="A3" s="2">
        <v>45729</v>
      </c>
      <c r="B3" s="1" t="s">
        <v>77</v>
      </c>
    </row>
    <row r="4" spans="1:2" x14ac:dyDescent="0.35">
      <c r="A4" s="2">
        <v>45734</v>
      </c>
      <c r="B4" s="1" t="s">
        <v>76</v>
      </c>
    </row>
    <row r="5" spans="1:2" x14ac:dyDescent="0.35">
      <c r="A5" s="2">
        <v>45734</v>
      </c>
      <c r="B5" s="1" t="s">
        <v>76</v>
      </c>
    </row>
    <row r="6" spans="1:2" x14ac:dyDescent="0.35">
      <c r="A6" s="2">
        <v>45734</v>
      </c>
      <c r="B6" s="1" t="s">
        <v>76</v>
      </c>
    </row>
    <row r="7" spans="1:2" x14ac:dyDescent="0.35">
      <c r="A7" s="2">
        <v>45734</v>
      </c>
      <c r="B7" s="1" t="s">
        <v>76</v>
      </c>
    </row>
    <row r="8" spans="1:2" x14ac:dyDescent="0.35">
      <c r="A8" s="2">
        <v>45734</v>
      </c>
      <c r="B8" s="1" t="s">
        <v>76</v>
      </c>
    </row>
    <row r="9" spans="1:2" x14ac:dyDescent="0.35">
      <c r="A9" s="2">
        <v>45734</v>
      </c>
      <c r="B9" s="1" t="s">
        <v>79</v>
      </c>
    </row>
    <row r="10" spans="1:2" x14ac:dyDescent="0.35">
      <c r="A10" s="2">
        <v>45734</v>
      </c>
      <c r="B10" s="1" t="s">
        <v>78</v>
      </c>
    </row>
    <row r="11" spans="1:2" x14ac:dyDescent="0.35">
      <c r="A11" s="2">
        <v>45734</v>
      </c>
      <c r="B11" s="1" t="s">
        <v>78</v>
      </c>
    </row>
    <row r="12" spans="1:2" x14ac:dyDescent="0.35">
      <c r="A12" s="2">
        <v>45735</v>
      </c>
      <c r="B12" s="1" t="s">
        <v>76</v>
      </c>
    </row>
    <row r="13" spans="1:2" x14ac:dyDescent="0.35">
      <c r="A13" s="2">
        <v>45735</v>
      </c>
      <c r="B13" s="1" t="s">
        <v>76</v>
      </c>
    </row>
    <row r="14" spans="1:2" x14ac:dyDescent="0.35">
      <c r="A14" s="2">
        <v>45735</v>
      </c>
      <c r="B14" s="1" t="s">
        <v>76</v>
      </c>
    </row>
    <row r="15" spans="1:2" x14ac:dyDescent="0.35">
      <c r="A15" s="2">
        <v>45735</v>
      </c>
      <c r="B15" s="1" t="s">
        <v>76</v>
      </c>
    </row>
    <row r="16" spans="1:2" x14ac:dyDescent="0.35">
      <c r="A16" s="2">
        <v>45735</v>
      </c>
      <c r="B16" s="1" t="s">
        <v>76</v>
      </c>
    </row>
    <row r="17" spans="1:2" x14ac:dyDescent="0.35">
      <c r="A17" s="2">
        <v>45735</v>
      </c>
      <c r="B17" s="1" t="s">
        <v>76</v>
      </c>
    </row>
    <row r="18" spans="1:2" x14ac:dyDescent="0.35">
      <c r="A18" s="2">
        <v>45735</v>
      </c>
      <c r="B18" s="1" t="s">
        <v>76</v>
      </c>
    </row>
    <row r="19" spans="1:2" x14ac:dyDescent="0.35">
      <c r="A19" s="2">
        <v>45735</v>
      </c>
      <c r="B19" s="1" t="s">
        <v>76</v>
      </c>
    </row>
    <row r="20" spans="1:2" x14ac:dyDescent="0.35">
      <c r="A20" s="2">
        <v>45735</v>
      </c>
      <c r="B20" s="1" t="s">
        <v>76</v>
      </c>
    </row>
    <row r="21" spans="1:2" x14ac:dyDescent="0.35">
      <c r="A21" s="2">
        <v>45735</v>
      </c>
      <c r="B21" s="1" t="s">
        <v>76</v>
      </c>
    </row>
    <row r="22" spans="1:2" x14ac:dyDescent="0.35">
      <c r="A22" s="2">
        <v>45735</v>
      </c>
      <c r="B22" s="1" t="s">
        <v>80</v>
      </c>
    </row>
    <row r="23" spans="1:2" x14ac:dyDescent="0.35">
      <c r="A23" s="2">
        <v>45735</v>
      </c>
      <c r="B23" s="1" t="s">
        <v>76</v>
      </c>
    </row>
    <row r="24" spans="1:2" x14ac:dyDescent="0.35">
      <c r="A24" s="2">
        <v>45735</v>
      </c>
      <c r="B24" s="1" t="s">
        <v>80</v>
      </c>
    </row>
    <row r="25" spans="1:2" x14ac:dyDescent="0.35">
      <c r="A25" s="2">
        <v>45735</v>
      </c>
      <c r="B25" s="1" t="s">
        <v>79</v>
      </c>
    </row>
    <row r="26" spans="1:2" x14ac:dyDescent="0.35">
      <c r="A26" s="2">
        <v>45735</v>
      </c>
      <c r="B26" s="1" t="s">
        <v>79</v>
      </c>
    </row>
    <row r="27" spans="1:2" x14ac:dyDescent="0.35">
      <c r="A27" s="2">
        <v>45737</v>
      </c>
      <c r="B27" s="1" t="s">
        <v>76</v>
      </c>
    </row>
    <row r="28" spans="1:2" x14ac:dyDescent="0.35">
      <c r="A28" s="2">
        <v>45737</v>
      </c>
      <c r="B28" s="1" t="s">
        <v>77</v>
      </c>
    </row>
    <row r="29" spans="1:2" x14ac:dyDescent="0.35">
      <c r="A29" s="2">
        <v>45737</v>
      </c>
      <c r="B29" s="1" t="s">
        <v>68</v>
      </c>
    </row>
    <row r="30" spans="1:2" x14ac:dyDescent="0.35">
      <c r="A30" s="2">
        <v>45740</v>
      </c>
      <c r="B30" s="1" t="s">
        <v>79</v>
      </c>
    </row>
    <row r="31" spans="1:2" x14ac:dyDescent="0.35">
      <c r="A31" s="2">
        <v>45740</v>
      </c>
      <c r="B31" s="1" t="s">
        <v>79</v>
      </c>
    </row>
    <row r="32" spans="1:2" x14ac:dyDescent="0.35">
      <c r="A32" s="2">
        <v>45742</v>
      </c>
      <c r="B32" s="1" t="s">
        <v>79</v>
      </c>
    </row>
    <row r="33" spans="1:2" x14ac:dyDescent="0.35">
      <c r="A33" s="2">
        <v>45743</v>
      </c>
      <c r="B33" s="1" t="s">
        <v>79</v>
      </c>
    </row>
    <row r="34" spans="1:2" x14ac:dyDescent="0.35">
      <c r="A34" s="2">
        <v>45743</v>
      </c>
      <c r="B34" s="1" t="s">
        <v>79</v>
      </c>
    </row>
    <row r="35" spans="1:2" x14ac:dyDescent="0.35">
      <c r="A35" s="2">
        <v>45743</v>
      </c>
      <c r="B35" s="1" t="s">
        <v>79</v>
      </c>
    </row>
    <row r="36" spans="1:2" x14ac:dyDescent="0.35">
      <c r="A36" s="2">
        <v>45747</v>
      </c>
      <c r="B36" s="1" t="s">
        <v>76</v>
      </c>
    </row>
    <row r="37" spans="1:2" x14ac:dyDescent="0.35">
      <c r="A37" s="2">
        <v>45747</v>
      </c>
      <c r="B37" s="1" t="s">
        <v>76</v>
      </c>
    </row>
    <row r="38" spans="1:2" x14ac:dyDescent="0.35">
      <c r="A38" s="2">
        <v>45747</v>
      </c>
      <c r="B38" s="1" t="s">
        <v>76</v>
      </c>
    </row>
    <row r="39" spans="1:2" x14ac:dyDescent="0.35">
      <c r="A39" s="2">
        <v>45747</v>
      </c>
      <c r="B39" s="1" t="s">
        <v>76</v>
      </c>
    </row>
    <row r="40" spans="1:2" x14ac:dyDescent="0.35">
      <c r="A40" s="2">
        <v>45747</v>
      </c>
      <c r="B40" s="1" t="s">
        <v>76</v>
      </c>
    </row>
    <row r="41" spans="1:2" x14ac:dyDescent="0.35">
      <c r="A41" s="2">
        <v>45747</v>
      </c>
      <c r="B41" s="1" t="s">
        <v>76</v>
      </c>
    </row>
    <row r="42" spans="1:2" x14ac:dyDescent="0.35">
      <c r="A42" s="2">
        <v>45747</v>
      </c>
      <c r="B42" s="1" t="s">
        <v>76</v>
      </c>
    </row>
    <row r="43" spans="1:2" x14ac:dyDescent="0.35">
      <c r="A43" s="2">
        <v>45747</v>
      </c>
      <c r="B43" s="1" t="s">
        <v>79</v>
      </c>
    </row>
    <row r="44" spans="1:2" x14ac:dyDescent="0.35">
      <c r="A44" s="2">
        <v>45747</v>
      </c>
      <c r="B44" s="1" t="s">
        <v>79</v>
      </c>
    </row>
    <row r="45" spans="1:2" x14ac:dyDescent="0.35">
      <c r="A45" s="2">
        <v>45747</v>
      </c>
      <c r="B45" s="1" t="s">
        <v>76</v>
      </c>
    </row>
    <row r="46" spans="1:2" x14ac:dyDescent="0.35">
      <c r="A46" s="2">
        <v>45747</v>
      </c>
      <c r="B46" s="1" t="s">
        <v>79</v>
      </c>
    </row>
    <row r="47" spans="1:2" x14ac:dyDescent="0.35">
      <c r="A47" s="2">
        <v>45747</v>
      </c>
      <c r="B47" s="1" t="s">
        <v>79</v>
      </c>
    </row>
    <row r="48" spans="1:2" x14ac:dyDescent="0.35">
      <c r="A48" s="2">
        <v>45747</v>
      </c>
      <c r="B48" s="1" t="s">
        <v>79</v>
      </c>
    </row>
    <row r="49" spans="1:2" x14ac:dyDescent="0.35">
      <c r="A49" s="2">
        <v>45747</v>
      </c>
      <c r="B49" s="1" t="s">
        <v>79</v>
      </c>
    </row>
    <row r="50" spans="1:2" x14ac:dyDescent="0.35">
      <c r="A50" s="2">
        <v>45748</v>
      </c>
      <c r="B50" s="1" t="s">
        <v>76</v>
      </c>
    </row>
    <row r="51" spans="1:2" x14ac:dyDescent="0.35">
      <c r="A51" s="2">
        <v>45748</v>
      </c>
      <c r="B51" s="1" t="s">
        <v>76</v>
      </c>
    </row>
    <row r="52" spans="1:2" x14ac:dyDescent="0.35">
      <c r="A52" s="2">
        <v>45748</v>
      </c>
      <c r="B52" s="1" t="s">
        <v>79</v>
      </c>
    </row>
    <row r="53" spans="1:2" x14ac:dyDescent="0.35">
      <c r="A53" s="2">
        <v>45748</v>
      </c>
      <c r="B53" s="1" t="s">
        <v>79</v>
      </c>
    </row>
    <row r="54" spans="1:2" x14ac:dyDescent="0.35">
      <c r="A54" s="2">
        <v>45748</v>
      </c>
      <c r="B54" s="1" t="s">
        <v>68</v>
      </c>
    </row>
    <row r="55" spans="1:2" x14ac:dyDescent="0.35">
      <c r="A55" s="2">
        <v>45749</v>
      </c>
      <c r="B55" s="1" t="s">
        <v>76</v>
      </c>
    </row>
    <row r="56" spans="1:2" x14ac:dyDescent="0.35">
      <c r="A56" s="2">
        <v>45749</v>
      </c>
      <c r="B56" s="1" t="s">
        <v>76</v>
      </c>
    </row>
    <row r="57" spans="1:2" x14ac:dyDescent="0.35">
      <c r="A57" s="2">
        <v>45749</v>
      </c>
      <c r="B57" s="1" t="s">
        <v>76</v>
      </c>
    </row>
    <row r="58" spans="1:2" x14ac:dyDescent="0.35">
      <c r="A58" s="2">
        <v>45749</v>
      </c>
      <c r="B58" s="1" t="s">
        <v>76</v>
      </c>
    </row>
    <row r="59" spans="1:2" x14ac:dyDescent="0.35">
      <c r="A59" s="2">
        <v>45749</v>
      </c>
      <c r="B59" s="1" t="s">
        <v>76</v>
      </c>
    </row>
    <row r="60" spans="1:2" x14ac:dyDescent="0.35">
      <c r="A60" s="2">
        <v>45749</v>
      </c>
      <c r="B60" s="1" t="s">
        <v>76</v>
      </c>
    </row>
    <row r="61" spans="1:2" x14ac:dyDescent="0.35">
      <c r="A61" s="2">
        <v>45749</v>
      </c>
      <c r="B61" s="1" t="s">
        <v>79</v>
      </c>
    </row>
    <row r="62" spans="1:2" x14ac:dyDescent="0.35">
      <c r="A62" s="2">
        <v>45749</v>
      </c>
      <c r="B62" s="1" t="s">
        <v>80</v>
      </c>
    </row>
    <row r="63" spans="1:2" x14ac:dyDescent="0.35">
      <c r="A63" s="2">
        <v>45751</v>
      </c>
      <c r="B63" s="1" t="s">
        <v>79</v>
      </c>
    </row>
    <row r="64" spans="1:2" x14ac:dyDescent="0.35">
      <c r="A64" s="2">
        <v>45755</v>
      </c>
      <c r="B64" s="1" t="s">
        <v>76</v>
      </c>
    </row>
    <row r="65" spans="1:2" x14ac:dyDescent="0.35">
      <c r="A65" s="2">
        <v>45761</v>
      </c>
      <c r="B65" s="1" t="s">
        <v>78</v>
      </c>
    </row>
    <row r="66" spans="1:2" x14ac:dyDescent="0.35">
      <c r="A66" s="2">
        <v>45761</v>
      </c>
      <c r="B66" s="1" t="s">
        <v>78</v>
      </c>
    </row>
    <row r="67" spans="1:2" x14ac:dyDescent="0.35">
      <c r="A67" s="2">
        <v>45761</v>
      </c>
      <c r="B67" s="1" t="s">
        <v>78</v>
      </c>
    </row>
    <row r="68" spans="1:2" x14ac:dyDescent="0.35">
      <c r="A68" s="2">
        <v>45761</v>
      </c>
      <c r="B68" s="1" t="s">
        <v>78</v>
      </c>
    </row>
    <row r="69" spans="1:2" x14ac:dyDescent="0.35">
      <c r="A69" s="2">
        <v>45762</v>
      </c>
      <c r="B69" s="1" t="s">
        <v>76</v>
      </c>
    </row>
    <row r="70" spans="1:2" x14ac:dyDescent="0.35">
      <c r="A70" s="2">
        <v>45762</v>
      </c>
      <c r="B70" s="1" t="s">
        <v>76</v>
      </c>
    </row>
    <row r="71" spans="1:2" x14ac:dyDescent="0.35">
      <c r="A71" s="2">
        <v>45762</v>
      </c>
      <c r="B71" s="1" t="s">
        <v>76</v>
      </c>
    </row>
    <row r="72" spans="1:2" x14ac:dyDescent="0.35">
      <c r="A72" s="2">
        <v>45763</v>
      </c>
      <c r="B72" s="1" t="s">
        <v>80</v>
      </c>
    </row>
    <row r="73" spans="1:2" x14ac:dyDescent="0.35">
      <c r="A73" s="2">
        <v>45763</v>
      </c>
      <c r="B73" s="1" t="s">
        <v>80</v>
      </c>
    </row>
    <row r="74" spans="1:2" x14ac:dyDescent="0.35">
      <c r="A74" s="2">
        <v>45763</v>
      </c>
      <c r="B74" s="1" t="s">
        <v>80</v>
      </c>
    </row>
    <row r="75" spans="1:2" x14ac:dyDescent="0.35">
      <c r="A75" s="2">
        <v>45763</v>
      </c>
      <c r="B75" s="1" t="s">
        <v>80</v>
      </c>
    </row>
    <row r="76" spans="1:2" x14ac:dyDescent="0.35">
      <c r="A76" s="2">
        <v>45763</v>
      </c>
      <c r="B76" s="1" t="s">
        <v>80</v>
      </c>
    </row>
    <row r="77" spans="1:2" x14ac:dyDescent="0.35">
      <c r="A77" s="2">
        <v>45763</v>
      </c>
      <c r="B77" s="1" t="s">
        <v>80</v>
      </c>
    </row>
    <row r="78" spans="1:2" x14ac:dyDescent="0.35">
      <c r="A78" s="2">
        <v>45763</v>
      </c>
      <c r="B78" s="1" t="s">
        <v>80</v>
      </c>
    </row>
    <row r="79" spans="1:2" x14ac:dyDescent="0.35">
      <c r="A79" s="2">
        <v>45763</v>
      </c>
      <c r="B79" s="1" t="s">
        <v>80</v>
      </c>
    </row>
    <row r="80" spans="1:2" x14ac:dyDescent="0.35">
      <c r="A80" s="2">
        <v>45763</v>
      </c>
      <c r="B80" s="1" t="s">
        <v>80</v>
      </c>
    </row>
    <row r="81" spans="1:2" x14ac:dyDescent="0.35">
      <c r="A81" s="2">
        <v>45764</v>
      </c>
      <c r="B81" s="1" t="s">
        <v>81</v>
      </c>
    </row>
    <row r="82" spans="1:2" x14ac:dyDescent="0.35">
      <c r="A82" s="2">
        <v>45764</v>
      </c>
      <c r="B82" s="1" t="s">
        <v>28</v>
      </c>
    </row>
    <row r="83" spans="1:2" x14ac:dyDescent="0.35">
      <c r="A83" s="2">
        <v>45764</v>
      </c>
      <c r="B83" s="1" t="s">
        <v>24</v>
      </c>
    </row>
    <row r="84" spans="1:2" x14ac:dyDescent="0.35">
      <c r="A84" s="2">
        <v>45766</v>
      </c>
      <c r="B84" s="1" t="s">
        <v>24</v>
      </c>
    </row>
    <row r="85" spans="1:2" x14ac:dyDescent="0.35">
      <c r="A85" s="2">
        <v>45766</v>
      </c>
      <c r="B85" s="1" t="s">
        <v>24</v>
      </c>
    </row>
    <row r="86" spans="1:2" x14ac:dyDescent="0.35">
      <c r="A86" s="2">
        <v>45766</v>
      </c>
      <c r="B86" s="1" t="s">
        <v>24</v>
      </c>
    </row>
    <row r="87" spans="1:2" x14ac:dyDescent="0.35">
      <c r="A87" s="2">
        <v>45770</v>
      </c>
      <c r="B87" s="1" t="s">
        <v>68</v>
      </c>
    </row>
    <row r="88" spans="1:2" x14ac:dyDescent="0.35">
      <c r="A88" s="2">
        <v>45770</v>
      </c>
      <c r="B88" s="1" t="s">
        <v>77</v>
      </c>
    </row>
    <row r="89" spans="1:2" x14ac:dyDescent="0.35">
      <c r="A89" s="2">
        <v>45770</v>
      </c>
      <c r="B89" s="1" t="s">
        <v>24</v>
      </c>
    </row>
    <row r="90" spans="1:2" x14ac:dyDescent="0.35">
      <c r="A90" s="2">
        <v>45771</v>
      </c>
      <c r="B90" s="1" t="s">
        <v>32</v>
      </c>
    </row>
    <row r="91" spans="1:2" x14ac:dyDescent="0.35">
      <c r="A91" s="2">
        <v>45771</v>
      </c>
      <c r="B91" s="1" t="s">
        <v>77</v>
      </c>
    </row>
    <row r="92" spans="1:2" x14ac:dyDescent="0.35">
      <c r="A92" s="2">
        <v>45771</v>
      </c>
      <c r="B92" s="1" t="s">
        <v>28</v>
      </c>
    </row>
    <row r="93" spans="1:2" x14ac:dyDescent="0.35">
      <c r="A93" s="2">
        <v>45771</v>
      </c>
      <c r="B93" s="1" t="s">
        <v>68</v>
      </c>
    </row>
    <row r="94" spans="1:2" x14ac:dyDescent="0.35">
      <c r="A94" s="2">
        <v>45771</v>
      </c>
      <c r="B94" s="1" t="s">
        <v>68</v>
      </c>
    </row>
    <row r="95" spans="1:2" x14ac:dyDescent="0.35">
      <c r="A95" s="2">
        <v>45771</v>
      </c>
      <c r="B95" s="1" t="s">
        <v>77</v>
      </c>
    </row>
    <row r="96" spans="1:2" x14ac:dyDescent="0.35">
      <c r="A96" s="2">
        <v>45772</v>
      </c>
      <c r="B96" s="1" t="s">
        <v>77</v>
      </c>
    </row>
    <row r="97" spans="1:2" x14ac:dyDescent="0.35">
      <c r="A97" s="2">
        <v>45775</v>
      </c>
      <c r="B97" s="1" t="s">
        <v>68</v>
      </c>
    </row>
    <row r="98" spans="1:2" x14ac:dyDescent="0.35">
      <c r="A98" s="2">
        <v>45775</v>
      </c>
      <c r="B98" s="1" t="s">
        <v>24</v>
      </c>
    </row>
    <row r="99" spans="1:2" x14ac:dyDescent="0.35">
      <c r="A99" s="2">
        <v>45776</v>
      </c>
      <c r="B99" s="1" t="s">
        <v>24</v>
      </c>
    </row>
    <row r="100" spans="1:2" x14ac:dyDescent="0.35">
      <c r="A100" s="2">
        <v>45777</v>
      </c>
      <c r="B100" s="1" t="s">
        <v>24</v>
      </c>
    </row>
    <row r="101" spans="1:2" x14ac:dyDescent="0.35">
      <c r="A101" s="2">
        <v>45777</v>
      </c>
      <c r="B101" s="1" t="s">
        <v>68</v>
      </c>
    </row>
    <row r="102" spans="1:2" x14ac:dyDescent="0.35">
      <c r="A102" s="2">
        <v>45782</v>
      </c>
      <c r="B102" s="1" t="s">
        <v>24</v>
      </c>
    </row>
    <row r="103" spans="1:2" x14ac:dyDescent="0.35">
      <c r="A103" s="2">
        <v>45783</v>
      </c>
      <c r="B103" s="1" t="s">
        <v>24</v>
      </c>
    </row>
    <row r="104" spans="1:2" x14ac:dyDescent="0.35">
      <c r="A104" s="2">
        <v>45784</v>
      </c>
      <c r="B104" s="1" t="s">
        <v>24</v>
      </c>
    </row>
    <row r="105" spans="1:2" x14ac:dyDescent="0.35">
      <c r="A105" s="2">
        <v>45784</v>
      </c>
      <c r="B105" s="1" t="s">
        <v>68</v>
      </c>
    </row>
    <row r="106" spans="1:2" x14ac:dyDescent="0.35">
      <c r="A106" s="2">
        <v>45784</v>
      </c>
      <c r="B106" s="1" t="s">
        <v>24</v>
      </c>
    </row>
    <row r="107" spans="1:2" x14ac:dyDescent="0.35">
      <c r="A107" s="2">
        <v>45784</v>
      </c>
      <c r="B107" s="1" t="s">
        <v>68</v>
      </c>
    </row>
    <row r="108" spans="1:2" x14ac:dyDescent="0.35">
      <c r="A108" s="2">
        <v>45784</v>
      </c>
      <c r="B108" s="1" t="s">
        <v>24</v>
      </c>
    </row>
    <row r="109" spans="1:2" x14ac:dyDescent="0.35">
      <c r="A109" s="2">
        <v>45784</v>
      </c>
      <c r="B109" s="1" t="s">
        <v>68</v>
      </c>
    </row>
    <row r="110" spans="1:2" x14ac:dyDescent="0.35">
      <c r="A110" s="2">
        <v>45784</v>
      </c>
      <c r="B110" s="1" t="s">
        <v>68</v>
      </c>
    </row>
    <row r="111" spans="1:2" x14ac:dyDescent="0.35">
      <c r="A111" s="2">
        <v>45785</v>
      </c>
      <c r="B111" s="1" t="s">
        <v>68</v>
      </c>
    </row>
    <row r="112" spans="1:2" x14ac:dyDescent="0.35">
      <c r="A112" s="2">
        <v>45785</v>
      </c>
      <c r="B112" s="1" t="s">
        <v>68</v>
      </c>
    </row>
    <row r="113" spans="1:2" x14ac:dyDescent="0.35">
      <c r="A113" s="2">
        <v>45785</v>
      </c>
      <c r="B113" s="1" t="s">
        <v>68</v>
      </c>
    </row>
    <row r="114" spans="1:2" x14ac:dyDescent="0.35">
      <c r="A114" s="2">
        <v>45785</v>
      </c>
      <c r="B114" s="1" t="s">
        <v>68</v>
      </c>
    </row>
    <row r="115" spans="1:2" x14ac:dyDescent="0.35">
      <c r="A115" s="2">
        <v>45785</v>
      </c>
      <c r="B115" s="1" t="s">
        <v>24</v>
      </c>
    </row>
    <row r="116" spans="1:2" x14ac:dyDescent="0.35">
      <c r="A116" s="2">
        <v>45789</v>
      </c>
      <c r="B116" s="1" t="s">
        <v>68</v>
      </c>
    </row>
    <row r="117" spans="1:2" x14ac:dyDescent="0.35">
      <c r="A117" s="2">
        <v>45790</v>
      </c>
      <c r="B117" s="1" t="s">
        <v>77</v>
      </c>
    </row>
    <row r="118" spans="1:2" x14ac:dyDescent="0.35">
      <c r="A118" s="2">
        <v>45790</v>
      </c>
      <c r="B118" s="1" t="s">
        <v>77</v>
      </c>
    </row>
    <row r="119" spans="1:2" x14ac:dyDescent="0.35">
      <c r="A119" s="2">
        <v>45790</v>
      </c>
      <c r="B119" s="1" t="s">
        <v>68</v>
      </c>
    </row>
    <row r="120" spans="1:2" x14ac:dyDescent="0.35">
      <c r="A120" s="2">
        <v>45790</v>
      </c>
      <c r="B120" s="1" t="s">
        <v>68</v>
      </c>
    </row>
    <row r="121" spans="1:2" x14ac:dyDescent="0.35">
      <c r="A121" s="2">
        <v>45793</v>
      </c>
      <c r="B121" s="1" t="s">
        <v>68</v>
      </c>
    </row>
    <row r="122" spans="1:2" x14ac:dyDescent="0.35">
      <c r="A122" s="2">
        <v>45793</v>
      </c>
      <c r="B122" s="1" t="s">
        <v>68</v>
      </c>
    </row>
    <row r="123" spans="1:2" x14ac:dyDescent="0.35">
      <c r="A123" s="2">
        <v>45793</v>
      </c>
      <c r="B123" s="1" t="s">
        <v>68</v>
      </c>
    </row>
    <row r="124" spans="1:2" x14ac:dyDescent="0.35">
      <c r="A124" s="2">
        <v>45793</v>
      </c>
      <c r="B124" s="1" t="s">
        <v>82</v>
      </c>
    </row>
    <row r="125" spans="1:2" x14ac:dyDescent="0.35">
      <c r="A125" s="2">
        <v>45796</v>
      </c>
      <c r="B125" s="1" t="s">
        <v>24</v>
      </c>
    </row>
    <row r="126" spans="1:2" x14ac:dyDescent="0.35">
      <c r="A126" s="2">
        <v>45797</v>
      </c>
      <c r="B126" s="1" t="s">
        <v>28</v>
      </c>
    </row>
    <row r="127" spans="1:2" x14ac:dyDescent="0.35">
      <c r="A127" s="2">
        <v>45797</v>
      </c>
      <c r="B127" s="1" t="s">
        <v>28</v>
      </c>
    </row>
    <row r="128" spans="1:2" x14ac:dyDescent="0.35">
      <c r="A128" s="2">
        <v>45797</v>
      </c>
      <c r="B128" s="1" t="s">
        <v>68</v>
      </c>
    </row>
    <row r="129" spans="1:2" x14ac:dyDescent="0.35">
      <c r="A129" s="2">
        <v>45797</v>
      </c>
      <c r="B129" s="1" t="s">
        <v>24</v>
      </c>
    </row>
    <row r="130" spans="1:2" x14ac:dyDescent="0.35">
      <c r="A130" s="2">
        <v>45797</v>
      </c>
      <c r="B130" s="1" t="s">
        <v>24</v>
      </c>
    </row>
    <row r="131" spans="1:2" x14ac:dyDescent="0.35">
      <c r="A131" s="2">
        <v>45797</v>
      </c>
      <c r="B131" s="1" t="s">
        <v>24</v>
      </c>
    </row>
    <row r="132" spans="1:2" x14ac:dyDescent="0.35">
      <c r="A132" s="2">
        <v>45797</v>
      </c>
      <c r="B132" s="1" t="s">
        <v>24</v>
      </c>
    </row>
    <row r="133" spans="1:2" x14ac:dyDescent="0.35">
      <c r="A133" s="2">
        <v>45797</v>
      </c>
      <c r="B133" s="1" t="s">
        <v>24</v>
      </c>
    </row>
    <row r="134" spans="1:2" x14ac:dyDescent="0.35">
      <c r="A134" s="2">
        <v>45797</v>
      </c>
      <c r="B134" s="1" t="s">
        <v>24</v>
      </c>
    </row>
    <row r="135" spans="1:2" x14ac:dyDescent="0.35">
      <c r="A135" s="2">
        <v>45798</v>
      </c>
      <c r="B135" s="1" t="s">
        <v>68</v>
      </c>
    </row>
    <row r="136" spans="1:2" x14ac:dyDescent="0.35">
      <c r="A136" s="2">
        <v>45798</v>
      </c>
      <c r="B136" s="1" t="s">
        <v>68</v>
      </c>
    </row>
    <row r="137" spans="1:2" x14ac:dyDescent="0.35">
      <c r="A137" s="2">
        <v>45798</v>
      </c>
      <c r="B137" s="1" t="s">
        <v>68</v>
      </c>
    </row>
    <row r="138" spans="1:2" x14ac:dyDescent="0.35">
      <c r="A138" s="2">
        <v>45798</v>
      </c>
      <c r="B138" s="1" t="s">
        <v>68</v>
      </c>
    </row>
    <row r="139" spans="1:2" x14ac:dyDescent="0.35">
      <c r="A139" s="2">
        <v>45798</v>
      </c>
      <c r="B139" s="1" t="s">
        <v>82</v>
      </c>
    </row>
    <row r="140" spans="1:2" x14ac:dyDescent="0.35">
      <c r="A140" s="2">
        <v>45798</v>
      </c>
      <c r="B140" s="1" t="s">
        <v>32</v>
      </c>
    </row>
    <row r="141" spans="1:2" x14ac:dyDescent="0.35">
      <c r="A141" s="2">
        <v>45799</v>
      </c>
      <c r="B141" s="1" t="s">
        <v>77</v>
      </c>
    </row>
    <row r="142" spans="1:2" x14ac:dyDescent="0.35">
      <c r="A142" s="2">
        <v>45799</v>
      </c>
      <c r="B142" s="1" t="s">
        <v>24</v>
      </c>
    </row>
    <row r="143" spans="1:2" x14ac:dyDescent="0.35">
      <c r="A143" s="2">
        <v>45799</v>
      </c>
      <c r="B143" s="1" t="s">
        <v>24</v>
      </c>
    </row>
    <row r="144" spans="1:2" x14ac:dyDescent="0.35">
      <c r="A144" s="2">
        <v>45799</v>
      </c>
      <c r="B144" s="1" t="s">
        <v>68</v>
      </c>
    </row>
    <row r="145" spans="1:2" x14ac:dyDescent="0.35">
      <c r="A145" s="2">
        <v>45800</v>
      </c>
      <c r="B145" s="1" t="s">
        <v>68</v>
      </c>
    </row>
    <row r="146" spans="1:2" x14ac:dyDescent="0.35">
      <c r="A146" s="2">
        <v>45800</v>
      </c>
      <c r="B146" s="1" t="s">
        <v>77</v>
      </c>
    </row>
    <row r="147" spans="1:2" x14ac:dyDescent="0.35">
      <c r="A147" s="2">
        <v>45800</v>
      </c>
      <c r="B147" s="1" t="s">
        <v>68</v>
      </c>
    </row>
    <row r="148" spans="1:2" x14ac:dyDescent="0.35">
      <c r="A148" s="2">
        <v>45800</v>
      </c>
      <c r="B148" s="1" t="s">
        <v>24</v>
      </c>
    </row>
    <row r="149" spans="1:2" x14ac:dyDescent="0.35">
      <c r="A149" s="2">
        <v>45800</v>
      </c>
      <c r="B149" s="1" t="s">
        <v>24</v>
      </c>
    </row>
    <row r="150" spans="1:2" x14ac:dyDescent="0.35">
      <c r="A150" s="2">
        <v>45800</v>
      </c>
      <c r="B150" s="1" t="s">
        <v>24</v>
      </c>
    </row>
    <row r="151" spans="1:2" x14ac:dyDescent="0.35">
      <c r="A151" s="2">
        <v>45800</v>
      </c>
      <c r="B151" s="1" t="s">
        <v>24</v>
      </c>
    </row>
    <row r="152" spans="1:2" x14ac:dyDescent="0.35">
      <c r="A152" s="2">
        <v>45800</v>
      </c>
      <c r="B152" s="1" t="s">
        <v>24</v>
      </c>
    </row>
    <row r="153" spans="1:2" x14ac:dyDescent="0.35">
      <c r="A153" s="2">
        <v>45803</v>
      </c>
      <c r="B153" s="1" t="s">
        <v>68</v>
      </c>
    </row>
    <row r="154" spans="1:2" x14ac:dyDescent="0.35">
      <c r="A154" s="2">
        <v>45803</v>
      </c>
      <c r="B154" s="1" t="s">
        <v>68</v>
      </c>
    </row>
    <row r="155" spans="1:2" x14ac:dyDescent="0.35">
      <c r="A155" s="2">
        <v>45804</v>
      </c>
      <c r="B155" s="1" t="s">
        <v>77</v>
      </c>
    </row>
    <row r="156" spans="1:2" x14ac:dyDescent="0.35">
      <c r="A156" s="2">
        <v>45804</v>
      </c>
      <c r="B156" s="1" t="s">
        <v>24</v>
      </c>
    </row>
    <row r="157" spans="1:2" x14ac:dyDescent="0.35">
      <c r="A157" s="2">
        <v>45804</v>
      </c>
      <c r="B157" s="1" t="s">
        <v>24</v>
      </c>
    </row>
    <row r="158" spans="1:2" x14ac:dyDescent="0.35">
      <c r="A158" s="2">
        <v>45804</v>
      </c>
      <c r="B158" s="1" t="s">
        <v>28</v>
      </c>
    </row>
    <row r="159" spans="1:2" x14ac:dyDescent="0.35">
      <c r="A159" s="2">
        <v>45804</v>
      </c>
      <c r="B159" s="1" t="s">
        <v>68</v>
      </c>
    </row>
    <row r="160" spans="1:2" x14ac:dyDescent="0.35">
      <c r="A160" s="2">
        <v>45804</v>
      </c>
      <c r="B160" s="1" t="s">
        <v>68</v>
      </c>
    </row>
    <row r="161" spans="1:2" x14ac:dyDescent="0.35">
      <c r="A161" s="2">
        <v>45804</v>
      </c>
      <c r="B161" s="1" t="s">
        <v>68</v>
      </c>
    </row>
    <row r="162" spans="1:2" x14ac:dyDescent="0.35">
      <c r="A162" s="2">
        <v>45804</v>
      </c>
      <c r="B162" s="1" t="s">
        <v>24</v>
      </c>
    </row>
    <row r="163" spans="1:2" x14ac:dyDescent="0.35">
      <c r="A163" s="2">
        <v>45805</v>
      </c>
      <c r="B163" s="1" t="s">
        <v>68</v>
      </c>
    </row>
    <row r="164" spans="1:2" x14ac:dyDescent="0.35">
      <c r="A164" s="2">
        <v>45805</v>
      </c>
      <c r="B164" s="1" t="s">
        <v>68</v>
      </c>
    </row>
    <row r="165" spans="1:2" x14ac:dyDescent="0.35">
      <c r="A165" s="2">
        <v>45805</v>
      </c>
      <c r="B165" s="1" t="s">
        <v>24</v>
      </c>
    </row>
    <row r="166" spans="1:2" x14ac:dyDescent="0.35">
      <c r="A166" s="2">
        <v>45805</v>
      </c>
      <c r="B166" s="1" t="s">
        <v>68</v>
      </c>
    </row>
    <row r="167" spans="1:2" x14ac:dyDescent="0.35">
      <c r="A167" s="2">
        <v>45805</v>
      </c>
      <c r="B167" s="1" t="s">
        <v>81</v>
      </c>
    </row>
    <row r="168" spans="1:2" x14ac:dyDescent="0.35">
      <c r="A168" s="2">
        <v>45805</v>
      </c>
      <c r="B168" s="1" t="s">
        <v>81</v>
      </c>
    </row>
    <row r="169" spans="1:2" x14ac:dyDescent="0.35">
      <c r="A169" s="2">
        <v>45805</v>
      </c>
      <c r="B169" s="1" t="s">
        <v>81</v>
      </c>
    </row>
    <row r="170" spans="1:2" x14ac:dyDescent="0.35">
      <c r="A170" s="2">
        <v>45806</v>
      </c>
      <c r="B170" s="1" t="s">
        <v>77</v>
      </c>
    </row>
    <row r="171" spans="1:2" x14ac:dyDescent="0.35">
      <c r="A171" s="2">
        <v>45806</v>
      </c>
      <c r="B171" s="1" t="s">
        <v>24</v>
      </c>
    </row>
    <row r="172" spans="1:2" x14ac:dyDescent="0.35">
      <c r="A172" s="2">
        <v>45807</v>
      </c>
      <c r="B172" s="1" t="s">
        <v>76</v>
      </c>
    </row>
    <row r="173" spans="1:2" x14ac:dyDescent="0.35">
      <c r="A173" s="2">
        <v>45807</v>
      </c>
      <c r="B173" s="1" t="s">
        <v>68</v>
      </c>
    </row>
    <row r="174" spans="1:2" x14ac:dyDescent="0.35">
      <c r="A174" s="2">
        <v>45807</v>
      </c>
      <c r="B174" s="1" t="s">
        <v>68</v>
      </c>
    </row>
    <row r="175" spans="1:2" x14ac:dyDescent="0.35">
      <c r="A175" s="2">
        <v>45807</v>
      </c>
      <c r="B175" s="1" t="s">
        <v>68</v>
      </c>
    </row>
    <row r="176" spans="1:2" x14ac:dyDescent="0.35">
      <c r="A176" s="2">
        <v>45807</v>
      </c>
      <c r="B176" s="1" t="s">
        <v>68</v>
      </c>
    </row>
    <row r="177" spans="1:2" x14ac:dyDescent="0.35">
      <c r="A177" s="2">
        <v>45807</v>
      </c>
      <c r="B177" s="1" t="s">
        <v>24</v>
      </c>
    </row>
    <row r="178" spans="1:2" x14ac:dyDescent="0.35">
      <c r="A178" s="2">
        <v>45807</v>
      </c>
      <c r="B178" s="1" t="s">
        <v>24</v>
      </c>
    </row>
    <row r="179" spans="1:2" x14ac:dyDescent="0.35">
      <c r="A179" s="2">
        <v>45809</v>
      </c>
      <c r="B179" s="1" t="s">
        <v>68</v>
      </c>
    </row>
    <row r="180" spans="1:2" x14ac:dyDescent="0.35">
      <c r="A180" s="2">
        <v>45809</v>
      </c>
      <c r="B180" s="1" t="s">
        <v>68</v>
      </c>
    </row>
    <row r="181" spans="1:2" x14ac:dyDescent="0.35">
      <c r="A181" s="2">
        <v>45810</v>
      </c>
      <c r="B181" s="1" t="s">
        <v>24</v>
      </c>
    </row>
    <row r="182" spans="1:2" x14ac:dyDescent="0.35">
      <c r="A182" s="2">
        <v>45810</v>
      </c>
      <c r="B182" s="1" t="s">
        <v>68</v>
      </c>
    </row>
    <row r="183" spans="1:2" x14ac:dyDescent="0.35">
      <c r="A183" s="2">
        <v>45810</v>
      </c>
      <c r="B183" s="1" t="s">
        <v>32</v>
      </c>
    </row>
    <row r="184" spans="1:2" x14ac:dyDescent="0.35">
      <c r="A184" s="2">
        <v>45810</v>
      </c>
      <c r="B184" s="1" t="s">
        <v>32</v>
      </c>
    </row>
    <row r="185" spans="1:2" x14ac:dyDescent="0.35">
      <c r="A185" s="2">
        <v>45810</v>
      </c>
      <c r="B185" s="1" t="s">
        <v>28</v>
      </c>
    </row>
    <row r="186" spans="1:2" x14ac:dyDescent="0.35">
      <c r="A186" s="2">
        <v>45810</v>
      </c>
      <c r="B186" s="1" t="s">
        <v>28</v>
      </c>
    </row>
    <row r="187" spans="1:2" x14ac:dyDescent="0.35">
      <c r="A187" s="2">
        <v>45810</v>
      </c>
      <c r="B187" s="1" t="s">
        <v>28</v>
      </c>
    </row>
    <row r="188" spans="1:2" x14ac:dyDescent="0.35">
      <c r="A188" s="2">
        <v>45810</v>
      </c>
      <c r="B188" s="1" t="s">
        <v>77</v>
      </c>
    </row>
    <row r="189" spans="1:2" x14ac:dyDescent="0.35">
      <c r="A189" s="2">
        <v>45810</v>
      </c>
      <c r="B189" s="1" t="s">
        <v>77</v>
      </c>
    </row>
    <row r="190" spans="1:2" x14ac:dyDescent="0.35">
      <c r="A190" s="2">
        <v>45810</v>
      </c>
      <c r="B190" s="1" t="s">
        <v>77</v>
      </c>
    </row>
    <row r="191" spans="1:2" x14ac:dyDescent="0.35">
      <c r="A191" s="2">
        <v>45810</v>
      </c>
      <c r="B191" s="1" t="s">
        <v>77</v>
      </c>
    </row>
    <row r="192" spans="1:2" x14ac:dyDescent="0.35">
      <c r="A192" s="2">
        <v>45810</v>
      </c>
      <c r="B192" s="1" t="s">
        <v>77</v>
      </c>
    </row>
    <row r="193" spans="1:2" x14ac:dyDescent="0.35">
      <c r="A193" s="2">
        <v>45810</v>
      </c>
      <c r="B193" s="1" t="s">
        <v>77</v>
      </c>
    </row>
    <row r="194" spans="1:2" x14ac:dyDescent="0.35">
      <c r="A194" s="2">
        <v>45810</v>
      </c>
      <c r="B194" s="1" t="s">
        <v>68</v>
      </c>
    </row>
    <row r="195" spans="1:2" x14ac:dyDescent="0.35">
      <c r="A195" s="2">
        <v>45810</v>
      </c>
      <c r="B195" s="1" t="s">
        <v>81</v>
      </c>
    </row>
    <row r="196" spans="1:2" x14ac:dyDescent="0.35">
      <c r="A196" s="2">
        <v>45810</v>
      </c>
      <c r="B196" s="1" t="s">
        <v>81</v>
      </c>
    </row>
    <row r="197" spans="1:2" x14ac:dyDescent="0.35">
      <c r="A197" s="2">
        <v>45810</v>
      </c>
      <c r="B197" s="1" t="s">
        <v>81</v>
      </c>
    </row>
    <row r="198" spans="1:2" x14ac:dyDescent="0.35">
      <c r="A198" s="2">
        <v>45810</v>
      </c>
      <c r="B198" s="1" t="s">
        <v>68</v>
      </c>
    </row>
    <row r="199" spans="1:2" x14ac:dyDescent="0.35">
      <c r="A199" s="2">
        <v>45810</v>
      </c>
      <c r="B199" s="1" t="s">
        <v>68</v>
      </c>
    </row>
    <row r="200" spans="1:2" x14ac:dyDescent="0.35">
      <c r="A200" s="2">
        <v>45810</v>
      </c>
      <c r="B200" s="1" t="s">
        <v>24</v>
      </c>
    </row>
    <row r="201" spans="1:2" x14ac:dyDescent="0.35">
      <c r="A201" s="2">
        <v>45810</v>
      </c>
      <c r="B201" s="1" t="s">
        <v>24</v>
      </c>
    </row>
    <row r="202" spans="1:2" x14ac:dyDescent="0.35">
      <c r="A202" s="2">
        <v>45810</v>
      </c>
      <c r="B202" s="1" t="s">
        <v>24</v>
      </c>
    </row>
    <row r="203" spans="1:2" x14ac:dyDescent="0.35">
      <c r="A203" s="2">
        <v>45810</v>
      </c>
      <c r="B203" s="1" t="s">
        <v>24</v>
      </c>
    </row>
    <row r="204" spans="1:2" x14ac:dyDescent="0.35">
      <c r="A204" s="2">
        <v>45811</v>
      </c>
      <c r="B204" s="1" t="s">
        <v>81</v>
      </c>
    </row>
    <row r="205" spans="1:2" x14ac:dyDescent="0.35">
      <c r="A205" s="2">
        <v>45811</v>
      </c>
      <c r="B205" s="1" t="s">
        <v>77</v>
      </c>
    </row>
    <row r="206" spans="1:2" x14ac:dyDescent="0.35">
      <c r="A206" s="2">
        <v>45811</v>
      </c>
      <c r="B206" s="1" t="s">
        <v>77</v>
      </c>
    </row>
    <row r="207" spans="1:2" x14ac:dyDescent="0.35">
      <c r="A207" s="2">
        <v>45812</v>
      </c>
      <c r="B207" s="1" t="s">
        <v>32</v>
      </c>
    </row>
    <row r="208" spans="1:2" x14ac:dyDescent="0.35">
      <c r="A208" s="2">
        <v>45812</v>
      </c>
      <c r="B208" s="1" t="s">
        <v>32</v>
      </c>
    </row>
    <row r="209" spans="1:2" x14ac:dyDescent="0.35">
      <c r="A209" s="2">
        <v>45812</v>
      </c>
      <c r="B209" s="1" t="s">
        <v>32</v>
      </c>
    </row>
    <row r="210" spans="1:2" x14ac:dyDescent="0.35">
      <c r="A210" s="2">
        <v>45812</v>
      </c>
      <c r="B210" s="1" t="s">
        <v>32</v>
      </c>
    </row>
    <row r="211" spans="1:2" x14ac:dyDescent="0.35">
      <c r="A211" s="2">
        <v>45812</v>
      </c>
      <c r="B211" s="1" t="s">
        <v>68</v>
      </c>
    </row>
    <row r="212" spans="1:2" x14ac:dyDescent="0.35">
      <c r="A212" s="2">
        <v>45812</v>
      </c>
      <c r="B212" s="1" t="s">
        <v>68</v>
      </c>
    </row>
    <row r="213" spans="1:2" x14ac:dyDescent="0.35">
      <c r="A213" s="2">
        <v>45812</v>
      </c>
      <c r="B213" s="1" t="s">
        <v>68</v>
      </c>
    </row>
    <row r="214" spans="1:2" x14ac:dyDescent="0.35">
      <c r="A214" s="2">
        <v>45812</v>
      </c>
      <c r="B214" s="1" t="s">
        <v>68</v>
      </c>
    </row>
    <row r="215" spans="1:2" x14ac:dyDescent="0.35">
      <c r="A215" s="2">
        <v>45812</v>
      </c>
      <c r="B215" s="1" t="s">
        <v>24</v>
      </c>
    </row>
    <row r="216" spans="1:2" x14ac:dyDescent="0.35">
      <c r="A216" s="2">
        <v>45812</v>
      </c>
      <c r="B216" s="1" t="s">
        <v>24</v>
      </c>
    </row>
    <row r="217" spans="1:2" x14ac:dyDescent="0.35">
      <c r="A217" s="2">
        <v>45812</v>
      </c>
      <c r="B217" s="1" t="s">
        <v>24</v>
      </c>
    </row>
    <row r="218" spans="1:2" x14ac:dyDescent="0.35">
      <c r="A218" s="2">
        <v>45812</v>
      </c>
      <c r="B218" s="1" t="s">
        <v>24</v>
      </c>
    </row>
    <row r="219" spans="1:2" x14ac:dyDescent="0.35">
      <c r="A219" s="2">
        <v>45812</v>
      </c>
      <c r="B219" s="1" t="s">
        <v>24</v>
      </c>
    </row>
    <row r="220" spans="1:2" x14ac:dyDescent="0.35">
      <c r="A220" s="2">
        <v>45812</v>
      </c>
      <c r="B220" s="1" t="s">
        <v>24</v>
      </c>
    </row>
    <row r="221" spans="1:2" x14ac:dyDescent="0.35">
      <c r="A221" s="2">
        <v>45812</v>
      </c>
      <c r="B221" s="1" t="s">
        <v>24</v>
      </c>
    </row>
    <row r="222" spans="1:2" x14ac:dyDescent="0.35">
      <c r="A222" s="2">
        <v>45812</v>
      </c>
      <c r="B222" s="1" t="s">
        <v>24</v>
      </c>
    </row>
    <row r="223" spans="1:2" x14ac:dyDescent="0.35">
      <c r="A223" s="2">
        <v>45812</v>
      </c>
      <c r="B223" s="1" t="s">
        <v>68</v>
      </c>
    </row>
    <row r="224" spans="1:2" x14ac:dyDescent="0.35">
      <c r="A224" s="2">
        <v>45812</v>
      </c>
      <c r="B224" s="1" t="s">
        <v>68</v>
      </c>
    </row>
    <row r="225" spans="1:2" x14ac:dyDescent="0.35">
      <c r="A225" s="2">
        <v>45812</v>
      </c>
      <c r="B225" s="1" t="s">
        <v>24</v>
      </c>
    </row>
    <row r="226" spans="1:2" x14ac:dyDescent="0.35">
      <c r="A226" s="2">
        <v>45812</v>
      </c>
      <c r="B226" s="1" t="s">
        <v>24</v>
      </c>
    </row>
    <row r="227" spans="1:2" x14ac:dyDescent="0.35">
      <c r="A227" s="2">
        <v>45812</v>
      </c>
      <c r="B227" s="1" t="s">
        <v>24</v>
      </c>
    </row>
    <row r="228" spans="1:2" x14ac:dyDescent="0.35">
      <c r="A228" s="2">
        <v>45812</v>
      </c>
      <c r="B228" s="1" t="s">
        <v>24</v>
      </c>
    </row>
    <row r="229" spans="1:2" x14ac:dyDescent="0.35">
      <c r="A229" s="2">
        <v>45812</v>
      </c>
      <c r="B229" s="1" t="s">
        <v>24</v>
      </c>
    </row>
    <row r="230" spans="1:2" x14ac:dyDescent="0.35">
      <c r="A230" s="2">
        <v>45812</v>
      </c>
      <c r="B230" s="1" t="s">
        <v>24</v>
      </c>
    </row>
    <row r="231" spans="1:2" x14ac:dyDescent="0.35">
      <c r="A231" s="2">
        <v>45812</v>
      </c>
      <c r="B231" s="1" t="s">
        <v>24</v>
      </c>
    </row>
    <row r="232" spans="1:2" x14ac:dyDescent="0.35">
      <c r="A232" s="2">
        <v>45812</v>
      </c>
      <c r="B232" s="1" t="s">
        <v>24</v>
      </c>
    </row>
    <row r="233" spans="1:2" x14ac:dyDescent="0.35">
      <c r="A233" s="2">
        <v>45813</v>
      </c>
      <c r="B233" s="1" t="s">
        <v>77</v>
      </c>
    </row>
    <row r="234" spans="1:2" x14ac:dyDescent="0.35">
      <c r="A234" s="2">
        <v>45813</v>
      </c>
      <c r="B234" s="1" t="s">
        <v>68</v>
      </c>
    </row>
    <row r="235" spans="1:2" x14ac:dyDescent="0.35">
      <c r="A235" s="2">
        <v>45813</v>
      </c>
      <c r="B235" s="1" t="s">
        <v>24</v>
      </c>
    </row>
    <row r="236" spans="1:2" x14ac:dyDescent="0.35">
      <c r="A236" s="2">
        <v>45813</v>
      </c>
      <c r="B236" s="1" t="s">
        <v>24</v>
      </c>
    </row>
    <row r="237" spans="1:2" x14ac:dyDescent="0.35">
      <c r="A237" s="2">
        <v>45813</v>
      </c>
      <c r="B237" s="1" t="s">
        <v>24</v>
      </c>
    </row>
    <row r="238" spans="1:2" x14ac:dyDescent="0.35">
      <c r="A238" s="2">
        <v>45813</v>
      </c>
      <c r="B238" s="1" t="s">
        <v>24</v>
      </c>
    </row>
    <row r="239" spans="1:2" x14ac:dyDescent="0.35">
      <c r="A239" s="2">
        <v>45813</v>
      </c>
      <c r="B239" s="1" t="s">
        <v>24</v>
      </c>
    </row>
    <row r="240" spans="1:2" x14ac:dyDescent="0.35">
      <c r="A240" s="2">
        <v>45813</v>
      </c>
      <c r="B240" s="1" t="s">
        <v>24</v>
      </c>
    </row>
    <row r="241" spans="1:2" x14ac:dyDescent="0.35">
      <c r="A241" s="2">
        <v>45814</v>
      </c>
      <c r="B241" s="1" t="s">
        <v>68</v>
      </c>
    </row>
    <row r="242" spans="1:2" x14ac:dyDescent="0.35">
      <c r="A242" s="2">
        <v>45814</v>
      </c>
      <c r="B242" s="1" t="s">
        <v>24</v>
      </c>
    </row>
    <row r="243" spans="1:2" x14ac:dyDescent="0.35">
      <c r="A243" s="2">
        <v>45814</v>
      </c>
      <c r="B243" s="1" t="s">
        <v>68</v>
      </c>
    </row>
    <row r="244" spans="1:2" x14ac:dyDescent="0.35">
      <c r="A244" s="2">
        <v>45814</v>
      </c>
      <c r="B244" s="1" t="s">
        <v>68</v>
      </c>
    </row>
    <row r="245" spans="1:2" x14ac:dyDescent="0.35">
      <c r="A245" s="2">
        <v>45814</v>
      </c>
      <c r="B245" s="1" t="s">
        <v>68</v>
      </c>
    </row>
    <row r="246" spans="1:2" x14ac:dyDescent="0.35">
      <c r="A246" s="2">
        <v>45814</v>
      </c>
      <c r="B246" s="1" t="s">
        <v>68</v>
      </c>
    </row>
    <row r="247" spans="1:2" x14ac:dyDescent="0.35">
      <c r="A247" s="2">
        <v>45814</v>
      </c>
      <c r="B247" s="1" t="s">
        <v>68</v>
      </c>
    </row>
    <row r="248" spans="1:2" x14ac:dyDescent="0.35">
      <c r="A248" s="2">
        <v>45814</v>
      </c>
      <c r="B248" s="1" t="s">
        <v>24</v>
      </c>
    </row>
    <row r="249" spans="1:2" x14ac:dyDescent="0.35">
      <c r="A249" s="2">
        <v>45814</v>
      </c>
      <c r="B249" s="1" t="s">
        <v>24</v>
      </c>
    </row>
    <row r="250" spans="1:2" x14ac:dyDescent="0.35">
      <c r="A250" s="2">
        <v>45814</v>
      </c>
      <c r="B250" s="1" t="s">
        <v>68</v>
      </c>
    </row>
    <row r="251" spans="1:2" x14ac:dyDescent="0.35">
      <c r="A251" s="2">
        <v>45814</v>
      </c>
      <c r="B251" s="1" t="s">
        <v>68</v>
      </c>
    </row>
    <row r="252" spans="1:2" x14ac:dyDescent="0.35">
      <c r="A252" s="2">
        <v>45814</v>
      </c>
      <c r="B252" s="1" t="s">
        <v>68</v>
      </c>
    </row>
    <row r="253" spans="1:2" x14ac:dyDescent="0.35">
      <c r="A253" s="2">
        <v>45814</v>
      </c>
      <c r="B253" s="1" t="s">
        <v>24</v>
      </c>
    </row>
    <row r="254" spans="1:2" x14ac:dyDescent="0.35">
      <c r="A254" s="2">
        <v>45814</v>
      </c>
      <c r="B254" s="1" t="s">
        <v>24</v>
      </c>
    </row>
    <row r="255" spans="1:2" x14ac:dyDescent="0.35">
      <c r="A255" s="2">
        <v>45815</v>
      </c>
      <c r="B255" s="1" t="s">
        <v>24</v>
      </c>
    </row>
    <row r="256" spans="1:2" x14ac:dyDescent="0.35">
      <c r="A256" s="2">
        <v>45815</v>
      </c>
      <c r="B256" s="1" t="s">
        <v>24</v>
      </c>
    </row>
    <row r="257" spans="1:2" x14ac:dyDescent="0.35">
      <c r="A257" s="2">
        <v>45815</v>
      </c>
      <c r="B257" s="1" t="s">
        <v>24</v>
      </c>
    </row>
    <row r="258" spans="1:2" x14ac:dyDescent="0.35">
      <c r="A258" s="2">
        <v>45817</v>
      </c>
      <c r="B258" s="1" t="s">
        <v>68</v>
      </c>
    </row>
    <row r="259" spans="1:2" x14ac:dyDescent="0.35">
      <c r="A259" s="2">
        <v>45817</v>
      </c>
      <c r="B259" s="1" t="s">
        <v>68</v>
      </c>
    </row>
    <row r="260" spans="1:2" x14ac:dyDescent="0.35">
      <c r="A260" s="2">
        <v>45817</v>
      </c>
      <c r="B260" s="1" t="s">
        <v>68</v>
      </c>
    </row>
    <row r="261" spans="1:2" x14ac:dyDescent="0.35">
      <c r="A261" s="2">
        <v>45817</v>
      </c>
      <c r="B261" s="1" t="s">
        <v>68</v>
      </c>
    </row>
    <row r="262" spans="1:2" x14ac:dyDescent="0.35">
      <c r="A262" s="2">
        <v>45817</v>
      </c>
      <c r="B262" s="1" t="s">
        <v>68</v>
      </c>
    </row>
    <row r="263" spans="1:2" x14ac:dyDescent="0.35">
      <c r="A263" s="2">
        <v>45817</v>
      </c>
      <c r="B263" s="1" t="s">
        <v>32</v>
      </c>
    </row>
    <row r="264" spans="1:2" x14ac:dyDescent="0.35">
      <c r="A264" s="2">
        <v>45817</v>
      </c>
      <c r="B264" s="1" t="s">
        <v>32</v>
      </c>
    </row>
    <row r="265" spans="1:2" x14ac:dyDescent="0.35">
      <c r="A265" s="2">
        <v>45817</v>
      </c>
      <c r="B265" s="1" t="s">
        <v>32</v>
      </c>
    </row>
    <row r="266" spans="1:2" x14ac:dyDescent="0.35">
      <c r="A266" s="2">
        <v>45817</v>
      </c>
      <c r="B266" s="1" t="s">
        <v>32</v>
      </c>
    </row>
    <row r="267" spans="1:2" x14ac:dyDescent="0.35">
      <c r="A267" s="2">
        <v>45817</v>
      </c>
      <c r="B267" s="1" t="s">
        <v>68</v>
      </c>
    </row>
    <row r="268" spans="1:2" x14ac:dyDescent="0.35">
      <c r="A268" s="2">
        <v>45817</v>
      </c>
      <c r="B268" s="1" t="s">
        <v>24</v>
      </c>
    </row>
    <row r="269" spans="1:2" x14ac:dyDescent="0.35">
      <c r="A269" s="2">
        <v>45817</v>
      </c>
      <c r="B269" s="1" t="s">
        <v>24</v>
      </c>
    </row>
    <row r="270" spans="1:2" x14ac:dyDescent="0.35">
      <c r="A270" s="2">
        <v>45817</v>
      </c>
      <c r="B270" s="1" t="s">
        <v>24</v>
      </c>
    </row>
    <row r="271" spans="1:2" x14ac:dyDescent="0.35">
      <c r="A271" s="2">
        <v>45817</v>
      </c>
      <c r="B271" s="1" t="s">
        <v>24</v>
      </c>
    </row>
    <row r="272" spans="1:2" x14ac:dyDescent="0.35">
      <c r="A272" s="2">
        <v>45817</v>
      </c>
      <c r="B272" s="1" t="s">
        <v>24</v>
      </c>
    </row>
    <row r="273" spans="1:2" x14ac:dyDescent="0.35">
      <c r="A273" s="2">
        <v>45817</v>
      </c>
      <c r="B273" s="1" t="s">
        <v>24</v>
      </c>
    </row>
    <row r="274" spans="1:2" x14ac:dyDescent="0.35">
      <c r="A274" s="2">
        <v>45817</v>
      </c>
      <c r="B274" s="1" t="s">
        <v>24</v>
      </c>
    </row>
    <row r="275" spans="1:2" x14ac:dyDescent="0.35">
      <c r="A275" s="2">
        <v>45817</v>
      </c>
      <c r="B275" s="1" t="s">
        <v>24</v>
      </c>
    </row>
    <row r="276" spans="1:2" x14ac:dyDescent="0.35">
      <c r="A276" s="2">
        <v>45817</v>
      </c>
      <c r="B276" s="1" t="s">
        <v>24</v>
      </c>
    </row>
    <row r="277" spans="1:2" x14ac:dyDescent="0.35">
      <c r="A277" s="2">
        <v>45817</v>
      </c>
      <c r="B277" s="1" t="s">
        <v>24</v>
      </c>
    </row>
    <row r="278" spans="1:2" x14ac:dyDescent="0.35">
      <c r="A278" s="2">
        <v>45817</v>
      </c>
      <c r="B278" s="1" t="s">
        <v>24</v>
      </c>
    </row>
    <row r="279" spans="1:2" x14ac:dyDescent="0.35">
      <c r="A279" s="2">
        <v>45818</v>
      </c>
      <c r="B279" s="1" t="s">
        <v>68</v>
      </c>
    </row>
    <row r="280" spans="1:2" x14ac:dyDescent="0.35">
      <c r="A280" s="2">
        <v>45818</v>
      </c>
      <c r="B280" s="1" t="s">
        <v>68</v>
      </c>
    </row>
    <row r="281" spans="1:2" x14ac:dyDescent="0.35">
      <c r="A281" s="2">
        <v>45818</v>
      </c>
      <c r="B281" s="1" t="s">
        <v>68</v>
      </c>
    </row>
    <row r="282" spans="1:2" x14ac:dyDescent="0.35">
      <c r="A282" s="2">
        <v>45818</v>
      </c>
      <c r="B282" s="1" t="s">
        <v>68</v>
      </c>
    </row>
    <row r="283" spans="1:2" x14ac:dyDescent="0.35">
      <c r="A283" s="2">
        <v>45818</v>
      </c>
      <c r="B283" s="1" t="s">
        <v>24</v>
      </c>
    </row>
    <row r="284" spans="1:2" x14ac:dyDescent="0.35">
      <c r="A284" s="2">
        <v>45818</v>
      </c>
      <c r="B284" s="1" t="s">
        <v>24</v>
      </c>
    </row>
    <row r="285" spans="1:2" x14ac:dyDescent="0.35">
      <c r="A285" s="2">
        <v>45818</v>
      </c>
      <c r="B285" s="1" t="s">
        <v>68</v>
      </c>
    </row>
    <row r="286" spans="1:2" x14ac:dyDescent="0.35">
      <c r="A286" s="2">
        <v>45818</v>
      </c>
      <c r="B286" s="1" t="s">
        <v>24</v>
      </c>
    </row>
    <row r="287" spans="1:2" x14ac:dyDescent="0.35">
      <c r="A287" s="2">
        <v>45819</v>
      </c>
      <c r="B287" s="1" t="s">
        <v>32</v>
      </c>
    </row>
    <row r="288" spans="1:2" x14ac:dyDescent="0.35">
      <c r="A288" s="2">
        <v>45819</v>
      </c>
      <c r="B288" s="1" t="s">
        <v>32</v>
      </c>
    </row>
    <row r="289" spans="1:2" x14ac:dyDescent="0.35">
      <c r="A289" s="2">
        <v>45819</v>
      </c>
      <c r="B289" s="1" t="s">
        <v>81</v>
      </c>
    </row>
    <row r="290" spans="1:2" x14ac:dyDescent="0.35">
      <c r="A290" s="2">
        <v>45819</v>
      </c>
      <c r="B290" s="1" t="s">
        <v>32</v>
      </c>
    </row>
    <row r="291" spans="1:2" x14ac:dyDescent="0.35">
      <c r="A291" s="2">
        <v>45819</v>
      </c>
      <c r="B291" s="1" t="s">
        <v>68</v>
      </c>
    </row>
    <row r="292" spans="1:2" x14ac:dyDescent="0.35">
      <c r="A292" s="2">
        <v>45819</v>
      </c>
      <c r="B292" s="1" t="s">
        <v>68</v>
      </c>
    </row>
    <row r="293" spans="1:2" x14ac:dyDescent="0.35">
      <c r="A293" s="2">
        <v>45819</v>
      </c>
      <c r="B293" s="1" t="s">
        <v>68</v>
      </c>
    </row>
    <row r="294" spans="1:2" x14ac:dyDescent="0.35">
      <c r="A294" s="2">
        <v>45819</v>
      </c>
      <c r="B294" s="1" t="s">
        <v>68</v>
      </c>
    </row>
    <row r="295" spans="1:2" x14ac:dyDescent="0.35">
      <c r="A295" s="2">
        <v>45819</v>
      </c>
      <c r="B295" s="1" t="s">
        <v>68</v>
      </c>
    </row>
    <row r="296" spans="1:2" x14ac:dyDescent="0.35">
      <c r="A296" s="2">
        <v>45819</v>
      </c>
      <c r="B296" s="1" t="s">
        <v>68</v>
      </c>
    </row>
    <row r="297" spans="1:2" x14ac:dyDescent="0.35">
      <c r="A297" s="2">
        <v>45819</v>
      </c>
      <c r="B297" s="1" t="s">
        <v>68</v>
      </c>
    </row>
    <row r="298" spans="1:2" x14ac:dyDescent="0.35">
      <c r="A298" s="2">
        <v>45819</v>
      </c>
      <c r="B298" s="1" t="s">
        <v>68</v>
      </c>
    </row>
    <row r="299" spans="1:2" x14ac:dyDescent="0.35">
      <c r="A299" s="2">
        <v>45819</v>
      </c>
      <c r="B299" s="1" t="s">
        <v>68</v>
      </c>
    </row>
    <row r="300" spans="1:2" x14ac:dyDescent="0.35">
      <c r="A300" s="2">
        <v>45819</v>
      </c>
      <c r="B300" s="1" t="s">
        <v>24</v>
      </c>
    </row>
    <row r="301" spans="1:2" x14ac:dyDescent="0.35">
      <c r="A301" s="2">
        <v>45819</v>
      </c>
      <c r="B301" s="1" t="s">
        <v>24</v>
      </c>
    </row>
    <row r="302" spans="1:2" x14ac:dyDescent="0.35">
      <c r="A302" s="2">
        <v>45819</v>
      </c>
      <c r="B302" s="1" t="s">
        <v>24</v>
      </c>
    </row>
    <row r="303" spans="1:2" x14ac:dyDescent="0.35">
      <c r="A303" s="2">
        <v>45819</v>
      </c>
      <c r="B303" s="1" t="s">
        <v>24</v>
      </c>
    </row>
    <row r="304" spans="1:2" x14ac:dyDescent="0.35">
      <c r="A304" s="2">
        <v>45820</v>
      </c>
      <c r="B304" s="1" t="s">
        <v>68</v>
      </c>
    </row>
    <row r="305" spans="1:2" x14ac:dyDescent="0.35">
      <c r="A305" s="2">
        <v>45820</v>
      </c>
      <c r="B305" s="1" t="s">
        <v>32</v>
      </c>
    </row>
    <row r="306" spans="1:2" x14ac:dyDescent="0.35">
      <c r="A306" s="2">
        <v>45820</v>
      </c>
      <c r="B306" s="1" t="s">
        <v>32</v>
      </c>
    </row>
    <row r="307" spans="1:2" x14ac:dyDescent="0.35">
      <c r="A307" s="2">
        <v>45820</v>
      </c>
      <c r="B307" s="1" t="s">
        <v>32</v>
      </c>
    </row>
    <row r="308" spans="1:2" x14ac:dyDescent="0.35">
      <c r="A308" s="2">
        <v>45820</v>
      </c>
      <c r="B308" s="1" t="s">
        <v>32</v>
      </c>
    </row>
    <row r="309" spans="1:2" x14ac:dyDescent="0.35">
      <c r="A309" s="2">
        <v>45820</v>
      </c>
      <c r="B309" s="1" t="s">
        <v>32</v>
      </c>
    </row>
    <row r="310" spans="1:2" x14ac:dyDescent="0.35">
      <c r="A310" s="2">
        <v>45820</v>
      </c>
      <c r="B310" s="1" t="s">
        <v>24</v>
      </c>
    </row>
    <row r="311" spans="1:2" x14ac:dyDescent="0.35">
      <c r="A311" s="2">
        <v>45820</v>
      </c>
      <c r="B311" s="1" t="s">
        <v>24</v>
      </c>
    </row>
    <row r="312" spans="1:2" x14ac:dyDescent="0.35">
      <c r="A312" s="2">
        <v>45820</v>
      </c>
      <c r="B312" s="1" t="s">
        <v>24</v>
      </c>
    </row>
    <row r="313" spans="1:2" x14ac:dyDescent="0.35">
      <c r="A313" s="2">
        <v>45820</v>
      </c>
      <c r="B313" s="1" t="s">
        <v>24</v>
      </c>
    </row>
    <row r="314" spans="1:2" x14ac:dyDescent="0.35">
      <c r="A314" s="2">
        <v>45821</v>
      </c>
      <c r="B314" s="1" t="s">
        <v>68</v>
      </c>
    </row>
    <row r="315" spans="1:2" x14ac:dyDescent="0.35">
      <c r="A315" s="2">
        <v>45821</v>
      </c>
      <c r="B315" s="1" t="s">
        <v>68</v>
      </c>
    </row>
    <row r="316" spans="1:2" x14ac:dyDescent="0.35">
      <c r="A316" s="2">
        <v>45821</v>
      </c>
      <c r="B316" s="1" t="s">
        <v>68</v>
      </c>
    </row>
    <row r="317" spans="1:2" x14ac:dyDescent="0.35">
      <c r="A317" s="2">
        <v>45822</v>
      </c>
      <c r="B317" s="1" t="s">
        <v>32</v>
      </c>
    </row>
    <row r="318" spans="1:2" x14ac:dyDescent="0.35">
      <c r="A318" s="2">
        <v>45822</v>
      </c>
      <c r="B318" s="1" t="s">
        <v>32</v>
      </c>
    </row>
    <row r="319" spans="1:2" x14ac:dyDescent="0.35">
      <c r="A319" s="2">
        <v>45822</v>
      </c>
      <c r="B319" s="1" t="s">
        <v>32</v>
      </c>
    </row>
    <row r="320" spans="1:2" x14ac:dyDescent="0.35">
      <c r="A320" s="2">
        <v>45822</v>
      </c>
      <c r="B320" s="1" t="s">
        <v>32</v>
      </c>
    </row>
    <row r="321" spans="1:2" x14ac:dyDescent="0.35">
      <c r="A321" s="2">
        <v>45824</v>
      </c>
      <c r="B321" s="1" t="s">
        <v>68</v>
      </c>
    </row>
    <row r="322" spans="1:2" x14ac:dyDescent="0.35">
      <c r="A322" s="2">
        <v>45824</v>
      </c>
      <c r="B322" s="1" t="s">
        <v>68</v>
      </c>
    </row>
    <row r="323" spans="1:2" x14ac:dyDescent="0.35">
      <c r="A323" s="2">
        <v>45824</v>
      </c>
      <c r="B323" s="1" t="s">
        <v>24</v>
      </c>
    </row>
    <row r="324" spans="1:2" x14ac:dyDescent="0.35">
      <c r="A324" s="2">
        <v>45824</v>
      </c>
      <c r="B324" s="1" t="s">
        <v>24</v>
      </c>
    </row>
    <row r="325" spans="1:2" x14ac:dyDescent="0.35">
      <c r="A325" s="2">
        <v>45824</v>
      </c>
      <c r="B325" s="1" t="s">
        <v>68</v>
      </c>
    </row>
    <row r="326" spans="1:2" x14ac:dyDescent="0.35">
      <c r="A326" s="2">
        <v>45824</v>
      </c>
      <c r="B326" s="1" t="s">
        <v>68</v>
      </c>
    </row>
    <row r="327" spans="1:2" x14ac:dyDescent="0.35">
      <c r="A327" s="2">
        <v>45824</v>
      </c>
      <c r="B327" s="1" t="s">
        <v>68</v>
      </c>
    </row>
    <row r="328" spans="1:2" x14ac:dyDescent="0.35">
      <c r="A328" s="2">
        <v>45824</v>
      </c>
      <c r="B328" s="1" t="s">
        <v>68</v>
      </c>
    </row>
    <row r="329" spans="1:2" x14ac:dyDescent="0.35">
      <c r="A329" s="2">
        <v>45825</v>
      </c>
      <c r="B329" s="1" t="s">
        <v>32</v>
      </c>
    </row>
    <row r="330" spans="1:2" x14ac:dyDescent="0.35">
      <c r="A330" s="2">
        <v>45825</v>
      </c>
      <c r="B330" s="1" t="s">
        <v>32</v>
      </c>
    </row>
    <row r="331" spans="1:2" x14ac:dyDescent="0.35">
      <c r="A331" s="2">
        <v>45825</v>
      </c>
      <c r="B331" s="1" t="s">
        <v>28</v>
      </c>
    </row>
    <row r="332" spans="1:2" x14ac:dyDescent="0.35">
      <c r="A332" s="2">
        <v>45826</v>
      </c>
      <c r="B332" s="1" t="s">
        <v>32</v>
      </c>
    </row>
    <row r="333" spans="1:2" x14ac:dyDescent="0.35">
      <c r="A333" s="2">
        <v>45826</v>
      </c>
      <c r="B333" s="1" t="s">
        <v>32</v>
      </c>
    </row>
    <row r="334" spans="1:2" x14ac:dyDescent="0.35">
      <c r="A334" s="2">
        <v>45826</v>
      </c>
      <c r="B334" s="1" t="s">
        <v>32</v>
      </c>
    </row>
    <row r="335" spans="1:2" x14ac:dyDescent="0.35">
      <c r="A335" s="2">
        <v>45826</v>
      </c>
      <c r="B335" s="1" t="s">
        <v>32</v>
      </c>
    </row>
    <row r="336" spans="1:2" x14ac:dyDescent="0.35">
      <c r="A336" s="2">
        <v>45827</v>
      </c>
      <c r="B336" s="1" t="s">
        <v>24</v>
      </c>
    </row>
    <row r="337" spans="1:2" x14ac:dyDescent="0.35">
      <c r="A337" s="2">
        <v>45827</v>
      </c>
      <c r="B337" s="1" t="s">
        <v>24</v>
      </c>
    </row>
    <row r="338" spans="1:2" x14ac:dyDescent="0.35">
      <c r="A338" s="2">
        <v>45827</v>
      </c>
      <c r="B338" s="1" t="s">
        <v>24</v>
      </c>
    </row>
    <row r="339" spans="1:2" x14ac:dyDescent="0.35">
      <c r="A339" s="2">
        <v>45827</v>
      </c>
      <c r="B339" s="1" t="s">
        <v>24</v>
      </c>
    </row>
    <row r="340" spans="1:2" x14ac:dyDescent="0.35">
      <c r="A340" s="2">
        <v>45827</v>
      </c>
      <c r="B340" s="1" t="s">
        <v>24</v>
      </c>
    </row>
    <row r="341" spans="1:2" x14ac:dyDescent="0.35">
      <c r="A341" s="2">
        <v>45828</v>
      </c>
      <c r="B341" s="1" t="s">
        <v>28</v>
      </c>
    </row>
    <row r="342" spans="1:2" x14ac:dyDescent="0.35">
      <c r="A342" s="2">
        <v>45828</v>
      </c>
      <c r="B342" s="1" t="s">
        <v>28</v>
      </c>
    </row>
    <row r="343" spans="1:2" x14ac:dyDescent="0.35">
      <c r="A343" s="2">
        <v>45828</v>
      </c>
      <c r="B343" s="1" t="s">
        <v>28</v>
      </c>
    </row>
    <row r="344" spans="1:2" x14ac:dyDescent="0.35">
      <c r="A344" s="2">
        <v>45828</v>
      </c>
      <c r="B344" s="1" t="s">
        <v>28</v>
      </c>
    </row>
    <row r="345" spans="1:2" x14ac:dyDescent="0.35">
      <c r="A345" s="2">
        <v>45832</v>
      </c>
      <c r="B345" s="1" t="s">
        <v>77</v>
      </c>
    </row>
    <row r="346" spans="1:2" x14ac:dyDescent="0.35">
      <c r="A346" s="2">
        <v>45833</v>
      </c>
      <c r="B346" s="1" t="s">
        <v>24</v>
      </c>
    </row>
    <row r="347" spans="1:2" x14ac:dyDescent="0.35">
      <c r="A347" s="2">
        <v>45833</v>
      </c>
      <c r="B347" s="1" t="s">
        <v>24</v>
      </c>
    </row>
    <row r="348" spans="1:2" x14ac:dyDescent="0.35">
      <c r="A348" s="2">
        <v>45833</v>
      </c>
      <c r="B348" s="1" t="s">
        <v>24</v>
      </c>
    </row>
    <row r="349" spans="1:2" x14ac:dyDescent="0.35">
      <c r="A349" s="2">
        <v>45838</v>
      </c>
      <c r="B349" s="1" t="s">
        <v>32</v>
      </c>
    </row>
    <row r="350" spans="1:2" x14ac:dyDescent="0.35">
      <c r="A350" s="2">
        <v>45838</v>
      </c>
      <c r="B350" s="1" t="s">
        <v>28</v>
      </c>
    </row>
    <row r="351" spans="1:2" x14ac:dyDescent="0.35">
      <c r="A351" s="2">
        <v>45838</v>
      </c>
      <c r="B351" s="1" t="s">
        <v>28</v>
      </c>
    </row>
    <row r="352" spans="1:2" x14ac:dyDescent="0.35">
      <c r="A352" s="2">
        <v>45838</v>
      </c>
      <c r="B352" s="1" t="s">
        <v>28</v>
      </c>
    </row>
    <row r="353" spans="1:2" x14ac:dyDescent="0.35">
      <c r="A353" s="2">
        <v>45838</v>
      </c>
      <c r="B353" s="1" t="s">
        <v>28</v>
      </c>
    </row>
    <row r="354" spans="1:2" x14ac:dyDescent="0.35">
      <c r="A354" s="2">
        <v>45839</v>
      </c>
      <c r="B354" s="1" t="s">
        <v>32</v>
      </c>
    </row>
    <row r="355" spans="1:2" x14ac:dyDescent="0.35">
      <c r="A355" s="2">
        <v>45839</v>
      </c>
      <c r="B355" s="1" t="s">
        <v>32</v>
      </c>
    </row>
    <row r="356" spans="1:2" x14ac:dyDescent="0.35">
      <c r="A356" s="2">
        <v>45839</v>
      </c>
      <c r="B356" s="1" t="s">
        <v>32</v>
      </c>
    </row>
    <row r="357" spans="1:2" x14ac:dyDescent="0.35">
      <c r="A357" s="2">
        <v>45839</v>
      </c>
      <c r="B357" s="1" t="s">
        <v>32</v>
      </c>
    </row>
    <row r="358" spans="1:2" x14ac:dyDescent="0.35">
      <c r="A358" s="2">
        <v>45839</v>
      </c>
      <c r="B358" s="1" t="s">
        <v>32</v>
      </c>
    </row>
    <row r="359" spans="1:2" x14ac:dyDescent="0.35">
      <c r="A359" s="2">
        <v>45839</v>
      </c>
      <c r="B359" s="1" t="s">
        <v>32</v>
      </c>
    </row>
    <row r="360" spans="1:2" x14ac:dyDescent="0.35">
      <c r="A360" s="2">
        <v>45839</v>
      </c>
      <c r="B360" s="1" t="s">
        <v>32</v>
      </c>
    </row>
    <row r="361" spans="1:2" x14ac:dyDescent="0.35">
      <c r="A361" s="2">
        <v>45839</v>
      </c>
      <c r="B361" s="1" t="s">
        <v>24</v>
      </c>
    </row>
    <row r="362" spans="1:2" x14ac:dyDescent="0.35">
      <c r="A362" s="2">
        <v>45839</v>
      </c>
      <c r="B362" s="1" t="s">
        <v>24</v>
      </c>
    </row>
    <row r="363" spans="1:2" x14ac:dyDescent="0.35">
      <c r="A363" s="2">
        <v>45839</v>
      </c>
      <c r="B363" s="1" t="s">
        <v>24</v>
      </c>
    </row>
    <row r="364" spans="1:2" x14ac:dyDescent="0.35">
      <c r="A364" s="2">
        <v>45839</v>
      </c>
      <c r="B364" s="1" t="s">
        <v>24</v>
      </c>
    </row>
    <row r="365" spans="1:2" x14ac:dyDescent="0.35">
      <c r="A365" s="2">
        <v>45839</v>
      </c>
      <c r="B365" s="1" t="s">
        <v>24</v>
      </c>
    </row>
    <row r="366" spans="1:2" x14ac:dyDescent="0.35">
      <c r="A366" s="2">
        <v>45840</v>
      </c>
      <c r="B366" s="1" t="s">
        <v>74</v>
      </c>
    </row>
    <row r="367" spans="1:2" x14ac:dyDescent="0.35">
      <c r="A367" s="2">
        <v>45840</v>
      </c>
      <c r="B367" s="1" t="s">
        <v>28</v>
      </c>
    </row>
    <row r="368" spans="1:2" x14ac:dyDescent="0.35">
      <c r="A368" s="2">
        <v>45840</v>
      </c>
      <c r="B368" s="1" t="s">
        <v>28</v>
      </c>
    </row>
    <row r="369" spans="1:2" x14ac:dyDescent="0.35">
      <c r="A369" s="2">
        <v>45840</v>
      </c>
      <c r="B369" s="1" t="s">
        <v>28</v>
      </c>
    </row>
    <row r="370" spans="1:2" x14ac:dyDescent="0.35">
      <c r="A370" s="2">
        <v>45840</v>
      </c>
      <c r="B370" s="1" t="s">
        <v>28</v>
      </c>
    </row>
    <row r="371" spans="1:2" x14ac:dyDescent="0.35">
      <c r="A371" s="2">
        <v>45840</v>
      </c>
      <c r="B371" s="1" t="s">
        <v>28</v>
      </c>
    </row>
    <row r="372" spans="1:2" x14ac:dyDescent="0.35">
      <c r="A372" s="2">
        <v>45840</v>
      </c>
      <c r="B372" s="1" t="s">
        <v>28</v>
      </c>
    </row>
    <row r="373" spans="1:2" x14ac:dyDescent="0.35">
      <c r="A373" s="2">
        <v>45840</v>
      </c>
      <c r="B373" s="1" t="s">
        <v>74</v>
      </c>
    </row>
    <row r="374" spans="1:2" x14ac:dyDescent="0.35">
      <c r="A374" s="2">
        <v>45840</v>
      </c>
      <c r="B374" s="1" t="s">
        <v>74</v>
      </c>
    </row>
    <row r="375" spans="1:2" x14ac:dyDescent="0.35">
      <c r="A375" s="2">
        <v>45840</v>
      </c>
      <c r="B375" s="1" t="s">
        <v>74</v>
      </c>
    </row>
    <row r="376" spans="1:2" x14ac:dyDescent="0.35">
      <c r="A376" s="2">
        <v>45840</v>
      </c>
      <c r="B376" s="1" t="s">
        <v>74</v>
      </c>
    </row>
    <row r="377" spans="1:2" x14ac:dyDescent="0.35">
      <c r="A377" s="2">
        <v>45840</v>
      </c>
      <c r="B377" s="1" t="s">
        <v>74</v>
      </c>
    </row>
    <row r="378" spans="1:2" x14ac:dyDescent="0.35">
      <c r="A378" s="2">
        <v>45841</v>
      </c>
      <c r="B378" s="1" t="s">
        <v>32</v>
      </c>
    </row>
    <row r="379" spans="1:2" x14ac:dyDescent="0.35">
      <c r="A379" s="2">
        <v>45841</v>
      </c>
      <c r="B379" s="1" t="s">
        <v>28</v>
      </c>
    </row>
    <row r="380" spans="1:2" x14ac:dyDescent="0.35">
      <c r="A380" s="2">
        <v>45841</v>
      </c>
      <c r="B380" s="1" t="s">
        <v>28</v>
      </c>
    </row>
    <row r="381" spans="1:2" x14ac:dyDescent="0.35">
      <c r="A381" s="2">
        <v>45845</v>
      </c>
      <c r="B381" s="1" t="s">
        <v>68</v>
      </c>
    </row>
    <row r="382" spans="1:2" x14ac:dyDescent="0.35">
      <c r="A382" s="2">
        <v>45845</v>
      </c>
      <c r="B382" s="1" t="s">
        <v>68</v>
      </c>
    </row>
    <row r="383" spans="1:2" x14ac:dyDescent="0.35">
      <c r="A383" s="2">
        <v>45845</v>
      </c>
      <c r="B383" s="1" t="s">
        <v>77</v>
      </c>
    </row>
    <row r="384" spans="1:2" x14ac:dyDescent="0.35">
      <c r="A384" s="2">
        <v>45845</v>
      </c>
      <c r="B384" s="1" t="s">
        <v>24</v>
      </c>
    </row>
    <row r="385" spans="1:2" x14ac:dyDescent="0.35">
      <c r="A385" s="2">
        <v>45845</v>
      </c>
      <c r="B385" s="1" t="s">
        <v>24</v>
      </c>
    </row>
    <row r="386" spans="1:2" x14ac:dyDescent="0.35">
      <c r="A386" s="2">
        <v>45845</v>
      </c>
      <c r="B386" s="1" t="s">
        <v>77</v>
      </c>
    </row>
    <row r="387" spans="1:2" x14ac:dyDescent="0.35">
      <c r="A387" s="2">
        <v>45845</v>
      </c>
      <c r="B387" s="1" t="s">
        <v>77</v>
      </c>
    </row>
    <row r="388" spans="1:2" x14ac:dyDescent="0.35">
      <c r="A388" s="2">
        <v>45845</v>
      </c>
      <c r="B388" s="1" t="s">
        <v>77</v>
      </c>
    </row>
    <row r="389" spans="1:2" x14ac:dyDescent="0.35">
      <c r="A389" s="2">
        <v>45845</v>
      </c>
      <c r="B389" s="1" t="s">
        <v>77</v>
      </c>
    </row>
    <row r="390" spans="1:2" x14ac:dyDescent="0.35">
      <c r="A390" s="2">
        <v>45845</v>
      </c>
      <c r="B390" s="1" t="s">
        <v>77</v>
      </c>
    </row>
    <row r="391" spans="1:2" x14ac:dyDescent="0.35">
      <c r="A391" s="2">
        <v>45845</v>
      </c>
      <c r="B391" s="1" t="s">
        <v>77</v>
      </c>
    </row>
    <row r="392" spans="1:2" x14ac:dyDescent="0.35">
      <c r="A392" s="2">
        <v>45845</v>
      </c>
      <c r="B392" s="1" t="s">
        <v>77</v>
      </c>
    </row>
    <row r="393" spans="1:2" x14ac:dyDescent="0.35">
      <c r="A393" s="2">
        <v>45845</v>
      </c>
      <c r="B393" s="1" t="s">
        <v>77</v>
      </c>
    </row>
    <row r="394" spans="1:2" x14ac:dyDescent="0.35">
      <c r="A394" s="2">
        <v>45845</v>
      </c>
      <c r="B394" s="1" t="s">
        <v>77</v>
      </c>
    </row>
    <row r="395" spans="1:2" x14ac:dyDescent="0.35">
      <c r="A395" s="2">
        <v>45845</v>
      </c>
      <c r="B395" s="1" t="s">
        <v>77</v>
      </c>
    </row>
    <row r="396" spans="1:2" x14ac:dyDescent="0.35">
      <c r="A396" s="2">
        <v>45845</v>
      </c>
      <c r="B396" s="1" t="s">
        <v>77</v>
      </c>
    </row>
    <row r="397" spans="1:2" x14ac:dyDescent="0.35">
      <c r="A397" s="2">
        <v>45845</v>
      </c>
      <c r="B397" s="1" t="s">
        <v>77</v>
      </c>
    </row>
    <row r="398" spans="1:2" x14ac:dyDescent="0.35">
      <c r="A398" s="2">
        <v>45845</v>
      </c>
      <c r="B398" s="1" t="s">
        <v>77</v>
      </c>
    </row>
    <row r="399" spans="1:2" x14ac:dyDescent="0.35">
      <c r="A399" s="2">
        <v>45845</v>
      </c>
      <c r="B399" s="1" t="s">
        <v>77</v>
      </c>
    </row>
    <row r="400" spans="1:2" x14ac:dyDescent="0.35">
      <c r="A400" s="2">
        <v>45845</v>
      </c>
      <c r="B400" s="1" t="s">
        <v>77</v>
      </c>
    </row>
    <row r="401" spans="1:2" x14ac:dyDescent="0.35">
      <c r="A401" s="2">
        <v>45845</v>
      </c>
      <c r="B401" s="1" t="s">
        <v>77</v>
      </c>
    </row>
    <row r="402" spans="1:2" x14ac:dyDescent="0.35">
      <c r="A402" s="2">
        <v>45845</v>
      </c>
      <c r="B402" s="1" t="s">
        <v>77</v>
      </c>
    </row>
    <row r="403" spans="1:2" x14ac:dyDescent="0.35">
      <c r="A403" s="2">
        <v>45845</v>
      </c>
      <c r="B403" s="1" t="s">
        <v>77</v>
      </c>
    </row>
    <row r="404" spans="1:2" x14ac:dyDescent="0.35">
      <c r="A404" s="2">
        <v>45845</v>
      </c>
      <c r="B404" s="1" t="s">
        <v>68</v>
      </c>
    </row>
    <row r="405" spans="1:2" x14ac:dyDescent="0.35">
      <c r="A405" s="2">
        <v>45846</v>
      </c>
      <c r="B405" s="1" t="s">
        <v>68</v>
      </c>
    </row>
    <row r="406" spans="1:2" x14ac:dyDescent="0.35">
      <c r="A406" s="2">
        <v>45846</v>
      </c>
      <c r="B406" s="1" t="s">
        <v>68</v>
      </c>
    </row>
    <row r="407" spans="1:2" x14ac:dyDescent="0.35">
      <c r="A407" s="2">
        <v>45849</v>
      </c>
      <c r="B407" s="1" t="s">
        <v>24</v>
      </c>
    </row>
    <row r="408" spans="1:2" x14ac:dyDescent="0.35">
      <c r="A408" s="2">
        <v>45849</v>
      </c>
      <c r="B408" s="1" t="s">
        <v>24</v>
      </c>
    </row>
    <row r="409" spans="1:2" x14ac:dyDescent="0.35">
      <c r="A409" s="2">
        <v>45849</v>
      </c>
      <c r="B409" s="1" t="s">
        <v>24</v>
      </c>
    </row>
    <row r="410" spans="1:2" x14ac:dyDescent="0.35">
      <c r="A410" s="2">
        <v>45849</v>
      </c>
      <c r="B410" s="1" t="s">
        <v>24</v>
      </c>
    </row>
    <row r="411" spans="1:2" x14ac:dyDescent="0.35">
      <c r="A411" s="2">
        <v>45849</v>
      </c>
      <c r="B411" s="1" t="s">
        <v>24</v>
      </c>
    </row>
    <row r="412" spans="1:2" x14ac:dyDescent="0.35">
      <c r="A412" s="2">
        <v>45849</v>
      </c>
      <c r="B412" s="1" t="s">
        <v>24</v>
      </c>
    </row>
    <row r="413" spans="1:2" x14ac:dyDescent="0.35">
      <c r="A413" s="2">
        <v>45849</v>
      </c>
      <c r="B413" s="1" t="s">
        <v>24</v>
      </c>
    </row>
    <row r="414" spans="1:2" x14ac:dyDescent="0.35">
      <c r="A414" s="2">
        <v>45849</v>
      </c>
      <c r="B414" s="1" t="s">
        <v>24</v>
      </c>
    </row>
    <row r="415" spans="1:2" x14ac:dyDescent="0.35">
      <c r="A415" s="2">
        <v>45849</v>
      </c>
      <c r="B415" s="1" t="s">
        <v>24</v>
      </c>
    </row>
    <row r="416" spans="1:2" x14ac:dyDescent="0.35">
      <c r="A416" s="2">
        <v>45849</v>
      </c>
      <c r="B416" s="1" t="s">
        <v>24</v>
      </c>
    </row>
    <row r="417" spans="1:2" x14ac:dyDescent="0.35">
      <c r="A417" s="2">
        <v>45849</v>
      </c>
      <c r="B417" s="1" t="s">
        <v>24</v>
      </c>
    </row>
    <row r="418" spans="1:2" x14ac:dyDescent="0.35">
      <c r="A418" s="2">
        <v>45849</v>
      </c>
      <c r="B418" s="1" t="s">
        <v>24</v>
      </c>
    </row>
    <row r="419" spans="1:2" x14ac:dyDescent="0.35">
      <c r="A419" s="2">
        <v>45849</v>
      </c>
      <c r="B419" s="1" t="s">
        <v>24</v>
      </c>
    </row>
    <row r="420" spans="1:2" x14ac:dyDescent="0.35">
      <c r="A420" s="2">
        <v>45849</v>
      </c>
      <c r="B420" s="1" t="s">
        <v>24</v>
      </c>
    </row>
    <row r="421" spans="1:2" x14ac:dyDescent="0.35">
      <c r="A421" s="2">
        <v>45849</v>
      </c>
      <c r="B421" s="1" t="s">
        <v>68</v>
      </c>
    </row>
    <row r="422" spans="1:2" x14ac:dyDescent="0.35">
      <c r="A422" s="2">
        <v>45849</v>
      </c>
      <c r="B422" s="1" t="s">
        <v>68</v>
      </c>
    </row>
    <row r="423" spans="1:2" x14ac:dyDescent="0.35">
      <c r="A423" s="2">
        <v>45850</v>
      </c>
      <c r="B423" s="1" t="s">
        <v>24</v>
      </c>
    </row>
    <row r="424" spans="1:2" x14ac:dyDescent="0.35">
      <c r="A424" s="2">
        <v>45850</v>
      </c>
      <c r="B424" s="1" t="s">
        <v>24</v>
      </c>
    </row>
    <row r="425" spans="1:2" x14ac:dyDescent="0.35">
      <c r="A425" s="2">
        <v>45850</v>
      </c>
      <c r="B425" s="1" t="s">
        <v>24</v>
      </c>
    </row>
    <row r="426" spans="1:2" x14ac:dyDescent="0.35">
      <c r="A426" s="2">
        <v>45850</v>
      </c>
      <c r="B426" s="1" t="s">
        <v>24</v>
      </c>
    </row>
    <row r="427" spans="1:2" x14ac:dyDescent="0.35">
      <c r="A427" s="2">
        <v>45850</v>
      </c>
      <c r="B427" s="1" t="s">
        <v>24</v>
      </c>
    </row>
    <row r="428" spans="1:2" x14ac:dyDescent="0.35">
      <c r="A428" s="2">
        <v>45850</v>
      </c>
      <c r="B428" s="1" t="s">
        <v>24</v>
      </c>
    </row>
    <row r="429" spans="1:2" x14ac:dyDescent="0.35">
      <c r="A429" s="2">
        <v>45850</v>
      </c>
      <c r="B429" s="1" t="s">
        <v>24</v>
      </c>
    </row>
    <row r="430" spans="1:2" x14ac:dyDescent="0.35">
      <c r="A430" s="2">
        <v>45850</v>
      </c>
      <c r="B430" s="1" t="s">
        <v>24</v>
      </c>
    </row>
    <row r="431" spans="1:2" x14ac:dyDescent="0.35">
      <c r="A431" s="2">
        <v>45850</v>
      </c>
      <c r="B431" s="1" t="s">
        <v>68</v>
      </c>
    </row>
    <row r="432" spans="1:2" x14ac:dyDescent="0.35">
      <c r="A432" s="2">
        <v>45850</v>
      </c>
      <c r="B432" s="1" t="s">
        <v>68</v>
      </c>
    </row>
    <row r="433" spans="1:2" x14ac:dyDescent="0.35">
      <c r="A433" s="2">
        <v>45850</v>
      </c>
      <c r="B433" s="1" t="s">
        <v>68</v>
      </c>
    </row>
    <row r="434" spans="1:2" x14ac:dyDescent="0.35">
      <c r="A434" s="2">
        <v>45851</v>
      </c>
      <c r="B434" s="1" t="s">
        <v>24</v>
      </c>
    </row>
    <row r="435" spans="1:2" x14ac:dyDescent="0.35">
      <c r="A435" s="2">
        <v>45852</v>
      </c>
      <c r="B435" s="1" t="s">
        <v>32</v>
      </c>
    </row>
    <row r="436" spans="1:2" x14ac:dyDescent="0.35">
      <c r="A436" s="2">
        <v>45852</v>
      </c>
      <c r="B436" s="1" t="s">
        <v>32</v>
      </c>
    </row>
    <row r="437" spans="1:2" x14ac:dyDescent="0.35">
      <c r="A437" s="2">
        <v>45852</v>
      </c>
      <c r="B437" s="1" t="s">
        <v>32</v>
      </c>
    </row>
    <row r="438" spans="1:2" x14ac:dyDescent="0.35">
      <c r="A438" s="2">
        <v>45852</v>
      </c>
      <c r="B438" s="1" t="s">
        <v>28</v>
      </c>
    </row>
    <row r="439" spans="1:2" x14ac:dyDescent="0.35">
      <c r="A439" s="2">
        <v>45852</v>
      </c>
      <c r="B439" s="1" t="s">
        <v>28</v>
      </c>
    </row>
    <row r="440" spans="1:2" x14ac:dyDescent="0.35">
      <c r="A440" s="2">
        <v>45852</v>
      </c>
      <c r="B440" s="1" t="s">
        <v>24</v>
      </c>
    </row>
    <row r="441" spans="1:2" x14ac:dyDescent="0.35">
      <c r="A441" s="2">
        <v>45852</v>
      </c>
      <c r="B441" s="1" t="s">
        <v>24</v>
      </c>
    </row>
    <row r="442" spans="1:2" x14ac:dyDescent="0.35">
      <c r="A442" s="2">
        <v>45852</v>
      </c>
      <c r="B442" s="1" t="s">
        <v>68</v>
      </c>
    </row>
    <row r="443" spans="1:2" x14ac:dyDescent="0.35">
      <c r="A443" s="2">
        <v>45852</v>
      </c>
      <c r="B443" s="1" t="s">
        <v>68</v>
      </c>
    </row>
    <row r="444" spans="1:2" x14ac:dyDescent="0.35">
      <c r="A444" s="2">
        <v>45852</v>
      </c>
      <c r="B444" s="1" t="s">
        <v>24</v>
      </c>
    </row>
    <row r="445" spans="1:2" x14ac:dyDescent="0.35">
      <c r="A445" s="2">
        <v>45852</v>
      </c>
      <c r="B445" s="1" t="s">
        <v>24</v>
      </c>
    </row>
    <row r="446" spans="1:2" x14ac:dyDescent="0.35">
      <c r="A446" s="2">
        <v>45852</v>
      </c>
      <c r="B446" s="1" t="s">
        <v>24</v>
      </c>
    </row>
    <row r="447" spans="1:2" x14ac:dyDescent="0.35">
      <c r="A447" s="2">
        <v>45852</v>
      </c>
      <c r="B447" s="1" t="s">
        <v>68</v>
      </c>
    </row>
    <row r="448" spans="1:2" x14ac:dyDescent="0.35">
      <c r="A448" s="2">
        <v>45852</v>
      </c>
      <c r="B448" s="1" t="s">
        <v>24</v>
      </c>
    </row>
    <row r="449" spans="1:2" x14ac:dyDescent="0.35">
      <c r="A449" s="2">
        <v>45852</v>
      </c>
      <c r="B449" s="1" t="s">
        <v>24</v>
      </c>
    </row>
    <row r="450" spans="1:2" x14ac:dyDescent="0.35">
      <c r="A450" s="2">
        <v>45852</v>
      </c>
      <c r="B450" s="1" t="s">
        <v>24</v>
      </c>
    </row>
    <row r="451" spans="1:2" x14ac:dyDescent="0.35">
      <c r="A451" s="2">
        <v>45852</v>
      </c>
      <c r="B451" s="1" t="s">
        <v>24</v>
      </c>
    </row>
    <row r="452" spans="1:2" x14ac:dyDescent="0.35">
      <c r="A452" s="2">
        <v>45852</v>
      </c>
      <c r="B452" s="1" t="s">
        <v>24</v>
      </c>
    </row>
    <row r="453" spans="1:2" x14ac:dyDescent="0.35">
      <c r="A453" s="2">
        <v>45852</v>
      </c>
      <c r="B453" s="1" t="s">
        <v>24</v>
      </c>
    </row>
    <row r="454" spans="1:2" x14ac:dyDescent="0.35">
      <c r="A454" s="2">
        <v>45852</v>
      </c>
      <c r="B454" s="1" t="s">
        <v>32</v>
      </c>
    </row>
    <row r="455" spans="1:2" x14ac:dyDescent="0.35">
      <c r="A455" s="2">
        <v>45852</v>
      </c>
      <c r="B455" s="1" t="s">
        <v>32</v>
      </c>
    </row>
    <row r="456" spans="1:2" x14ac:dyDescent="0.35">
      <c r="A456" s="2">
        <v>45852</v>
      </c>
      <c r="B456" s="1" t="s">
        <v>32</v>
      </c>
    </row>
    <row r="457" spans="1:2" x14ac:dyDescent="0.35">
      <c r="A457" s="2">
        <v>45852</v>
      </c>
      <c r="B457" s="1" t="s">
        <v>32</v>
      </c>
    </row>
    <row r="458" spans="1:2" x14ac:dyDescent="0.35">
      <c r="A458" s="2">
        <v>45852</v>
      </c>
      <c r="B458" s="1" t="s">
        <v>32</v>
      </c>
    </row>
    <row r="459" spans="1:2" x14ac:dyDescent="0.35">
      <c r="A459" s="2">
        <v>45852</v>
      </c>
      <c r="B459" s="1" t="s">
        <v>24</v>
      </c>
    </row>
    <row r="460" spans="1:2" x14ac:dyDescent="0.35">
      <c r="A460" s="2">
        <v>45852</v>
      </c>
      <c r="B460" s="1" t="s">
        <v>24</v>
      </c>
    </row>
    <row r="461" spans="1:2" x14ac:dyDescent="0.35">
      <c r="A461" s="2">
        <v>45852</v>
      </c>
      <c r="B461" s="1" t="s">
        <v>32</v>
      </c>
    </row>
    <row r="462" spans="1:2" x14ac:dyDescent="0.35">
      <c r="A462" s="2">
        <v>45852</v>
      </c>
      <c r="B462" s="1" t="s">
        <v>32</v>
      </c>
    </row>
    <row r="463" spans="1:2" x14ac:dyDescent="0.35">
      <c r="A463" s="2">
        <v>45852</v>
      </c>
      <c r="B463" s="1" t="s">
        <v>32</v>
      </c>
    </row>
    <row r="464" spans="1:2" x14ac:dyDescent="0.35">
      <c r="A464" s="2">
        <v>45852</v>
      </c>
      <c r="B464" s="1" t="s">
        <v>32</v>
      </c>
    </row>
    <row r="465" spans="1:2" x14ac:dyDescent="0.35">
      <c r="A465" s="2">
        <v>45852</v>
      </c>
      <c r="B465" s="1" t="s">
        <v>32</v>
      </c>
    </row>
    <row r="466" spans="1:2" x14ac:dyDescent="0.35">
      <c r="A466" s="2">
        <v>45852</v>
      </c>
      <c r="B466" s="1" t="s">
        <v>32</v>
      </c>
    </row>
    <row r="467" spans="1:2" x14ac:dyDescent="0.35">
      <c r="A467" s="2">
        <v>45852</v>
      </c>
      <c r="B467" s="1" t="s">
        <v>32</v>
      </c>
    </row>
    <row r="468" spans="1:2" x14ac:dyDescent="0.35">
      <c r="A468" s="2">
        <v>45852</v>
      </c>
      <c r="B468" s="1" t="s">
        <v>32</v>
      </c>
    </row>
    <row r="469" spans="1:2" x14ac:dyDescent="0.35">
      <c r="A469" s="2">
        <v>45853</v>
      </c>
      <c r="B469" s="1" t="s">
        <v>77</v>
      </c>
    </row>
    <row r="470" spans="1:2" x14ac:dyDescent="0.35">
      <c r="A470" s="2">
        <v>45853</v>
      </c>
      <c r="B470" s="1" t="s">
        <v>77</v>
      </c>
    </row>
    <row r="471" spans="1:2" x14ac:dyDescent="0.35">
      <c r="A471" s="2">
        <v>45853</v>
      </c>
      <c r="B471" s="1" t="s">
        <v>77</v>
      </c>
    </row>
    <row r="472" spans="1:2" x14ac:dyDescent="0.35">
      <c r="A472" s="2">
        <v>45853</v>
      </c>
      <c r="B472" s="1" t="s">
        <v>77</v>
      </c>
    </row>
    <row r="473" spans="1:2" x14ac:dyDescent="0.35">
      <c r="A473" s="2">
        <v>45853</v>
      </c>
      <c r="B473" s="1" t="s">
        <v>68</v>
      </c>
    </row>
    <row r="474" spans="1:2" x14ac:dyDescent="0.35">
      <c r="A474" s="2">
        <v>45853</v>
      </c>
      <c r="B474" s="1" t="s">
        <v>28</v>
      </c>
    </row>
    <row r="475" spans="1:2" x14ac:dyDescent="0.35">
      <c r="A475" s="2">
        <v>45853</v>
      </c>
      <c r="B475" s="1" t="s">
        <v>28</v>
      </c>
    </row>
    <row r="476" spans="1:2" x14ac:dyDescent="0.35">
      <c r="A476" s="2">
        <v>45853</v>
      </c>
      <c r="B476" s="1" t="s">
        <v>68</v>
      </c>
    </row>
    <row r="477" spans="1:2" x14ac:dyDescent="0.35">
      <c r="A477" s="2">
        <v>45853</v>
      </c>
      <c r="B477" s="1" t="s">
        <v>68</v>
      </c>
    </row>
    <row r="478" spans="1:2" x14ac:dyDescent="0.35">
      <c r="A478" s="2">
        <v>45853</v>
      </c>
      <c r="B478" s="1" t="s">
        <v>68</v>
      </c>
    </row>
    <row r="479" spans="1:2" x14ac:dyDescent="0.35">
      <c r="A479" s="2">
        <v>45853</v>
      </c>
      <c r="B479" s="1" t="s">
        <v>68</v>
      </c>
    </row>
    <row r="480" spans="1:2" x14ac:dyDescent="0.35">
      <c r="A480" s="2">
        <v>45853</v>
      </c>
      <c r="B480" s="1" t="s">
        <v>32</v>
      </c>
    </row>
    <row r="481" spans="1:2" x14ac:dyDescent="0.35">
      <c r="A481" s="2">
        <v>45853</v>
      </c>
      <c r="B481" s="1" t="s">
        <v>32</v>
      </c>
    </row>
    <row r="482" spans="1:2" x14ac:dyDescent="0.35">
      <c r="A482" s="2">
        <v>45853</v>
      </c>
      <c r="B482" s="1" t="s">
        <v>32</v>
      </c>
    </row>
    <row r="483" spans="1:2" x14ac:dyDescent="0.35">
      <c r="A483" s="2">
        <v>45854</v>
      </c>
      <c r="B483" s="1" t="s">
        <v>68</v>
      </c>
    </row>
    <row r="484" spans="1:2" x14ac:dyDescent="0.35">
      <c r="A484" s="2">
        <v>45854</v>
      </c>
      <c r="B484" s="1" t="s">
        <v>68</v>
      </c>
    </row>
    <row r="485" spans="1:2" x14ac:dyDescent="0.35">
      <c r="A485" s="2">
        <v>45855</v>
      </c>
      <c r="B485" s="1" t="s">
        <v>32</v>
      </c>
    </row>
    <row r="486" spans="1:2" x14ac:dyDescent="0.35">
      <c r="A486" s="2">
        <v>45855</v>
      </c>
      <c r="B486" s="1" t="s">
        <v>24</v>
      </c>
    </row>
    <row r="487" spans="1:2" x14ac:dyDescent="0.35">
      <c r="A487" s="2">
        <v>45855</v>
      </c>
      <c r="B487" s="1" t="s">
        <v>77</v>
      </c>
    </row>
    <row r="488" spans="1:2" x14ac:dyDescent="0.35">
      <c r="A488" s="2">
        <v>45855</v>
      </c>
      <c r="B488" s="1" t="s">
        <v>77</v>
      </c>
    </row>
    <row r="489" spans="1:2" x14ac:dyDescent="0.35">
      <c r="A489" s="2">
        <v>45855</v>
      </c>
      <c r="B489" s="1" t="s">
        <v>50</v>
      </c>
    </row>
    <row r="490" spans="1:2" x14ac:dyDescent="0.35">
      <c r="A490" s="2">
        <v>45855</v>
      </c>
      <c r="B490" s="1" t="s">
        <v>50</v>
      </c>
    </row>
    <row r="491" spans="1:2" x14ac:dyDescent="0.35">
      <c r="A491" s="2">
        <v>45855</v>
      </c>
      <c r="B491" s="1" t="s">
        <v>50</v>
      </c>
    </row>
    <row r="492" spans="1:2" x14ac:dyDescent="0.35">
      <c r="A492" s="2">
        <v>45855</v>
      </c>
      <c r="B492" s="1" t="s">
        <v>77</v>
      </c>
    </row>
    <row r="493" spans="1:2" x14ac:dyDescent="0.35">
      <c r="A493" s="2">
        <v>45856</v>
      </c>
      <c r="B493" s="1" t="s">
        <v>68</v>
      </c>
    </row>
    <row r="494" spans="1:2" x14ac:dyDescent="0.35">
      <c r="A494" s="2">
        <v>45856</v>
      </c>
      <c r="B494" s="1" t="s">
        <v>68</v>
      </c>
    </row>
    <row r="495" spans="1:2" x14ac:dyDescent="0.35">
      <c r="A495" s="2">
        <v>45856</v>
      </c>
      <c r="B495" s="1" t="s">
        <v>68</v>
      </c>
    </row>
    <row r="496" spans="1:2" x14ac:dyDescent="0.35">
      <c r="A496" s="2">
        <v>45856</v>
      </c>
      <c r="B496" s="1" t="s">
        <v>68</v>
      </c>
    </row>
    <row r="497" spans="1:2" x14ac:dyDescent="0.35">
      <c r="A497" s="2">
        <v>45856</v>
      </c>
      <c r="B497" s="1" t="s">
        <v>68</v>
      </c>
    </row>
    <row r="498" spans="1:2" x14ac:dyDescent="0.35">
      <c r="A498" s="2">
        <v>45859</v>
      </c>
      <c r="B498" s="1" t="s">
        <v>28</v>
      </c>
    </row>
    <row r="499" spans="1:2" x14ac:dyDescent="0.35">
      <c r="A499" s="2">
        <v>45859</v>
      </c>
      <c r="B499" s="1" t="s">
        <v>77</v>
      </c>
    </row>
    <row r="500" spans="1:2" x14ac:dyDescent="0.35">
      <c r="A500" s="2">
        <v>45859</v>
      </c>
      <c r="B500" s="1" t="s">
        <v>50</v>
      </c>
    </row>
    <row r="501" spans="1:2" x14ac:dyDescent="0.35">
      <c r="A501" s="2">
        <v>45859</v>
      </c>
      <c r="B501" s="1" t="s">
        <v>50</v>
      </c>
    </row>
    <row r="502" spans="1:2" x14ac:dyDescent="0.35">
      <c r="A502" s="2">
        <v>45859</v>
      </c>
      <c r="B502" s="1" t="s">
        <v>68</v>
      </c>
    </row>
    <row r="503" spans="1:2" x14ac:dyDescent="0.35">
      <c r="A503" s="2">
        <v>45859</v>
      </c>
      <c r="B503" s="1" t="s">
        <v>68</v>
      </c>
    </row>
    <row r="504" spans="1:2" x14ac:dyDescent="0.35">
      <c r="A504" s="2">
        <v>45859</v>
      </c>
      <c r="B504" s="1" t="s">
        <v>68</v>
      </c>
    </row>
    <row r="505" spans="1:2" x14ac:dyDescent="0.35">
      <c r="A505" s="2">
        <v>45859</v>
      </c>
      <c r="B505" s="1" t="s">
        <v>68</v>
      </c>
    </row>
    <row r="506" spans="1:2" x14ac:dyDescent="0.35">
      <c r="A506" s="2">
        <v>45859</v>
      </c>
      <c r="B506" s="1" t="s">
        <v>68</v>
      </c>
    </row>
    <row r="507" spans="1:2" x14ac:dyDescent="0.35">
      <c r="A507" s="2">
        <v>45859</v>
      </c>
      <c r="B507" s="1" t="s">
        <v>24</v>
      </c>
    </row>
    <row r="508" spans="1:2" x14ac:dyDescent="0.35">
      <c r="A508" s="2">
        <v>45859</v>
      </c>
      <c r="B508" s="1" t="s">
        <v>24</v>
      </c>
    </row>
    <row r="509" spans="1:2" x14ac:dyDescent="0.35">
      <c r="A509" s="2">
        <v>45859</v>
      </c>
      <c r="B509" s="1" t="s">
        <v>68</v>
      </c>
    </row>
    <row r="510" spans="1:2" x14ac:dyDescent="0.35">
      <c r="A510" s="2">
        <v>45861</v>
      </c>
      <c r="B510" s="1" t="s">
        <v>68</v>
      </c>
    </row>
    <row r="511" spans="1:2" x14ac:dyDescent="0.35">
      <c r="A511" s="2">
        <v>45861</v>
      </c>
      <c r="B511" s="1" t="s">
        <v>50</v>
      </c>
    </row>
    <row r="512" spans="1:2" x14ac:dyDescent="0.35">
      <c r="A512" s="2">
        <v>45862</v>
      </c>
      <c r="B512" s="1" t="s">
        <v>28</v>
      </c>
    </row>
    <row r="513" spans="1:2" x14ac:dyDescent="0.35">
      <c r="A513" s="2">
        <v>45862</v>
      </c>
      <c r="B513" s="1" t="s">
        <v>50</v>
      </c>
    </row>
    <row r="514" spans="1:2" x14ac:dyDescent="0.35">
      <c r="A514" s="2">
        <v>45862</v>
      </c>
      <c r="B514" s="1" t="s">
        <v>24</v>
      </c>
    </row>
    <row r="515" spans="1:2" x14ac:dyDescent="0.35">
      <c r="A515" s="2">
        <v>45864</v>
      </c>
      <c r="B515" s="1" t="s">
        <v>24</v>
      </c>
    </row>
    <row r="516" spans="1:2" x14ac:dyDescent="0.35">
      <c r="A516" s="2">
        <v>45864</v>
      </c>
      <c r="B516" s="1" t="s">
        <v>24</v>
      </c>
    </row>
    <row r="517" spans="1:2" x14ac:dyDescent="0.35">
      <c r="A517" s="2">
        <v>45864</v>
      </c>
      <c r="B517" s="1" t="s">
        <v>77</v>
      </c>
    </row>
    <row r="518" spans="1:2" x14ac:dyDescent="0.35">
      <c r="A518" s="2">
        <v>45864</v>
      </c>
      <c r="B518" s="1" t="s">
        <v>68</v>
      </c>
    </row>
    <row r="519" spans="1:2" x14ac:dyDescent="0.35">
      <c r="A519" s="2">
        <v>45864</v>
      </c>
      <c r="B519" s="1" t="s">
        <v>68</v>
      </c>
    </row>
    <row r="520" spans="1:2" x14ac:dyDescent="0.35">
      <c r="A520" s="2">
        <v>45864</v>
      </c>
      <c r="B520" s="1" t="s">
        <v>68</v>
      </c>
    </row>
    <row r="521" spans="1:2" x14ac:dyDescent="0.35">
      <c r="A521" s="2">
        <v>45864</v>
      </c>
      <c r="B521" s="1" t="s">
        <v>68</v>
      </c>
    </row>
    <row r="522" spans="1:2" x14ac:dyDescent="0.35">
      <c r="A522" s="2">
        <v>45864</v>
      </c>
      <c r="B522" s="1" t="s">
        <v>68</v>
      </c>
    </row>
    <row r="523" spans="1:2" x14ac:dyDescent="0.35">
      <c r="A523" s="2">
        <v>45866</v>
      </c>
      <c r="B523" s="1" t="s">
        <v>28</v>
      </c>
    </row>
    <row r="524" spans="1:2" x14ac:dyDescent="0.35">
      <c r="A524" s="2">
        <v>45866</v>
      </c>
      <c r="B524" s="1" t="s">
        <v>77</v>
      </c>
    </row>
    <row r="525" spans="1:2" x14ac:dyDescent="0.35">
      <c r="A525" s="2">
        <v>45866</v>
      </c>
      <c r="B525" s="1" t="s">
        <v>50</v>
      </c>
    </row>
    <row r="526" spans="1:2" x14ac:dyDescent="0.35">
      <c r="A526" s="2">
        <v>45866</v>
      </c>
      <c r="B526" s="1" t="s">
        <v>50</v>
      </c>
    </row>
    <row r="527" spans="1:2" x14ac:dyDescent="0.35">
      <c r="A527" s="2">
        <v>45866</v>
      </c>
      <c r="B527" s="1" t="s">
        <v>50</v>
      </c>
    </row>
    <row r="528" spans="1:2" x14ac:dyDescent="0.35">
      <c r="A528" s="2">
        <v>45867</v>
      </c>
      <c r="B528" s="1" t="s">
        <v>50</v>
      </c>
    </row>
    <row r="529" spans="1:2" x14ac:dyDescent="0.35">
      <c r="A529" s="2">
        <v>45867</v>
      </c>
      <c r="B529" s="1" t="s">
        <v>50</v>
      </c>
    </row>
    <row r="530" spans="1:2" x14ac:dyDescent="0.35">
      <c r="A530" s="2">
        <v>45868</v>
      </c>
      <c r="B530" s="1" t="s">
        <v>68</v>
      </c>
    </row>
    <row r="531" spans="1:2" x14ac:dyDescent="0.35">
      <c r="A531" s="2">
        <v>45868</v>
      </c>
      <c r="B531" s="1" t="s">
        <v>68</v>
      </c>
    </row>
    <row r="532" spans="1:2" x14ac:dyDescent="0.35">
      <c r="A532" s="2">
        <v>45868</v>
      </c>
      <c r="B532" s="1" t="s">
        <v>68</v>
      </c>
    </row>
    <row r="533" spans="1:2" x14ac:dyDescent="0.35">
      <c r="A533" s="2">
        <v>45868</v>
      </c>
      <c r="B533" s="1" t="s">
        <v>28</v>
      </c>
    </row>
    <row r="534" spans="1:2" x14ac:dyDescent="0.35">
      <c r="A534" s="2">
        <v>45868</v>
      </c>
      <c r="B534" s="1" t="s">
        <v>9</v>
      </c>
    </row>
    <row r="535" spans="1:2" x14ac:dyDescent="0.35">
      <c r="A535" s="2">
        <v>45868</v>
      </c>
      <c r="B535" s="1" t="s">
        <v>9</v>
      </c>
    </row>
    <row r="536" spans="1:2" x14ac:dyDescent="0.35">
      <c r="A536" s="2">
        <v>45868</v>
      </c>
      <c r="B536" s="1" t="s">
        <v>28</v>
      </c>
    </row>
    <row r="537" spans="1:2" x14ac:dyDescent="0.35">
      <c r="A537" s="2">
        <v>45868</v>
      </c>
      <c r="B537" s="1" t="s">
        <v>28</v>
      </c>
    </row>
    <row r="538" spans="1:2" x14ac:dyDescent="0.35">
      <c r="A538" s="2">
        <v>45868</v>
      </c>
      <c r="B538" s="1" t="s">
        <v>9</v>
      </c>
    </row>
    <row r="539" spans="1:2" x14ac:dyDescent="0.35">
      <c r="A539" s="2">
        <v>45868</v>
      </c>
      <c r="B539" s="1" t="s">
        <v>9</v>
      </c>
    </row>
    <row r="540" spans="1:2" x14ac:dyDescent="0.35">
      <c r="A540" s="2">
        <v>45868</v>
      </c>
      <c r="B540" s="1" t="s">
        <v>9</v>
      </c>
    </row>
    <row r="541" spans="1:2" x14ac:dyDescent="0.35">
      <c r="A541" s="2">
        <v>45868</v>
      </c>
      <c r="B541" s="1" t="s">
        <v>9</v>
      </c>
    </row>
    <row r="542" spans="1:2" x14ac:dyDescent="0.35">
      <c r="A542" s="2">
        <v>45868</v>
      </c>
      <c r="B542" s="1" t="s">
        <v>68</v>
      </c>
    </row>
    <row r="543" spans="1:2" x14ac:dyDescent="0.35">
      <c r="A543" s="2">
        <v>45868</v>
      </c>
      <c r="B543" s="1" t="s">
        <v>68</v>
      </c>
    </row>
    <row r="544" spans="1:2" x14ac:dyDescent="0.35">
      <c r="A544" s="2">
        <v>45868</v>
      </c>
      <c r="B544" s="1" t="s">
        <v>28</v>
      </c>
    </row>
    <row r="545" spans="1:2" x14ac:dyDescent="0.35">
      <c r="A545" s="2">
        <v>45869</v>
      </c>
      <c r="B545" s="1" t="s">
        <v>28</v>
      </c>
    </row>
    <row r="546" spans="1:2" x14ac:dyDescent="0.35">
      <c r="A546" s="2">
        <v>45869</v>
      </c>
      <c r="B546" s="1" t="s">
        <v>9</v>
      </c>
    </row>
    <row r="547" spans="1:2" x14ac:dyDescent="0.35">
      <c r="A547" s="2">
        <v>45869</v>
      </c>
      <c r="B547" s="1" t="s">
        <v>9</v>
      </c>
    </row>
    <row r="548" spans="1:2" x14ac:dyDescent="0.35">
      <c r="A548" s="2">
        <v>45869</v>
      </c>
      <c r="B548" s="1" t="s">
        <v>9</v>
      </c>
    </row>
    <row r="549" spans="1:2" x14ac:dyDescent="0.35">
      <c r="A549" s="2">
        <v>45869</v>
      </c>
      <c r="B549" s="1" t="s">
        <v>68</v>
      </c>
    </row>
    <row r="550" spans="1:2" x14ac:dyDescent="0.35">
      <c r="A550" s="2">
        <v>45869</v>
      </c>
      <c r="B550" s="1" t="s">
        <v>68</v>
      </c>
    </row>
    <row r="551" spans="1:2" x14ac:dyDescent="0.35">
      <c r="A551" s="2">
        <v>45869</v>
      </c>
      <c r="B551" s="1" t="s">
        <v>68</v>
      </c>
    </row>
    <row r="552" spans="1:2" x14ac:dyDescent="0.35">
      <c r="A552" s="2">
        <v>45870</v>
      </c>
      <c r="B552" s="1" t="s">
        <v>9</v>
      </c>
    </row>
    <row r="553" spans="1:2" x14ac:dyDescent="0.35">
      <c r="A553" s="2">
        <v>45870</v>
      </c>
      <c r="B553" s="1" t="s">
        <v>9</v>
      </c>
    </row>
    <row r="554" spans="1:2" x14ac:dyDescent="0.35">
      <c r="A554" s="2">
        <v>45870</v>
      </c>
      <c r="B554" s="1" t="s">
        <v>68</v>
      </c>
    </row>
    <row r="555" spans="1:2" x14ac:dyDescent="0.35">
      <c r="A555" s="2">
        <v>45870</v>
      </c>
      <c r="B555" s="1" t="s">
        <v>68</v>
      </c>
    </row>
    <row r="556" spans="1:2" x14ac:dyDescent="0.35">
      <c r="A556" s="2">
        <v>45870</v>
      </c>
      <c r="B556" s="1" t="s">
        <v>9</v>
      </c>
    </row>
    <row r="557" spans="1:2" x14ac:dyDescent="0.35">
      <c r="A557" s="2">
        <v>45870</v>
      </c>
      <c r="B557" s="1" t="s">
        <v>9</v>
      </c>
    </row>
    <row r="558" spans="1:2" x14ac:dyDescent="0.35">
      <c r="A558" s="2">
        <v>45870</v>
      </c>
      <c r="B558" s="1" t="s">
        <v>9</v>
      </c>
    </row>
    <row r="559" spans="1:2" x14ac:dyDescent="0.35">
      <c r="A559" s="2">
        <v>45870</v>
      </c>
      <c r="B559" s="1" t="s">
        <v>9</v>
      </c>
    </row>
    <row r="560" spans="1:2" x14ac:dyDescent="0.35">
      <c r="A560" s="2">
        <v>45870</v>
      </c>
      <c r="B560" s="1" t="s">
        <v>9</v>
      </c>
    </row>
    <row r="561" spans="1:2" x14ac:dyDescent="0.35">
      <c r="A561" s="2">
        <v>45870</v>
      </c>
      <c r="B561" s="1" t="s">
        <v>9</v>
      </c>
    </row>
    <row r="562" spans="1:2" x14ac:dyDescent="0.35">
      <c r="A562" s="2">
        <v>45870</v>
      </c>
      <c r="B562" s="1" t="s">
        <v>9</v>
      </c>
    </row>
    <row r="563" spans="1:2" x14ac:dyDescent="0.35">
      <c r="A563" s="2">
        <v>45870</v>
      </c>
      <c r="B563" s="1" t="s">
        <v>77</v>
      </c>
    </row>
    <row r="564" spans="1:2" x14ac:dyDescent="0.35">
      <c r="A564" s="2">
        <v>45870</v>
      </c>
      <c r="B564" s="1" t="s">
        <v>77</v>
      </c>
    </row>
    <row r="565" spans="1:2" x14ac:dyDescent="0.35">
      <c r="A565" s="2">
        <v>45870</v>
      </c>
      <c r="B565" s="1" t="s">
        <v>50</v>
      </c>
    </row>
    <row r="566" spans="1:2" x14ac:dyDescent="0.35">
      <c r="A566" s="2">
        <v>45870</v>
      </c>
      <c r="B566" s="1" t="s">
        <v>50</v>
      </c>
    </row>
    <row r="567" spans="1:2" x14ac:dyDescent="0.35">
      <c r="A567" s="2">
        <v>45870</v>
      </c>
      <c r="B567" s="1" t="s">
        <v>50</v>
      </c>
    </row>
    <row r="568" spans="1:2" x14ac:dyDescent="0.35">
      <c r="A568" s="2">
        <v>45870</v>
      </c>
      <c r="B568" s="1" t="s">
        <v>50</v>
      </c>
    </row>
    <row r="569" spans="1:2" x14ac:dyDescent="0.35">
      <c r="A569" s="2">
        <v>45870</v>
      </c>
      <c r="B569" s="1" t="s">
        <v>77</v>
      </c>
    </row>
    <row r="570" spans="1:2" x14ac:dyDescent="0.35">
      <c r="A570" s="2">
        <v>45870</v>
      </c>
      <c r="B570" s="1" t="s">
        <v>77</v>
      </c>
    </row>
    <row r="571" spans="1:2" x14ac:dyDescent="0.35">
      <c r="A571" s="2">
        <v>45870</v>
      </c>
      <c r="B571" s="1" t="s">
        <v>68</v>
      </c>
    </row>
    <row r="572" spans="1:2" x14ac:dyDescent="0.35">
      <c r="A572" s="2">
        <v>45873</v>
      </c>
      <c r="B572" s="1" t="s">
        <v>68</v>
      </c>
    </row>
    <row r="573" spans="1:2" x14ac:dyDescent="0.35">
      <c r="A573" s="2">
        <v>45873</v>
      </c>
      <c r="B573" s="1" t="s">
        <v>68</v>
      </c>
    </row>
    <row r="574" spans="1:2" x14ac:dyDescent="0.35">
      <c r="A574" s="2">
        <v>45873</v>
      </c>
      <c r="B574" s="1" t="s">
        <v>68</v>
      </c>
    </row>
    <row r="575" spans="1:2" x14ac:dyDescent="0.35">
      <c r="A575" s="2">
        <v>45873</v>
      </c>
      <c r="B575" s="1" t="s">
        <v>68</v>
      </c>
    </row>
    <row r="576" spans="1:2" x14ac:dyDescent="0.35">
      <c r="A576" s="2">
        <v>45873</v>
      </c>
      <c r="B576" s="1" t="s">
        <v>68</v>
      </c>
    </row>
    <row r="577" spans="1:2" x14ac:dyDescent="0.35">
      <c r="A577" s="2">
        <v>45873</v>
      </c>
      <c r="B577" s="1" t="s">
        <v>68</v>
      </c>
    </row>
    <row r="578" spans="1:2" x14ac:dyDescent="0.35">
      <c r="A578" s="2">
        <v>45873</v>
      </c>
      <c r="B578" s="1" t="s">
        <v>68</v>
      </c>
    </row>
    <row r="579" spans="1:2" x14ac:dyDescent="0.35">
      <c r="A579" s="2">
        <v>45873</v>
      </c>
      <c r="B579" s="1" t="s">
        <v>68</v>
      </c>
    </row>
    <row r="580" spans="1:2" x14ac:dyDescent="0.35">
      <c r="A580" s="2">
        <v>45874</v>
      </c>
      <c r="B580" s="1" t="s">
        <v>68</v>
      </c>
    </row>
    <row r="581" spans="1:2" x14ac:dyDescent="0.35">
      <c r="A581" s="2">
        <v>45874</v>
      </c>
      <c r="B581" s="1" t="s">
        <v>68</v>
      </c>
    </row>
    <row r="582" spans="1:2" x14ac:dyDescent="0.35">
      <c r="A582" s="2">
        <v>45874</v>
      </c>
      <c r="B582" s="1" t="s">
        <v>68</v>
      </c>
    </row>
    <row r="583" spans="1:2" x14ac:dyDescent="0.35">
      <c r="A583" s="2">
        <v>45875</v>
      </c>
      <c r="B583" s="1" t="s">
        <v>68</v>
      </c>
    </row>
    <row r="584" spans="1:2" x14ac:dyDescent="0.35">
      <c r="A584" s="2">
        <v>45875</v>
      </c>
      <c r="B584" s="1" t="s">
        <v>68</v>
      </c>
    </row>
    <row r="585" spans="1:2" x14ac:dyDescent="0.35">
      <c r="A585" s="2">
        <v>45875</v>
      </c>
      <c r="B585" s="1" t="s">
        <v>68</v>
      </c>
    </row>
    <row r="586" spans="1:2" x14ac:dyDescent="0.35">
      <c r="A586" s="2">
        <v>45875</v>
      </c>
      <c r="B586" s="1" t="s">
        <v>68</v>
      </c>
    </row>
    <row r="587" spans="1:2" x14ac:dyDescent="0.35">
      <c r="A587" s="2">
        <v>45876</v>
      </c>
      <c r="B587" s="1" t="s">
        <v>50</v>
      </c>
    </row>
    <row r="588" spans="1:2" x14ac:dyDescent="0.35">
      <c r="A588" s="2">
        <v>45876</v>
      </c>
      <c r="B588" s="1" t="s">
        <v>68</v>
      </c>
    </row>
    <row r="589" spans="1:2" x14ac:dyDescent="0.35">
      <c r="A589" s="2">
        <v>45876</v>
      </c>
      <c r="B589" s="1" t="s">
        <v>68</v>
      </c>
    </row>
    <row r="590" spans="1:2" x14ac:dyDescent="0.35">
      <c r="A590" s="2">
        <v>45876</v>
      </c>
      <c r="B590" s="1" t="s">
        <v>68</v>
      </c>
    </row>
    <row r="591" spans="1:2" x14ac:dyDescent="0.35">
      <c r="A591" s="2">
        <v>45876</v>
      </c>
      <c r="B591" s="1" t="s">
        <v>50</v>
      </c>
    </row>
    <row r="592" spans="1:2" x14ac:dyDescent="0.35">
      <c r="A592" s="2">
        <v>45876</v>
      </c>
      <c r="B592" s="1" t="s">
        <v>9</v>
      </c>
    </row>
    <row r="593" spans="1:2" x14ac:dyDescent="0.35">
      <c r="A593" s="2">
        <v>45876</v>
      </c>
      <c r="B593" s="1" t="s">
        <v>9</v>
      </c>
    </row>
    <row r="594" spans="1:2" x14ac:dyDescent="0.35">
      <c r="A594" s="2">
        <v>45876</v>
      </c>
      <c r="B594" s="1" t="s">
        <v>9</v>
      </c>
    </row>
    <row r="595" spans="1:2" x14ac:dyDescent="0.35">
      <c r="A595" s="2">
        <v>45877</v>
      </c>
      <c r="B595" s="1" t="s">
        <v>9</v>
      </c>
    </row>
    <row r="596" spans="1:2" x14ac:dyDescent="0.35">
      <c r="A596" s="2">
        <v>45877</v>
      </c>
      <c r="B596" s="1" t="s">
        <v>9</v>
      </c>
    </row>
    <row r="597" spans="1:2" x14ac:dyDescent="0.35">
      <c r="A597" s="2">
        <v>45877</v>
      </c>
      <c r="B597" s="1" t="s">
        <v>9</v>
      </c>
    </row>
    <row r="598" spans="1:2" x14ac:dyDescent="0.35">
      <c r="A598" s="2">
        <v>45877</v>
      </c>
      <c r="B598" s="1" t="s">
        <v>9</v>
      </c>
    </row>
    <row r="599" spans="1:2" x14ac:dyDescent="0.35">
      <c r="A599" s="2">
        <v>45880</v>
      </c>
      <c r="B599" s="1" t="s">
        <v>9</v>
      </c>
    </row>
    <row r="600" spans="1:2" x14ac:dyDescent="0.35">
      <c r="A600" s="2">
        <v>45880</v>
      </c>
      <c r="B600" s="1" t="s">
        <v>9</v>
      </c>
    </row>
    <row r="601" spans="1:2" x14ac:dyDescent="0.35">
      <c r="A601" s="2">
        <v>45880</v>
      </c>
      <c r="B601" s="1" t="s">
        <v>9</v>
      </c>
    </row>
    <row r="602" spans="1:2" x14ac:dyDescent="0.35">
      <c r="A602" s="2">
        <v>45880</v>
      </c>
      <c r="B602" s="1" t="s">
        <v>68</v>
      </c>
    </row>
    <row r="603" spans="1:2" x14ac:dyDescent="0.35">
      <c r="A603" s="2">
        <v>45880</v>
      </c>
      <c r="B603" s="1" t="s">
        <v>68</v>
      </c>
    </row>
    <row r="604" spans="1:2" x14ac:dyDescent="0.35">
      <c r="A604" s="2">
        <v>45880</v>
      </c>
      <c r="B604" s="1" t="s">
        <v>68</v>
      </c>
    </row>
    <row r="605" spans="1:2" x14ac:dyDescent="0.35">
      <c r="A605" s="2">
        <v>45880</v>
      </c>
      <c r="B605" s="1" t="s">
        <v>68</v>
      </c>
    </row>
    <row r="606" spans="1:2" x14ac:dyDescent="0.35">
      <c r="A606" s="2">
        <v>45880</v>
      </c>
      <c r="B606" s="1" t="s">
        <v>68</v>
      </c>
    </row>
    <row r="607" spans="1:2" x14ac:dyDescent="0.35">
      <c r="A607" s="2">
        <v>45880</v>
      </c>
      <c r="B607" s="1" t="s">
        <v>68</v>
      </c>
    </row>
    <row r="608" spans="1:2" x14ac:dyDescent="0.35">
      <c r="A608" s="2">
        <v>45881</v>
      </c>
      <c r="B608" s="1" t="s">
        <v>28</v>
      </c>
    </row>
    <row r="609" spans="1:2" x14ac:dyDescent="0.35">
      <c r="A609" s="2">
        <v>45881</v>
      </c>
      <c r="B609" s="1" t="s">
        <v>9</v>
      </c>
    </row>
    <row r="610" spans="1:2" x14ac:dyDescent="0.35">
      <c r="A610" s="2">
        <v>45881</v>
      </c>
      <c r="B610" s="1" t="s">
        <v>9</v>
      </c>
    </row>
    <row r="611" spans="1:2" x14ac:dyDescent="0.35">
      <c r="A611" s="2">
        <v>45881</v>
      </c>
      <c r="B611" s="1" t="s">
        <v>68</v>
      </c>
    </row>
    <row r="612" spans="1:2" x14ac:dyDescent="0.35">
      <c r="A612" s="2">
        <v>45881</v>
      </c>
      <c r="B612" s="1" t="s">
        <v>68</v>
      </c>
    </row>
    <row r="613" spans="1:2" x14ac:dyDescent="0.35">
      <c r="A613" s="2">
        <v>45881</v>
      </c>
      <c r="B613" s="1" t="s">
        <v>68</v>
      </c>
    </row>
    <row r="614" spans="1:2" x14ac:dyDescent="0.35">
      <c r="A614" s="2">
        <v>45881</v>
      </c>
      <c r="B614" s="1" t="s">
        <v>68</v>
      </c>
    </row>
    <row r="615" spans="1:2" x14ac:dyDescent="0.35">
      <c r="A615" s="2">
        <v>45882</v>
      </c>
      <c r="B615" s="1" t="s">
        <v>9</v>
      </c>
    </row>
    <row r="616" spans="1:2" x14ac:dyDescent="0.35">
      <c r="A616" s="2">
        <v>45882</v>
      </c>
      <c r="B616" s="1" t="s">
        <v>9</v>
      </c>
    </row>
    <row r="617" spans="1:2" x14ac:dyDescent="0.35">
      <c r="A617" s="2">
        <v>45882</v>
      </c>
      <c r="B617" s="1" t="s">
        <v>28</v>
      </c>
    </row>
    <row r="618" spans="1:2" x14ac:dyDescent="0.35">
      <c r="A618" s="2">
        <v>45882</v>
      </c>
      <c r="B618" s="1" t="s">
        <v>9</v>
      </c>
    </row>
    <row r="619" spans="1:2" x14ac:dyDescent="0.35">
      <c r="A619" s="2">
        <v>45882</v>
      </c>
      <c r="B619" s="1" t="s">
        <v>9</v>
      </c>
    </row>
    <row r="620" spans="1:2" x14ac:dyDescent="0.35">
      <c r="A620" s="2">
        <v>45882</v>
      </c>
      <c r="B620" s="1" t="s">
        <v>9</v>
      </c>
    </row>
    <row r="621" spans="1:2" x14ac:dyDescent="0.35">
      <c r="A621" s="2">
        <v>45882</v>
      </c>
      <c r="B621" s="1" t="s">
        <v>77</v>
      </c>
    </row>
    <row r="622" spans="1:2" x14ac:dyDescent="0.35">
      <c r="A622" s="2">
        <v>45882</v>
      </c>
      <c r="B622" s="1" t="s">
        <v>5</v>
      </c>
    </row>
    <row r="623" spans="1:2" x14ac:dyDescent="0.35">
      <c r="A623" s="2">
        <v>45882</v>
      </c>
      <c r="B623" s="1" t="s">
        <v>5</v>
      </c>
    </row>
    <row r="624" spans="1:2" x14ac:dyDescent="0.35">
      <c r="A624" s="2">
        <v>45882</v>
      </c>
      <c r="B624" s="1" t="s">
        <v>5</v>
      </c>
    </row>
    <row r="625" spans="1:2" x14ac:dyDescent="0.35">
      <c r="A625" s="2">
        <v>45883</v>
      </c>
      <c r="B625" s="1" t="s">
        <v>5</v>
      </c>
    </row>
    <row r="626" spans="1:2" x14ac:dyDescent="0.35">
      <c r="A626" s="2">
        <v>45883</v>
      </c>
      <c r="B626" s="1" t="s">
        <v>68</v>
      </c>
    </row>
    <row r="627" spans="1:2" x14ac:dyDescent="0.35">
      <c r="A627" s="2">
        <v>45883</v>
      </c>
      <c r="B627" s="1" t="s">
        <v>68</v>
      </c>
    </row>
    <row r="628" spans="1:2" x14ac:dyDescent="0.35">
      <c r="A628" s="2">
        <v>45883</v>
      </c>
      <c r="B628" s="1" t="s">
        <v>5</v>
      </c>
    </row>
    <row r="629" spans="1:2" x14ac:dyDescent="0.35">
      <c r="A629" s="2">
        <v>45883</v>
      </c>
      <c r="B629" s="1" t="s">
        <v>5</v>
      </c>
    </row>
    <row r="630" spans="1:2" x14ac:dyDescent="0.35">
      <c r="A630" s="2">
        <v>45883</v>
      </c>
      <c r="B630" s="1" t="s">
        <v>5</v>
      </c>
    </row>
    <row r="631" spans="1:2" x14ac:dyDescent="0.35">
      <c r="A631" s="2">
        <v>45883</v>
      </c>
      <c r="B631" s="1" t="s">
        <v>9</v>
      </c>
    </row>
    <row r="632" spans="1:2" x14ac:dyDescent="0.35">
      <c r="A632" s="2">
        <v>45883</v>
      </c>
      <c r="B632" s="1" t="s">
        <v>5</v>
      </c>
    </row>
    <row r="633" spans="1:2" x14ac:dyDescent="0.35">
      <c r="A633" s="2">
        <v>45883</v>
      </c>
      <c r="B633" s="1" t="s">
        <v>5</v>
      </c>
    </row>
    <row r="634" spans="1:2" x14ac:dyDescent="0.35">
      <c r="A634" s="2">
        <v>45884</v>
      </c>
      <c r="B634" s="1" t="s">
        <v>9</v>
      </c>
    </row>
    <row r="635" spans="1:2" x14ac:dyDescent="0.35">
      <c r="A635" s="2">
        <v>45884</v>
      </c>
      <c r="B635" s="1" t="s">
        <v>68</v>
      </c>
    </row>
    <row r="636" spans="1:2" x14ac:dyDescent="0.35">
      <c r="A636" s="2">
        <v>45884</v>
      </c>
      <c r="B636" s="1" t="s">
        <v>5</v>
      </c>
    </row>
    <row r="637" spans="1:2" x14ac:dyDescent="0.35">
      <c r="A637" s="2">
        <v>45884</v>
      </c>
      <c r="B637" s="1" t="s">
        <v>9</v>
      </c>
    </row>
    <row r="638" spans="1:2" x14ac:dyDescent="0.35">
      <c r="A638" s="2">
        <v>45884</v>
      </c>
      <c r="B638" s="1" t="s">
        <v>9</v>
      </c>
    </row>
    <row r="639" spans="1:2" x14ac:dyDescent="0.35">
      <c r="A639" s="2">
        <v>45884</v>
      </c>
      <c r="B639" s="1" t="s">
        <v>9</v>
      </c>
    </row>
    <row r="640" spans="1:2" x14ac:dyDescent="0.35">
      <c r="A640" s="2">
        <v>45884</v>
      </c>
      <c r="B640" s="1" t="s">
        <v>9</v>
      </c>
    </row>
    <row r="641" spans="1:2" x14ac:dyDescent="0.35">
      <c r="A641" s="2">
        <v>45884</v>
      </c>
      <c r="B641" s="1" t="s">
        <v>5</v>
      </c>
    </row>
    <row r="642" spans="1:2" x14ac:dyDescent="0.35">
      <c r="A642" s="2">
        <v>45885</v>
      </c>
      <c r="B642" s="1" t="s">
        <v>9</v>
      </c>
    </row>
    <row r="643" spans="1:2" x14ac:dyDescent="0.35">
      <c r="A643" s="2">
        <v>45887</v>
      </c>
      <c r="B643" s="1" t="s">
        <v>68</v>
      </c>
    </row>
    <row r="644" spans="1:2" x14ac:dyDescent="0.35">
      <c r="A644" s="2">
        <v>45887</v>
      </c>
      <c r="B644" s="1" t="s">
        <v>68</v>
      </c>
    </row>
    <row r="645" spans="1:2" x14ac:dyDescent="0.35">
      <c r="A645" s="2">
        <v>45887</v>
      </c>
      <c r="B645" s="1" t="s">
        <v>68</v>
      </c>
    </row>
    <row r="646" spans="1:2" x14ac:dyDescent="0.35">
      <c r="A646" s="2">
        <v>45887</v>
      </c>
      <c r="B646" s="1" t="s">
        <v>9</v>
      </c>
    </row>
    <row r="647" spans="1:2" x14ac:dyDescent="0.35">
      <c r="A647" s="2">
        <v>45887</v>
      </c>
      <c r="B647" s="1" t="s">
        <v>5</v>
      </c>
    </row>
    <row r="648" spans="1:2" x14ac:dyDescent="0.35">
      <c r="A648" s="2">
        <v>45887</v>
      </c>
      <c r="B648" s="1" t="s">
        <v>9</v>
      </c>
    </row>
    <row r="649" spans="1:2" x14ac:dyDescent="0.35">
      <c r="A649" s="2">
        <v>45887</v>
      </c>
      <c r="B649" s="1" t="s">
        <v>9</v>
      </c>
    </row>
    <row r="650" spans="1:2" x14ac:dyDescent="0.35">
      <c r="A650" s="2">
        <v>45888</v>
      </c>
      <c r="B650" s="1" t="s">
        <v>9</v>
      </c>
    </row>
    <row r="651" spans="1:2" x14ac:dyDescent="0.35">
      <c r="A651" s="2">
        <v>45888</v>
      </c>
      <c r="B651" s="1" t="s">
        <v>5</v>
      </c>
    </row>
    <row r="652" spans="1:2" x14ac:dyDescent="0.35">
      <c r="A652" s="2">
        <v>45888</v>
      </c>
      <c r="B652" s="1" t="s">
        <v>5</v>
      </c>
    </row>
    <row r="653" spans="1:2" x14ac:dyDescent="0.35">
      <c r="A653" s="2">
        <v>45888</v>
      </c>
      <c r="B653" s="1" t="s">
        <v>9</v>
      </c>
    </row>
    <row r="654" spans="1:2" x14ac:dyDescent="0.35">
      <c r="A654" s="2">
        <v>45888</v>
      </c>
      <c r="B654" s="1" t="s">
        <v>9</v>
      </c>
    </row>
    <row r="655" spans="1:2" x14ac:dyDescent="0.35">
      <c r="A655" s="2">
        <v>45888</v>
      </c>
      <c r="B655" s="1" t="s">
        <v>9</v>
      </c>
    </row>
    <row r="656" spans="1:2" x14ac:dyDescent="0.35">
      <c r="A656" s="2">
        <v>45889</v>
      </c>
      <c r="B656" s="1" t="s">
        <v>9</v>
      </c>
    </row>
    <row r="657" spans="1:2" x14ac:dyDescent="0.35">
      <c r="A657" s="2">
        <v>45889</v>
      </c>
      <c r="B657" s="1" t="s">
        <v>68</v>
      </c>
    </row>
    <row r="658" spans="1:2" x14ac:dyDescent="0.35">
      <c r="A658" s="2">
        <v>45889</v>
      </c>
      <c r="B658" s="1" t="s">
        <v>68</v>
      </c>
    </row>
    <row r="659" spans="1:2" x14ac:dyDescent="0.35">
      <c r="A659" s="2">
        <v>45889</v>
      </c>
      <c r="B659" s="1" t="s">
        <v>5</v>
      </c>
    </row>
    <row r="660" spans="1:2" x14ac:dyDescent="0.35">
      <c r="A660" s="2">
        <v>45889</v>
      </c>
      <c r="B660" s="1" t="s">
        <v>24</v>
      </c>
    </row>
    <row r="661" spans="1:2" x14ac:dyDescent="0.35">
      <c r="A661" s="2">
        <v>45889</v>
      </c>
      <c r="B661" s="1" t="s">
        <v>24</v>
      </c>
    </row>
    <row r="662" spans="1:2" x14ac:dyDescent="0.35">
      <c r="A662" s="2">
        <v>45889</v>
      </c>
      <c r="B662" s="1" t="s">
        <v>24</v>
      </c>
    </row>
    <row r="663" spans="1:2" x14ac:dyDescent="0.35">
      <c r="A663" s="2">
        <v>45889</v>
      </c>
      <c r="B663" s="1" t="s">
        <v>9</v>
      </c>
    </row>
    <row r="664" spans="1:2" x14ac:dyDescent="0.35">
      <c r="A664" s="2">
        <v>45889</v>
      </c>
      <c r="B664" s="1" t="s">
        <v>9</v>
      </c>
    </row>
    <row r="665" spans="1:2" x14ac:dyDescent="0.35">
      <c r="A665" s="2">
        <v>45889</v>
      </c>
      <c r="B665" s="1" t="s">
        <v>68</v>
      </c>
    </row>
    <row r="666" spans="1:2" x14ac:dyDescent="0.35">
      <c r="A666" s="2">
        <v>45889</v>
      </c>
      <c r="B666" s="1" t="s">
        <v>68</v>
      </c>
    </row>
    <row r="667" spans="1:2" x14ac:dyDescent="0.35">
      <c r="A667" s="2">
        <v>45889</v>
      </c>
      <c r="B667" s="1" t="s">
        <v>68</v>
      </c>
    </row>
    <row r="668" spans="1:2" x14ac:dyDescent="0.35">
      <c r="A668" s="2">
        <v>45890</v>
      </c>
      <c r="B668" s="1" t="s">
        <v>5</v>
      </c>
    </row>
    <row r="669" spans="1:2" x14ac:dyDescent="0.35">
      <c r="A669" s="2">
        <v>45890</v>
      </c>
      <c r="B669" s="1" t="s">
        <v>24</v>
      </c>
    </row>
    <row r="670" spans="1:2" x14ac:dyDescent="0.35">
      <c r="A670" s="2">
        <v>45890</v>
      </c>
      <c r="B670" s="1" t="s">
        <v>77</v>
      </c>
    </row>
    <row r="671" spans="1:2" x14ac:dyDescent="0.35">
      <c r="A671" s="2">
        <v>45890</v>
      </c>
      <c r="B671" s="1" t="s">
        <v>5</v>
      </c>
    </row>
    <row r="672" spans="1:2" x14ac:dyDescent="0.35">
      <c r="A672" s="2">
        <v>45890</v>
      </c>
      <c r="B672" s="1" t="s">
        <v>77</v>
      </c>
    </row>
    <row r="673" spans="1:2" x14ac:dyDescent="0.35">
      <c r="A673" s="2">
        <v>45890</v>
      </c>
      <c r="B673" s="1" t="s">
        <v>77</v>
      </c>
    </row>
    <row r="674" spans="1:2" x14ac:dyDescent="0.35">
      <c r="A674" s="2">
        <v>45890</v>
      </c>
      <c r="B674" s="1" t="s">
        <v>68</v>
      </c>
    </row>
    <row r="675" spans="1:2" x14ac:dyDescent="0.35">
      <c r="A675" s="2">
        <v>45890</v>
      </c>
      <c r="B675" s="1" t="s">
        <v>68</v>
      </c>
    </row>
    <row r="676" spans="1:2" x14ac:dyDescent="0.35">
      <c r="A676" s="2">
        <v>45890</v>
      </c>
      <c r="B676" s="1" t="s">
        <v>68</v>
      </c>
    </row>
    <row r="677" spans="1:2" x14ac:dyDescent="0.35">
      <c r="A677" s="2">
        <v>45890</v>
      </c>
      <c r="B677" s="1" t="s">
        <v>68</v>
      </c>
    </row>
    <row r="678" spans="1:2" x14ac:dyDescent="0.35">
      <c r="A678" s="2">
        <v>45890</v>
      </c>
      <c r="B678" s="1" t="s">
        <v>68</v>
      </c>
    </row>
    <row r="679" spans="1:2" x14ac:dyDescent="0.35">
      <c r="A679" s="2">
        <v>45890</v>
      </c>
      <c r="B679" s="1" t="s">
        <v>68</v>
      </c>
    </row>
    <row r="680" spans="1:2" x14ac:dyDescent="0.35">
      <c r="A680" s="2">
        <v>45890</v>
      </c>
      <c r="B680" s="1" t="s">
        <v>68</v>
      </c>
    </row>
    <row r="681" spans="1:2" x14ac:dyDescent="0.35">
      <c r="A681" s="2">
        <v>45890</v>
      </c>
      <c r="B681" s="1" t="s">
        <v>68</v>
      </c>
    </row>
    <row r="682" spans="1:2" x14ac:dyDescent="0.35">
      <c r="A682" s="2">
        <v>45890</v>
      </c>
      <c r="B682" s="1" t="s">
        <v>24</v>
      </c>
    </row>
    <row r="683" spans="1:2" x14ac:dyDescent="0.35">
      <c r="A683" s="2">
        <v>45890</v>
      </c>
      <c r="B683" s="1" t="s">
        <v>24</v>
      </c>
    </row>
    <row r="684" spans="1:2" x14ac:dyDescent="0.35">
      <c r="A684" s="2">
        <v>45890</v>
      </c>
      <c r="B684" s="1" t="s">
        <v>24</v>
      </c>
    </row>
    <row r="685" spans="1:2" x14ac:dyDescent="0.35">
      <c r="A685" s="2">
        <v>45890</v>
      </c>
      <c r="B685" s="1" t="s">
        <v>24</v>
      </c>
    </row>
    <row r="686" spans="1:2" x14ac:dyDescent="0.35">
      <c r="A686" s="2">
        <v>45890</v>
      </c>
      <c r="B686" s="1" t="s">
        <v>24</v>
      </c>
    </row>
    <row r="687" spans="1:2" x14ac:dyDescent="0.35">
      <c r="A687" s="2">
        <v>45890</v>
      </c>
      <c r="B687" s="1" t="s">
        <v>24</v>
      </c>
    </row>
    <row r="688" spans="1:2" x14ac:dyDescent="0.35">
      <c r="A688" s="2">
        <v>45890</v>
      </c>
      <c r="B688" s="1" t="s">
        <v>24</v>
      </c>
    </row>
    <row r="689" spans="1:2" x14ac:dyDescent="0.35">
      <c r="A689" s="2">
        <v>45891</v>
      </c>
      <c r="B689" s="1" t="s">
        <v>9</v>
      </c>
    </row>
    <row r="690" spans="1:2" x14ac:dyDescent="0.35">
      <c r="A690" s="2">
        <v>45891</v>
      </c>
      <c r="B690" s="1" t="s">
        <v>68</v>
      </c>
    </row>
    <row r="691" spans="1:2" x14ac:dyDescent="0.35">
      <c r="A691" s="2">
        <v>45891</v>
      </c>
      <c r="B691" s="1" t="s">
        <v>68</v>
      </c>
    </row>
    <row r="692" spans="1:2" x14ac:dyDescent="0.35">
      <c r="A692" s="2">
        <v>45891</v>
      </c>
      <c r="B692" s="1" t="s">
        <v>24</v>
      </c>
    </row>
    <row r="693" spans="1:2" x14ac:dyDescent="0.35">
      <c r="A693" s="2">
        <v>45891</v>
      </c>
      <c r="B693" s="1" t="s">
        <v>9</v>
      </c>
    </row>
    <row r="694" spans="1:2" x14ac:dyDescent="0.35">
      <c r="A694" s="2">
        <v>45891</v>
      </c>
      <c r="B694" s="1" t="s">
        <v>9</v>
      </c>
    </row>
    <row r="695" spans="1:2" x14ac:dyDescent="0.35">
      <c r="A695" s="2">
        <v>45891</v>
      </c>
      <c r="B695" s="1" t="s">
        <v>9</v>
      </c>
    </row>
    <row r="696" spans="1:2" x14ac:dyDescent="0.35">
      <c r="A696" s="2">
        <v>45891</v>
      </c>
      <c r="B696" s="1" t="s">
        <v>9</v>
      </c>
    </row>
    <row r="697" spans="1:2" x14ac:dyDescent="0.35">
      <c r="A697" s="2">
        <v>45891</v>
      </c>
      <c r="B697" s="1" t="s">
        <v>9</v>
      </c>
    </row>
    <row r="698" spans="1:2" x14ac:dyDescent="0.35">
      <c r="A698" s="2">
        <v>45891</v>
      </c>
      <c r="B698" s="1" t="s">
        <v>9</v>
      </c>
    </row>
    <row r="699" spans="1:2" x14ac:dyDescent="0.35">
      <c r="A699" s="2">
        <v>45891</v>
      </c>
      <c r="B699" s="1" t="s">
        <v>9</v>
      </c>
    </row>
    <row r="700" spans="1:2" x14ac:dyDescent="0.35">
      <c r="A700" s="2">
        <v>45891</v>
      </c>
      <c r="B700" s="1" t="s">
        <v>9</v>
      </c>
    </row>
    <row r="701" spans="1:2" x14ac:dyDescent="0.35">
      <c r="A701" s="2">
        <v>45891</v>
      </c>
      <c r="B701" s="1" t="s">
        <v>5</v>
      </c>
    </row>
    <row r="702" spans="1:2" x14ac:dyDescent="0.35">
      <c r="A702" s="2">
        <v>45891</v>
      </c>
      <c r="B702" s="1" t="s">
        <v>9</v>
      </c>
    </row>
    <row r="703" spans="1:2" x14ac:dyDescent="0.35">
      <c r="A703" s="2">
        <v>45891</v>
      </c>
      <c r="B703" s="1" t="s">
        <v>68</v>
      </c>
    </row>
    <row r="704" spans="1:2" x14ac:dyDescent="0.35">
      <c r="A704" s="2">
        <v>45891</v>
      </c>
      <c r="B704" s="1" t="s">
        <v>68</v>
      </c>
    </row>
    <row r="705" spans="1:2" x14ac:dyDescent="0.35">
      <c r="A705" s="2">
        <v>45891</v>
      </c>
      <c r="B705" s="1" t="s">
        <v>68</v>
      </c>
    </row>
    <row r="706" spans="1:2" x14ac:dyDescent="0.35">
      <c r="A706" s="2">
        <v>45891</v>
      </c>
      <c r="B706" s="1" t="s">
        <v>24</v>
      </c>
    </row>
    <row r="707" spans="1:2" x14ac:dyDescent="0.35">
      <c r="A707" s="2">
        <v>45891</v>
      </c>
      <c r="B707" s="1" t="s">
        <v>24</v>
      </c>
    </row>
    <row r="708" spans="1:2" x14ac:dyDescent="0.35">
      <c r="A708" s="2">
        <v>45891</v>
      </c>
      <c r="B708" s="1" t="s">
        <v>24</v>
      </c>
    </row>
    <row r="709" spans="1:2" x14ac:dyDescent="0.35">
      <c r="A709" s="2">
        <v>45892</v>
      </c>
      <c r="B709" s="1" t="s">
        <v>9</v>
      </c>
    </row>
    <row r="710" spans="1:2" x14ac:dyDescent="0.35">
      <c r="A710" s="2">
        <v>45892</v>
      </c>
      <c r="B710" s="1" t="s">
        <v>9</v>
      </c>
    </row>
    <row r="711" spans="1:2" x14ac:dyDescent="0.35">
      <c r="A711" s="2">
        <v>45892</v>
      </c>
      <c r="B711" s="1" t="s">
        <v>9</v>
      </c>
    </row>
    <row r="712" spans="1:2" x14ac:dyDescent="0.35">
      <c r="A712" s="2">
        <v>45892</v>
      </c>
      <c r="B712" s="1" t="s">
        <v>9</v>
      </c>
    </row>
    <row r="713" spans="1:2" x14ac:dyDescent="0.35">
      <c r="A713" s="2">
        <v>45892</v>
      </c>
      <c r="B713" s="1" t="s">
        <v>9</v>
      </c>
    </row>
    <row r="714" spans="1:2" x14ac:dyDescent="0.35">
      <c r="A714" s="2">
        <v>45894</v>
      </c>
      <c r="B714" s="1" t="s">
        <v>77</v>
      </c>
    </row>
    <row r="715" spans="1:2" x14ac:dyDescent="0.35">
      <c r="A715" s="2">
        <v>45894</v>
      </c>
      <c r="B715" s="1" t="s">
        <v>77</v>
      </c>
    </row>
    <row r="716" spans="1:2" x14ac:dyDescent="0.35">
      <c r="A716" s="2">
        <v>45895</v>
      </c>
      <c r="B716" s="1" t="s">
        <v>68</v>
      </c>
    </row>
    <row r="717" spans="1:2" x14ac:dyDescent="0.35">
      <c r="A717" s="2">
        <v>45895</v>
      </c>
      <c r="B717" s="1" t="s">
        <v>77</v>
      </c>
    </row>
    <row r="718" spans="1:2" x14ac:dyDescent="0.35">
      <c r="A718" s="2">
        <v>45895</v>
      </c>
      <c r="B718" s="1" t="s">
        <v>77</v>
      </c>
    </row>
    <row r="719" spans="1:2" x14ac:dyDescent="0.35">
      <c r="A719" s="2">
        <v>45895</v>
      </c>
      <c r="B719" s="1" t="s">
        <v>77</v>
      </c>
    </row>
    <row r="720" spans="1:2" x14ac:dyDescent="0.35">
      <c r="A720" s="2">
        <v>45895</v>
      </c>
      <c r="B720" s="1" t="s">
        <v>68</v>
      </c>
    </row>
    <row r="721" spans="1:2" x14ac:dyDescent="0.35">
      <c r="A721" s="2">
        <v>45895</v>
      </c>
      <c r="B721" s="1" t="s">
        <v>68</v>
      </c>
    </row>
    <row r="722" spans="1:2" x14ac:dyDescent="0.35">
      <c r="A722" s="2">
        <v>45895</v>
      </c>
      <c r="B722" s="1" t="s">
        <v>24</v>
      </c>
    </row>
    <row r="723" spans="1:2" x14ac:dyDescent="0.35">
      <c r="A723" s="2">
        <v>45896</v>
      </c>
      <c r="B723" s="1" t="s">
        <v>9</v>
      </c>
    </row>
    <row r="724" spans="1:2" x14ac:dyDescent="0.35">
      <c r="A724" s="2">
        <v>45896</v>
      </c>
      <c r="B724" s="1" t="s">
        <v>9</v>
      </c>
    </row>
    <row r="725" spans="1:2" x14ac:dyDescent="0.35">
      <c r="A725" s="2">
        <v>45896</v>
      </c>
      <c r="B725" s="1" t="s">
        <v>68</v>
      </c>
    </row>
    <row r="726" spans="1:2" x14ac:dyDescent="0.35">
      <c r="A726" s="2">
        <v>45896</v>
      </c>
      <c r="B726" s="1" t="s">
        <v>68</v>
      </c>
    </row>
    <row r="727" spans="1:2" x14ac:dyDescent="0.35">
      <c r="A727" s="2">
        <v>45896</v>
      </c>
      <c r="B727" s="1" t="s">
        <v>68</v>
      </c>
    </row>
    <row r="728" spans="1:2" x14ac:dyDescent="0.35">
      <c r="A728" s="2">
        <v>45896</v>
      </c>
      <c r="B728" s="1" t="s">
        <v>9</v>
      </c>
    </row>
    <row r="729" spans="1:2" x14ac:dyDescent="0.35">
      <c r="A729" s="2">
        <v>45896</v>
      </c>
      <c r="B729" s="1" t="s">
        <v>9</v>
      </c>
    </row>
    <row r="730" spans="1:2" x14ac:dyDescent="0.35">
      <c r="A730" s="2">
        <v>45896</v>
      </c>
      <c r="B730" s="1" t="s">
        <v>9</v>
      </c>
    </row>
    <row r="731" spans="1:2" x14ac:dyDescent="0.35">
      <c r="A731" s="2">
        <v>45896</v>
      </c>
      <c r="B731" s="1" t="s">
        <v>77</v>
      </c>
    </row>
    <row r="732" spans="1:2" x14ac:dyDescent="0.35">
      <c r="A732" s="2">
        <v>45896</v>
      </c>
      <c r="B732" s="1" t="s">
        <v>5</v>
      </c>
    </row>
    <row r="733" spans="1:2" x14ac:dyDescent="0.35">
      <c r="A733" s="2">
        <v>45896</v>
      </c>
      <c r="B733" s="1" t="s">
        <v>5</v>
      </c>
    </row>
    <row r="734" spans="1:2" x14ac:dyDescent="0.35">
      <c r="A734" s="2">
        <v>45896</v>
      </c>
      <c r="B734" s="1" t="s">
        <v>24</v>
      </c>
    </row>
    <row r="735" spans="1:2" x14ac:dyDescent="0.35">
      <c r="A735" s="2">
        <v>45896</v>
      </c>
      <c r="B735" s="1" t="s">
        <v>68</v>
      </c>
    </row>
    <row r="736" spans="1:2" x14ac:dyDescent="0.35">
      <c r="A736" s="2">
        <v>45896</v>
      </c>
      <c r="B736" s="1" t="s">
        <v>24</v>
      </c>
    </row>
    <row r="737" spans="1:2" x14ac:dyDescent="0.35">
      <c r="A737" s="2">
        <v>45897</v>
      </c>
      <c r="B737" s="1" t="s">
        <v>24</v>
      </c>
    </row>
    <row r="738" spans="1:2" x14ac:dyDescent="0.35">
      <c r="A738" s="2">
        <v>45897</v>
      </c>
      <c r="B738" s="1" t="s">
        <v>5</v>
      </c>
    </row>
    <row r="739" spans="1:2" x14ac:dyDescent="0.35">
      <c r="A739" s="2">
        <v>45897</v>
      </c>
      <c r="B739" s="1" t="s">
        <v>68</v>
      </c>
    </row>
    <row r="740" spans="1:2" x14ac:dyDescent="0.35">
      <c r="A740" s="2">
        <v>45897</v>
      </c>
      <c r="B740" s="1" t="s">
        <v>5</v>
      </c>
    </row>
    <row r="741" spans="1:2" x14ac:dyDescent="0.35">
      <c r="A741" s="2">
        <v>45897</v>
      </c>
      <c r="B741" s="1" t="s">
        <v>9</v>
      </c>
    </row>
    <row r="742" spans="1:2" x14ac:dyDescent="0.35">
      <c r="A742" s="2">
        <v>45897</v>
      </c>
      <c r="B742" s="1" t="s">
        <v>68</v>
      </c>
    </row>
    <row r="743" spans="1:2" x14ac:dyDescent="0.35">
      <c r="A743" s="2">
        <v>45897</v>
      </c>
      <c r="B743" s="1" t="s">
        <v>68</v>
      </c>
    </row>
    <row r="744" spans="1:2" x14ac:dyDescent="0.35">
      <c r="A744" s="2">
        <v>45897</v>
      </c>
      <c r="B744" s="1" t="s">
        <v>5</v>
      </c>
    </row>
    <row r="745" spans="1:2" x14ac:dyDescent="0.35">
      <c r="A745" s="2">
        <v>45897</v>
      </c>
      <c r="B745" s="1" t="s">
        <v>24</v>
      </c>
    </row>
    <row r="746" spans="1:2" x14ac:dyDescent="0.35">
      <c r="A746" s="2">
        <v>45898</v>
      </c>
      <c r="B746" s="1" t="s">
        <v>68</v>
      </c>
    </row>
    <row r="747" spans="1:2" x14ac:dyDescent="0.35">
      <c r="A747" s="2">
        <v>45898</v>
      </c>
      <c r="B747" s="1" t="s">
        <v>77</v>
      </c>
    </row>
    <row r="748" spans="1:2" x14ac:dyDescent="0.35">
      <c r="A748" s="2">
        <v>45898</v>
      </c>
      <c r="B748" s="1" t="s">
        <v>68</v>
      </c>
    </row>
    <row r="749" spans="1:2" x14ac:dyDescent="0.35">
      <c r="A749" s="2">
        <v>45898</v>
      </c>
      <c r="B749" s="1" t="s">
        <v>5</v>
      </c>
    </row>
    <row r="750" spans="1:2" x14ac:dyDescent="0.35">
      <c r="A750" s="2">
        <v>45898</v>
      </c>
      <c r="B750" s="1" t="s">
        <v>5</v>
      </c>
    </row>
    <row r="751" spans="1:2" x14ac:dyDescent="0.35">
      <c r="A751" s="2">
        <v>45898</v>
      </c>
      <c r="B751" s="1" t="s">
        <v>5</v>
      </c>
    </row>
    <row r="752" spans="1:2" x14ac:dyDescent="0.35">
      <c r="A752" s="2">
        <v>45898</v>
      </c>
      <c r="B752" s="1" t="s">
        <v>24</v>
      </c>
    </row>
    <row r="753" spans="1:2" x14ac:dyDescent="0.35">
      <c r="A753" s="2">
        <v>45898</v>
      </c>
      <c r="B753" s="1" t="s">
        <v>68</v>
      </c>
    </row>
    <row r="754" spans="1:2" x14ac:dyDescent="0.35">
      <c r="A754" s="2">
        <v>45901</v>
      </c>
      <c r="B754" s="1" t="s">
        <v>24</v>
      </c>
    </row>
    <row r="755" spans="1:2" x14ac:dyDescent="0.35">
      <c r="A755" s="2">
        <v>45901</v>
      </c>
      <c r="B755" s="1" t="s">
        <v>9</v>
      </c>
    </row>
    <row r="756" spans="1:2" x14ac:dyDescent="0.35">
      <c r="A756" s="2">
        <v>45901</v>
      </c>
      <c r="B756" s="1" t="s">
        <v>9</v>
      </c>
    </row>
    <row r="757" spans="1:2" x14ac:dyDescent="0.35">
      <c r="A757" s="2">
        <v>45901</v>
      </c>
      <c r="B757" s="1" t="s">
        <v>9</v>
      </c>
    </row>
    <row r="758" spans="1:2" x14ac:dyDescent="0.35">
      <c r="A758" s="2">
        <v>45901</v>
      </c>
      <c r="B758" s="1" t="s">
        <v>9</v>
      </c>
    </row>
    <row r="759" spans="1:2" x14ac:dyDescent="0.35">
      <c r="A759" s="2">
        <v>45901</v>
      </c>
      <c r="B759" s="1" t="s">
        <v>5</v>
      </c>
    </row>
    <row r="760" spans="1:2" x14ac:dyDescent="0.35">
      <c r="A760" s="2">
        <v>45901</v>
      </c>
      <c r="B760" s="1" t="s">
        <v>5</v>
      </c>
    </row>
    <row r="761" spans="1:2" x14ac:dyDescent="0.35">
      <c r="A761" s="2">
        <v>45901</v>
      </c>
      <c r="B761" s="1" t="s">
        <v>5</v>
      </c>
    </row>
    <row r="762" spans="1:2" x14ac:dyDescent="0.35">
      <c r="A762" s="2">
        <v>45902</v>
      </c>
      <c r="B762" s="1" t="s">
        <v>5</v>
      </c>
    </row>
    <row r="763" spans="1:2" x14ac:dyDescent="0.35">
      <c r="A763" s="2">
        <v>45902</v>
      </c>
      <c r="B763" s="1" t="s">
        <v>5</v>
      </c>
    </row>
    <row r="764" spans="1:2" x14ac:dyDescent="0.35">
      <c r="A764" s="2">
        <v>45902</v>
      </c>
      <c r="B764" s="1" t="s">
        <v>5</v>
      </c>
    </row>
    <row r="765" spans="1:2" x14ac:dyDescent="0.35">
      <c r="A765" s="2">
        <v>45902</v>
      </c>
      <c r="B765" s="1" t="s">
        <v>24</v>
      </c>
    </row>
    <row r="766" spans="1:2" x14ac:dyDescent="0.35">
      <c r="A766" s="2">
        <v>45902</v>
      </c>
      <c r="B766" s="1" t="s">
        <v>24</v>
      </c>
    </row>
    <row r="767" spans="1:2" x14ac:dyDescent="0.35">
      <c r="A767" s="2">
        <v>45902</v>
      </c>
      <c r="B767" s="1" t="s">
        <v>24</v>
      </c>
    </row>
    <row r="768" spans="1:2" x14ac:dyDescent="0.35">
      <c r="A768" s="2">
        <v>45902</v>
      </c>
      <c r="B768" s="1" t="s">
        <v>24</v>
      </c>
    </row>
    <row r="769" spans="1:2" x14ac:dyDescent="0.35">
      <c r="A769" s="2">
        <v>45903</v>
      </c>
      <c r="B769" s="1" t="s">
        <v>9</v>
      </c>
    </row>
    <row r="770" spans="1:2" x14ac:dyDescent="0.35">
      <c r="A770" s="2">
        <v>45903</v>
      </c>
      <c r="B770" s="1" t="s">
        <v>24</v>
      </c>
    </row>
    <row r="771" spans="1:2" x14ac:dyDescent="0.35">
      <c r="A771" s="2">
        <v>45903</v>
      </c>
      <c r="B771" s="1" t="s">
        <v>5</v>
      </c>
    </row>
    <row r="772" spans="1:2" x14ac:dyDescent="0.35">
      <c r="A772" s="2">
        <v>45904</v>
      </c>
      <c r="B772" s="1" t="s">
        <v>77</v>
      </c>
    </row>
    <row r="773" spans="1:2" x14ac:dyDescent="0.35">
      <c r="A773" s="2">
        <v>45904</v>
      </c>
      <c r="B773" s="1" t="s">
        <v>77</v>
      </c>
    </row>
    <row r="774" spans="1:2" x14ac:dyDescent="0.35">
      <c r="A774" s="2">
        <v>45905</v>
      </c>
      <c r="B774" s="1" t="s">
        <v>24</v>
      </c>
    </row>
    <row r="775" spans="1:2" x14ac:dyDescent="0.35">
      <c r="A775" s="2">
        <v>45905</v>
      </c>
      <c r="B775" s="1" t="s">
        <v>9</v>
      </c>
    </row>
    <row r="776" spans="1:2" x14ac:dyDescent="0.35">
      <c r="A776" s="2">
        <v>45905</v>
      </c>
      <c r="B776" s="1" t="s">
        <v>9</v>
      </c>
    </row>
    <row r="777" spans="1:2" x14ac:dyDescent="0.35">
      <c r="A777" s="2">
        <v>45905</v>
      </c>
      <c r="B777" s="1" t="s">
        <v>9</v>
      </c>
    </row>
    <row r="778" spans="1:2" x14ac:dyDescent="0.35">
      <c r="A778" s="2">
        <v>45905</v>
      </c>
      <c r="B778" s="1" t="s">
        <v>24</v>
      </c>
    </row>
    <row r="779" spans="1:2" x14ac:dyDescent="0.35">
      <c r="A779" s="2">
        <v>45905</v>
      </c>
      <c r="B779" s="1" t="s">
        <v>24</v>
      </c>
    </row>
    <row r="780" spans="1:2" x14ac:dyDescent="0.35">
      <c r="A780" s="2">
        <v>45905</v>
      </c>
      <c r="B780" s="1" t="s">
        <v>24</v>
      </c>
    </row>
    <row r="781" spans="1:2" x14ac:dyDescent="0.35">
      <c r="A781" s="2">
        <v>45905</v>
      </c>
      <c r="B781" s="1" t="s">
        <v>24</v>
      </c>
    </row>
    <row r="782" spans="1:2" x14ac:dyDescent="0.35">
      <c r="A782" s="2">
        <v>45908</v>
      </c>
      <c r="B782" s="1" t="s">
        <v>5</v>
      </c>
    </row>
    <row r="783" spans="1:2" x14ac:dyDescent="0.35">
      <c r="A783" s="2">
        <v>45908</v>
      </c>
      <c r="B783" s="1" t="s">
        <v>5</v>
      </c>
    </row>
    <row r="784" spans="1:2" x14ac:dyDescent="0.35">
      <c r="A784" s="2">
        <v>45908</v>
      </c>
      <c r="B784" s="1" t="s">
        <v>68</v>
      </c>
    </row>
    <row r="785" spans="1:2" x14ac:dyDescent="0.35">
      <c r="A785" s="2">
        <v>45908</v>
      </c>
      <c r="B785" s="1" t="s">
        <v>9</v>
      </c>
    </row>
    <row r="786" spans="1:2" x14ac:dyDescent="0.35">
      <c r="A786" s="2">
        <v>45908</v>
      </c>
      <c r="B786" s="1" t="s">
        <v>9</v>
      </c>
    </row>
    <row r="787" spans="1:2" x14ac:dyDescent="0.35">
      <c r="A787" s="2">
        <v>45908</v>
      </c>
      <c r="B787" s="1" t="s">
        <v>9</v>
      </c>
    </row>
    <row r="788" spans="1:2" x14ac:dyDescent="0.35">
      <c r="A788" s="2">
        <v>45908</v>
      </c>
      <c r="B788" s="1" t="s">
        <v>9</v>
      </c>
    </row>
    <row r="789" spans="1:2" x14ac:dyDescent="0.35">
      <c r="A789" s="2">
        <v>45908</v>
      </c>
      <c r="B789" s="1" t="s">
        <v>50</v>
      </c>
    </row>
    <row r="790" spans="1:2" x14ac:dyDescent="0.35">
      <c r="A790" s="2">
        <v>45908</v>
      </c>
      <c r="B790" s="1" t="s">
        <v>50</v>
      </c>
    </row>
    <row r="791" spans="1:2" x14ac:dyDescent="0.35">
      <c r="A791" s="2">
        <v>45908</v>
      </c>
      <c r="B791" s="1" t="s">
        <v>50</v>
      </c>
    </row>
    <row r="792" spans="1:2" x14ac:dyDescent="0.35">
      <c r="A792" s="2">
        <v>45908</v>
      </c>
      <c r="B792" s="1" t="s">
        <v>68</v>
      </c>
    </row>
    <row r="793" spans="1:2" x14ac:dyDescent="0.35">
      <c r="A793" s="2">
        <v>45908</v>
      </c>
      <c r="B793" s="1" t="s">
        <v>68</v>
      </c>
    </row>
    <row r="794" spans="1:2" x14ac:dyDescent="0.35">
      <c r="A794" s="2">
        <v>45908</v>
      </c>
      <c r="B794" s="1" t="s">
        <v>5</v>
      </c>
    </row>
    <row r="795" spans="1:2" x14ac:dyDescent="0.35">
      <c r="A795" s="2">
        <v>45908</v>
      </c>
      <c r="B795" s="1" t="s">
        <v>5</v>
      </c>
    </row>
    <row r="796" spans="1:2" x14ac:dyDescent="0.35">
      <c r="A796" s="2">
        <v>45908</v>
      </c>
      <c r="B796" s="1" t="s">
        <v>24</v>
      </c>
    </row>
    <row r="797" spans="1:2" x14ac:dyDescent="0.35">
      <c r="A797" s="2">
        <v>45908</v>
      </c>
      <c r="B797" s="1" t="s">
        <v>24</v>
      </c>
    </row>
    <row r="798" spans="1:2" x14ac:dyDescent="0.35">
      <c r="A798" s="2">
        <v>45908</v>
      </c>
      <c r="B798" s="1" t="s">
        <v>24</v>
      </c>
    </row>
    <row r="799" spans="1:2" x14ac:dyDescent="0.35">
      <c r="A799" s="2">
        <v>45909</v>
      </c>
      <c r="B799" s="1" t="s">
        <v>68</v>
      </c>
    </row>
    <row r="800" spans="1:2" x14ac:dyDescent="0.35">
      <c r="A800" s="2">
        <v>45909</v>
      </c>
      <c r="B800" s="1" t="s">
        <v>9</v>
      </c>
    </row>
    <row r="801" spans="1:2" x14ac:dyDescent="0.35">
      <c r="A801" s="2">
        <v>45909</v>
      </c>
      <c r="B801" s="1" t="s">
        <v>77</v>
      </c>
    </row>
    <row r="802" spans="1:2" x14ac:dyDescent="0.35">
      <c r="A802" s="2">
        <v>45909</v>
      </c>
      <c r="B802" s="1" t="s">
        <v>77</v>
      </c>
    </row>
    <row r="803" spans="1:2" x14ac:dyDescent="0.35">
      <c r="A803" s="2">
        <v>45909</v>
      </c>
      <c r="B803" s="1" t="s">
        <v>77</v>
      </c>
    </row>
    <row r="804" spans="1:2" x14ac:dyDescent="0.35">
      <c r="A804" s="2">
        <v>45909</v>
      </c>
      <c r="B804" s="1" t="s">
        <v>9</v>
      </c>
    </row>
    <row r="805" spans="1:2" x14ac:dyDescent="0.35">
      <c r="A805" s="2">
        <v>45909</v>
      </c>
      <c r="B805" s="1" t="s">
        <v>9</v>
      </c>
    </row>
    <row r="806" spans="1:2" x14ac:dyDescent="0.35">
      <c r="A806" s="2">
        <v>45909</v>
      </c>
      <c r="B806" s="1" t="s">
        <v>9</v>
      </c>
    </row>
    <row r="807" spans="1:2" x14ac:dyDescent="0.35">
      <c r="A807" s="2">
        <v>45909</v>
      </c>
      <c r="B807" s="1" t="s">
        <v>68</v>
      </c>
    </row>
    <row r="808" spans="1:2" x14ac:dyDescent="0.35">
      <c r="A808" s="2">
        <v>45909</v>
      </c>
      <c r="B808" s="1" t="s">
        <v>68</v>
      </c>
    </row>
    <row r="809" spans="1:2" x14ac:dyDescent="0.35">
      <c r="A809" s="2">
        <v>45909</v>
      </c>
      <c r="B809" s="1" t="s">
        <v>68</v>
      </c>
    </row>
    <row r="810" spans="1:2" x14ac:dyDescent="0.35">
      <c r="A810" s="2">
        <v>45910</v>
      </c>
      <c r="B810" s="1" t="s">
        <v>9</v>
      </c>
    </row>
    <row r="811" spans="1:2" x14ac:dyDescent="0.35">
      <c r="A811" s="2">
        <v>45910</v>
      </c>
      <c r="B811" s="1" t="s">
        <v>9</v>
      </c>
    </row>
    <row r="812" spans="1:2" x14ac:dyDescent="0.35">
      <c r="A812" s="2">
        <v>45910</v>
      </c>
      <c r="B812" s="1" t="s">
        <v>9</v>
      </c>
    </row>
    <row r="813" spans="1:2" x14ac:dyDescent="0.35">
      <c r="A813" s="2">
        <v>45910</v>
      </c>
      <c r="B813" s="1" t="s">
        <v>5</v>
      </c>
    </row>
    <row r="814" spans="1:2" x14ac:dyDescent="0.35">
      <c r="A814" s="2">
        <v>45910</v>
      </c>
      <c r="B814" s="1" t="s">
        <v>9</v>
      </c>
    </row>
    <row r="815" spans="1:2" x14ac:dyDescent="0.35">
      <c r="A815" s="2">
        <v>45910</v>
      </c>
      <c r="B815" s="1" t="s">
        <v>77</v>
      </c>
    </row>
    <row r="816" spans="1:2" x14ac:dyDescent="0.35">
      <c r="A816" s="2">
        <v>45910</v>
      </c>
      <c r="B816" s="1" t="s">
        <v>77</v>
      </c>
    </row>
    <row r="817" spans="1:2" x14ac:dyDescent="0.35">
      <c r="A817" s="2">
        <v>45910</v>
      </c>
      <c r="B817" s="1" t="s">
        <v>77</v>
      </c>
    </row>
    <row r="818" spans="1:2" x14ac:dyDescent="0.35">
      <c r="A818" s="2">
        <v>45910</v>
      </c>
      <c r="B818" s="1" t="s">
        <v>68</v>
      </c>
    </row>
    <row r="819" spans="1:2" x14ac:dyDescent="0.35">
      <c r="A819" s="2">
        <v>45910</v>
      </c>
      <c r="B819" s="1" t="s">
        <v>5</v>
      </c>
    </row>
    <row r="820" spans="1:2" x14ac:dyDescent="0.35">
      <c r="A820" s="2">
        <v>45910</v>
      </c>
      <c r="B820" s="1" t="s">
        <v>5</v>
      </c>
    </row>
    <row r="821" spans="1:2" x14ac:dyDescent="0.35">
      <c r="A821" s="2">
        <v>45910</v>
      </c>
      <c r="B821" s="1" t="s">
        <v>5</v>
      </c>
    </row>
    <row r="822" spans="1:2" x14ac:dyDescent="0.35">
      <c r="A822" s="2">
        <v>45911</v>
      </c>
      <c r="B822" s="1" t="s">
        <v>9</v>
      </c>
    </row>
    <row r="823" spans="1:2" x14ac:dyDescent="0.35">
      <c r="A823" s="2">
        <v>45911</v>
      </c>
      <c r="B823" s="1" t="s">
        <v>50</v>
      </c>
    </row>
    <row r="824" spans="1:2" x14ac:dyDescent="0.35">
      <c r="A824" s="2">
        <v>45911</v>
      </c>
      <c r="B824" s="1" t="s">
        <v>50</v>
      </c>
    </row>
    <row r="825" spans="1:2" x14ac:dyDescent="0.35">
      <c r="A825" s="2">
        <v>45911</v>
      </c>
      <c r="B825" s="1" t="s">
        <v>50</v>
      </c>
    </row>
    <row r="826" spans="1:2" x14ac:dyDescent="0.35">
      <c r="A826" s="2">
        <v>45911</v>
      </c>
      <c r="B826" s="1" t="s">
        <v>50</v>
      </c>
    </row>
    <row r="827" spans="1:2" x14ac:dyDescent="0.35">
      <c r="A827" s="2">
        <v>45911</v>
      </c>
      <c r="B827" s="1" t="s">
        <v>77</v>
      </c>
    </row>
    <row r="828" spans="1:2" x14ac:dyDescent="0.35">
      <c r="A828" s="2">
        <v>45911</v>
      </c>
      <c r="B828" s="1" t="s">
        <v>77</v>
      </c>
    </row>
    <row r="829" spans="1:2" x14ac:dyDescent="0.35">
      <c r="A829" s="2">
        <v>45911</v>
      </c>
      <c r="B829" s="1" t="s">
        <v>77</v>
      </c>
    </row>
    <row r="830" spans="1:2" x14ac:dyDescent="0.35">
      <c r="A830" s="2">
        <v>45911</v>
      </c>
      <c r="B830" s="1" t="s">
        <v>77</v>
      </c>
    </row>
    <row r="831" spans="1:2" x14ac:dyDescent="0.35">
      <c r="A831" s="2">
        <v>45911</v>
      </c>
      <c r="B831" s="1" t="s">
        <v>77</v>
      </c>
    </row>
    <row r="832" spans="1:2" x14ac:dyDescent="0.35">
      <c r="A832" s="2">
        <v>45911</v>
      </c>
      <c r="B832" s="1" t="s">
        <v>5</v>
      </c>
    </row>
    <row r="833" spans="1:2" x14ac:dyDescent="0.35">
      <c r="A833" s="2">
        <v>45911</v>
      </c>
      <c r="B833" s="1" t="s">
        <v>5</v>
      </c>
    </row>
    <row r="834" spans="1:2" x14ac:dyDescent="0.35">
      <c r="A834" s="2">
        <v>45911</v>
      </c>
      <c r="B834" s="1" t="s">
        <v>50</v>
      </c>
    </row>
    <row r="835" spans="1:2" x14ac:dyDescent="0.35">
      <c r="A835" s="2">
        <v>45912</v>
      </c>
      <c r="B835" s="1" t="s">
        <v>9</v>
      </c>
    </row>
    <row r="836" spans="1:2" x14ac:dyDescent="0.35">
      <c r="A836" s="2">
        <v>45912</v>
      </c>
      <c r="B836" s="1" t="s">
        <v>9</v>
      </c>
    </row>
    <row r="837" spans="1:2" x14ac:dyDescent="0.35">
      <c r="A837" s="2">
        <v>45912</v>
      </c>
      <c r="B837" s="1" t="s">
        <v>77</v>
      </c>
    </row>
    <row r="838" spans="1:2" x14ac:dyDescent="0.35">
      <c r="A838" s="2">
        <v>45912</v>
      </c>
      <c r="B838" s="1" t="s">
        <v>9</v>
      </c>
    </row>
    <row r="839" spans="1:2" x14ac:dyDescent="0.35">
      <c r="A839" s="2">
        <v>45912</v>
      </c>
      <c r="B839" s="1" t="s">
        <v>33</v>
      </c>
    </row>
    <row r="840" spans="1:2" x14ac:dyDescent="0.35">
      <c r="A840" s="2">
        <v>45912</v>
      </c>
      <c r="B840" s="1" t="s">
        <v>5</v>
      </c>
    </row>
    <row r="841" spans="1:2" x14ac:dyDescent="0.35">
      <c r="A841" s="2">
        <v>45912</v>
      </c>
      <c r="B841" s="1" t="s">
        <v>77</v>
      </c>
    </row>
    <row r="842" spans="1:2" x14ac:dyDescent="0.35">
      <c r="A842" s="2">
        <v>45912</v>
      </c>
      <c r="B842" s="1" t="s">
        <v>77</v>
      </c>
    </row>
    <row r="843" spans="1:2" x14ac:dyDescent="0.35">
      <c r="A843" s="2">
        <v>45912</v>
      </c>
      <c r="B843" s="1" t="s">
        <v>9</v>
      </c>
    </row>
    <row r="844" spans="1:2" x14ac:dyDescent="0.35">
      <c r="A844" s="2">
        <v>45912</v>
      </c>
      <c r="B844" s="1" t="s">
        <v>50</v>
      </c>
    </row>
    <row r="845" spans="1:2" x14ac:dyDescent="0.35">
      <c r="A845" s="2">
        <v>45912</v>
      </c>
      <c r="B845" s="1" t="s">
        <v>50</v>
      </c>
    </row>
    <row r="846" spans="1:2" x14ac:dyDescent="0.35">
      <c r="A846" s="2">
        <v>45912</v>
      </c>
      <c r="B846" s="1" t="s">
        <v>33</v>
      </c>
    </row>
    <row r="847" spans="1:2" x14ac:dyDescent="0.35">
      <c r="A847" s="2">
        <v>45912</v>
      </c>
      <c r="B847" s="1" t="s">
        <v>33</v>
      </c>
    </row>
    <row r="848" spans="1:2" x14ac:dyDescent="0.35">
      <c r="A848" s="2">
        <v>45912</v>
      </c>
      <c r="B848" s="1" t="s">
        <v>33</v>
      </c>
    </row>
    <row r="849" spans="1:2" x14ac:dyDescent="0.35">
      <c r="A849" s="2">
        <v>45912</v>
      </c>
      <c r="B849" s="1" t="s">
        <v>33</v>
      </c>
    </row>
    <row r="850" spans="1:2" x14ac:dyDescent="0.35">
      <c r="A850" s="2">
        <v>45913</v>
      </c>
      <c r="B850" s="1" t="s">
        <v>9</v>
      </c>
    </row>
    <row r="851" spans="1:2" x14ac:dyDescent="0.35">
      <c r="A851" s="2">
        <v>45913</v>
      </c>
      <c r="B851" s="1" t="s">
        <v>9</v>
      </c>
    </row>
    <row r="852" spans="1:2" x14ac:dyDescent="0.35">
      <c r="A852" s="2">
        <v>45913</v>
      </c>
      <c r="B852" s="1" t="s">
        <v>9</v>
      </c>
    </row>
    <row r="853" spans="1:2" x14ac:dyDescent="0.35">
      <c r="A853" s="2">
        <v>45913</v>
      </c>
      <c r="B853" s="1" t="s">
        <v>50</v>
      </c>
    </row>
    <row r="854" spans="1:2" x14ac:dyDescent="0.35">
      <c r="A854" s="2">
        <v>45913</v>
      </c>
      <c r="B854" s="1" t="s">
        <v>68</v>
      </c>
    </row>
    <row r="855" spans="1:2" x14ac:dyDescent="0.35">
      <c r="A855" s="2">
        <v>45913</v>
      </c>
      <c r="B855" s="1" t="s">
        <v>68</v>
      </c>
    </row>
    <row r="856" spans="1:2" x14ac:dyDescent="0.35">
      <c r="A856" s="2">
        <v>45913</v>
      </c>
      <c r="B856" s="1" t="s">
        <v>5</v>
      </c>
    </row>
    <row r="857" spans="1:2" x14ac:dyDescent="0.35">
      <c r="A857" s="2">
        <v>45913</v>
      </c>
      <c r="B857" s="1" t="s">
        <v>5</v>
      </c>
    </row>
    <row r="858" spans="1:2" x14ac:dyDescent="0.35">
      <c r="A858" s="2">
        <v>45913</v>
      </c>
      <c r="B858" s="1" t="s">
        <v>5</v>
      </c>
    </row>
    <row r="859" spans="1:2" x14ac:dyDescent="0.35">
      <c r="A859" s="2">
        <v>45915</v>
      </c>
      <c r="B859" s="1" t="s">
        <v>5</v>
      </c>
    </row>
    <row r="860" spans="1:2" x14ac:dyDescent="0.35">
      <c r="A860" s="2">
        <v>45916</v>
      </c>
      <c r="B860" s="1" t="s">
        <v>5</v>
      </c>
    </row>
    <row r="861" spans="1:2" x14ac:dyDescent="0.35">
      <c r="A861" s="2">
        <v>45916</v>
      </c>
      <c r="B861" s="1" t="s">
        <v>9</v>
      </c>
    </row>
    <row r="862" spans="1:2" x14ac:dyDescent="0.35">
      <c r="A862" s="2">
        <v>45916</v>
      </c>
      <c r="B862" s="1" t="s">
        <v>5</v>
      </c>
    </row>
    <row r="863" spans="1:2" x14ac:dyDescent="0.35">
      <c r="A863" s="2">
        <v>45916</v>
      </c>
      <c r="B863" s="1" t="s">
        <v>5</v>
      </c>
    </row>
    <row r="864" spans="1:2" x14ac:dyDescent="0.35">
      <c r="A864" s="2">
        <v>45916</v>
      </c>
      <c r="B864" s="1" t="s">
        <v>50</v>
      </c>
    </row>
    <row r="865" spans="1:2" x14ac:dyDescent="0.35">
      <c r="A865" s="2">
        <v>45916</v>
      </c>
      <c r="B865" s="1" t="s">
        <v>33</v>
      </c>
    </row>
    <row r="866" spans="1:2" x14ac:dyDescent="0.35">
      <c r="A866" s="2">
        <v>45916</v>
      </c>
      <c r="B866" s="1" t="s">
        <v>33</v>
      </c>
    </row>
    <row r="867" spans="1:2" x14ac:dyDescent="0.35">
      <c r="A867" s="2">
        <v>45916</v>
      </c>
      <c r="B867" s="1" t="s">
        <v>33</v>
      </c>
    </row>
    <row r="868" spans="1:2" x14ac:dyDescent="0.35">
      <c r="A868" s="2">
        <v>45917</v>
      </c>
      <c r="B868" s="1" t="s">
        <v>33</v>
      </c>
    </row>
    <row r="869" spans="1:2" x14ac:dyDescent="0.35">
      <c r="A869" s="2">
        <v>45917</v>
      </c>
      <c r="B869" s="1" t="s">
        <v>5</v>
      </c>
    </row>
    <row r="870" spans="1:2" x14ac:dyDescent="0.35">
      <c r="A870" s="2">
        <v>45917</v>
      </c>
      <c r="B870" s="1" t="s">
        <v>5</v>
      </c>
    </row>
    <row r="871" spans="1:2" x14ac:dyDescent="0.35">
      <c r="A871" s="2">
        <v>45917</v>
      </c>
      <c r="B871" s="1" t="s">
        <v>9</v>
      </c>
    </row>
    <row r="872" spans="1:2" x14ac:dyDescent="0.35">
      <c r="A872" s="2">
        <v>45917</v>
      </c>
      <c r="B872" s="1" t="s">
        <v>9</v>
      </c>
    </row>
    <row r="873" spans="1:2" x14ac:dyDescent="0.35">
      <c r="A873" s="2">
        <v>45917</v>
      </c>
      <c r="B873" s="1" t="s">
        <v>9</v>
      </c>
    </row>
    <row r="874" spans="1:2" x14ac:dyDescent="0.35">
      <c r="A874" s="2">
        <v>45917</v>
      </c>
      <c r="B874" s="1" t="s">
        <v>9</v>
      </c>
    </row>
    <row r="875" spans="1:2" x14ac:dyDescent="0.35">
      <c r="A875" s="2">
        <v>45917</v>
      </c>
      <c r="B875" s="1" t="s">
        <v>9</v>
      </c>
    </row>
    <row r="876" spans="1:2" x14ac:dyDescent="0.35">
      <c r="A876" s="2">
        <v>45917</v>
      </c>
      <c r="B876" s="1" t="s">
        <v>33</v>
      </c>
    </row>
    <row r="877" spans="1:2" x14ac:dyDescent="0.35">
      <c r="A877" s="2">
        <v>45917</v>
      </c>
      <c r="B877" s="1" t="s">
        <v>33</v>
      </c>
    </row>
    <row r="878" spans="1:2" x14ac:dyDescent="0.35">
      <c r="A878" s="2">
        <v>45918</v>
      </c>
      <c r="B878" s="1" t="s">
        <v>9</v>
      </c>
    </row>
    <row r="879" spans="1:2" x14ac:dyDescent="0.35">
      <c r="A879" s="2">
        <v>45918</v>
      </c>
      <c r="B879" s="1" t="s">
        <v>9</v>
      </c>
    </row>
    <row r="880" spans="1:2" x14ac:dyDescent="0.35">
      <c r="A880" s="2">
        <v>45918</v>
      </c>
      <c r="B880" s="1" t="s">
        <v>5</v>
      </c>
    </row>
    <row r="881" spans="1:2" x14ac:dyDescent="0.35">
      <c r="A881" s="2">
        <v>45918</v>
      </c>
      <c r="B881" s="1" t="s">
        <v>9</v>
      </c>
    </row>
    <row r="882" spans="1:2" x14ac:dyDescent="0.35">
      <c r="A882" s="2">
        <v>45918</v>
      </c>
      <c r="B882" s="1" t="s">
        <v>9</v>
      </c>
    </row>
    <row r="883" spans="1:2" x14ac:dyDescent="0.35">
      <c r="A883" s="2">
        <v>45918</v>
      </c>
      <c r="B883" s="1" t="s">
        <v>9</v>
      </c>
    </row>
    <row r="884" spans="1:2" x14ac:dyDescent="0.35">
      <c r="A884" s="2">
        <v>45918</v>
      </c>
      <c r="B884" s="1" t="s">
        <v>9</v>
      </c>
    </row>
    <row r="885" spans="1:2" x14ac:dyDescent="0.35">
      <c r="A885" s="2">
        <v>45918</v>
      </c>
      <c r="B885" s="1" t="s">
        <v>68</v>
      </c>
    </row>
    <row r="886" spans="1:2" x14ac:dyDescent="0.35">
      <c r="A886" s="2">
        <v>45918</v>
      </c>
      <c r="B886" s="1" t="s">
        <v>68</v>
      </c>
    </row>
    <row r="887" spans="1:2" x14ac:dyDescent="0.35">
      <c r="A887" s="2">
        <v>45918</v>
      </c>
      <c r="B887" s="1" t="s">
        <v>68</v>
      </c>
    </row>
    <row r="888" spans="1:2" x14ac:dyDescent="0.35">
      <c r="A888" s="2">
        <v>45919</v>
      </c>
      <c r="B888" s="1" t="s">
        <v>33</v>
      </c>
    </row>
    <row r="889" spans="1:2" x14ac:dyDescent="0.35">
      <c r="A889" s="2">
        <v>45919</v>
      </c>
      <c r="B889" s="1" t="s">
        <v>33</v>
      </c>
    </row>
    <row r="890" spans="1:2" x14ac:dyDescent="0.35">
      <c r="A890" s="2">
        <v>45919</v>
      </c>
      <c r="B890" s="1" t="s">
        <v>33</v>
      </c>
    </row>
    <row r="891" spans="1:2" x14ac:dyDescent="0.35">
      <c r="A891" s="2">
        <v>45919</v>
      </c>
      <c r="B891" s="1" t="s">
        <v>33</v>
      </c>
    </row>
    <row r="892" spans="1:2" x14ac:dyDescent="0.35">
      <c r="A892" s="2">
        <v>45919</v>
      </c>
      <c r="B892" s="1" t="s">
        <v>68</v>
      </c>
    </row>
    <row r="893" spans="1:2" x14ac:dyDescent="0.35">
      <c r="A893" s="2">
        <v>45919</v>
      </c>
      <c r="B893" s="1" t="s">
        <v>68</v>
      </c>
    </row>
    <row r="894" spans="1:2" x14ac:dyDescent="0.35">
      <c r="A894" s="2">
        <v>45922</v>
      </c>
      <c r="B894" s="1" t="s">
        <v>9</v>
      </c>
    </row>
    <row r="895" spans="1:2" x14ac:dyDescent="0.35">
      <c r="A895" s="2">
        <v>45922</v>
      </c>
      <c r="B895" s="1" t="s">
        <v>9</v>
      </c>
    </row>
    <row r="896" spans="1:2" x14ac:dyDescent="0.35">
      <c r="A896" s="2">
        <v>45922</v>
      </c>
      <c r="B896" s="1" t="s">
        <v>9</v>
      </c>
    </row>
    <row r="897" spans="1:2" x14ac:dyDescent="0.35">
      <c r="A897" s="2">
        <v>45922</v>
      </c>
      <c r="B897" s="1" t="s">
        <v>9</v>
      </c>
    </row>
    <row r="898" spans="1:2" x14ac:dyDescent="0.35">
      <c r="A898" s="2">
        <v>45922</v>
      </c>
      <c r="B898" s="1" t="s">
        <v>9</v>
      </c>
    </row>
    <row r="899" spans="1:2" x14ac:dyDescent="0.35">
      <c r="A899" s="2">
        <v>45922</v>
      </c>
      <c r="B899" s="1" t="s">
        <v>9</v>
      </c>
    </row>
    <row r="900" spans="1:2" x14ac:dyDescent="0.35">
      <c r="A900" s="2">
        <v>45922</v>
      </c>
      <c r="B900" s="1" t="s">
        <v>9</v>
      </c>
    </row>
    <row r="901" spans="1:2" x14ac:dyDescent="0.35">
      <c r="A901" s="2">
        <v>45922</v>
      </c>
      <c r="B901" s="1" t="s">
        <v>9</v>
      </c>
    </row>
    <row r="902" spans="1:2" x14ac:dyDescent="0.35">
      <c r="A902" s="2">
        <v>45922</v>
      </c>
      <c r="B902" s="1" t="s">
        <v>5</v>
      </c>
    </row>
    <row r="903" spans="1:2" x14ac:dyDescent="0.35">
      <c r="A903" s="2">
        <v>45922</v>
      </c>
      <c r="B903" s="1" t="s">
        <v>5</v>
      </c>
    </row>
    <row r="904" spans="1:2" x14ac:dyDescent="0.35">
      <c r="A904" s="2">
        <v>45922</v>
      </c>
      <c r="B904" s="1" t="s">
        <v>33</v>
      </c>
    </row>
    <row r="905" spans="1:2" x14ac:dyDescent="0.35">
      <c r="A905" s="2">
        <v>45922</v>
      </c>
      <c r="B905" s="1" t="s">
        <v>33</v>
      </c>
    </row>
    <row r="906" spans="1:2" x14ac:dyDescent="0.35">
      <c r="A906" s="2">
        <v>45922</v>
      </c>
      <c r="B906" s="1" t="s">
        <v>33</v>
      </c>
    </row>
    <row r="907" spans="1:2" x14ac:dyDescent="0.35">
      <c r="A907" s="2">
        <v>45922</v>
      </c>
      <c r="B907" s="1" t="s">
        <v>33</v>
      </c>
    </row>
    <row r="908" spans="1:2" x14ac:dyDescent="0.35">
      <c r="A908" s="2">
        <v>45922</v>
      </c>
      <c r="B908" s="1" t="s">
        <v>33</v>
      </c>
    </row>
    <row r="909" spans="1:2" x14ac:dyDescent="0.35">
      <c r="A909" s="2">
        <v>45923</v>
      </c>
      <c r="B909" s="1" t="s">
        <v>50</v>
      </c>
    </row>
    <row r="910" spans="1:2" x14ac:dyDescent="0.35">
      <c r="A910" s="2">
        <v>45923</v>
      </c>
      <c r="B910" s="1" t="s">
        <v>68</v>
      </c>
    </row>
    <row r="911" spans="1:2" x14ac:dyDescent="0.35">
      <c r="A911" s="2">
        <v>45923</v>
      </c>
      <c r="B911" s="1" t="s">
        <v>68</v>
      </c>
    </row>
    <row r="912" spans="1:2" x14ac:dyDescent="0.35">
      <c r="A912" s="2">
        <v>45923</v>
      </c>
      <c r="B912" s="1" t="s">
        <v>68</v>
      </c>
    </row>
    <row r="913" spans="1:2" x14ac:dyDescent="0.35">
      <c r="A913" s="2">
        <v>45923</v>
      </c>
      <c r="B913" s="1" t="s">
        <v>68</v>
      </c>
    </row>
    <row r="914" spans="1:2" x14ac:dyDescent="0.35">
      <c r="A914" s="2">
        <v>45923</v>
      </c>
      <c r="B914" s="1" t="s">
        <v>68</v>
      </c>
    </row>
    <row r="915" spans="1:2" x14ac:dyDescent="0.35">
      <c r="A915" s="2">
        <v>45923</v>
      </c>
      <c r="B915" s="1" t="s">
        <v>68</v>
      </c>
    </row>
    <row r="916" spans="1:2" x14ac:dyDescent="0.35">
      <c r="A916" s="2">
        <v>45923</v>
      </c>
      <c r="B916" s="1" t="s">
        <v>33</v>
      </c>
    </row>
    <row r="917" spans="1:2" x14ac:dyDescent="0.35">
      <c r="A917" s="2">
        <v>45923</v>
      </c>
      <c r="B917" s="1" t="s">
        <v>33</v>
      </c>
    </row>
    <row r="918" spans="1:2" x14ac:dyDescent="0.35">
      <c r="A918" s="2">
        <v>45923</v>
      </c>
      <c r="B918" s="1" t="s">
        <v>9</v>
      </c>
    </row>
    <row r="919" spans="1:2" x14ac:dyDescent="0.35">
      <c r="A919" s="2">
        <v>45923</v>
      </c>
      <c r="B919" s="1" t="s">
        <v>9</v>
      </c>
    </row>
    <row r="920" spans="1:2" x14ac:dyDescent="0.35">
      <c r="A920" s="2">
        <v>45923</v>
      </c>
      <c r="B920" s="1" t="s">
        <v>9</v>
      </c>
    </row>
    <row r="921" spans="1:2" x14ac:dyDescent="0.35">
      <c r="A921" s="2">
        <v>45923</v>
      </c>
      <c r="B921" s="1" t="s">
        <v>9</v>
      </c>
    </row>
    <row r="922" spans="1:2" x14ac:dyDescent="0.35">
      <c r="A922" s="2">
        <v>45923</v>
      </c>
      <c r="B922" s="1" t="s">
        <v>9</v>
      </c>
    </row>
    <row r="923" spans="1:2" x14ac:dyDescent="0.35">
      <c r="A923" s="2">
        <v>45923</v>
      </c>
      <c r="B923" s="1" t="s">
        <v>9</v>
      </c>
    </row>
    <row r="924" spans="1:2" x14ac:dyDescent="0.35">
      <c r="A924" s="2">
        <v>45923</v>
      </c>
      <c r="B924" s="1" t="s">
        <v>9</v>
      </c>
    </row>
    <row r="925" spans="1:2" x14ac:dyDescent="0.35">
      <c r="A925" s="2">
        <v>45923</v>
      </c>
      <c r="B925" s="1" t="s">
        <v>68</v>
      </c>
    </row>
    <row r="926" spans="1:2" x14ac:dyDescent="0.35">
      <c r="A926" s="2">
        <v>45923</v>
      </c>
      <c r="B926" s="1" t="s">
        <v>9</v>
      </c>
    </row>
    <row r="927" spans="1:2" x14ac:dyDescent="0.35">
      <c r="A927" s="2">
        <v>45923</v>
      </c>
      <c r="B927" s="1" t="s">
        <v>68</v>
      </c>
    </row>
    <row r="928" spans="1:2" x14ac:dyDescent="0.35">
      <c r="A928" s="2">
        <v>45923</v>
      </c>
      <c r="B928" s="1" t="s">
        <v>33</v>
      </c>
    </row>
    <row r="929" spans="1:2" x14ac:dyDescent="0.35">
      <c r="A929" s="2">
        <v>45924</v>
      </c>
      <c r="B929" s="1" t="s">
        <v>9</v>
      </c>
    </row>
    <row r="930" spans="1:2" x14ac:dyDescent="0.35">
      <c r="A930" s="2">
        <v>45924</v>
      </c>
      <c r="B930" s="1" t="s">
        <v>9</v>
      </c>
    </row>
    <row r="931" spans="1:2" x14ac:dyDescent="0.35">
      <c r="A931" s="2">
        <v>45924</v>
      </c>
      <c r="B931" s="1" t="s">
        <v>9</v>
      </c>
    </row>
    <row r="932" spans="1:2" x14ac:dyDescent="0.35">
      <c r="A932" s="2">
        <v>45924</v>
      </c>
      <c r="B932" s="1" t="s">
        <v>9</v>
      </c>
    </row>
    <row r="933" spans="1:2" x14ac:dyDescent="0.35">
      <c r="A933" s="2">
        <v>45924</v>
      </c>
      <c r="B933" s="1" t="s">
        <v>68</v>
      </c>
    </row>
    <row r="934" spans="1:2" x14ac:dyDescent="0.35">
      <c r="A934" s="2">
        <v>45924</v>
      </c>
      <c r="B934" s="1" t="s">
        <v>68</v>
      </c>
    </row>
    <row r="935" spans="1:2" x14ac:dyDescent="0.35">
      <c r="A935" s="2">
        <v>45924</v>
      </c>
      <c r="B935" s="1" t="s">
        <v>68</v>
      </c>
    </row>
    <row r="936" spans="1:2" x14ac:dyDescent="0.35">
      <c r="A936" s="2">
        <v>45924</v>
      </c>
      <c r="B936" s="1" t="s">
        <v>68</v>
      </c>
    </row>
    <row r="937" spans="1:2" x14ac:dyDescent="0.35">
      <c r="A937" s="2">
        <v>45924</v>
      </c>
      <c r="B937" s="1" t="s">
        <v>68</v>
      </c>
    </row>
    <row r="938" spans="1:2" x14ac:dyDescent="0.35">
      <c r="A938" s="2">
        <v>45924</v>
      </c>
      <c r="B938" s="1" t="s">
        <v>33</v>
      </c>
    </row>
    <row r="939" spans="1:2" x14ac:dyDescent="0.35">
      <c r="A939" s="2">
        <v>45924</v>
      </c>
      <c r="B939" s="1" t="s">
        <v>33</v>
      </c>
    </row>
    <row r="940" spans="1:2" x14ac:dyDescent="0.35">
      <c r="A940" s="2">
        <v>45924</v>
      </c>
      <c r="B940" s="1" t="s">
        <v>33</v>
      </c>
    </row>
    <row r="941" spans="1:2" x14ac:dyDescent="0.35">
      <c r="A941" s="2">
        <v>45924</v>
      </c>
      <c r="B941" s="1" t="s">
        <v>77</v>
      </c>
    </row>
    <row r="942" spans="1:2" x14ac:dyDescent="0.35">
      <c r="A942" s="2">
        <v>45924</v>
      </c>
      <c r="B942" s="1" t="s">
        <v>9</v>
      </c>
    </row>
    <row r="943" spans="1:2" x14ac:dyDescent="0.35">
      <c r="A943" s="2">
        <v>45924</v>
      </c>
      <c r="B943" s="1" t="s">
        <v>9</v>
      </c>
    </row>
    <row r="944" spans="1:2" x14ac:dyDescent="0.35">
      <c r="A944" s="2">
        <v>45924</v>
      </c>
      <c r="B944" s="1" t="s">
        <v>9</v>
      </c>
    </row>
    <row r="945" spans="1:2" x14ac:dyDescent="0.35">
      <c r="A945" s="2">
        <v>45924</v>
      </c>
      <c r="B945" s="1" t="s">
        <v>9</v>
      </c>
    </row>
    <row r="946" spans="1:2" x14ac:dyDescent="0.35">
      <c r="A946" s="2">
        <v>45924</v>
      </c>
      <c r="B946" s="1" t="s">
        <v>9</v>
      </c>
    </row>
    <row r="947" spans="1:2" x14ac:dyDescent="0.35">
      <c r="A947" s="2">
        <v>45924</v>
      </c>
      <c r="B947" s="1" t="s">
        <v>9</v>
      </c>
    </row>
    <row r="948" spans="1:2" x14ac:dyDescent="0.35">
      <c r="A948" s="2">
        <v>45924</v>
      </c>
      <c r="B948" s="1" t="s">
        <v>9</v>
      </c>
    </row>
    <row r="949" spans="1:2" x14ac:dyDescent="0.35">
      <c r="A949" s="2">
        <v>45924</v>
      </c>
      <c r="B949" s="1" t="s">
        <v>9</v>
      </c>
    </row>
    <row r="950" spans="1:2" x14ac:dyDescent="0.35">
      <c r="A950" s="2">
        <v>45924</v>
      </c>
      <c r="B950" s="1" t="s">
        <v>9</v>
      </c>
    </row>
    <row r="951" spans="1:2" x14ac:dyDescent="0.35">
      <c r="A951" s="2">
        <v>45924</v>
      </c>
      <c r="B951" s="1" t="s">
        <v>9</v>
      </c>
    </row>
    <row r="952" spans="1:2" x14ac:dyDescent="0.35">
      <c r="A952" s="2">
        <v>45924</v>
      </c>
      <c r="B952" s="1" t="s">
        <v>9</v>
      </c>
    </row>
    <row r="953" spans="1:2" x14ac:dyDescent="0.35">
      <c r="A953" s="2">
        <v>45924</v>
      </c>
      <c r="B953" s="1" t="s">
        <v>9</v>
      </c>
    </row>
    <row r="954" spans="1:2" x14ac:dyDescent="0.35">
      <c r="A954" s="2">
        <v>45924</v>
      </c>
      <c r="B954" s="1" t="s">
        <v>9</v>
      </c>
    </row>
    <row r="955" spans="1:2" x14ac:dyDescent="0.35">
      <c r="A955" s="2">
        <v>45924</v>
      </c>
      <c r="B955" s="1" t="s">
        <v>9</v>
      </c>
    </row>
    <row r="956" spans="1:2" x14ac:dyDescent="0.35">
      <c r="A956" s="2">
        <v>45924</v>
      </c>
      <c r="B956" s="1" t="s">
        <v>50</v>
      </c>
    </row>
    <row r="957" spans="1:2" x14ac:dyDescent="0.35">
      <c r="A957" s="2">
        <v>45924</v>
      </c>
      <c r="B957" s="1" t="s">
        <v>50</v>
      </c>
    </row>
    <row r="958" spans="1:2" x14ac:dyDescent="0.35">
      <c r="A958" s="2">
        <v>45924</v>
      </c>
      <c r="B958" s="1" t="s">
        <v>77</v>
      </c>
    </row>
    <row r="959" spans="1:2" x14ac:dyDescent="0.35">
      <c r="A959" s="2">
        <v>45924</v>
      </c>
      <c r="B959" s="1" t="s">
        <v>77</v>
      </c>
    </row>
    <row r="960" spans="1:2" x14ac:dyDescent="0.35">
      <c r="A960" s="2">
        <v>45924</v>
      </c>
      <c r="B960" s="1" t="s">
        <v>68</v>
      </c>
    </row>
    <row r="961" spans="1:2" x14ac:dyDescent="0.35">
      <c r="A961" s="2">
        <v>45924</v>
      </c>
      <c r="B961" s="1" t="s">
        <v>68</v>
      </c>
    </row>
    <row r="962" spans="1:2" x14ac:dyDescent="0.35">
      <c r="A962" s="2">
        <v>45924</v>
      </c>
      <c r="B962" s="1" t="s">
        <v>68</v>
      </c>
    </row>
    <row r="963" spans="1:2" x14ac:dyDescent="0.35">
      <c r="A963" s="2">
        <v>45924</v>
      </c>
      <c r="B963" s="1" t="s">
        <v>68</v>
      </c>
    </row>
    <row r="964" spans="1:2" x14ac:dyDescent="0.35">
      <c r="A964" s="2">
        <v>45924</v>
      </c>
      <c r="B964" s="1" t="s">
        <v>68</v>
      </c>
    </row>
    <row r="965" spans="1:2" x14ac:dyDescent="0.35">
      <c r="A965" s="2">
        <v>45925</v>
      </c>
      <c r="B965" s="1" t="s">
        <v>9</v>
      </c>
    </row>
    <row r="966" spans="1:2" x14ac:dyDescent="0.35">
      <c r="A966" s="2">
        <v>45925</v>
      </c>
      <c r="B966" s="1" t="s">
        <v>9</v>
      </c>
    </row>
    <row r="967" spans="1:2" x14ac:dyDescent="0.35">
      <c r="A967" s="2">
        <v>45925</v>
      </c>
      <c r="B967" s="1" t="s">
        <v>9</v>
      </c>
    </row>
    <row r="968" spans="1:2" x14ac:dyDescent="0.35">
      <c r="A968" s="2">
        <v>45925</v>
      </c>
      <c r="B968" s="1" t="s">
        <v>9</v>
      </c>
    </row>
    <row r="969" spans="1:2" x14ac:dyDescent="0.35">
      <c r="A969" s="2">
        <v>45925</v>
      </c>
      <c r="B969" s="1" t="s">
        <v>33</v>
      </c>
    </row>
    <row r="970" spans="1:2" x14ac:dyDescent="0.35">
      <c r="A970" s="2">
        <v>45925</v>
      </c>
      <c r="B970" s="1" t="s">
        <v>33</v>
      </c>
    </row>
    <row r="971" spans="1:2" x14ac:dyDescent="0.35">
      <c r="A971" s="2">
        <v>45925</v>
      </c>
      <c r="B971" s="1" t="s">
        <v>33</v>
      </c>
    </row>
    <row r="972" spans="1:2" x14ac:dyDescent="0.35">
      <c r="A972" s="2">
        <v>45925</v>
      </c>
      <c r="B972" s="1" t="s">
        <v>33</v>
      </c>
    </row>
    <row r="973" spans="1:2" x14ac:dyDescent="0.35">
      <c r="A973" s="2">
        <v>45925</v>
      </c>
      <c r="B973" s="1" t="s">
        <v>9</v>
      </c>
    </row>
    <row r="974" spans="1:2" x14ac:dyDescent="0.35">
      <c r="A974" s="2">
        <v>45925</v>
      </c>
      <c r="B974" s="1" t="s">
        <v>9</v>
      </c>
    </row>
    <row r="975" spans="1:2" x14ac:dyDescent="0.35">
      <c r="A975" s="2">
        <v>45925</v>
      </c>
      <c r="B975" s="1" t="s">
        <v>9</v>
      </c>
    </row>
    <row r="976" spans="1:2" x14ac:dyDescent="0.35">
      <c r="A976" s="2">
        <v>45925</v>
      </c>
      <c r="B976" s="1" t="s">
        <v>9</v>
      </c>
    </row>
    <row r="977" spans="1:2" x14ac:dyDescent="0.35">
      <c r="A977" s="2">
        <v>45925</v>
      </c>
      <c r="B977" s="1" t="s">
        <v>9</v>
      </c>
    </row>
    <row r="978" spans="1:2" x14ac:dyDescent="0.35">
      <c r="A978" s="2">
        <v>45925</v>
      </c>
      <c r="B978" s="1" t="s">
        <v>9</v>
      </c>
    </row>
    <row r="979" spans="1:2" x14ac:dyDescent="0.35">
      <c r="A979" s="2">
        <v>45925</v>
      </c>
      <c r="B979" s="1" t="s">
        <v>9</v>
      </c>
    </row>
    <row r="980" spans="1:2" x14ac:dyDescent="0.35">
      <c r="A980" s="2">
        <v>45925</v>
      </c>
      <c r="B980" s="1" t="s">
        <v>9</v>
      </c>
    </row>
    <row r="981" spans="1:2" x14ac:dyDescent="0.35">
      <c r="A981" s="2">
        <v>45925</v>
      </c>
      <c r="B981" s="1" t="s">
        <v>9</v>
      </c>
    </row>
    <row r="982" spans="1:2" x14ac:dyDescent="0.35">
      <c r="A982" s="2">
        <v>45925</v>
      </c>
      <c r="B982" s="1" t="s">
        <v>9</v>
      </c>
    </row>
    <row r="983" spans="1:2" x14ac:dyDescent="0.35">
      <c r="A983" s="2">
        <v>45925</v>
      </c>
      <c r="B983" s="1" t="s">
        <v>77</v>
      </c>
    </row>
    <row r="984" spans="1:2" x14ac:dyDescent="0.35">
      <c r="A984" s="2">
        <v>45925</v>
      </c>
      <c r="B984" s="1" t="s">
        <v>77</v>
      </c>
    </row>
    <row r="985" spans="1:2" x14ac:dyDescent="0.35">
      <c r="A985" s="2">
        <v>45925</v>
      </c>
      <c r="B985" s="1" t="s">
        <v>68</v>
      </c>
    </row>
    <row r="986" spans="1:2" x14ac:dyDescent="0.35">
      <c r="A986" s="2">
        <v>45925</v>
      </c>
      <c r="B986" s="1" t="s">
        <v>68</v>
      </c>
    </row>
    <row r="987" spans="1:2" x14ac:dyDescent="0.35">
      <c r="A987" s="2">
        <v>45925</v>
      </c>
      <c r="B987" s="1" t="s">
        <v>68</v>
      </c>
    </row>
    <row r="988" spans="1:2" x14ac:dyDescent="0.35">
      <c r="A988" s="2">
        <v>45925</v>
      </c>
      <c r="B988" s="1" t="s">
        <v>68</v>
      </c>
    </row>
    <row r="989" spans="1:2" x14ac:dyDescent="0.35">
      <c r="A989" s="2">
        <v>45925</v>
      </c>
      <c r="B989" s="1" t="s">
        <v>68</v>
      </c>
    </row>
    <row r="990" spans="1:2" x14ac:dyDescent="0.35">
      <c r="A990" s="2">
        <v>45925</v>
      </c>
      <c r="B990" s="1" t="s">
        <v>68</v>
      </c>
    </row>
    <row r="991" spans="1:2" x14ac:dyDescent="0.35">
      <c r="A991" s="2">
        <v>45925</v>
      </c>
      <c r="B991" s="1" t="s">
        <v>68</v>
      </c>
    </row>
    <row r="992" spans="1:2" x14ac:dyDescent="0.35">
      <c r="A992" s="2">
        <v>45925</v>
      </c>
      <c r="B992" s="1" t="s">
        <v>68</v>
      </c>
    </row>
    <row r="993" spans="1:2" x14ac:dyDescent="0.35">
      <c r="A993" s="2">
        <v>45925</v>
      </c>
      <c r="B993" s="1" t="s">
        <v>68</v>
      </c>
    </row>
    <row r="994" spans="1:2" x14ac:dyDescent="0.35">
      <c r="A994" s="2">
        <v>45926</v>
      </c>
      <c r="B994" s="1" t="s">
        <v>9</v>
      </c>
    </row>
    <row r="995" spans="1:2" x14ac:dyDescent="0.35">
      <c r="A995" s="2">
        <v>45926</v>
      </c>
      <c r="B995" s="1" t="s">
        <v>9</v>
      </c>
    </row>
    <row r="996" spans="1:2" x14ac:dyDescent="0.35">
      <c r="A996" s="2">
        <v>45926</v>
      </c>
      <c r="B996" s="1" t="s">
        <v>9</v>
      </c>
    </row>
    <row r="997" spans="1:2" x14ac:dyDescent="0.35">
      <c r="A997" s="2">
        <v>45926</v>
      </c>
      <c r="B997" s="1" t="s">
        <v>9</v>
      </c>
    </row>
    <row r="998" spans="1:2" x14ac:dyDescent="0.35">
      <c r="A998" s="2">
        <v>45926</v>
      </c>
      <c r="B998" s="1" t="s">
        <v>9</v>
      </c>
    </row>
    <row r="999" spans="1:2" x14ac:dyDescent="0.35">
      <c r="A999" s="2">
        <v>45926</v>
      </c>
      <c r="B999" s="1" t="s">
        <v>33</v>
      </c>
    </row>
    <row r="1000" spans="1:2" x14ac:dyDescent="0.35">
      <c r="A1000" s="2">
        <v>45926</v>
      </c>
      <c r="B1000" s="1" t="s">
        <v>33</v>
      </c>
    </row>
    <row r="1001" spans="1:2" x14ac:dyDescent="0.35">
      <c r="A1001" s="2">
        <v>45926</v>
      </c>
      <c r="B1001" s="1" t="s">
        <v>33</v>
      </c>
    </row>
    <row r="1002" spans="1:2" x14ac:dyDescent="0.35">
      <c r="A1002" s="2">
        <v>45926</v>
      </c>
      <c r="B1002" s="1" t="s">
        <v>9</v>
      </c>
    </row>
    <row r="1003" spans="1:2" x14ac:dyDescent="0.35">
      <c r="A1003" s="2">
        <v>45926</v>
      </c>
      <c r="B1003" s="1" t="s">
        <v>9</v>
      </c>
    </row>
    <row r="1004" spans="1:2" x14ac:dyDescent="0.35">
      <c r="A1004" s="2">
        <v>45926</v>
      </c>
      <c r="B1004" s="1" t="s">
        <v>9</v>
      </c>
    </row>
    <row r="1005" spans="1:2" x14ac:dyDescent="0.35">
      <c r="A1005" s="2">
        <v>45926</v>
      </c>
      <c r="B1005" s="1" t="s">
        <v>9</v>
      </c>
    </row>
    <row r="1006" spans="1:2" x14ac:dyDescent="0.35">
      <c r="A1006" s="2">
        <v>45926</v>
      </c>
      <c r="B1006" s="1" t="s">
        <v>9</v>
      </c>
    </row>
    <row r="1007" spans="1:2" x14ac:dyDescent="0.35">
      <c r="A1007" s="2">
        <v>45926</v>
      </c>
      <c r="B1007" s="1" t="s">
        <v>9</v>
      </c>
    </row>
    <row r="1008" spans="1:2" x14ac:dyDescent="0.35">
      <c r="A1008" s="2">
        <v>45926</v>
      </c>
      <c r="B1008" s="1" t="s">
        <v>9</v>
      </c>
    </row>
    <row r="1009" spans="1:2" x14ac:dyDescent="0.35">
      <c r="A1009" s="2">
        <v>45926</v>
      </c>
      <c r="B1009" s="1" t="s">
        <v>9</v>
      </c>
    </row>
    <row r="1010" spans="1:2" x14ac:dyDescent="0.35">
      <c r="A1010" s="2">
        <v>45926</v>
      </c>
      <c r="B1010" s="1" t="s">
        <v>9</v>
      </c>
    </row>
    <row r="1011" spans="1:2" x14ac:dyDescent="0.35">
      <c r="A1011" s="2">
        <v>45926</v>
      </c>
      <c r="B1011" s="1" t="s">
        <v>9</v>
      </c>
    </row>
    <row r="1012" spans="1:2" x14ac:dyDescent="0.35">
      <c r="A1012" s="2">
        <v>45926</v>
      </c>
      <c r="B1012" s="1" t="s">
        <v>5</v>
      </c>
    </row>
    <row r="1013" spans="1:2" x14ac:dyDescent="0.35">
      <c r="A1013" s="2">
        <v>45926</v>
      </c>
      <c r="B1013" s="1" t="s">
        <v>5</v>
      </c>
    </row>
    <row r="1014" spans="1:2" x14ac:dyDescent="0.35">
      <c r="A1014" s="2">
        <v>45926</v>
      </c>
      <c r="B1014" s="1" t="s">
        <v>5</v>
      </c>
    </row>
    <row r="1015" spans="1:2" x14ac:dyDescent="0.35">
      <c r="A1015" s="2">
        <v>45926</v>
      </c>
      <c r="B1015" s="1" t="s">
        <v>5</v>
      </c>
    </row>
    <row r="1016" spans="1:2" x14ac:dyDescent="0.35">
      <c r="A1016" s="2">
        <v>45926</v>
      </c>
      <c r="B1016" s="1" t="s">
        <v>77</v>
      </c>
    </row>
    <row r="1017" spans="1:2" x14ac:dyDescent="0.35">
      <c r="A1017" s="2">
        <v>45926</v>
      </c>
      <c r="B1017" s="1" t="s">
        <v>77</v>
      </c>
    </row>
    <row r="1018" spans="1:2" x14ac:dyDescent="0.35">
      <c r="A1018" s="2">
        <v>45926</v>
      </c>
      <c r="B1018" s="1" t="s">
        <v>77</v>
      </c>
    </row>
    <row r="1019" spans="1:2" x14ac:dyDescent="0.35">
      <c r="A1019" s="2">
        <v>45926</v>
      </c>
      <c r="B1019" s="1" t="s">
        <v>68</v>
      </c>
    </row>
    <row r="1020" spans="1:2" x14ac:dyDescent="0.35">
      <c r="A1020" s="2">
        <v>45926</v>
      </c>
      <c r="B1020" s="1" t="s">
        <v>68</v>
      </c>
    </row>
    <row r="1021" spans="1:2" x14ac:dyDescent="0.35">
      <c r="A1021" s="2">
        <v>45926</v>
      </c>
      <c r="B1021" s="1" t="s">
        <v>68</v>
      </c>
    </row>
    <row r="1022" spans="1:2" x14ac:dyDescent="0.35">
      <c r="A1022" s="2">
        <v>45926</v>
      </c>
      <c r="B1022" s="1" t="s">
        <v>68</v>
      </c>
    </row>
    <row r="1023" spans="1:2" x14ac:dyDescent="0.35">
      <c r="A1023" s="2">
        <v>45926</v>
      </c>
      <c r="B1023" s="1" t="s">
        <v>68</v>
      </c>
    </row>
    <row r="1024" spans="1:2" x14ac:dyDescent="0.35">
      <c r="A1024" s="2">
        <v>45926</v>
      </c>
      <c r="B1024" s="1" t="s">
        <v>68</v>
      </c>
    </row>
    <row r="1025" spans="1:2" x14ac:dyDescent="0.35">
      <c r="A1025" s="2">
        <v>45926</v>
      </c>
      <c r="B1025" s="1" t="s">
        <v>68</v>
      </c>
    </row>
    <row r="1026" spans="1:2" x14ac:dyDescent="0.35">
      <c r="A1026" s="2">
        <v>45926</v>
      </c>
      <c r="B1026" s="1" t="s">
        <v>5</v>
      </c>
    </row>
    <row r="1027" spans="1:2" x14ac:dyDescent="0.35">
      <c r="A1027" s="2">
        <v>45926</v>
      </c>
      <c r="B1027" s="1" t="s">
        <v>5</v>
      </c>
    </row>
    <row r="1028" spans="1:2" x14ac:dyDescent="0.35">
      <c r="A1028" s="2">
        <v>45926</v>
      </c>
      <c r="B1028" s="1" t="s">
        <v>5</v>
      </c>
    </row>
    <row r="1029" spans="1:2" x14ac:dyDescent="0.35">
      <c r="A1029" s="2">
        <v>45926</v>
      </c>
      <c r="B1029" s="1" t="s">
        <v>5</v>
      </c>
    </row>
    <row r="1030" spans="1:2" x14ac:dyDescent="0.35">
      <c r="A1030" s="2">
        <v>45926</v>
      </c>
      <c r="B1030" s="1" t="s">
        <v>5</v>
      </c>
    </row>
    <row r="1031" spans="1:2" x14ac:dyDescent="0.35">
      <c r="A1031" s="2">
        <v>45926</v>
      </c>
      <c r="B1031" s="1" t="s">
        <v>5</v>
      </c>
    </row>
    <row r="1032" spans="1:2" x14ac:dyDescent="0.35">
      <c r="A1032" s="2">
        <v>45926</v>
      </c>
      <c r="B1032" s="1" t="s">
        <v>5</v>
      </c>
    </row>
    <row r="1033" spans="1:2" x14ac:dyDescent="0.35">
      <c r="A1033" s="2">
        <v>45926</v>
      </c>
      <c r="B1033" s="1" t="s">
        <v>5</v>
      </c>
    </row>
    <row r="1034" spans="1:2" x14ac:dyDescent="0.35">
      <c r="A1034" s="2">
        <v>45926</v>
      </c>
      <c r="B1034" s="1" t="s">
        <v>5</v>
      </c>
    </row>
    <row r="1035" spans="1:2" x14ac:dyDescent="0.35">
      <c r="A1035" s="2">
        <v>45926</v>
      </c>
      <c r="B1035" s="1" t="s">
        <v>5</v>
      </c>
    </row>
    <row r="1036" spans="1:2" x14ac:dyDescent="0.35">
      <c r="A1036" s="2">
        <v>45926</v>
      </c>
      <c r="B1036" s="1" t="s">
        <v>5</v>
      </c>
    </row>
    <row r="1037" spans="1:2" x14ac:dyDescent="0.35">
      <c r="A1037" s="2">
        <v>45926</v>
      </c>
      <c r="B1037" s="1" t="s">
        <v>5</v>
      </c>
    </row>
    <row r="1038" spans="1:2" x14ac:dyDescent="0.35">
      <c r="A1038" s="2">
        <v>45926</v>
      </c>
      <c r="B1038" s="1" t="s">
        <v>34</v>
      </c>
    </row>
    <row r="1039" spans="1:2" x14ac:dyDescent="0.35">
      <c r="A1039" s="2">
        <v>45929</v>
      </c>
      <c r="B1039" s="1" t="s">
        <v>34</v>
      </c>
    </row>
    <row r="1040" spans="1:2" x14ac:dyDescent="0.35">
      <c r="A1040" s="2">
        <v>45929</v>
      </c>
      <c r="B1040" s="1" t="s">
        <v>68</v>
      </c>
    </row>
    <row r="1041" spans="1:2" x14ac:dyDescent="0.35">
      <c r="A1041" s="2">
        <v>45929</v>
      </c>
      <c r="B1041" s="1" t="s">
        <v>9</v>
      </c>
    </row>
    <row r="1042" spans="1:2" x14ac:dyDescent="0.35">
      <c r="A1042" s="2">
        <v>45929</v>
      </c>
      <c r="B1042" s="1" t="s">
        <v>68</v>
      </c>
    </row>
    <row r="1043" spans="1:2" x14ac:dyDescent="0.35">
      <c r="A1043" s="2">
        <v>45929</v>
      </c>
      <c r="B1043" s="1" t="s">
        <v>68</v>
      </c>
    </row>
    <row r="1044" spans="1:2" x14ac:dyDescent="0.35">
      <c r="A1044" s="2">
        <v>45929</v>
      </c>
      <c r="B1044" s="1" t="s">
        <v>68</v>
      </c>
    </row>
    <row r="1045" spans="1:2" x14ac:dyDescent="0.35">
      <c r="A1045" s="2">
        <v>45929</v>
      </c>
      <c r="B1045" s="1" t="s">
        <v>68</v>
      </c>
    </row>
    <row r="1046" spans="1:2" x14ac:dyDescent="0.35">
      <c r="A1046" s="2">
        <v>45929</v>
      </c>
      <c r="B1046" s="1" t="s">
        <v>68</v>
      </c>
    </row>
    <row r="1047" spans="1:2" x14ac:dyDescent="0.35">
      <c r="A1047" s="2">
        <v>45929</v>
      </c>
      <c r="B1047" s="1" t="s">
        <v>68</v>
      </c>
    </row>
    <row r="1048" spans="1:2" x14ac:dyDescent="0.35">
      <c r="A1048" s="2">
        <v>45929</v>
      </c>
      <c r="B1048" s="1" t="s">
        <v>68</v>
      </c>
    </row>
    <row r="1049" spans="1:2" x14ac:dyDescent="0.35">
      <c r="A1049" s="2">
        <v>45929</v>
      </c>
      <c r="B1049" s="1" t="s">
        <v>34</v>
      </c>
    </row>
    <row r="1050" spans="1:2" x14ac:dyDescent="0.35">
      <c r="A1050" s="2">
        <v>45929</v>
      </c>
      <c r="B1050" s="1" t="s">
        <v>34</v>
      </c>
    </row>
    <row r="1051" spans="1:2" x14ac:dyDescent="0.35">
      <c r="A1051" s="2">
        <v>45929</v>
      </c>
      <c r="B1051" s="1" t="s">
        <v>34</v>
      </c>
    </row>
    <row r="1052" spans="1:2" x14ac:dyDescent="0.35">
      <c r="A1052" s="2">
        <v>45929</v>
      </c>
      <c r="B1052" s="1" t="s">
        <v>34</v>
      </c>
    </row>
    <row r="1053" spans="1:2" x14ac:dyDescent="0.35">
      <c r="A1053" s="2">
        <v>45929</v>
      </c>
      <c r="B1053" s="1" t="s">
        <v>34</v>
      </c>
    </row>
    <row r="1054" spans="1:2" x14ac:dyDescent="0.35">
      <c r="A1054" s="2">
        <v>45930</v>
      </c>
      <c r="B1054" s="1" t="s">
        <v>9</v>
      </c>
    </row>
    <row r="1055" spans="1:2" x14ac:dyDescent="0.35">
      <c r="A1055" s="2">
        <v>45930</v>
      </c>
      <c r="B1055" s="1" t="s">
        <v>9</v>
      </c>
    </row>
    <row r="1056" spans="1:2" x14ac:dyDescent="0.35">
      <c r="A1056" s="2">
        <v>45930</v>
      </c>
      <c r="B1056" s="1" t="s">
        <v>9</v>
      </c>
    </row>
    <row r="1057" spans="1:2" x14ac:dyDescent="0.35">
      <c r="A1057" s="2">
        <v>45930</v>
      </c>
      <c r="B1057" s="1" t="s">
        <v>68</v>
      </c>
    </row>
    <row r="1058" spans="1:2" x14ac:dyDescent="0.35">
      <c r="A1058" s="2">
        <v>45931</v>
      </c>
      <c r="B1058" s="1" t="s">
        <v>5</v>
      </c>
    </row>
    <row r="1059" spans="1:2" x14ac:dyDescent="0.35">
      <c r="A1059" s="2">
        <v>45931</v>
      </c>
      <c r="B1059" s="1" t="s">
        <v>5</v>
      </c>
    </row>
    <row r="1060" spans="1:2" x14ac:dyDescent="0.35">
      <c r="A1060" s="2">
        <v>45931</v>
      </c>
      <c r="B1060" s="1" t="s">
        <v>5</v>
      </c>
    </row>
    <row r="1061" spans="1:2" x14ac:dyDescent="0.35">
      <c r="A1061" s="2">
        <v>45931</v>
      </c>
      <c r="B1061" s="1" t="s">
        <v>5</v>
      </c>
    </row>
    <row r="1062" spans="1:2" x14ac:dyDescent="0.35">
      <c r="A1062" s="2">
        <v>45931</v>
      </c>
      <c r="B1062" s="1" t="s">
        <v>5</v>
      </c>
    </row>
    <row r="1063" spans="1:2" x14ac:dyDescent="0.35">
      <c r="A1063" s="2">
        <v>45931</v>
      </c>
      <c r="B1063" s="1" t="s">
        <v>9</v>
      </c>
    </row>
    <row r="1064" spans="1:2" x14ac:dyDescent="0.35">
      <c r="A1064" s="2">
        <v>45931</v>
      </c>
      <c r="B1064" s="1" t="s">
        <v>9</v>
      </c>
    </row>
    <row r="1065" spans="1:2" x14ac:dyDescent="0.35">
      <c r="A1065" s="2">
        <v>45931</v>
      </c>
      <c r="B1065" s="1" t="s">
        <v>9</v>
      </c>
    </row>
    <row r="1066" spans="1:2" x14ac:dyDescent="0.35">
      <c r="A1066" s="2">
        <v>45931</v>
      </c>
      <c r="B1066" s="1" t="s">
        <v>9</v>
      </c>
    </row>
    <row r="1067" spans="1:2" x14ac:dyDescent="0.35">
      <c r="A1067" s="2">
        <v>45931</v>
      </c>
      <c r="B1067" s="1" t="s">
        <v>9</v>
      </c>
    </row>
    <row r="1068" spans="1:2" x14ac:dyDescent="0.35">
      <c r="A1068" s="2">
        <v>45931</v>
      </c>
      <c r="B1068" s="1" t="s">
        <v>9</v>
      </c>
    </row>
    <row r="1069" spans="1:2" x14ac:dyDescent="0.35">
      <c r="A1069" s="2">
        <v>45931</v>
      </c>
      <c r="B1069" s="1" t="s">
        <v>9</v>
      </c>
    </row>
    <row r="1070" spans="1:2" x14ac:dyDescent="0.35">
      <c r="A1070" s="2">
        <v>45931</v>
      </c>
      <c r="B1070" s="1" t="s">
        <v>77</v>
      </c>
    </row>
    <row r="1071" spans="1:2" x14ac:dyDescent="0.35">
      <c r="A1071" s="2">
        <v>45931</v>
      </c>
      <c r="B1071" s="1" t="s">
        <v>34</v>
      </c>
    </row>
    <row r="1072" spans="1:2" x14ac:dyDescent="0.35">
      <c r="A1072" s="2">
        <v>45931</v>
      </c>
      <c r="B1072" s="1" t="s">
        <v>24</v>
      </c>
    </row>
    <row r="1073" spans="1:2" x14ac:dyDescent="0.35">
      <c r="A1073" s="2">
        <v>45931</v>
      </c>
      <c r="B1073" s="1" t="s">
        <v>24</v>
      </c>
    </row>
    <row r="1074" spans="1:2" x14ac:dyDescent="0.35">
      <c r="A1074" s="2">
        <v>45931</v>
      </c>
      <c r="B1074" s="1" t="s">
        <v>34</v>
      </c>
    </row>
    <row r="1075" spans="1:2" x14ac:dyDescent="0.35">
      <c r="A1075" s="2">
        <v>45931</v>
      </c>
      <c r="B1075" s="1" t="s">
        <v>24</v>
      </c>
    </row>
    <row r="1076" spans="1:2" x14ac:dyDescent="0.35">
      <c r="A1076" s="2">
        <v>45931</v>
      </c>
      <c r="B1076" s="1" t="s">
        <v>24</v>
      </c>
    </row>
    <row r="1077" spans="1:2" x14ac:dyDescent="0.35">
      <c r="A1077" s="2">
        <v>45931</v>
      </c>
      <c r="B1077" s="1" t="s">
        <v>24</v>
      </c>
    </row>
    <row r="1078" spans="1:2" x14ac:dyDescent="0.35">
      <c r="A1078" s="2">
        <v>45931</v>
      </c>
      <c r="B1078" s="1" t="s">
        <v>24</v>
      </c>
    </row>
    <row r="1079" spans="1:2" x14ac:dyDescent="0.35">
      <c r="A1079" s="2">
        <v>45931</v>
      </c>
      <c r="B1079" s="1" t="s">
        <v>34</v>
      </c>
    </row>
    <row r="1080" spans="1:2" x14ac:dyDescent="0.35">
      <c r="A1080" s="2">
        <v>45931</v>
      </c>
      <c r="B1080" s="1" t="s">
        <v>34</v>
      </c>
    </row>
    <row r="1081" spans="1:2" x14ac:dyDescent="0.35">
      <c r="A1081" s="2">
        <v>45931</v>
      </c>
      <c r="B1081" s="1" t="s">
        <v>34</v>
      </c>
    </row>
    <row r="1082" spans="1:2" x14ac:dyDescent="0.35">
      <c r="A1082" s="2">
        <v>45931</v>
      </c>
      <c r="B1082" s="1" t="s">
        <v>34</v>
      </c>
    </row>
    <row r="1083" spans="1:2" x14ac:dyDescent="0.35">
      <c r="A1083" s="2">
        <v>45931</v>
      </c>
      <c r="B1083" s="1" t="s">
        <v>24</v>
      </c>
    </row>
    <row r="1084" spans="1:2" x14ac:dyDescent="0.35">
      <c r="A1084" s="2">
        <v>45932</v>
      </c>
      <c r="B1084" s="1" t="s">
        <v>33</v>
      </c>
    </row>
    <row r="1085" spans="1:2" x14ac:dyDescent="0.35">
      <c r="A1085" s="2">
        <v>45932</v>
      </c>
      <c r="B1085" s="1" t="s">
        <v>33</v>
      </c>
    </row>
    <row r="1086" spans="1:2" x14ac:dyDescent="0.35">
      <c r="A1086" s="2">
        <v>45932</v>
      </c>
      <c r="B1086" s="1" t="s">
        <v>68</v>
      </c>
    </row>
    <row r="1087" spans="1:2" x14ac:dyDescent="0.35">
      <c r="A1087" s="2">
        <v>45932</v>
      </c>
      <c r="B1087" s="1" t="s">
        <v>33</v>
      </c>
    </row>
    <row r="1088" spans="1:2" x14ac:dyDescent="0.35">
      <c r="A1088" s="2">
        <v>45932</v>
      </c>
      <c r="B1088" s="1" t="s">
        <v>33</v>
      </c>
    </row>
    <row r="1089" spans="1:2" x14ac:dyDescent="0.35">
      <c r="A1089" s="2">
        <v>45932</v>
      </c>
      <c r="B1089" s="1" t="s">
        <v>33</v>
      </c>
    </row>
    <row r="1090" spans="1:2" x14ac:dyDescent="0.35">
      <c r="A1090" s="2">
        <v>45932</v>
      </c>
      <c r="B1090" s="1" t="s">
        <v>33</v>
      </c>
    </row>
    <row r="1091" spans="1:2" x14ac:dyDescent="0.35">
      <c r="A1091" s="2">
        <v>45932</v>
      </c>
      <c r="B1091" s="1" t="s">
        <v>33</v>
      </c>
    </row>
    <row r="1092" spans="1:2" x14ac:dyDescent="0.35">
      <c r="A1092" s="2">
        <v>45932</v>
      </c>
      <c r="B1092" s="1" t="s">
        <v>33</v>
      </c>
    </row>
    <row r="1093" spans="1:2" x14ac:dyDescent="0.35">
      <c r="A1093" s="2">
        <v>45932</v>
      </c>
      <c r="B1093" s="1" t="s">
        <v>33</v>
      </c>
    </row>
    <row r="1094" spans="1:2" x14ac:dyDescent="0.35">
      <c r="A1094" s="2">
        <v>45932</v>
      </c>
      <c r="B1094" s="1" t="s">
        <v>33</v>
      </c>
    </row>
    <row r="1095" spans="1:2" x14ac:dyDescent="0.35">
      <c r="A1095" s="2">
        <v>45932</v>
      </c>
      <c r="B1095" s="1" t="s">
        <v>33</v>
      </c>
    </row>
    <row r="1096" spans="1:2" x14ac:dyDescent="0.35">
      <c r="A1096" s="2">
        <v>45932</v>
      </c>
      <c r="B1096" s="1" t="s">
        <v>5</v>
      </c>
    </row>
    <row r="1097" spans="1:2" x14ac:dyDescent="0.35">
      <c r="A1097" s="2">
        <v>45932</v>
      </c>
      <c r="B1097" s="1" t="s">
        <v>68</v>
      </c>
    </row>
    <row r="1098" spans="1:2" x14ac:dyDescent="0.35">
      <c r="A1098" s="2">
        <v>45932</v>
      </c>
      <c r="B1098" s="1" t="s">
        <v>68</v>
      </c>
    </row>
    <row r="1099" spans="1:2" x14ac:dyDescent="0.35">
      <c r="A1099" s="2">
        <v>45932</v>
      </c>
      <c r="B1099" s="1" t="s">
        <v>34</v>
      </c>
    </row>
    <row r="1100" spans="1:2" x14ac:dyDescent="0.35">
      <c r="A1100" s="2">
        <v>45932</v>
      </c>
      <c r="B1100" s="1" t="s">
        <v>24</v>
      </c>
    </row>
    <row r="1101" spans="1:2" x14ac:dyDescent="0.35">
      <c r="A1101" s="2">
        <v>45932</v>
      </c>
      <c r="B1101" s="1" t="s">
        <v>34</v>
      </c>
    </row>
    <row r="1102" spans="1:2" x14ac:dyDescent="0.35">
      <c r="A1102" s="2">
        <v>45932</v>
      </c>
      <c r="B1102" s="1" t="s">
        <v>34</v>
      </c>
    </row>
    <row r="1103" spans="1:2" x14ac:dyDescent="0.35">
      <c r="A1103" s="2">
        <v>45932</v>
      </c>
      <c r="B1103" s="1" t="s">
        <v>34</v>
      </c>
    </row>
    <row r="1104" spans="1:2" x14ac:dyDescent="0.35">
      <c r="A1104" s="2">
        <v>45932</v>
      </c>
      <c r="B1104" s="1" t="s">
        <v>5</v>
      </c>
    </row>
    <row r="1105" spans="1:2" x14ac:dyDescent="0.35">
      <c r="A1105" s="2">
        <v>45933</v>
      </c>
      <c r="B1105" s="1" t="s">
        <v>22</v>
      </c>
    </row>
    <row r="1106" spans="1:2" x14ac:dyDescent="0.35">
      <c r="A1106" s="2">
        <v>45933</v>
      </c>
      <c r="B1106" s="1" t="s">
        <v>22</v>
      </c>
    </row>
    <row r="1107" spans="1:2" x14ac:dyDescent="0.35">
      <c r="A1107" s="2">
        <v>45933</v>
      </c>
      <c r="B1107" s="1" t="s">
        <v>22</v>
      </c>
    </row>
    <row r="1108" spans="1:2" x14ac:dyDescent="0.35">
      <c r="A1108" s="2">
        <v>45933</v>
      </c>
      <c r="B1108" s="1" t="s">
        <v>22</v>
      </c>
    </row>
    <row r="1109" spans="1:2" x14ac:dyDescent="0.35">
      <c r="A1109" s="2">
        <v>45933</v>
      </c>
      <c r="B1109" s="1" t="s">
        <v>34</v>
      </c>
    </row>
    <row r="1110" spans="1:2" x14ac:dyDescent="0.35">
      <c r="A1110" s="2">
        <v>45933</v>
      </c>
      <c r="B1110" s="1" t="s">
        <v>34</v>
      </c>
    </row>
    <row r="1111" spans="1:2" x14ac:dyDescent="0.35">
      <c r="A1111" s="2">
        <v>45933</v>
      </c>
      <c r="B1111" s="1" t="s">
        <v>68</v>
      </c>
    </row>
    <row r="1112" spans="1:2" x14ac:dyDescent="0.35">
      <c r="A1112" s="2">
        <v>45933</v>
      </c>
      <c r="B1112" s="1" t="s">
        <v>68</v>
      </c>
    </row>
    <row r="1113" spans="1:2" x14ac:dyDescent="0.35">
      <c r="A1113" s="2">
        <v>45933</v>
      </c>
      <c r="B1113" s="1" t="s">
        <v>68</v>
      </c>
    </row>
    <row r="1114" spans="1:2" x14ac:dyDescent="0.35">
      <c r="A1114" s="2">
        <v>45933</v>
      </c>
      <c r="B1114" s="1" t="s">
        <v>68</v>
      </c>
    </row>
    <row r="1115" spans="1:2" x14ac:dyDescent="0.35">
      <c r="A1115" s="2">
        <v>45933</v>
      </c>
      <c r="B1115" s="1" t="s">
        <v>68</v>
      </c>
    </row>
    <row r="1116" spans="1:2" x14ac:dyDescent="0.35">
      <c r="A1116" s="2">
        <v>45933</v>
      </c>
      <c r="B1116" s="1" t="s">
        <v>68</v>
      </c>
    </row>
    <row r="1117" spans="1:2" x14ac:dyDescent="0.35">
      <c r="A1117" s="2">
        <v>45933</v>
      </c>
      <c r="B1117" s="1" t="s">
        <v>68</v>
      </c>
    </row>
    <row r="1118" spans="1:2" x14ac:dyDescent="0.35">
      <c r="A1118" s="2">
        <v>45933</v>
      </c>
      <c r="B1118" s="1" t="s">
        <v>33</v>
      </c>
    </row>
    <row r="1119" spans="1:2" x14ac:dyDescent="0.35">
      <c r="A1119" s="2">
        <v>45933</v>
      </c>
      <c r="B1119" s="1" t="s">
        <v>22</v>
      </c>
    </row>
    <row r="1120" spans="1:2" x14ac:dyDescent="0.35">
      <c r="A1120" s="2">
        <v>45933</v>
      </c>
      <c r="B1120" s="1" t="s">
        <v>22</v>
      </c>
    </row>
    <row r="1121" spans="1:2" x14ac:dyDescent="0.35">
      <c r="A1121" s="2">
        <v>45933</v>
      </c>
      <c r="B1121" s="1" t="s">
        <v>33</v>
      </c>
    </row>
    <row r="1122" spans="1:2" x14ac:dyDescent="0.35">
      <c r="A1122" s="2">
        <v>45933</v>
      </c>
      <c r="B1122" s="1" t="s">
        <v>33</v>
      </c>
    </row>
    <row r="1123" spans="1:2" x14ac:dyDescent="0.35">
      <c r="A1123" s="2">
        <v>45933</v>
      </c>
      <c r="B1123" s="1" t="s">
        <v>33</v>
      </c>
    </row>
    <row r="1124" spans="1:2" x14ac:dyDescent="0.35">
      <c r="A1124" s="2">
        <v>45933</v>
      </c>
      <c r="B1124" s="1" t="s">
        <v>33</v>
      </c>
    </row>
    <row r="1125" spans="1:2" x14ac:dyDescent="0.35">
      <c r="A1125" s="2">
        <v>45933</v>
      </c>
      <c r="B1125" s="1" t="s">
        <v>34</v>
      </c>
    </row>
    <row r="1126" spans="1:2" x14ac:dyDescent="0.35">
      <c r="A1126" s="2">
        <v>45933</v>
      </c>
      <c r="B1126" s="1" t="s">
        <v>22</v>
      </c>
    </row>
    <row r="1127" spans="1:2" x14ac:dyDescent="0.35">
      <c r="A1127" s="2">
        <v>45933</v>
      </c>
      <c r="B1127" s="1" t="s">
        <v>34</v>
      </c>
    </row>
    <row r="1128" spans="1:2" x14ac:dyDescent="0.35">
      <c r="A1128" s="2">
        <v>45933</v>
      </c>
      <c r="B1128" s="1" t="s">
        <v>34</v>
      </c>
    </row>
    <row r="1129" spans="1:2" x14ac:dyDescent="0.35">
      <c r="A1129" s="2">
        <v>45933</v>
      </c>
      <c r="B1129" s="1" t="s">
        <v>34</v>
      </c>
    </row>
    <row r="1130" spans="1:2" x14ac:dyDescent="0.35">
      <c r="A1130" s="2">
        <v>45933</v>
      </c>
      <c r="B1130" s="1" t="s">
        <v>34</v>
      </c>
    </row>
    <row r="1131" spans="1:2" x14ac:dyDescent="0.35">
      <c r="A1131" s="2">
        <v>45933</v>
      </c>
      <c r="B1131" s="1" t="s">
        <v>68</v>
      </c>
    </row>
    <row r="1132" spans="1:2" x14ac:dyDescent="0.35">
      <c r="A1132" s="2">
        <v>45933</v>
      </c>
      <c r="B1132" s="1" t="s">
        <v>68</v>
      </c>
    </row>
    <row r="1133" spans="1:2" x14ac:dyDescent="0.35">
      <c r="A1133" s="2">
        <v>45933</v>
      </c>
      <c r="B1133" s="1" t="s">
        <v>68</v>
      </c>
    </row>
    <row r="1134" spans="1:2" x14ac:dyDescent="0.35">
      <c r="A1134" s="2">
        <v>45933</v>
      </c>
      <c r="B1134" s="1" t="s">
        <v>68</v>
      </c>
    </row>
    <row r="1135" spans="1:2" x14ac:dyDescent="0.35">
      <c r="A1135" s="2">
        <v>45933</v>
      </c>
      <c r="B1135" s="1" t="s">
        <v>68</v>
      </c>
    </row>
    <row r="1136" spans="1:2" x14ac:dyDescent="0.35">
      <c r="A1136" s="2">
        <v>45933</v>
      </c>
      <c r="B1136" s="1" t="s">
        <v>5</v>
      </c>
    </row>
    <row r="1137" spans="1:2" x14ac:dyDescent="0.35">
      <c r="A1137" s="2">
        <v>45936</v>
      </c>
      <c r="B1137" s="1" t="s">
        <v>33</v>
      </c>
    </row>
    <row r="1138" spans="1:2" x14ac:dyDescent="0.35">
      <c r="A1138" s="2">
        <v>45936</v>
      </c>
      <c r="B1138" s="1" t="s">
        <v>34</v>
      </c>
    </row>
    <row r="1139" spans="1:2" x14ac:dyDescent="0.35">
      <c r="A1139" s="2">
        <v>45936</v>
      </c>
      <c r="B1139" s="1" t="s">
        <v>34</v>
      </c>
    </row>
    <row r="1140" spans="1:2" x14ac:dyDescent="0.35">
      <c r="A1140" s="2">
        <v>45936</v>
      </c>
      <c r="B1140" s="1" t="s">
        <v>34</v>
      </c>
    </row>
    <row r="1141" spans="1:2" x14ac:dyDescent="0.35">
      <c r="A1141" s="2">
        <v>45936</v>
      </c>
      <c r="B1141" s="1" t="s">
        <v>34</v>
      </c>
    </row>
    <row r="1142" spans="1:2" x14ac:dyDescent="0.35">
      <c r="A1142" s="2">
        <v>45936</v>
      </c>
      <c r="B1142" s="1" t="s">
        <v>33</v>
      </c>
    </row>
    <row r="1143" spans="1:2" x14ac:dyDescent="0.35">
      <c r="A1143" s="2">
        <v>45936</v>
      </c>
      <c r="B1143" s="1" t="s">
        <v>9</v>
      </c>
    </row>
    <row r="1144" spans="1:2" x14ac:dyDescent="0.35">
      <c r="A1144" s="2">
        <v>45936</v>
      </c>
      <c r="B1144" s="1" t="s">
        <v>34</v>
      </c>
    </row>
    <row r="1145" spans="1:2" x14ac:dyDescent="0.35">
      <c r="A1145" s="2">
        <v>45936</v>
      </c>
      <c r="B1145" s="1" t="s">
        <v>22</v>
      </c>
    </row>
    <row r="1146" spans="1:2" x14ac:dyDescent="0.35">
      <c r="A1146" s="2">
        <v>45936</v>
      </c>
      <c r="B1146" s="1" t="s">
        <v>22</v>
      </c>
    </row>
    <row r="1147" spans="1:2" x14ac:dyDescent="0.35">
      <c r="A1147" s="2">
        <v>45936</v>
      </c>
      <c r="B1147" s="1" t="s">
        <v>22</v>
      </c>
    </row>
    <row r="1148" spans="1:2" x14ac:dyDescent="0.35">
      <c r="A1148" s="2">
        <v>45936</v>
      </c>
      <c r="B1148" s="1" t="s">
        <v>22</v>
      </c>
    </row>
    <row r="1149" spans="1:2" x14ac:dyDescent="0.35">
      <c r="A1149" s="2">
        <v>45936</v>
      </c>
      <c r="B1149" s="1" t="s">
        <v>22</v>
      </c>
    </row>
    <row r="1150" spans="1:2" x14ac:dyDescent="0.35">
      <c r="A1150" s="2">
        <v>45936</v>
      </c>
      <c r="B1150" s="1" t="s">
        <v>22</v>
      </c>
    </row>
    <row r="1151" spans="1:2" x14ac:dyDescent="0.35">
      <c r="A1151" s="2">
        <v>45936</v>
      </c>
      <c r="B1151" s="1" t="s">
        <v>22</v>
      </c>
    </row>
    <row r="1152" spans="1:2" x14ac:dyDescent="0.35">
      <c r="A1152" s="2">
        <v>45936</v>
      </c>
      <c r="B1152" s="1" t="s">
        <v>22</v>
      </c>
    </row>
    <row r="1153" spans="1:2" x14ac:dyDescent="0.35">
      <c r="A1153" s="2">
        <v>45936</v>
      </c>
      <c r="B1153" s="1" t="s">
        <v>22</v>
      </c>
    </row>
    <row r="1154" spans="1:2" x14ac:dyDescent="0.35">
      <c r="A1154" s="2">
        <v>45936</v>
      </c>
      <c r="B1154" s="1" t="s">
        <v>33</v>
      </c>
    </row>
    <row r="1155" spans="1:2" x14ac:dyDescent="0.35">
      <c r="A1155" s="2">
        <v>45936</v>
      </c>
      <c r="B1155" s="1" t="s">
        <v>33</v>
      </c>
    </row>
    <row r="1156" spans="1:2" x14ac:dyDescent="0.35">
      <c r="A1156" s="2">
        <v>45936</v>
      </c>
      <c r="B1156" s="1" t="s">
        <v>5</v>
      </c>
    </row>
    <row r="1157" spans="1:2" x14ac:dyDescent="0.35">
      <c r="A1157" s="2">
        <v>45936</v>
      </c>
      <c r="B1157" s="1" t="s">
        <v>5</v>
      </c>
    </row>
    <row r="1158" spans="1:2" x14ac:dyDescent="0.35">
      <c r="A1158" s="2">
        <v>45936</v>
      </c>
      <c r="B1158" s="1" t="s">
        <v>5</v>
      </c>
    </row>
    <row r="1159" spans="1:2" x14ac:dyDescent="0.35">
      <c r="A1159" s="2">
        <v>45936</v>
      </c>
      <c r="B1159" s="1" t="s">
        <v>22</v>
      </c>
    </row>
    <row r="1160" spans="1:2" x14ac:dyDescent="0.35">
      <c r="A1160" s="2">
        <v>45936</v>
      </c>
      <c r="B1160" s="1" t="s">
        <v>33</v>
      </c>
    </row>
    <row r="1161" spans="1:2" x14ac:dyDescent="0.35">
      <c r="A1161" s="2">
        <v>45936</v>
      </c>
      <c r="B1161" s="1" t="s">
        <v>9</v>
      </c>
    </row>
    <row r="1162" spans="1:2" x14ac:dyDescent="0.35">
      <c r="A1162" s="2">
        <v>45936</v>
      </c>
      <c r="B1162" s="1" t="s">
        <v>9</v>
      </c>
    </row>
    <row r="1163" spans="1:2" x14ac:dyDescent="0.35">
      <c r="A1163" s="2">
        <v>45936</v>
      </c>
      <c r="B1163" s="1" t="s">
        <v>77</v>
      </c>
    </row>
    <row r="1164" spans="1:2" x14ac:dyDescent="0.35">
      <c r="A1164" s="2">
        <v>45936</v>
      </c>
      <c r="B1164" s="1" t="s">
        <v>77</v>
      </c>
    </row>
    <row r="1165" spans="1:2" x14ac:dyDescent="0.35">
      <c r="A1165" s="2">
        <v>45936</v>
      </c>
      <c r="B1165" s="1" t="s">
        <v>9</v>
      </c>
    </row>
    <row r="1166" spans="1:2" x14ac:dyDescent="0.35">
      <c r="A1166" s="2">
        <v>45936</v>
      </c>
      <c r="B1166" s="1" t="s">
        <v>9</v>
      </c>
    </row>
    <row r="1167" spans="1:2" x14ac:dyDescent="0.35">
      <c r="A1167" s="2">
        <v>45936</v>
      </c>
      <c r="B1167" s="1" t="s">
        <v>34</v>
      </c>
    </row>
    <row r="1168" spans="1:2" x14ac:dyDescent="0.35">
      <c r="A1168" s="2">
        <v>45936</v>
      </c>
      <c r="B1168" s="1" t="s">
        <v>68</v>
      </c>
    </row>
    <row r="1169" spans="1:2" x14ac:dyDescent="0.35">
      <c r="A1169" s="2">
        <v>45936</v>
      </c>
      <c r="B1169" s="1" t="s">
        <v>68</v>
      </c>
    </row>
    <row r="1170" spans="1:2" x14ac:dyDescent="0.35">
      <c r="A1170" s="2">
        <v>45936</v>
      </c>
      <c r="B1170" s="1" t="s">
        <v>5</v>
      </c>
    </row>
    <row r="1171" spans="1:2" x14ac:dyDescent="0.35">
      <c r="A1171" s="2">
        <v>45936</v>
      </c>
      <c r="B1171" s="1" t="s">
        <v>5</v>
      </c>
    </row>
    <row r="1172" spans="1:2" x14ac:dyDescent="0.35">
      <c r="A1172" s="2">
        <v>45936</v>
      </c>
      <c r="B1172" s="1" t="s">
        <v>28</v>
      </c>
    </row>
    <row r="1173" spans="1:2" x14ac:dyDescent="0.35">
      <c r="A1173" s="2">
        <v>45937</v>
      </c>
      <c r="B1173" s="1" t="s">
        <v>68</v>
      </c>
    </row>
    <row r="1174" spans="1:2" x14ac:dyDescent="0.35">
      <c r="A1174" s="2">
        <v>45937</v>
      </c>
      <c r="B1174" s="1" t="s">
        <v>68</v>
      </c>
    </row>
    <row r="1175" spans="1:2" x14ac:dyDescent="0.35">
      <c r="A1175" s="2">
        <v>45937</v>
      </c>
      <c r="B1175" s="1" t="s">
        <v>33</v>
      </c>
    </row>
    <row r="1176" spans="1:2" x14ac:dyDescent="0.35">
      <c r="A1176" s="2">
        <v>45937</v>
      </c>
      <c r="B1176" s="1" t="s">
        <v>33</v>
      </c>
    </row>
    <row r="1177" spans="1:2" x14ac:dyDescent="0.35">
      <c r="A1177" s="2">
        <v>45937</v>
      </c>
      <c r="B1177" s="1" t="s">
        <v>33</v>
      </c>
    </row>
    <row r="1178" spans="1:2" x14ac:dyDescent="0.35">
      <c r="A1178" s="2">
        <v>45937</v>
      </c>
      <c r="B1178" s="1" t="s">
        <v>33</v>
      </c>
    </row>
    <row r="1179" spans="1:2" x14ac:dyDescent="0.35">
      <c r="A1179" s="2">
        <v>45937</v>
      </c>
      <c r="B1179" s="1" t="s">
        <v>33</v>
      </c>
    </row>
    <row r="1180" spans="1:2" x14ac:dyDescent="0.35">
      <c r="A1180" s="2">
        <v>45937</v>
      </c>
      <c r="B1180" s="1" t="s">
        <v>68</v>
      </c>
    </row>
    <row r="1181" spans="1:2" x14ac:dyDescent="0.35">
      <c r="A1181" s="2">
        <v>45937</v>
      </c>
      <c r="B1181" s="1" t="s">
        <v>28</v>
      </c>
    </row>
    <row r="1182" spans="1:2" x14ac:dyDescent="0.35">
      <c r="A1182" s="2">
        <v>45937</v>
      </c>
      <c r="B1182" s="1" t="s">
        <v>9</v>
      </c>
    </row>
    <row r="1183" spans="1:2" x14ac:dyDescent="0.35">
      <c r="A1183" s="2">
        <v>45937</v>
      </c>
      <c r="B1183" s="1" t="s">
        <v>9</v>
      </c>
    </row>
    <row r="1184" spans="1:2" x14ac:dyDescent="0.35">
      <c r="A1184" s="2">
        <v>45937</v>
      </c>
      <c r="B1184" s="1" t="s">
        <v>77</v>
      </c>
    </row>
    <row r="1185" spans="1:2" x14ac:dyDescent="0.35">
      <c r="A1185" s="2">
        <v>45937</v>
      </c>
      <c r="B1185" s="1" t="s">
        <v>77</v>
      </c>
    </row>
    <row r="1186" spans="1:2" x14ac:dyDescent="0.35">
      <c r="A1186" s="2">
        <v>45937</v>
      </c>
      <c r="B1186" s="1" t="s">
        <v>9</v>
      </c>
    </row>
    <row r="1187" spans="1:2" x14ac:dyDescent="0.35">
      <c r="A1187" s="2">
        <v>45937</v>
      </c>
      <c r="B1187" s="1" t="s">
        <v>9</v>
      </c>
    </row>
    <row r="1188" spans="1:2" x14ac:dyDescent="0.35">
      <c r="A1188" s="2">
        <v>45937</v>
      </c>
      <c r="B1188" s="1" t="s">
        <v>9</v>
      </c>
    </row>
    <row r="1189" spans="1:2" x14ac:dyDescent="0.35">
      <c r="A1189" s="2">
        <v>45937</v>
      </c>
      <c r="B1189" s="1" t="s">
        <v>50</v>
      </c>
    </row>
    <row r="1190" spans="1:2" x14ac:dyDescent="0.35">
      <c r="A1190" s="2">
        <v>45937</v>
      </c>
      <c r="B1190" s="1" t="s">
        <v>34</v>
      </c>
    </row>
    <row r="1191" spans="1:2" x14ac:dyDescent="0.35">
      <c r="A1191" s="2">
        <v>45937</v>
      </c>
      <c r="B1191" s="1" t="s">
        <v>34</v>
      </c>
    </row>
    <row r="1192" spans="1:2" x14ac:dyDescent="0.35">
      <c r="A1192" s="2">
        <v>45937</v>
      </c>
      <c r="B1192" s="1" t="s">
        <v>34</v>
      </c>
    </row>
    <row r="1193" spans="1:2" x14ac:dyDescent="0.35">
      <c r="A1193" s="2">
        <v>45937</v>
      </c>
      <c r="B1193" s="1" t="s">
        <v>34</v>
      </c>
    </row>
    <row r="1194" spans="1:2" x14ac:dyDescent="0.35">
      <c r="A1194" s="2">
        <v>45937</v>
      </c>
      <c r="B1194" s="1" t="s">
        <v>50</v>
      </c>
    </row>
    <row r="1195" spans="1:2" x14ac:dyDescent="0.35">
      <c r="A1195" s="2">
        <v>45937</v>
      </c>
      <c r="B1195" s="1" t="s">
        <v>50</v>
      </c>
    </row>
    <row r="1196" spans="1:2" x14ac:dyDescent="0.35">
      <c r="A1196" s="2">
        <v>45937</v>
      </c>
      <c r="B1196" s="1" t="s">
        <v>68</v>
      </c>
    </row>
    <row r="1197" spans="1:2" x14ac:dyDescent="0.35">
      <c r="A1197" s="2">
        <v>45937</v>
      </c>
      <c r="B1197" s="1" t="s">
        <v>68</v>
      </c>
    </row>
    <row r="1198" spans="1:2" x14ac:dyDescent="0.35">
      <c r="A1198" s="2">
        <v>45937</v>
      </c>
      <c r="B1198" s="1" t="s">
        <v>68</v>
      </c>
    </row>
    <row r="1199" spans="1:2" x14ac:dyDescent="0.35">
      <c r="A1199" s="2">
        <v>45937</v>
      </c>
      <c r="B1199" s="1" t="s">
        <v>68</v>
      </c>
    </row>
    <row r="1200" spans="1:2" x14ac:dyDescent="0.35">
      <c r="A1200" s="2">
        <v>45937</v>
      </c>
      <c r="B1200" s="1" t="s">
        <v>5</v>
      </c>
    </row>
    <row r="1201" spans="1:2" x14ac:dyDescent="0.35">
      <c r="A1201" s="2">
        <v>45937</v>
      </c>
      <c r="B1201" s="1" t="s">
        <v>5</v>
      </c>
    </row>
    <row r="1202" spans="1:2" x14ac:dyDescent="0.35">
      <c r="A1202" s="2">
        <v>45937</v>
      </c>
      <c r="B1202" s="1" t="s">
        <v>5</v>
      </c>
    </row>
    <row r="1203" spans="1:2" x14ac:dyDescent="0.35">
      <c r="A1203" s="2">
        <v>45937</v>
      </c>
      <c r="B1203" s="1" t="s">
        <v>24</v>
      </c>
    </row>
    <row r="1204" spans="1:2" x14ac:dyDescent="0.35">
      <c r="A1204" s="2">
        <v>45937</v>
      </c>
      <c r="B1204" s="1" t="s">
        <v>24</v>
      </c>
    </row>
    <row r="1205" spans="1:2" x14ac:dyDescent="0.35">
      <c r="A1205" s="2">
        <v>45937</v>
      </c>
      <c r="B1205" s="1" t="s">
        <v>24</v>
      </c>
    </row>
    <row r="1206" spans="1:2" x14ac:dyDescent="0.35">
      <c r="A1206" s="2">
        <v>45937</v>
      </c>
      <c r="B1206" s="1" t="s">
        <v>22</v>
      </c>
    </row>
    <row r="1207" spans="1:2" x14ac:dyDescent="0.35">
      <c r="A1207" s="2">
        <v>45937</v>
      </c>
      <c r="B1207" s="1" t="s">
        <v>22</v>
      </c>
    </row>
    <row r="1208" spans="1:2" x14ac:dyDescent="0.35">
      <c r="A1208" s="2">
        <v>45937</v>
      </c>
      <c r="B1208" s="1" t="s">
        <v>22</v>
      </c>
    </row>
    <row r="1209" spans="1:2" x14ac:dyDescent="0.35">
      <c r="A1209" s="2">
        <v>45937</v>
      </c>
      <c r="B1209" s="1" t="s">
        <v>28</v>
      </c>
    </row>
    <row r="1210" spans="1:2" x14ac:dyDescent="0.35">
      <c r="A1210" s="2">
        <v>45937</v>
      </c>
      <c r="B1210" s="1" t="s">
        <v>24</v>
      </c>
    </row>
    <row r="1211" spans="1:2" x14ac:dyDescent="0.35">
      <c r="A1211" s="2">
        <v>45937</v>
      </c>
      <c r="B1211" s="1" t="s">
        <v>24</v>
      </c>
    </row>
    <row r="1212" spans="1:2" x14ac:dyDescent="0.35">
      <c r="A1212" s="2">
        <v>45937</v>
      </c>
      <c r="B1212" s="1" t="s">
        <v>24</v>
      </c>
    </row>
    <row r="1213" spans="1:2" x14ac:dyDescent="0.35">
      <c r="A1213" s="2">
        <v>45938</v>
      </c>
      <c r="B1213" s="1" t="s">
        <v>5</v>
      </c>
    </row>
    <row r="1214" spans="1:2" x14ac:dyDescent="0.35">
      <c r="A1214" s="2">
        <v>45938</v>
      </c>
      <c r="B1214" s="1" t="s">
        <v>5</v>
      </c>
    </row>
    <row r="1215" spans="1:2" x14ac:dyDescent="0.35">
      <c r="A1215" s="2">
        <v>45938</v>
      </c>
      <c r="B1215" s="1" t="s">
        <v>5</v>
      </c>
    </row>
    <row r="1216" spans="1:2" x14ac:dyDescent="0.35">
      <c r="A1216" s="2">
        <v>45938</v>
      </c>
      <c r="B1216" s="1" t="s">
        <v>77</v>
      </c>
    </row>
    <row r="1217" spans="1:2" x14ac:dyDescent="0.35">
      <c r="A1217" s="2">
        <v>45938</v>
      </c>
      <c r="B1217" s="1" t="s">
        <v>5</v>
      </c>
    </row>
    <row r="1218" spans="1:2" x14ac:dyDescent="0.35">
      <c r="A1218" s="2">
        <v>45938</v>
      </c>
      <c r="B1218" s="1" t="s">
        <v>50</v>
      </c>
    </row>
    <row r="1219" spans="1:2" x14ac:dyDescent="0.35">
      <c r="A1219" s="2">
        <v>45938</v>
      </c>
      <c r="B1219" s="1" t="s">
        <v>33</v>
      </c>
    </row>
    <row r="1220" spans="1:2" x14ac:dyDescent="0.35">
      <c r="A1220" s="2">
        <v>45938</v>
      </c>
      <c r="B1220" s="1" t="s">
        <v>33</v>
      </c>
    </row>
    <row r="1221" spans="1:2" x14ac:dyDescent="0.35">
      <c r="A1221" s="2">
        <v>45938</v>
      </c>
      <c r="B1221" s="1" t="s">
        <v>33</v>
      </c>
    </row>
    <row r="1222" spans="1:2" x14ac:dyDescent="0.35">
      <c r="A1222" s="2">
        <v>45938</v>
      </c>
      <c r="B1222" s="1" t="s">
        <v>33</v>
      </c>
    </row>
    <row r="1223" spans="1:2" x14ac:dyDescent="0.35">
      <c r="A1223" s="2">
        <v>45938</v>
      </c>
      <c r="B1223" s="1" t="s">
        <v>33</v>
      </c>
    </row>
    <row r="1224" spans="1:2" x14ac:dyDescent="0.35">
      <c r="A1224" s="2">
        <v>45938</v>
      </c>
      <c r="B1224" s="1" t="s">
        <v>33</v>
      </c>
    </row>
    <row r="1225" spans="1:2" x14ac:dyDescent="0.35">
      <c r="A1225" s="2">
        <v>45938</v>
      </c>
      <c r="B1225" s="1" t="s">
        <v>9</v>
      </c>
    </row>
    <row r="1226" spans="1:2" x14ac:dyDescent="0.35">
      <c r="A1226" s="2">
        <v>45938</v>
      </c>
      <c r="B1226" s="1" t="s">
        <v>9</v>
      </c>
    </row>
    <row r="1227" spans="1:2" x14ac:dyDescent="0.35">
      <c r="A1227" s="2">
        <v>45938</v>
      </c>
      <c r="B1227" s="1" t="s">
        <v>9</v>
      </c>
    </row>
    <row r="1228" spans="1:2" x14ac:dyDescent="0.35">
      <c r="A1228" s="2">
        <v>45938</v>
      </c>
      <c r="B1228" s="1" t="s">
        <v>9</v>
      </c>
    </row>
    <row r="1229" spans="1:2" x14ac:dyDescent="0.35">
      <c r="A1229" s="2">
        <v>45938</v>
      </c>
      <c r="B1229" s="1" t="s">
        <v>9</v>
      </c>
    </row>
    <row r="1230" spans="1:2" x14ac:dyDescent="0.35">
      <c r="A1230" s="2">
        <v>45938</v>
      </c>
      <c r="B1230" s="1" t="s">
        <v>34</v>
      </c>
    </row>
    <row r="1231" spans="1:2" x14ac:dyDescent="0.35">
      <c r="A1231" s="2">
        <v>45938</v>
      </c>
      <c r="B1231" s="1" t="s">
        <v>34</v>
      </c>
    </row>
    <row r="1232" spans="1:2" x14ac:dyDescent="0.35">
      <c r="A1232" s="2">
        <v>45938</v>
      </c>
      <c r="B1232" s="1" t="s">
        <v>34</v>
      </c>
    </row>
    <row r="1233" spans="1:2" x14ac:dyDescent="0.35">
      <c r="A1233" s="2">
        <v>45938</v>
      </c>
      <c r="B1233" s="1" t="s">
        <v>34</v>
      </c>
    </row>
    <row r="1234" spans="1:2" x14ac:dyDescent="0.35">
      <c r="A1234" s="2">
        <v>45938</v>
      </c>
      <c r="B1234" s="1" t="s">
        <v>50</v>
      </c>
    </row>
    <row r="1235" spans="1:2" x14ac:dyDescent="0.35">
      <c r="A1235" s="2">
        <v>45938</v>
      </c>
      <c r="B1235" s="1" t="s">
        <v>68</v>
      </c>
    </row>
    <row r="1236" spans="1:2" x14ac:dyDescent="0.35">
      <c r="A1236" s="2">
        <v>45938</v>
      </c>
      <c r="B1236" s="1" t="s">
        <v>68</v>
      </c>
    </row>
    <row r="1237" spans="1:2" x14ac:dyDescent="0.35">
      <c r="A1237" s="2">
        <v>45938</v>
      </c>
      <c r="B1237" s="1" t="s">
        <v>68</v>
      </c>
    </row>
    <row r="1238" spans="1:2" x14ac:dyDescent="0.35">
      <c r="A1238" s="2">
        <v>45938</v>
      </c>
      <c r="B1238" s="1" t="s">
        <v>24</v>
      </c>
    </row>
    <row r="1239" spans="1:2" x14ac:dyDescent="0.35">
      <c r="A1239" s="2">
        <v>45938</v>
      </c>
      <c r="B1239" s="1" t="s">
        <v>28</v>
      </c>
    </row>
    <row r="1240" spans="1:2" x14ac:dyDescent="0.35">
      <c r="A1240" s="2">
        <v>45938</v>
      </c>
      <c r="B1240" s="1" t="s">
        <v>5</v>
      </c>
    </row>
    <row r="1241" spans="1:2" x14ac:dyDescent="0.35">
      <c r="A1241" s="2">
        <v>45938</v>
      </c>
      <c r="B1241" s="1" t="s">
        <v>5</v>
      </c>
    </row>
    <row r="1242" spans="1:2" x14ac:dyDescent="0.35">
      <c r="A1242" s="2">
        <v>45938</v>
      </c>
      <c r="B1242" s="1" t="s">
        <v>24</v>
      </c>
    </row>
    <row r="1243" spans="1:2" x14ac:dyDescent="0.35">
      <c r="A1243" s="2">
        <v>45938</v>
      </c>
      <c r="B1243" s="1" t="s">
        <v>24</v>
      </c>
    </row>
    <row r="1244" spans="1:2" x14ac:dyDescent="0.35">
      <c r="A1244" s="2">
        <v>45938</v>
      </c>
      <c r="B1244" s="1" t="s">
        <v>24</v>
      </c>
    </row>
    <row r="1245" spans="1:2" x14ac:dyDescent="0.35">
      <c r="A1245" s="2">
        <v>45938</v>
      </c>
      <c r="B1245" s="1" t="s">
        <v>24</v>
      </c>
    </row>
    <row r="1246" spans="1:2" x14ac:dyDescent="0.35">
      <c r="A1246" s="2">
        <v>45938</v>
      </c>
      <c r="B1246" s="1" t="s">
        <v>28</v>
      </c>
    </row>
    <row r="1247" spans="1:2" x14ac:dyDescent="0.35">
      <c r="A1247" s="2">
        <v>45938</v>
      </c>
      <c r="B1247" s="1" t="s">
        <v>28</v>
      </c>
    </row>
    <row r="1248" spans="1:2" x14ac:dyDescent="0.35">
      <c r="A1248" s="2">
        <v>45938</v>
      </c>
      <c r="B1248" s="1" t="s">
        <v>28</v>
      </c>
    </row>
    <row r="1249" spans="1:2" x14ac:dyDescent="0.35">
      <c r="A1249" s="2">
        <v>45938</v>
      </c>
      <c r="B1249" s="1" t="s">
        <v>28</v>
      </c>
    </row>
    <row r="1250" spans="1:2" x14ac:dyDescent="0.35">
      <c r="A1250" s="2">
        <v>45939</v>
      </c>
      <c r="B1250" s="1" t="s">
        <v>33</v>
      </c>
    </row>
    <row r="1251" spans="1:2" x14ac:dyDescent="0.35">
      <c r="A1251" s="2">
        <v>45939</v>
      </c>
      <c r="B1251" s="1" t="s">
        <v>33</v>
      </c>
    </row>
    <row r="1252" spans="1:2" x14ac:dyDescent="0.35">
      <c r="A1252" s="2">
        <v>45939</v>
      </c>
      <c r="B1252" s="1" t="s">
        <v>5</v>
      </c>
    </row>
    <row r="1253" spans="1:2" x14ac:dyDescent="0.35">
      <c r="A1253" s="2">
        <v>45939</v>
      </c>
      <c r="B1253" s="1" t="s">
        <v>9</v>
      </c>
    </row>
    <row r="1254" spans="1:2" x14ac:dyDescent="0.35">
      <c r="A1254" s="2">
        <v>45939</v>
      </c>
      <c r="B1254" s="1" t="s">
        <v>9</v>
      </c>
    </row>
    <row r="1255" spans="1:2" x14ac:dyDescent="0.35">
      <c r="A1255" s="2">
        <v>45939</v>
      </c>
      <c r="B1255" s="1" t="s">
        <v>9</v>
      </c>
    </row>
    <row r="1256" spans="1:2" x14ac:dyDescent="0.35">
      <c r="A1256" s="2">
        <v>45939</v>
      </c>
      <c r="B1256" s="1" t="s">
        <v>9</v>
      </c>
    </row>
    <row r="1257" spans="1:2" x14ac:dyDescent="0.35">
      <c r="A1257" s="2">
        <v>45939</v>
      </c>
      <c r="B1257" s="1" t="s">
        <v>9</v>
      </c>
    </row>
    <row r="1258" spans="1:2" x14ac:dyDescent="0.35">
      <c r="A1258" s="2">
        <v>45939</v>
      </c>
      <c r="B1258" s="1" t="s">
        <v>33</v>
      </c>
    </row>
    <row r="1259" spans="1:2" x14ac:dyDescent="0.35">
      <c r="A1259" s="2">
        <v>45939</v>
      </c>
      <c r="B1259" s="1" t="s">
        <v>33</v>
      </c>
    </row>
    <row r="1260" spans="1:2" x14ac:dyDescent="0.35">
      <c r="A1260" s="2">
        <v>45939</v>
      </c>
      <c r="B1260" s="1" t="s">
        <v>33</v>
      </c>
    </row>
    <row r="1261" spans="1:2" x14ac:dyDescent="0.35">
      <c r="A1261" s="2">
        <v>45939</v>
      </c>
      <c r="B1261" s="1" t="s">
        <v>9</v>
      </c>
    </row>
    <row r="1262" spans="1:2" x14ac:dyDescent="0.35">
      <c r="A1262" s="2">
        <v>45939</v>
      </c>
      <c r="B1262" s="1" t="s">
        <v>9</v>
      </c>
    </row>
    <row r="1263" spans="1:2" x14ac:dyDescent="0.35">
      <c r="A1263" s="2">
        <v>45939</v>
      </c>
      <c r="B1263" s="1" t="s">
        <v>9</v>
      </c>
    </row>
    <row r="1264" spans="1:2" x14ac:dyDescent="0.35">
      <c r="A1264" s="2">
        <v>45939</v>
      </c>
      <c r="B1264" s="1" t="s">
        <v>77</v>
      </c>
    </row>
    <row r="1265" spans="1:2" x14ac:dyDescent="0.35">
      <c r="A1265" s="2">
        <v>45939</v>
      </c>
      <c r="B1265" s="1" t="s">
        <v>77</v>
      </c>
    </row>
    <row r="1266" spans="1:2" x14ac:dyDescent="0.35">
      <c r="A1266" s="2">
        <v>45939</v>
      </c>
      <c r="B1266" s="1" t="s">
        <v>34</v>
      </c>
    </row>
    <row r="1267" spans="1:2" x14ac:dyDescent="0.35">
      <c r="A1267" s="2">
        <v>45939</v>
      </c>
      <c r="B1267" s="1" t="s">
        <v>34</v>
      </c>
    </row>
    <row r="1268" spans="1:2" x14ac:dyDescent="0.35">
      <c r="A1268" s="2">
        <v>45939</v>
      </c>
      <c r="B1268" s="1" t="s">
        <v>34</v>
      </c>
    </row>
    <row r="1269" spans="1:2" x14ac:dyDescent="0.35">
      <c r="A1269" s="2">
        <v>45939</v>
      </c>
      <c r="B1269" s="1" t="s">
        <v>34</v>
      </c>
    </row>
    <row r="1270" spans="1:2" x14ac:dyDescent="0.35">
      <c r="A1270" s="2">
        <v>45939</v>
      </c>
      <c r="B1270" s="1" t="s">
        <v>34</v>
      </c>
    </row>
    <row r="1271" spans="1:2" x14ac:dyDescent="0.35">
      <c r="A1271" s="2">
        <v>45939</v>
      </c>
      <c r="B1271" s="1" t="s">
        <v>34</v>
      </c>
    </row>
    <row r="1272" spans="1:2" x14ac:dyDescent="0.35">
      <c r="A1272" s="2">
        <v>45939</v>
      </c>
      <c r="B1272" s="1" t="s">
        <v>34</v>
      </c>
    </row>
    <row r="1273" spans="1:2" x14ac:dyDescent="0.35">
      <c r="A1273" s="2">
        <v>45939</v>
      </c>
      <c r="B1273" s="1" t="s">
        <v>34</v>
      </c>
    </row>
    <row r="1274" spans="1:2" x14ac:dyDescent="0.35">
      <c r="A1274" s="2">
        <v>45939</v>
      </c>
      <c r="B1274" s="1" t="s">
        <v>68</v>
      </c>
    </row>
    <row r="1275" spans="1:2" x14ac:dyDescent="0.35">
      <c r="A1275" s="2">
        <v>45939</v>
      </c>
      <c r="B1275" s="1" t="s">
        <v>68</v>
      </c>
    </row>
    <row r="1276" spans="1:2" x14ac:dyDescent="0.35">
      <c r="A1276" s="2">
        <v>45939</v>
      </c>
      <c r="B1276" s="1" t="s">
        <v>68</v>
      </c>
    </row>
    <row r="1277" spans="1:2" x14ac:dyDescent="0.35">
      <c r="A1277" s="2">
        <v>45939</v>
      </c>
      <c r="B1277" s="1" t="s">
        <v>68</v>
      </c>
    </row>
    <row r="1278" spans="1:2" x14ac:dyDescent="0.35">
      <c r="A1278" s="2">
        <v>45939</v>
      </c>
      <c r="B1278" s="1" t="s">
        <v>68</v>
      </c>
    </row>
    <row r="1279" spans="1:2" x14ac:dyDescent="0.35">
      <c r="A1279" s="2">
        <v>45939</v>
      </c>
      <c r="B1279" s="1" t="s">
        <v>68</v>
      </c>
    </row>
    <row r="1280" spans="1:2" x14ac:dyDescent="0.35">
      <c r="A1280" s="2">
        <v>45939</v>
      </c>
      <c r="B1280" s="1" t="s">
        <v>5</v>
      </c>
    </row>
    <row r="1281" spans="1:2" x14ac:dyDescent="0.35">
      <c r="A1281" s="2">
        <v>45939</v>
      </c>
      <c r="B1281" s="1" t="s">
        <v>28</v>
      </c>
    </row>
    <row r="1282" spans="1:2" x14ac:dyDescent="0.35">
      <c r="A1282" s="2">
        <v>45940</v>
      </c>
      <c r="B1282" s="1" t="s">
        <v>9</v>
      </c>
    </row>
    <row r="1283" spans="1:2" x14ac:dyDescent="0.35">
      <c r="A1283" s="2">
        <v>45940</v>
      </c>
      <c r="B1283" s="1" t="s">
        <v>9</v>
      </c>
    </row>
    <row r="1284" spans="1:2" x14ac:dyDescent="0.35">
      <c r="A1284" s="2">
        <v>45940</v>
      </c>
      <c r="B1284" s="1" t="s">
        <v>68</v>
      </c>
    </row>
    <row r="1285" spans="1:2" x14ac:dyDescent="0.35">
      <c r="A1285" s="2">
        <v>45940</v>
      </c>
      <c r="B1285" s="1" t="s">
        <v>68</v>
      </c>
    </row>
    <row r="1286" spans="1:2" x14ac:dyDescent="0.35">
      <c r="A1286" s="2">
        <v>45940</v>
      </c>
      <c r="B1286" s="1" t="s">
        <v>68</v>
      </c>
    </row>
    <row r="1287" spans="1:2" x14ac:dyDescent="0.35">
      <c r="A1287" s="2">
        <v>45940</v>
      </c>
      <c r="B1287" s="1" t="s">
        <v>68</v>
      </c>
    </row>
    <row r="1288" spans="1:2" x14ac:dyDescent="0.35">
      <c r="A1288" s="2">
        <v>45940</v>
      </c>
      <c r="B1288" s="1" t="s">
        <v>22</v>
      </c>
    </row>
    <row r="1289" spans="1:2" x14ac:dyDescent="0.35">
      <c r="A1289" s="2">
        <v>45940</v>
      </c>
      <c r="B1289" s="1" t="s">
        <v>22</v>
      </c>
    </row>
    <row r="1290" spans="1:2" x14ac:dyDescent="0.35">
      <c r="A1290" s="2">
        <v>45940</v>
      </c>
      <c r="B1290" s="1" t="s">
        <v>22</v>
      </c>
    </row>
    <row r="1291" spans="1:2" x14ac:dyDescent="0.35">
      <c r="A1291" s="2">
        <v>45940</v>
      </c>
      <c r="B1291" s="1" t="s">
        <v>22</v>
      </c>
    </row>
    <row r="1292" spans="1:2" x14ac:dyDescent="0.35">
      <c r="A1292" s="2">
        <v>45940</v>
      </c>
      <c r="B1292" s="1" t="s">
        <v>22</v>
      </c>
    </row>
    <row r="1293" spans="1:2" x14ac:dyDescent="0.35">
      <c r="A1293" s="2">
        <v>45940</v>
      </c>
      <c r="B1293" s="1" t="s">
        <v>22</v>
      </c>
    </row>
    <row r="1294" spans="1:2" x14ac:dyDescent="0.35">
      <c r="A1294" s="2">
        <v>45940</v>
      </c>
      <c r="B1294" s="1" t="s">
        <v>22</v>
      </c>
    </row>
    <row r="1295" spans="1:2" x14ac:dyDescent="0.35">
      <c r="A1295" s="2">
        <v>45940</v>
      </c>
      <c r="B1295" s="1" t="s">
        <v>22</v>
      </c>
    </row>
    <row r="1296" spans="1:2" x14ac:dyDescent="0.35">
      <c r="A1296" s="2">
        <v>45940</v>
      </c>
      <c r="B1296" s="1" t="s">
        <v>24</v>
      </c>
    </row>
    <row r="1297" spans="1:2" x14ac:dyDescent="0.35">
      <c r="A1297" s="2">
        <v>45940</v>
      </c>
      <c r="B1297" s="1" t="s">
        <v>24</v>
      </c>
    </row>
    <row r="1298" spans="1:2" x14ac:dyDescent="0.35">
      <c r="A1298" s="2">
        <v>45940</v>
      </c>
      <c r="B1298" s="1" t="s">
        <v>9</v>
      </c>
    </row>
    <row r="1299" spans="1:2" x14ac:dyDescent="0.35">
      <c r="A1299" s="2">
        <v>45940</v>
      </c>
      <c r="B1299" s="1" t="s">
        <v>9</v>
      </c>
    </row>
    <row r="1300" spans="1:2" x14ac:dyDescent="0.35">
      <c r="A1300" s="2">
        <v>45940</v>
      </c>
      <c r="B1300" s="1" t="s">
        <v>9</v>
      </c>
    </row>
    <row r="1301" spans="1:2" x14ac:dyDescent="0.35">
      <c r="A1301" s="2">
        <v>45940</v>
      </c>
      <c r="B1301" s="1" t="s">
        <v>9</v>
      </c>
    </row>
    <row r="1302" spans="1:2" x14ac:dyDescent="0.35">
      <c r="A1302" s="2">
        <v>45940</v>
      </c>
      <c r="B1302" s="1" t="s">
        <v>24</v>
      </c>
    </row>
    <row r="1303" spans="1:2" x14ac:dyDescent="0.35">
      <c r="A1303" s="2">
        <v>45940</v>
      </c>
      <c r="B1303" s="1" t="s">
        <v>77</v>
      </c>
    </row>
    <row r="1304" spans="1:2" x14ac:dyDescent="0.35">
      <c r="A1304" s="2">
        <v>45940</v>
      </c>
      <c r="B1304" s="1" t="s">
        <v>77</v>
      </c>
    </row>
    <row r="1305" spans="1:2" x14ac:dyDescent="0.35">
      <c r="A1305" s="2">
        <v>45940</v>
      </c>
      <c r="B1305" s="1" t="s">
        <v>34</v>
      </c>
    </row>
    <row r="1306" spans="1:2" x14ac:dyDescent="0.35">
      <c r="A1306" s="2">
        <v>45940</v>
      </c>
      <c r="B1306" s="1" t="s">
        <v>34</v>
      </c>
    </row>
    <row r="1307" spans="1:2" x14ac:dyDescent="0.35">
      <c r="A1307" s="2">
        <v>45940</v>
      </c>
      <c r="B1307" s="1" t="s">
        <v>34</v>
      </c>
    </row>
    <row r="1308" spans="1:2" x14ac:dyDescent="0.35">
      <c r="A1308" s="2">
        <v>45940</v>
      </c>
      <c r="B1308" s="1" t="s">
        <v>34</v>
      </c>
    </row>
    <row r="1309" spans="1:2" x14ac:dyDescent="0.35">
      <c r="A1309" s="2">
        <v>45940</v>
      </c>
      <c r="B1309" s="1" t="s">
        <v>34</v>
      </c>
    </row>
    <row r="1310" spans="1:2" x14ac:dyDescent="0.35">
      <c r="A1310" s="2">
        <v>45940</v>
      </c>
      <c r="B1310" s="1" t="s">
        <v>24</v>
      </c>
    </row>
    <row r="1311" spans="1:2" x14ac:dyDescent="0.35">
      <c r="A1311" s="2">
        <v>45940</v>
      </c>
      <c r="B1311" s="1" t="s">
        <v>68</v>
      </c>
    </row>
    <row r="1312" spans="1:2" x14ac:dyDescent="0.35">
      <c r="A1312" s="2">
        <v>45940</v>
      </c>
      <c r="B1312" s="1" t="s">
        <v>22</v>
      </c>
    </row>
    <row r="1313" spans="1:2" x14ac:dyDescent="0.35">
      <c r="A1313" s="2">
        <v>45940</v>
      </c>
      <c r="B1313" s="1" t="s">
        <v>22</v>
      </c>
    </row>
    <row r="1314" spans="1:2" x14ac:dyDescent="0.35">
      <c r="A1314" s="2">
        <v>45940</v>
      </c>
      <c r="B1314" s="1" t="s">
        <v>28</v>
      </c>
    </row>
    <row r="1315" spans="1:2" x14ac:dyDescent="0.35">
      <c r="A1315" s="2">
        <v>45940</v>
      </c>
      <c r="B1315" s="1" t="s">
        <v>28</v>
      </c>
    </row>
    <row r="1316" spans="1:2" x14ac:dyDescent="0.35">
      <c r="A1316" s="2">
        <v>45940</v>
      </c>
      <c r="B1316" s="1" t="s">
        <v>28</v>
      </c>
    </row>
    <row r="1317" spans="1:2" x14ac:dyDescent="0.35">
      <c r="A1317" s="2">
        <v>45940</v>
      </c>
      <c r="B1317" s="1" t="s">
        <v>28</v>
      </c>
    </row>
    <row r="1318" spans="1:2" x14ac:dyDescent="0.35">
      <c r="A1318" s="2">
        <v>45943</v>
      </c>
      <c r="B1318" s="1" t="s">
        <v>77</v>
      </c>
    </row>
    <row r="1319" spans="1:2" x14ac:dyDescent="0.35">
      <c r="A1319" s="2">
        <v>45943</v>
      </c>
      <c r="B1319" s="1" t="s">
        <v>77</v>
      </c>
    </row>
    <row r="1320" spans="1:2" x14ac:dyDescent="0.35">
      <c r="A1320" s="2">
        <v>45943</v>
      </c>
      <c r="B1320" s="1" t="s">
        <v>68</v>
      </c>
    </row>
    <row r="1321" spans="1:2" x14ac:dyDescent="0.35">
      <c r="A1321" s="2">
        <v>45943</v>
      </c>
      <c r="B1321" s="1" t="s">
        <v>68</v>
      </c>
    </row>
    <row r="1322" spans="1:2" x14ac:dyDescent="0.35">
      <c r="A1322" s="2">
        <v>45943</v>
      </c>
      <c r="B1322" s="1" t="s">
        <v>68</v>
      </c>
    </row>
    <row r="1323" spans="1:2" x14ac:dyDescent="0.35">
      <c r="A1323" s="2">
        <v>45943</v>
      </c>
      <c r="B1323" s="1" t="s">
        <v>5</v>
      </c>
    </row>
    <row r="1324" spans="1:2" x14ac:dyDescent="0.35">
      <c r="A1324" s="2">
        <v>45943</v>
      </c>
      <c r="B1324" s="1" t="s">
        <v>9</v>
      </c>
    </row>
    <row r="1325" spans="1:2" x14ac:dyDescent="0.35">
      <c r="A1325" s="2">
        <v>45943</v>
      </c>
      <c r="B1325" s="1" t="s">
        <v>9</v>
      </c>
    </row>
    <row r="1326" spans="1:2" x14ac:dyDescent="0.35">
      <c r="A1326" s="2">
        <v>45943</v>
      </c>
      <c r="B1326" s="1" t="s">
        <v>9</v>
      </c>
    </row>
    <row r="1327" spans="1:2" x14ac:dyDescent="0.35">
      <c r="A1327" s="2">
        <v>45943</v>
      </c>
      <c r="B1327" s="1" t="s">
        <v>9</v>
      </c>
    </row>
    <row r="1328" spans="1:2" x14ac:dyDescent="0.35">
      <c r="A1328" s="2">
        <v>45943</v>
      </c>
      <c r="B1328" s="1" t="s">
        <v>33</v>
      </c>
    </row>
    <row r="1329" spans="1:2" x14ac:dyDescent="0.35">
      <c r="A1329" s="2">
        <v>45943</v>
      </c>
      <c r="B1329" s="1" t="s">
        <v>33</v>
      </c>
    </row>
    <row r="1330" spans="1:2" x14ac:dyDescent="0.35">
      <c r="A1330" s="2">
        <v>45943</v>
      </c>
      <c r="B1330" s="1" t="s">
        <v>33</v>
      </c>
    </row>
    <row r="1331" spans="1:2" x14ac:dyDescent="0.35">
      <c r="A1331" s="2">
        <v>45943</v>
      </c>
      <c r="B1331" s="1" t="s">
        <v>33</v>
      </c>
    </row>
    <row r="1332" spans="1:2" x14ac:dyDescent="0.35">
      <c r="A1332" s="2">
        <v>45943</v>
      </c>
      <c r="B1332" s="1" t="s">
        <v>33</v>
      </c>
    </row>
    <row r="1333" spans="1:2" x14ac:dyDescent="0.35">
      <c r="A1333" s="2">
        <v>45943</v>
      </c>
      <c r="B1333" s="1" t="s">
        <v>33</v>
      </c>
    </row>
    <row r="1334" spans="1:2" x14ac:dyDescent="0.35">
      <c r="A1334" s="2">
        <v>45943</v>
      </c>
      <c r="B1334" s="1" t="s">
        <v>33</v>
      </c>
    </row>
    <row r="1335" spans="1:2" x14ac:dyDescent="0.35">
      <c r="A1335" s="2">
        <v>45943</v>
      </c>
      <c r="B1335" s="1" t="s">
        <v>9</v>
      </c>
    </row>
    <row r="1336" spans="1:2" x14ac:dyDescent="0.35">
      <c r="A1336" s="2">
        <v>45943</v>
      </c>
      <c r="B1336" s="1" t="s">
        <v>5</v>
      </c>
    </row>
    <row r="1337" spans="1:2" x14ac:dyDescent="0.35">
      <c r="A1337" s="2">
        <v>45943</v>
      </c>
      <c r="B1337" s="1" t="s">
        <v>5</v>
      </c>
    </row>
    <row r="1338" spans="1:2" x14ac:dyDescent="0.35">
      <c r="A1338" s="2">
        <v>45943</v>
      </c>
      <c r="B1338" s="1" t="s">
        <v>34</v>
      </c>
    </row>
    <row r="1339" spans="1:2" x14ac:dyDescent="0.35">
      <c r="A1339" s="2">
        <v>45943</v>
      </c>
      <c r="B1339" s="1" t="s">
        <v>34</v>
      </c>
    </row>
    <row r="1340" spans="1:2" x14ac:dyDescent="0.35">
      <c r="A1340" s="2">
        <v>45943</v>
      </c>
      <c r="B1340" s="1" t="s">
        <v>34</v>
      </c>
    </row>
    <row r="1341" spans="1:2" x14ac:dyDescent="0.35">
      <c r="A1341" s="2">
        <v>45943</v>
      </c>
      <c r="B1341" s="1" t="s">
        <v>9</v>
      </c>
    </row>
    <row r="1342" spans="1:2" x14ac:dyDescent="0.35">
      <c r="A1342" s="2">
        <v>45943</v>
      </c>
      <c r="B1342" s="1" t="s">
        <v>34</v>
      </c>
    </row>
    <row r="1343" spans="1:2" x14ac:dyDescent="0.35">
      <c r="A1343" s="2">
        <v>45943</v>
      </c>
      <c r="B1343" s="1" t="s">
        <v>34</v>
      </c>
    </row>
    <row r="1344" spans="1:2" x14ac:dyDescent="0.35">
      <c r="A1344" s="2">
        <v>45943</v>
      </c>
      <c r="B1344" s="1" t="s">
        <v>34</v>
      </c>
    </row>
    <row r="1345" spans="1:2" x14ac:dyDescent="0.35">
      <c r="A1345" s="2">
        <v>45943</v>
      </c>
      <c r="B1345" s="1" t="s">
        <v>68</v>
      </c>
    </row>
    <row r="1346" spans="1:2" x14ac:dyDescent="0.35">
      <c r="A1346" s="2">
        <v>45943</v>
      </c>
      <c r="B1346" s="1" t="s">
        <v>68</v>
      </c>
    </row>
    <row r="1347" spans="1:2" x14ac:dyDescent="0.35">
      <c r="A1347" s="2">
        <v>45943</v>
      </c>
      <c r="B1347" s="1" t="s">
        <v>68</v>
      </c>
    </row>
    <row r="1348" spans="1:2" x14ac:dyDescent="0.35">
      <c r="A1348" s="2">
        <v>45943</v>
      </c>
      <c r="B1348" s="1" t="s">
        <v>28</v>
      </c>
    </row>
    <row r="1349" spans="1:2" x14ac:dyDescent="0.35">
      <c r="A1349" s="2">
        <v>45943</v>
      </c>
      <c r="B1349" s="1" t="s">
        <v>28</v>
      </c>
    </row>
    <row r="1350" spans="1:2" x14ac:dyDescent="0.35">
      <c r="A1350" s="2">
        <v>45943</v>
      </c>
      <c r="B1350" s="1" t="s">
        <v>5</v>
      </c>
    </row>
    <row r="1351" spans="1:2" x14ac:dyDescent="0.35">
      <c r="A1351" s="2">
        <v>45943</v>
      </c>
      <c r="B1351" s="1" t="s">
        <v>33</v>
      </c>
    </row>
    <row r="1352" spans="1:2" x14ac:dyDescent="0.35">
      <c r="A1352" s="2">
        <v>45944</v>
      </c>
      <c r="B1352" s="1" t="s">
        <v>5</v>
      </c>
    </row>
    <row r="1353" spans="1:2" x14ac:dyDescent="0.35">
      <c r="A1353" s="2">
        <v>45944</v>
      </c>
      <c r="B1353" s="1" t="s">
        <v>9</v>
      </c>
    </row>
    <row r="1354" spans="1:2" x14ac:dyDescent="0.35">
      <c r="A1354" s="2">
        <v>45944</v>
      </c>
      <c r="B1354" s="1" t="s">
        <v>68</v>
      </c>
    </row>
    <row r="1355" spans="1:2" x14ac:dyDescent="0.35">
      <c r="A1355" s="2">
        <v>45944</v>
      </c>
      <c r="B1355" s="1" t="s">
        <v>5</v>
      </c>
    </row>
    <row r="1356" spans="1:2" x14ac:dyDescent="0.35">
      <c r="A1356" s="2">
        <v>45944</v>
      </c>
      <c r="B1356" s="1" t="s">
        <v>5</v>
      </c>
    </row>
    <row r="1357" spans="1:2" x14ac:dyDescent="0.35">
      <c r="A1357" s="2">
        <v>45944</v>
      </c>
      <c r="B1357" s="1" t="s">
        <v>5</v>
      </c>
    </row>
    <row r="1358" spans="1:2" x14ac:dyDescent="0.35">
      <c r="A1358" s="2">
        <v>45944</v>
      </c>
      <c r="B1358" s="1" t="s">
        <v>5</v>
      </c>
    </row>
    <row r="1359" spans="1:2" x14ac:dyDescent="0.35">
      <c r="A1359" s="2">
        <v>45944</v>
      </c>
      <c r="B1359" s="1" t="s">
        <v>9</v>
      </c>
    </row>
    <row r="1360" spans="1:2" x14ac:dyDescent="0.35">
      <c r="A1360" s="2">
        <v>45944</v>
      </c>
      <c r="B1360" s="1" t="s">
        <v>9</v>
      </c>
    </row>
    <row r="1361" spans="1:2" x14ac:dyDescent="0.35">
      <c r="A1361" s="2">
        <v>45944</v>
      </c>
      <c r="B1361" s="1" t="s">
        <v>34</v>
      </c>
    </row>
    <row r="1362" spans="1:2" x14ac:dyDescent="0.35">
      <c r="A1362" s="2">
        <v>45944</v>
      </c>
      <c r="B1362" s="1" t="s">
        <v>34</v>
      </c>
    </row>
    <row r="1363" spans="1:2" x14ac:dyDescent="0.35">
      <c r="A1363" s="2">
        <v>45944</v>
      </c>
      <c r="B1363" s="1" t="s">
        <v>34</v>
      </c>
    </row>
    <row r="1364" spans="1:2" x14ac:dyDescent="0.35">
      <c r="A1364" s="2">
        <v>45944</v>
      </c>
      <c r="B1364" s="1" t="s">
        <v>34</v>
      </c>
    </row>
    <row r="1365" spans="1:2" x14ac:dyDescent="0.35">
      <c r="A1365" s="2">
        <v>45944</v>
      </c>
      <c r="B1365" s="1" t="s">
        <v>34</v>
      </c>
    </row>
    <row r="1366" spans="1:2" x14ac:dyDescent="0.35">
      <c r="A1366" s="2">
        <v>45944</v>
      </c>
      <c r="B1366" s="1" t="s">
        <v>68</v>
      </c>
    </row>
    <row r="1367" spans="1:2" x14ac:dyDescent="0.35">
      <c r="A1367" s="2">
        <v>45944</v>
      </c>
      <c r="B1367" s="1" t="s">
        <v>68</v>
      </c>
    </row>
    <row r="1368" spans="1:2" x14ac:dyDescent="0.35">
      <c r="A1368" s="2">
        <v>45944</v>
      </c>
      <c r="B1368" s="1" t="s">
        <v>68</v>
      </c>
    </row>
    <row r="1369" spans="1:2" x14ac:dyDescent="0.35">
      <c r="A1369" s="2">
        <v>45944</v>
      </c>
      <c r="B1369" s="1" t="s">
        <v>5</v>
      </c>
    </row>
    <row r="1370" spans="1:2" x14ac:dyDescent="0.35">
      <c r="A1370" s="2">
        <v>45944</v>
      </c>
      <c r="B1370" s="1" t="s">
        <v>28</v>
      </c>
    </row>
    <row r="1371" spans="1:2" x14ac:dyDescent="0.35">
      <c r="A1371" s="2">
        <v>45944</v>
      </c>
      <c r="B1371" s="1" t="s">
        <v>28</v>
      </c>
    </row>
    <row r="1372" spans="1:2" x14ac:dyDescent="0.35">
      <c r="A1372" s="2">
        <v>45944</v>
      </c>
      <c r="B1372" s="1" t="s">
        <v>28</v>
      </c>
    </row>
    <row r="1373" spans="1:2" x14ac:dyDescent="0.35">
      <c r="A1373" s="2">
        <v>45944</v>
      </c>
      <c r="B1373" s="1" t="s">
        <v>68</v>
      </c>
    </row>
    <row r="1374" spans="1:2" x14ac:dyDescent="0.35">
      <c r="A1374" s="2">
        <v>45945</v>
      </c>
      <c r="B1374" s="1" t="s">
        <v>68</v>
      </c>
    </row>
    <row r="1375" spans="1:2" x14ac:dyDescent="0.35">
      <c r="A1375" s="2">
        <v>45945</v>
      </c>
      <c r="B1375" s="1" t="s">
        <v>68</v>
      </c>
    </row>
    <row r="1376" spans="1:2" x14ac:dyDescent="0.35">
      <c r="A1376" s="2">
        <v>45945</v>
      </c>
      <c r="B1376" s="1" t="s">
        <v>68</v>
      </c>
    </row>
    <row r="1377" spans="1:2" x14ac:dyDescent="0.35">
      <c r="A1377" s="2">
        <v>45945</v>
      </c>
      <c r="B1377" s="1" t="s">
        <v>22</v>
      </c>
    </row>
    <row r="1378" spans="1:2" x14ac:dyDescent="0.35">
      <c r="A1378" s="2">
        <v>45945</v>
      </c>
      <c r="B1378" s="1" t="s">
        <v>22</v>
      </c>
    </row>
    <row r="1379" spans="1:2" x14ac:dyDescent="0.35">
      <c r="A1379" s="2">
        <v>45945</v>
      </c>
      <c r="B1379" s="1" t="s">
        <v>22</v>
      </c>
    </row>
    <row r="1380" spans="1:2" x14ac:dyDescent="0.35">
      <c r="A1380" s="2">
        <v>45945</v>
      </c>
      <c r="B1380" s="1" t="s">
        <v>22</v>
      </c>
    </row>
    <row r="1381" spans="1:2" x14ac:dyDescent="0.35">
      <c r="A1381" s="2">
        <v>45945</v>
      </c>
      <c r="B1381" s="1" t="s">
        <v>22</v>
      </c>
    </row>
    <row r="1382" spans="1:2" x14ac:dyDescent="0.35">
      <c r="A1382" s="2">
        <v>45945</v>
      </c>
      <c r="B1382" s="1" t="s">
        <v>22</v>
      </c>
    </row>
    <row r="1383" spans="1:2" x14ac:dyDescent="0.35">
      <c r="A1383" s="2">
        <v>45945</v>
      </c>
      <c r="B1383" s="1" t="s">
        <v>22</v>
      </c>
    </row>
    <row r="1384" spans="1:2" x14ac:dyDescent="0.35">
      <c r="A1384" s="2">
        <v>45945</v>
      </c>
      <c r="B1384" s="1" t="s">
        <v>22</v>
      </c>
    </row>
    <row r="1385" spans="1:2" x14ac:dyDescent="0.35">
      <c r="A1385" s="2">
        <v>45945</v>
      </c>
      <c r="B1385" s="1" t="s">
        <v>22</v>
      </c>
    </row>
    <row r="1386" spans="1:2" x14ac:dyDescent="0.35">
      <c r="A1386" s="2">
        <v>45945</v>
      </c>
      <c r="B1386" s="1" t="s">
        <v>22</v>
      </c>
    </row>
    <row r="1387" spans="1:2" x14ac:dyDescent="0.35">
      <c r="A1387" s="2">
        <v>45945</v>
      </c>
      <c r="B1387" s="1" t="s">
        <v>22</v>
      </c>
    </row>
    <row r="1388" spans="1:2" x14ac:dyDescent="0.35">
      <c r="A1388" s="2">
        <v>45945</v>
      </c>
      <c r="B1388" s="1" t="s">
        <v>22</v>
      </c>
    </row>
    <row r="1389" spans="1:2" x14ac:dyDescent="0.35">
      <c r="A1389" s="2">
        <v>45945</v>
      </c>
      <c r="B1389" s="1" t="s">
        <v>22</v>
      </c>
    </row>
    <row r="1390" spans="1:2" x14ac:dyDescent="0.35">
      <c r="A1390" s="2">
        <v>45945</v>
      </c>
      <c r="B1390" s="1" t="s">
        <v>22</v>
      </c>
    </row>
    <row r="1391" spans="1:2" x14ac:dyDescent="0.35">
      <c r="A1391" s="2">
        <v>45945</v>
      </c>
      <c r="B1391" s="1" t="s">
        <v>22</v>
      </c>
    </row>
    <row r="1392" spans="1:2" x14ac:dyDescent="0.35">
      <c r="A1392" s="2">
        <v>45945</v>
      </c>
      <c r="B1392" s="1" t="s">
        <v>22</v>
      </c>
    </row>
    <row r="1393" spans="1:2" x14ac:dyDescent="0.35">
      <c r="A1393" s="2">
        <v>45945</v>
      </c>
      <c r="B1393" s="1" t="s">
        <v>22</v>
      </c>
    </row>
    <row r="1394" spans="1:2" x14ac:dyDescent="0.35">
      <c r="A1394" s="2">
        <v>45945</v>
      </c>
      <c r="B1394" s="1" t="s">
        <v>22</v>
      </c>
    </row>
    <row r="1395" spans="1:2" x14ac:dyDescent="0.35">
      <c r="A1395" s="2">
        <v>45945</v>
      </c>
      <c r="B1395" s="1" t="s">
        <v>22</v>
      </c>
    </row>
    <row r="1396" spans="1:2" x14ac:dyDescent="0.35">
      <c r="A1396" s="2">
        <v>45945</v>
      </c>
      <c r="B1396" s="1" t="s">
        <v>22</v>
      </c>
    </row>
    <row r="1397" spans="1:2" x14ac:dyDescent="0.35">
      <c r="A1397" s="2">
        <v>45945</v>
      </c>
      <c r="B1397" s="1" t="s">
        <v>22</v>
      </c>
    </row>
    <row r="1398" spans="1:2" x14ac:dyDescent="0.35">
      <c r="A1398" s="2">
        <v>45945</v>
      </c>
      <c r="B1398" s="1" t="s">
        <v>22</v>
      </c>
    </row>
    <row r="1399" spans="1:2" x14ac:dyDescent="0.35">
      <c r="A1399" s="2">
        <v>45945</v>
      </c>
      <c r="B1399" s="1" t="s">
        <v>22</v>
      </c>
    </row>
    <row r="1400" spans="1:2" x14ac:dyDescent="0.35">
      <c r="A1400" s="2">
        <v>45945</v>
      </c>
      <c r="B1400" s="1" t="s">
        <v>22</v>
      </c>
    </row>
    <row r="1401" spans="1:2" x14ac:dyDescent="0.35">
      <c r="A1401" s="2">
        <v>45945</v>
      </c>
      <c r="B1401" s="1" t="s">
        <v>22</v>
      </c>
    </row>
    <row r="1402" spans="1:2" x14ac:dyDescent="0.35">
      <c r="A1402" s="2">
        <v>45945</v>
      </c>
      <c r="B1402" s="1" t="s">
        <v>22</v>
      </c>
    </row>
    <row r="1403" spans="1:2" x14ac:dyDescent="0.35">
      <c r="A1403" s="2">
        <v>45945</v>
      </c>
      <c r="B1403" s="1" t="s">
        <v>22</v>
      </c>
    </row>
    <row r="1404" spans="1:2" x14ac:dyDescent="0.35">
      <c r="A1404" s="2">
        <v>45945</v>
      </c>
      <c r="B1404" s="1" t="s">
        <v>22</v>
      </c>
    </row>
    <row r="1405" spans="1:2" x14ac:dyDescent="0.35">
      <c r="A1405" s="2">
        <v>45945</v>
      </c>
      <c r="B1405" s="1" t="s">
        <v>22</v>
      </c>
    </row>
    <row r="1406" spans="1:2" x14ac:dyDescent="0.35">
      <c r="A1406" s="2">
        <v>45945</v>
      </c>
      <c r="B1406" s="1" t="s">
        <v>22</v>
      </c>
    </row>
    <row r="1407" spans="1:2" x14ac:dyDescent="0.35">
      <c r="A1407" s="2">
        <v>45945</v>
      </c>
      <c r="B1407" s="1" t="s">
        <v>22</v>
      </c>
    </row>
    <row r="1408" spans="1:2" x14ac:dyDescent="0.35">
      <c r="A1408" s="2">
        <v>45945</v>
      </c>
      <c r="B1408" s="1" t="s">
        <v>9</v>
      </c>
    </row>
    <row r="1409" spans="1:2" x14ac:dyDescent="0.35">
      <c r="A1409" s="2">
        <v>45945</v>
      </c>
      <c r="B1409" s="1" t="s">
        <v>9</v>
      </c>
    </row>
    <row r="1410" spans="1:2" x14ac:dyDescent="0.35">
      <c r="A1410" s="2">
        <v>45945</v>
      </c>
      <c r="B1410" s="1" t="s">
        <v>9</v>
      </c>
    </row>
    <row r="1411" spans="1:2" x14ac:dyDescent="0.35">
      <c r="A1411" s="2">
        <v>45945</v>
      </c>
      <c r="B1411" s="1" t="s">
        <v>9</v>
      </c>
    </row>
    <row r="1412" spans="1:2" x14ac:dyDescent="0.35">
      <c r="A1412" s="2">
        <v>45945</v>
      </c>
      <c r="B1412" s="1" t="s">
        <v>77</v>
      </c>
    </row>
    <row r="1413" spans="1:2" x14ac:dyDescent="0.35">
      <c r="A1413" s="2">
        <v>45945</v>
      </c>
      <c r="B1413" s="1" t="s">
        <v>77</v>
      </c>
    </row>
    <row r="1414" spans="1:2" x14ac:dyDescent="0.35">
      <c r="A1414" s="2">
        <v>45945</v>
      </c>
      <c r="B1414" s="1" t="s">
        <v>77</v>
      </c>
    </row>
    <row r="1415" spans="1:2" x14ac:dyDescent="0.35">
      <c r="A1415" s="2">
        <v>45945</v>
      </c>
      <c r="B1415" s="1" t="s">
        <v>77</v>
      </c>
    </row>
    <row r="1416" spans="1:2" x14ac:dyDescent="0.35">
      <c r="A1416" s="2">
        <v>45945</v>
      </c>
      <c r="B1416" s="1" t="s">
        <v>77</v>
      </c>
    </row>
    <row r="1417" spans="1:2" x14ac:dyDescent="0.35">
      <c r="A1417" s="2">
        <v>45945</v>
      </c>
      <c r="B1417" s="1" t="s">
        <v>9</v>
      </c>
    </row>
    <row r="1418" spans="1:2" x14ac:dyDescent="0.35">
      <c r="A1418" s="2">
        <v>45945</v>
      </c>
      <c r="B1418" s="1" t="s">
        <v>9</v>
      </c>
    </row>
    <row r="1419" spans="1:2" x14ac:dyDescent="0.35">
      <c r="A1419" s="2">
        <v>45945</v>
      </c>
      <c r="B1419" s="1" t="s">
        <v>9</v>
      </c>
    </row>
    <row r="1420" spans="1:2" x14ac:dyDescent="0.35">
      <c r="A1420" s="2">
        <v>45945</v>
      </c>
      <c r="B1420" s="1" t="s">
        <v>34</v>
      </c>
    </row>
    <row r="1421" spans="1:2" x14ac:dyDescent="0.35">
      <c r="A1421" s="2">
        <v>45945</v>
      </c>
      <c r="B1421" s="1" t="s">
        <v>34</v>
      </c>
    </row>
    <row r="1422" spans="1:2" x14ac:dyDescent="0.35">
      <c r="A1422" s="2">
        <v>45945</v>
      </c>
      <c r="B1422" s="1" t="s">
        <v>34</v>
      </c>
    </row>
    <row r="1423" spans="1:2" x14ac:dyDescent="0.35">
      <c r="A1423" s="2">
        <v>45945</v>
      </c>
      <c r="B1423" s="1" t="s">
        <v>34</v>
      </c>
    </row>
    <row r="1424" spans="1:2" x14ac:dyDescent="0.35">
      <c r="A1424" s="2">
        <v>45945</v>
      </c>
      <c r="B1424" s="1" t="s">
        <v>34</v>
      </c>
    </row>
    <row r="1425" spans="1:2" x14ac:dyDescent="0.35">
      <c r="A1425" s="2">
        <v>45945</v>
      </c>
      <c r="B1425" s="1" t="s">
        <v>34</v>
      </c>
    </row>
    <row r="1426" spans="1:2" x14ac:dyDescent="0.35">
      <c r="A1426" s="2">
        <v>45945</v>
      </c>
      <c r="B1426" s="1" t="s">
        <v>34</v>
      </c>
    </row>
    <row r="1427" spans="1:2" x14ac:dyDescent="0.35">
      <c r="A1427" s="2">
        <v>45945</v>
      </c>
      <c r="B1427" s="1" t="s">
        <v>68</v>
      </c>
    </row>
    <row r="1428" spans="1:2" x14ac:dyDescent="0.35">
      <c r="A1428" s="2">
        <v>45945</v>
      </c>
      <c r="B1428" s="1" t="s">
        <v>68</v>
      </c>
    </row>
    <row r="1429" spans="1:2" x14ac:dyDescent="0.35">
      <c r="A1429" s="2">
        <v>45945</v>
      </c>
      <c r="B1429" s="1" t="s">
        <v>5</v>
      </c>
    </row>
    <row r="1430" spans="1:2" x14ac:dyDescent="0.35">
      <c r="A1430" s="2">
        <v>45945</v>
      </c>
      <c r="B1430" s="1" t="s">
        <v>5</v>
      </c>
    </row>
    <row r="1431" spans="1:2" x14ac:dyDescent="0.35">
      <c r="A1431" s="2">
        <v>45945</v>
      </c>
      <c r="B1431" s="1" t="s">
        <v>5</v>
      </c>
    </row>
    <row r="1432" spans="1:2" x14ac:dyDescent="0.35">
      <c r="A1432" s="2">
        <v>45945</v>
      </c>
      <c r="B1432" s="1" t="s">
        <v>5</v>
      </c>
    </row>
    <row r="1433" spans="1:2" x14ac:dyDescent="0.35">
      <c r="A1433" s="2">
        <v>45945</v>
      </c>
      <c r="B1433" s="1" t="s">
        <v>5</v>
      </c>
    </row>
    <row r="1434" spans="1:2" x14ac:dyDescent="0.35">
      <c r="A1434" s="2">
        <v>45945</v>
      </c>
      <c r="B1434" s="1" t="s">
        <v>5</v>
      </c>
    </row>
    <row r="1435" spans="1:2" x14ac:dyDescent="0.35">
      <c r="A1435" s="2">
        <v>45945</v>
      </c>
      <c r="B1435" s="1" t="s">
        <v>5</v>
      </c>
    </row>
    <row r="1436" spans="1:2" x14ac:dyDescent="0.35">
      <c r="A1436" s="2">
        <v>45945</v>
      </c>
      <c r="B1436" s="1" t="s">
        <v>22</v>
      </c>
    </row>
    <row r="1437" spans="1:2" x14ac:dyDescent="0.35">
      <c r="A1437" s="2">
        <v>45945</v>
      </c>
      <c r="B1437" s="1" t="s">
        <v>22</v>
      </c>
    </row>
    <row r="1438" spans="1:2" x14ac:dyDescent="0.35">
      <c r="A1438" s="2">
        <v>45945</v>
      </c>
      <c r="B1438" s="1" t="s">
        <v>22</v>
      </c>
    </row>
    <row r="1439" spans="1:2" x14ac:dyDescent="0.35">
      <c r="A1439" s="2">
        <v>45945</v>
      </c>
      <c r="B1439" s="1" t="s">
        <v>22</v>
      </c>
    </row>
    <row r="1440" spans="1:2" x14ac:dyDescent="0.35">
      <c r="A1440" s="2">
        <v>45945</v>
      </c>
      <c r="B1440" s="1" t="s">
        <v>22</v>
      </c>
    </row>
    <row r="1441" spans="1:2" x14ac:dyDescent="0.35">
      <c r="A1441" s="2">
        <v>45945</v>
      </c>
      <c r="B1441" s="1" t="s">
        <v>22</v>
      </c>
    </row>
    <row r="1442" spans="1:2" x14ac:dyDescent="0.35">
      <c r="A1442" s="2">
        <v>45946</v>
      </c>
      <c r="B1442" s="1" t="s">
        <v>5</v>
      </c>
    </row>
    <row r="1443" spans="1:2" x14ac:dyDescent="0.35">
      <c r="A1443" s="2">
        <v>45946</v>
      </c>
      <c r="B1443" s="1" t="s">
        <v>5</v>
      </c>
    </row>
    <row r="1444" spans="1:2" x14ac:dyDescent="0.35">
      <c r="A1444" s="2">
        <v>45946</v>
      </c>
      <c r="B1444" s="1" t="s">
        <v>5</v>
      </c>
    </row>
    <row r="1445" spans="1:2" x14ac:dyDescent="0.35">
      <c r="A1445" s="2">
        <v>45946</v>
      </c>
      <c r="B1445" s="1" t="s">
        <v>34</v>
      </c>
    </row>
    <row r="1446" spans="1:2" x14ac:dyDescent="0.35">
      <c r="A1446" s="2">
        <v>45946</v>
      </c>
      <c r="B1446" s="1" t="s">
        <v>77</v>
      </c>
    </row>
    <row r="1447" spans="1:2" x14ac:dyDescent="0.35">
      <c r="A1447" s="2">
        <v>45946</v>
      </c>
      <c r="B1447" s="1" t="s">
        <v>77</v>
      </c>
    </row>
    <row r="1448" spans="1:2" x14ac:dyDescent="0.35">
      <c r="A1448" s="2">
        <v>45946</v>
      </c>
      <c r="B1448" s="1" t="s">
        <v>5</v>
      </c>
    </row>
    <row r="1449" spans="1:2" x14ac:dyDescent="0.35">
      <c r="A1449" s="2">
        <v>45946</v>
      </c>
      <c r="B1449" s="1" t="s">
        <v>34</v>
      </c>
    </row>
    <row r="1450" spans="1:2" x14ac:dyDescent="0.35">
      <c r="A1450" s="2">
        <v>45946</v>
      </c>
      <c r="B1450" s="1" t="s">
        <v>34</v>
      </c>
    </row>
    <row r="1451" spans="1:2" x14ac:dyDescent="0.35">
      <c r="A1451" s="2">
        <v>45946</v>
      </c>
      <c r="B1451" s="1" t="s">
        <v>34</v>
      </c>
    </row>
    <row r="1452" spans="1:2" x14ac:dyDescent="0.35">
      <c r="A1452" s="2">
        <v>45946</v>
      </c>
      <c r="B1452" s="1" t="s">
        <v>34</v>
      </c>
    </row>
    <row r="1453" spans="1:2" x14ac:dyDescent="0.35">
      <c r="A1453" s="2">
        <v>45946</v>
      </c>
      <c r="B1453" s="1" t="s">
        <v>68</v>
      </c>
    </row>
    <row r="1454" spans="1:2" x14ac:dyDescent="0.35">
      <c r="A1454" s="2">
        <v>45946</v>
      </c>
      <c r="B1454" s="1" t="s">
        <v>68</v>
      </c>
    </row>
    <row r="1455" spans="1:2" x14ac:dyDescent="0.35">
      <c r="A1455" s="2">
        <v>45946</v>
      </c>
      <c r="B1455" s="1" t="s">
        <v>68</v>
      </c>
    </row>
    <row r="1456" spans="1:2" x14ac:dyDescent="0.35">
      <c r="A1456" s="2">
        <v>45946</v>
      </c>
      <c r="B1456" s="1" t="s">
        <v>68</v>
      </c>
    </row>
    <row r="1457" spans="1:2" x14ac:dyDescent="0.35">
      <c r="A1457" s="2">
        <v>45946</v>
      </c>
      <c r="B1457" s="1" t="s">
        <v>68</v>
      </c>
    </row>
    <row r="1458" spans="1:2" x14ac:dyDescent="0.35">
      <c r="A1458" s="2">
        <v>45946</v>
      </c>
      <c r="B1458" s="1" t="s">
        <v>68</v>
      </c>
    </row>
    <row r="1459" spans="1:2" x14ac:dyDescent="0.35">
      <c r="A1459" s="2">
        <v>45946</v>
      </c>
      <c r="B1459" s="1" t="s">
        <v>68</v>
      </c>
    </row>
    <row r="1460" spans="1:2" x14ac:dyDescent="0.35">
      <c r="A1460" s="2">
        <v>45947</v>
      </c>
      <c r="B1460" s="1" t="s">
        <v>33</v>
      </c>
    </row>
    <row r="1461" spans="1:2" x14ac:dyDescent="0.35">
      <c r="A1461" s="2">
        <v>45947</v>
      </c>
      <c r="B1461" s="1" t="s">
        <v>33</v>
      </c>
    </row>
    <row r="1462" spans="1:2" x14ac:dyDescent="0.35">
      <c r="A1462" s="2">
        <v>45947</v>
      </c>
      <c r="B1462" s="1" t="s">
        <v>33</v>
      </c>
    </row>
    <row r="1463" spans="1:2" x14ac:dyDescent="0.35">
      <c r="A1463" s="2">
        <v>45947</v>
      </c>
      <c r="B1463" s="1" t="s">
        <v>5</v>
      </c>
    </row>
    <row r="1464" spans="1:2" x14ac:dyDescent="0.35">
      <c r="A1464" s="2">
        <v>45947</v>
      </c>
      <c r="B1464" s="1" t="s">
        <v>5</v>
      </c>
    </row>
    <row r="1465" spans="1:2" x14ac:dyDescent="0.35">
      <c r="A1465" s="2">
        <v>45947</v>
      </c>
      <c r="B1465" s="1" t="s">
        <v>5</v>
      </c>
    </row>
    <row r="1466" spans="1:2" x14ac:dyDescent="0.35">
      <c r="A1466" s="2">
        <v>45947</v>
      </c>
      <c r="B1466" s="1" t="s">
        <v>5</v>
      </c>
    </row>
    <row r="1467" spans="1:2" x14ac:dyDescent="0.35">
      <c r="A1467" s="2">
        <v>45947</v>
      </c>
      <c r="B1467" s="1" t="s">
        <v>5</v>
      </c>
    </row>
    <row r="1468" spans="1:2" x14ac:dyDescent="0.35">
      <c r="A1468" s="2">
        <v>45947</v>
      </c>
      <c r="B1468" s="1" t="s">
        <v>34</v>
      </c>
    </row>
    <row r="1469" spans="1:2" x14ac:dyDescent="0.35">
      <c r="A1469" s="2">
        <v>45947</v>
      </c>
      <c r="B1469" s="1" t="s">
        <v>34</v>
      </c>
    </row>
    <row r="1470" spans="1:2" x14ac:dyDescent="0.35">
      <c r="A1470" s="2">
        <v>45947</v>
      </c>
      <c r="B1470" s="1" t="s">
        <v>34</v>
      </c>
    </row>
    <row r="1471" spans="1:2" x14ac:dyDescent="0.35">
      <c r="A1471" s="2">
        <v>45947</v>
      </c>
      <c r="B1471" s="1" t="s">
        <v>34</v>
      </c>
    </row>
    <row r="1472" spans="1:2" x14ac:dyDescent="0.35">
      <c r="A1472" s="2">
        <v>45947</v>
      </c>
      <c r="B1472" s="1" t="s">
        <v>34</v>
      </c>
    </row>
    <row r="1473" spans="1:2" x14ac:dyDescent="0.35">
      <c r="A1473" s="2">
        <v>45947</v>
      </c>
      <c r="B1473" s="1" t="s">
        <v>9</v>
      </c>
    </row>
    <row r="1474" spans="1:2" x14ac:dyDescent="0.35">
      <c r="A1474" s="2">
        <v>45947</v>
      </c>
      <c r="B1474" s="1" t="s">
        <v>9</v>
      </c>
    </row>
    <row r="1475" spans="1:2" x14ac:dyDescent="0.35">
      <c r="A1475" s="2">
        <v>45947</v>
      </c>
      <c r="B1475" s="1" t="s">
        <v>9</v>
      </c>
    </row>
    <row r="1476" spans="1:2" x14ac:dyDescent="0.35">
      <c r="A1476" s="2">
        <v>45947</v>
      </c>
      <c r="B1476" s="1" t="s">
        <v>9</v>
      </c>
    </row>
    <row r="1477" spans="1:2" x14ac:dyDescent="0.35">
      <c r="A1477" s="2">
        <v>45947</v>
      </c>
      <c r="B1477" s="1" t="s">
        <v>9</v>
      </c>
    </row>
    <row r="1478" spans="1:2" x14ac:dyDescent="0.35">
      <c r="A1478" s="2">
        <v>45947</v>
      </c>
      <c r="B1478" s="1" t="s">
        <v>9</v>
      </c>
    </row>
    <row r="1479" spans="1:2" x14ac:dyDescent="0.35">
      <c r="A1479" s="2">
        <v>45947</v>
      </c>
      <c r="B1479" s="1" t="s">
        <v>9</v>
      </c>
    </row>
    <row r="1480" spans="1:2" x14ac:dyDescent="0.35">
      <c r="A1480" s="2">
        <v>45947</v>
      </c>
      <c r="B1480" s="1" t="s">
        <v>9</v>
      </c>
    </row>
    <row r="1481" spans="1:2" x14ac:dyDescent="0.35">
      <c r="A1481" s="2">
        <v>45947</v>
      </c>
      <c r="B1481" s="1" t="s">
        <v>9</v>
      </c>
    </row>
    <row r="1482" spans="1:2" x14ac:dyDescent="0.35">
      <c r="A1482" s="2">
        <v>45947</v>
      </c>
      <c r="B1482" s="1" t="s">
        <v>9</v>
      </c>
    </row>
    <row r="1483" spans="1:2" x14ac:dyDescent="0.35">
      <c r="A1483" s="2">
        <v>45947</v>
      </c>
      <c r="B1483" s="1" t="s">
        <v>9</v>
      </c>
    </row>
    <row r="1484" spans="1:2" x14ac:dyDescent="0.35">
      <c r="A1484" s="2">
        <v>45947</v>
      </c>
      <c r="B1484" s="1" t="s">
        <v>9</v>
      </c>
    </row>
    <row r="1485" spans="1:2" x14ac:dyDescent="0.35">
      <c r="A1485" s="2">
        <v>45947</v>
      </c>
      <c r="B1485" s="1" t="s">
        <v>9</v>
      </c>
    </row>
    <row r="1486" spans="1:2" x14ac:dyDescent="0.35">
      <c r="A1486" s="2">
        <v>45947</v>
      </c>
      <c r="B1486" s="1" t="s">
        <v>9</v>
      </c>
    </row>
    <row r="1487" spans="1:2" x14ac:dyDescent="0.35">
      <c r="A1487" s="2">
        <v>45947</v>
      </c>
      <c r="B1487" s="1" t="s">
        <v>77</v>
      </c>
    </row>
    <row r="1488" spans="1:2" x14ac:dyDescent="0.35">
      <c r="A1488" s="2">
        <v>45947</v>
      </c>
      <c r="B1488" s="1" t="s">
        <v>77</v>
      </c>
    </row>
    <row r="1489" spans="1:2" x14ac:dyDescent="0.35">
      <c r="A1489" s="2">
        <v>45947</v>
      </c>
      <c r="B1489" s="1" t="s">
        <v>34</v>
      </c>
    </row>
    <row r="1490" spans="1:2" x14ac:dyDescent="0.35">
      <c r="A1490" s="2">
        <v>45947</v>
      </c>
      <c r="B1490" s="1" t="s">
        <v>5</v>
      </c>
    </row>
    <row r="1491" spans="1:2" x14ac:dyDescent="0.35">
      <c r="A1491" s="2">
        <v>45950</v>
      </c>
      <c r="B1491" s="1" t="s">
        <v>28</v>
      </c>
    </row>
    <row r="1492" spans="1:2" x14ac:dyDescent="0.35">
      <c r="A1492" s="2">
        <v>45950</v>
      </c>
      <c r="B1492" s="1" t="s">
        <v>77</v>
      </c>
    </row>
    <row r="1493" spans="1:2" x14ac:dyDescent="0.35">
      <c r="A1493" s="2">
        <v>45950</v>
      </c>
      <c r="B1493" s="1" t="s">
        <v>5</v>
      </c>
    </row>
    <row r="1494" spans="1:2" x14ac:dyDescent="0.35">
      <c r="A1494" s="2">
        <v>45950</v>
      </c>
      <c r="B1494" s="1" t="s">
        <v>5</v>
      </c>
    </row>
    <row r="1495" spans="1:2" x14ac:dyDescent="0.35">
      <c r="A1495" s="2">
        <v>45950</v>
      </c>
      <c r="B1495" s="1" t="s">
        <v>77</v>
      </c>
    </row>
    <row r="1496" spans="1:2" x14ac:dyDescent="0.35">
      <c r="A1496" s="2">
        <v>45950</v>
      </c>
      <c r="B1496" s="1" t="s">
        <v>77</v>
      </c>
    </row>
    <row r="1497" spans="1:2" x14ac:dyDescent="0.35">
      <c r="A1497" s="2">
        <v>45950</v>
      </c>
      <c r="B1497" s="1" t="s">
        <v>28</v>
      </c>
    </row>
    <row r="1498" spans="1:2" x14ac:dyDescent="0.35">
      <c r="A1498" s="2">
        <v>45950</v>
      </c>
      <c r="B1498" s="1" t="s">
        <v>34</v>
      </c>
    </row>
    <row r="1499" spans="1:2" x14ac:dyDescent="0.35">
      <c r="A1499" s="2">
        <v>45950</v>
      </c>
      <c r="B1499" s="1" t="s">
        <v>34</v>
      </c>
    </row>
    <row r="1500" spans="1:2" x14ac:dyDescent="0.35">
      <c r="A1500" s="2">
        <v>45950</v>
      </c>
      <c r="B1500" s="1" t="s">
        <v>34</v>
      </c>
    </row>
    <row r="1501" spans="1:2" x14ac:dyDescent="0.35">
      <c r="A1501" s="2">
        <v>45950</v>
      </c>
      <c r="B1501" s="1" t="s">
        <v>34</v>
      </c>
    </row>
    <row r="1502" spans="1:2" x14ac:dyDescent="0.35">
      <c r="A1502" s="2">
        <v>45950</v>
      </c>
      <c r="B1502" s="1" t="s">
        <v>34</v>
      </c>
    </row>
    <row r="1503" spans="1:2" x14ac:dyDescent="0.35">
      <c r="A1503" s="2">
        <v>45950</v>
      </c>
      <c r="B1503" s="1" t="s">
        <v>5</v>
      </c>
    </row>
    <row r="1504" spans="1:2" x14ac:dyDescent="0.35">
      <c r="A1504" s="2">
        <v>45950</v>
      </c>
      <c r="B1504" s="1" t="s">
        <v>5</v>
      </c>
    </row>
    <row r="1505" spans="1:2" x14ac:dyDescent="0.35">
      <c r="A1505" s="2">
        <v>45950</v>
      </c>
      <c r="B1505" s="1" t="s">
        <v>5</v>
      </c>
    </row>
    <row r="1506" spans="1:2" x14ac:dyDescent="0.35">
      <c r="A1506" s="2">
        <v>45950</v>
      </c>
      <c r="B1506" s="1" t="s">
        <v>5</v>
      </c>
    </row>
    <row r="1507" spans="1:2" x14ac:dyDescent="0.35">
      <c r="A1507" s="2">
        <v>45950</v>
      </c>
      <c r="B1507" s="1" t="s">
        <v>5</v>
      </c>
    </row>
    <row r="1508" spans="1:2" x14ac:dyDescent="0.35">
      <c r="A1508" s="2">
        <v>45950</v>
      </c>
      <c r="B1508" s="1" t="s">
        <v>5</v>
      </c>
    </row>
    <row r="1509" spans="1:2" x14ac:dyDescent="0.35">
      <c r="A1509" s="2">
        <v>45950</v>
      </c>
      <c r="B1509" s="1" t="s">
        <v>28</v>
      </c>
    </row>
    <row r="1510" spans="1:2" x14ac:dyDescent="0.35">
      <c r="A1510" s="2">
        <v>45951</v>
      </c>
      <c r="B1510" s="1" t="s">
        <v>33</v>
      </c>
    </row>
    <row r="1511" spans="1:2" x14ac:dyDescent="0.35">
      <c r="A1511" s="2">
        <v>45951</v>
      </c>
      <c r="B1511" s="1" t="s">
        <v>33</v>
      </c>
    </row>
    <row r="1512" spans="1:2" x14ac:dyDescent="0.35">
      <c r="A1512" s="2">
        <v>45951</v>
      </c>
      <c r="B1512" s="1" t="s">
        <v>33</v>
      </c>
    </row>
    <row r="1513" spans="1:2" x14ac:dyDescent="0.35">
      <c r="A1513" s="2">
        <v>45951</v>
      </c>
      <c r="B1513" s="1" t="s">
        <v>34</v>
      </c>
    </row>
    <row r="1514" spans="1:2" x14ac:dyDescent="0.35">
      <c r="A1514" s="2">
        <v>45951</v>
      </c>
      <c r="B1514" s="1" t="s">
        <v>34</v>
      </c>
    </row>
    <row r="1515" spans="1:2" x14ac:dyDescent="0.35">
      <c r="A1515" s="2">
        <v>45951</v>
      </c>
      <c r="B1515" s="1" t="s">
        <v>34</v>
      </c>
    </row>
    <row r="1516" spans="1:2" x14ac:dyDescent="0.35">
      <c r="A1516" s="2">
        <v>45951</v>
      </c>
      <c r="B1516" s="1" t="s">
        <v>34</v>
      </c>
    </row>
    <row r="1517" spans="1:2" x14ac:dyDescent="0.35">
      <c r="A1517" s="2">
        <v>45951</v>
      </c>
      <c r="B1517" s="1" t="s">
        <v>34</v>
      </c>
    </row>
    <row r="1518" spans="1:2" x14ac:dyDescent="0.35">
      <c r="A1518" s="2">
        <v>45951</v>
      </c>
      <c r="B1518" s="1" t="s">
        <v>5</v>
      </c>
    </row>
    <row r="1519" spans="1:2" x14ac:dyDescent="0.35">
      <c r="A1519" s="2">
        <v>45951</v>
      </c>
      <c r="B1519" s="1" t="s">
        <v>5</v>
      </c>
    </row>
    <row r="1520" spans="1:2" x14ac:dyDescent="0.35">
      <c r="A1520" s="2">
        <v>45951</v>
      </c>
      <c r="B1520" s="1" t="s">
        <v>5</v>
      </c>
    </row>
    <row r="1521" spans="1:2" x14ac:dyDescent="0.35">
      <c r="A1521" s="2">
        <v>45951</v>
      </c>
      <c r="B1521" s="1" t="s">
        <v>5</v>
      </c>
    </row>
    <row r="1522" spans="1:2" x14ac:dyDescent="0.35">
      <c r="A1522" s="2">
        <v>45951</v>
      </c>
      <c r="B1522" s="1" t="s">
        <v>33</v>
      </c>
    </row>
    <row r="1523" spans="1:2" x14ac:dyDescent="0.35">
      <c r="A1523" s="2">
        <v>45951</v>
      </c>
      <c r="B1523" s="1" t="s">
        <v>33</v>
      </c>
    </row>
    <row r="1524" spans="1:2" x14ac:dyDescent="0.35">
      <c r="A1524" s="2">
        <v>45951</v>
      </c>
      <c r="B1524" s="1" t="s">
        <v>33</v>
      </c>
    </row>
    <row r="1525" spans="1:2" x14ac:dyDescent="0.35">
      <c r="A1525" s="2">
        <v>45951</v>
      </c>
      <c r="B1525" s="1" t="s">
        <v>33</v>
      </c>
    </row>
    <row r="1526" spans="1:2" x14ac:dyDescent="0.35">
      <c r="A1526" s="2">
        <v>45951</v>
      </c>
      <c r="B1526" s="1" t="s">
        <v>33</v>
      </c>
    </row>
    <row r="1527" spans="1:2" x14ac:dyDescent="0.35">
      <c r="A1527" s="2">
        <v>45951</v>
      </c>
      <c r="B1527" s="1" t="s">
        <v>33</v>
      </c>
    </row>
    <row r="1528" spans="1:2" x14ac:dyDescent="0.35">
      <c r="A1528" s="2">
        <v>45951</v>
      </c>
      <c r="B1528" s="1" t="s">
        <v>5</v>
      </c>
    </row>
    <row r="1529" spans="1:2" x14ac:dyDescent="0.35">
      <c r="A1529" s="2">
        <v>45951</v>
      </c>
      <c r="B1529" s="1" t="s">
        <v>5</v>
      </c>
    </row>
    <row r="1530" spans="1:2" x14ac:dyDescent="0.35">
      <c r="A1530" s="2">
        <v>45951</v>
      </c>
      <c r="B1530" s="1" t="s">
        <v>5</v>
      </c>
    </row>
    <row r="1531" spans="1:2" x14ac:dyDescent="0.35">
      <c r="A1531" s="2">
        <v>45952</v>
      </c>
      <c r="B1531" s="1" t="s">
        <v>33</v>
      </c>
    </row>
    <row r="1532" spans="1:2" x14ac:dyDescent="0.35">
      <c r="A1532" s="2">
        <v>45952</v>
      </c>
      <c r="B1532" s="1" t="s">
        <v>33</v>
      </c>
    </row>
    <row r="1533" spans="1:2" x14ac:dyDescent="0.35">
      <c r="A1533" s="2">
        <v>45952</v>
      </c>
      <c r="B1533" s="1" t="s">
        <v>33</v>
      </c>
    </row>
    <row r="1534" spans="1:2" x14ac:dyDescent="0.35">
      <c r="A1534" s="2">
        <v>45952</v>
      </c>
      <c r="B1534" s="1" t="s">
        <v>33</v>
      </c>
    </row>
    <row r="1535" spans="1:2" x14ac:dyDescent="0.35">
      <c r="A1535" s="2">
        <v>45952</v>
      </c>
      <c r="B1535" s="1" t="s">
        <v>5</v>
      </c>
    </row>
    <row r="1536" spans="1:2" x14ac:dyDescent="0.35">
      <c r="A1536" s="2">
        <v>45952</v>
      </c>
      <c r="B1536" s="1" t="s">
        <v>5</v>
      </c>
    </row>
    <row r="1537" spans="1:2" x14ac:dyDescent="0.35">
      <c r="A1537" s="2">
        <v>45952</v>
      </c>
      <c r="B1537" s="1" t="s">
        <v>5</v>
      </c>
    </row>
    <row r="1538" spans="1:2" x14ac:dyDescent="0.35">
      <c r="A1538" s="2">
        <v>45952</v>
      </c>
      <c r="B1538" s="1" t="s">
        <v>5</v>
      </c>
    </row>
    <row r="1539" spans="1:2" x14ac:dyDescent="0.35">
      <c r="A1539" s="2">
        <v>45952</v>
      </c>
      <c r="B1539" s="1" t="s">
        <v>5</v>
      </c>
    </row>
    <row r="1540" spans="1:2" x14ac:dyDescent="0.35">
      <c r="A1540" s="2">
        <v>45952</v>
      </c>
      <c r="B1540" s="1" t="s">
        <v>5</v>
      </c>
    </row>
    <row r="1541" spans="1:2" x14ac:dyDescent="0.35">
      <c r="A1541" s="2">
        <v>45952</v>
      </c>
      <c r="B1541" s="1" t="s">
        <v>5</v>
      </c>
    </row>
    <row r="1542" spans="1:2" x14ac:dyDescent="0.35">
      <c r="A1542" s="2">
        <v>45952</v>
      </c>
      <c r="B1542" s="1" t="s">
        <v>77</v>
      </c>
    </row>
    <row r="1543" spans="1:2" x14ac:dyDescent="0.35">
      <c r="A1543" s="2">
        <v>45952</v>
      </c>
      <c r="B1543" s="1" t="s">
        <v>34</v>
      </c>
    </row>
    <row r="1544" spans="1:2" x14ac:dyDescent="0.35">
      <c r="A1544" s="2">
        <v>45952</v>
      </c>
      <c r="B1544" s="1" t="s">
        <v>34</v>
      </c>
    </row>
    <row r="1545" spans="1:2" x14ac:dyDescent="0.35">
      <c r="A1545" s="2">
        <v>45952</v>
      </c>
      <c r="B1545" s="1" t="s">
        <v>34</v>
      </c>
    </row>
    <row r="1546" spans="1:2" x14ac:dyDescent="0.35">
      <c r="A1546" s="2">
        <v>45952</v>
      </c>
      <c r="B1546" s="1" t="s">
        <v>34</v>
      </c>
    </row>
    <row r="1547" spans="1:2" x14ac:dyDescent="0.35">
      <c r="A1547" s="2">
        <v>45952</v>
      </c>
      <c r="B1547" s="1" t="s">
        <v>34</v>
      </c>
    </row>
    <row r="1548" spans="1:2" x14ac:dyDescent="0.35">
      <c r="A1548" s="2">
        <v>45952</v>
      </c>
      <c r="B1548" s="1" t="s">
        <v>50</v>
      </c>
    </row>
    <row r="1549" spans="1:2" x14ac:dyDescent="0.35">
      <c r="A1549" s="2">
        <v>45952</v>
      </c>
      <c r="B1549" s="1" t="s">
        <v>5</v>
      </c>
    </row>
    <row r="1550" spans="1:2" x14ac:dyDescent="0.35">
      <c r="A1550" s="2">
        <v>45952</v>
      </c>
      <c r="B1550" s="1" t="s">
        <v>28</v>
      </c>
    </row>
    <row r="1551" spans="1:2" x14ac:dyDescent="0.35">
      <c r="A1551" s="2">
        <v>45952</v>
      </c>
      <c r="B1551" s="1" t="s">
        <v>28</v>
      </c>
    </row>
    <row r="1552" spans="1:2" x14ac:dyDescent="0.35">
      <c r="A1552" s="2">
        <v>45952</v>
      </c>
      <c r="B1552" s="1" t="s">
        <v>28</v>
      </c>
    </row>
    <row r="1553" spans="1:2" x14ac:dyDescent="0.35">
      <c r="A1553" s="2">
        <v>45953</v>
      </c>
      <c r="B1553" s="1" t="s">
        <v>33</v>
      </c>
    </row>
    <row r="1554" spans="1:2" x14ac:dyDescent="0.35">
      <c r="A1554" s="2">
        <v>45953</v>
      </c>
      <c r="B1554" s="1" t="s">
        <v>33</v>
      </c>
    </row>
    <row r="1555" spans="1:2" x14ac:dyDescent="0.35">
      <c r="A1555" s="2">
        <v>45953</v>
      </c>
      <c r="B1555" s="1" t="s">
        <v>33</v>
      </c>
    </row>
    <row r="1556" spans="1:2" x14ac:dyDescent="0.35">
      <c r="A1556" s="2">
        <v>45953</v>
      </c>
      <c r="B1556" s="1" t="s">
        <v>5</v>
      </c>
    </row>
    <row r="1557" spans="1:2" x14ac:dyDescent="0.35">
      <c r="A1557" s="2">
        <v>45953</v>
      </c>
      <c r="B1557" s="1" t="s">
        <v>5</v>
      </c>
    </row>
    <row r="1558" spans="1:2" x14ac:dyDescent="0.35">
      <c r="A1558" s="2">
        <v>45953</v>
      </c>
      <c r="B1558" s="1" t="s">
        <v>77</v>
      </c>
    </row>
    <row r="1559" spans="1:2" x14ac:dyDescent="0.35">
      <c r="A1559" s="2">
        <v>45953</v>
      </c>
      <c r="B1559" s="1" t="s">
        <v>77</v>
      </c>
    </row>
    <row r="1560" spans="1:2" x14ac:dyDescent="0.35">
      <c r="A1560" s="2">
        <v>45953</v>
      </c>
      <c r="B1560" s="1" t="s">
        <v>34</v>
      </c>
    </row>
    <row r="1561" spans="1:2" x14ac:dyDescent="0.35">
      <c r="A1561" s="2">
        <v>45953</v>
      </c>
      <c r="B1561" s="1" t="s">
        <v>34</v>
      </c>
    </row>
    <row r="1562" spans="1:2" x14ac:dyDescent="0.35">
      <c r="A1562" s="2">
        <v>45953</v>
      </c>
      <c r="B1562" s="1" t="s">
        <v>34</v>
      </c>
    </row>
    <row r="1563" spans="1:2" x14ac:dyDescent="0.35">
      <c r="A1563" s="2">
        <v>45953</v>
      </c>
      <c r="B1563" s="1" t="s">
        <v>34</v>
      </c>
    </row>
    <row r="1564" spans="1:2" x14ac:dyDescent="0.35">
      <c r="A1564" s="2">
        <v>45953</v>
      </c>
      <c r="B1564" s="1" t="s">
        <v>34</v>
      </c>
    </row>
    <row r="1565" spans="1:2" x14ac:dyDescent="0.35">
      <c r="A1565" s="2">
        <v>45953</v>
      </c>
      <c r="B1565" s="1" t="s">
        <v>50</v>
      </c>
    </row>
    <row r="1566" spans="1:2" x14ac:dyDescent="0.35">
      <c r="A1566" s="2">
        <v>45953</v>
      </c>
      <c r="B1566" s="1" t="s">
        <v>28</v>
      </c>
    </row>
    <row r="1567" spans="1:2" x14ac:dyDescent="0.35">
      <c r="A1567" s="2">
        <v>45954</v>
      </c>
      <c r="B1567" s="1" t="s">
        <v>5</v>
      </c>
    </row>
    <row r="1568" spans="1:2" x14ac:dyDescent="0.35">
      <c r="A1568" s="2">
        <v>45954</v>
      </c>
      <c r="B1568" s="1" t="s">
        <v>5</v>
      </c>
    </row>
    <row r="1569" spans="1:2" x14ac:dyDescent="0.35">
      <c r="A1569" s="2">
        <v>45954</v>
      </c>
      <c r="B1569" s="1" t="s">
        <v>5</v>
      </c>
    </row>
    <row r="1570" spans="1:2" x14ac:dyDescent="0.35">
      <c r="A1570" s="2">
        <v>45954</v>
      </c>
      <c r="B1570" s="1" t="s">
        <v>77</v>
      </c>
    </row>
    <row r="1571" spans="1:2" x14ac:dyDescent="0.35">
      <c r="A1571" s="2">
        <v>45954</v>
      </c>
      <c r="B1571" s="1" t="s">
        <v>34</v>
      </c>
    </row>
    <row r="1572" spans="1:2" x14ac:dyDescent="0.35">
      <c r="A1572" s="2">
        <v>45954</v>
      </c>
      <c r="B1572" s="1" t="s">
        <v>34</v>
      </c>
    </row>
    <row r="1573" spans="1:2" x14ac:dyDescent="0.35">
      <c r="A1573" s="2">
        <v>45954</v>
      </c>
      <c r="B1573" s="1" t="s">
        <v>34</v>
      </c>
    </row>
    <row r="1574" spans="1:2" x14ac:dyDescent="0.35">
      <c r="A1574" s="2">
        <v>45954</v>
      </c>
      <c r="B1574" s="1" t="s">
        <v>34</v>
      </c>
    </row>
    <row r="1575" spans="1:2" x14ac:dyDescent="0.35">
      <c r="A1575" s="2">
        <v>45954</v>
      </c>
      <c r="B1575" s="1" t="s">
        <v>34</v>
      </c>
    </row>
    <row r="1576" spans="1:2" x14ac:dyDescent="0.35">
      <c r="A1576" s="2">
        <v>45954</v>
      </c>
      <c r="B1576" s="1" t="s">
        <v>28</v>
      </c>
    </row>
    <row r="1577" spans="1:2" x14ac:dyDescent="0.35">
      <c r="A1577" s="2">
        <v>45954</v>
      </c>
      <c r="B1577" s="1" t="s">
        <v>77</v>
      </c>
    </row>
    <row r="1578" spans="1:2" x14ac:dyDescent="0.35">
      <c r="A1578" s="2">
        <v>45954</v>
      </c>
      <c r="B1578" s="1" t="s">
        <v>77</v>
      </c>
    </row>
    <row r="1579" spans="1:2" x14ac:dyDescent="0.35">
      <c r="A1579" s="2">
        <v>45954</v>
      </c>
      <c r="B1579" s="1" t="s">
        <v>28</v>
      </c>
    </row>
    <row r="1580" spans="1:2" x14ac:dyDescent="0.35">
      <c r="A1580" s="2">
        <v>45954</v>
      </c>
      <c r="B1580" s="1" t="s">
        <v>28</v>
      </c>
    </row>
    <row r="1581" spans="1:2" x14ac:dyDescent="0.35">
      <c r="A1581" s="2">
        <v>45957</v>
      </c>
      <c r="B1581" s="1" t="s">
        <v>5</v>
      </c>
    </row>
    <row r="1582" spans="1:2" x14ac:dyDescent="0.35">
      <c r="A1582" s="2">
        <v>45957</v>
      </c>
      <c r="B1582" s="1" t="s">
        <v>50</v>
      </c>
    </row>
    <row r="1583" spans="1:2" x14ac:dyDescent="0.35">
      <c r="A1583" s="2">
        <v>45957</v>
      </c>
      <c r="B1583" s="1" t="s">
        <v>5</v>
      </c>
    </row>
    <row r="1584" spans="1:2" x14ac:dyDescent="0.35">
      <c r="A1584" s="2">
        <v>45957</v>
      </c>
      <c r="B1584" s="1" t="s">
        <v>5</v>
      </c>
    </row>
    <row r="1585" spans="1:2" x14ac:dyDescent="0.35">
      <c r="A1585" s="2">
        <v>45957</v>
      </c>
      <c r="B1585" s="1" t="s">
        <v>5</v>
      </c>
    </row>
    <row r="1586" spans="1:2" x14ac:dyDescent="0.35">
      <c r="A1586" s="2">
        <v>45957</v>
      </c>
      <c r="B1586" s="1" t="s">
        <v>77</v>
      </c>
    </row>
    <row r="1587" spans="1:2" x14ac:dyDescent="0.35">
      <c r="A1587" s="2">
        <v>45957</v>
      </c>
      <c r="B1587" s="1" t="s">
        <v>77</v>
      </c>
    </row>
    <row r="1588" spans="1:2" x14ac:dyDescent="0.35">
      <c r="A1588" s="2">
        <v>45957</v>
      </c>
      <c r="B1588" s="1" t="s">
        <v>77</v>
      </c>
    </row>
    <row r="1589" spans="1:2" x14ac:dyDescent="0.35">
      <c r="A1589" s="2">
        <v>45958</v>
      </c>
      <c r="B1589" s="1" t="s">
        <v>33</v>
      </c>
    </row>
    <row r="1590" spans="1:2" x14ac:dyDescent="0.35">
      <c r="A1590" s="2">
        <v>45958</v>
      </c>
      <c r="B1590" s="1" t="s">
        <v>33</v>
      </c>
    </row>
    <row r="1591" spans="1:2" x14ac:dyDescent="0.35">
      <c r="A1591" s="2">
        <v>45958</v>
      </c>
      <c r="B1591" s="1" t="s">
        <v>33</v>
      </c>
    </row>
    <row r="1592" spans="1:2" x14ac:dyDescent="0.35">
      <c r="A1592" s="2">
        <v>45958</v>
      </c>
      <c r="B1592" s="1" t="s">
        <v>33</v>
      </c>
    </row>
    <row r="1593" spans="1:2" x14ac:dyDescent="0.35">
      <c r="A1593" s="2">
        <v>45958</v>
      </c>
      <c r="B1593" s="1" t="s">
        <v>5</v>
      </c>
    </row>
    <row r="1594" spans="1:2" x14ac:dyDescent="0.35">
      <c r="A1594" s="2">
        <v>45958</v>
      </c>
      <c r="B1594" s="1" t="s">
        <v>5</v>
      </c>
    </row>
    <row r="1595" spans="1:2" x14ac:dyDescent="0.35">
      <c r="A1595" s="2">
        <v>45958</v>
      </c>
      <c r="B1595" s="1" t="s">
        <v>9</v>
      </c>
    </row>
    <row r="1596" spans="1:2" x14ac:dyDescent="0.35">
      <c r="A1596" s="2">
        <v>45958</v>
      </c>
      <c r="B1596" s="1" t="s">
        <v>9</v>
      </c>
    </row>
    <row r="1597" spans="1:2" x14ac:dyDescent="0.35">
      <c r="A1597" s="2">
        <v>45958</v>
      </c>
      <c r="B1597" s="1" t="s">
        <v>9</v>
      </c>
    </row>
    <row r="1598" spans="1:2" x14ac:dyDescent="0.35">
      <c r="A1598" s="2">
        <v>45958</v>
      </c>
      <c r="B1598" s="1" t="s">
        <v>9</v>
      </c>
    </row>
    <row r="1599" spans="1:2" x14ac:dyDescent="0.35">
      <c r="A1599" s="2">
        <v>45958</v>
      </c>
      <c r="B1599" s="1" t="s">
        <v>9</v>
      </c>
    </row>
    <row r="1600" spans="1:2" x14ac:dyDescent="0.35">
      <c r="A1600" s="2">
        <v>45958</v>
      </c>
      <c r="B1600" s="1" t="s">
        <v>9</v>
      </c>
    </row>
    <row r="1601" spans="1:2" x14ac:dyDescent="0.35">
      <c r="A1601" s="2">
        <v>45958</v>
      </c>
      <c r="B1601" s="1" t="s">
        <v>9</v>
      </c>
    </row>
    <row r="1602" spans="1:2" x14ac:dyDescent="0.35">
      <c r="A1602" s="2">
        <v>45958</v>
      </c>
      <c r="B1602" s="1" t="s">
        <v>9</v>
      </c>
    </row>
    <row r="1603" spans="1:2" x14ac:dyDescent="0.35">
      <c r="A1603" s="2">
        <v>45958</v>
      </c>
      <c r="B1603" s="1" t="s">
        <v>9</v>
      </c>
    </row>
    <row r="1604" spans="1:2" x14ac:dyDescent="0.35">
      <c r="A1604" s="2">
        <v>45958</v>
      </c>
      <c r="B1604" s="1" t="s">
        <v>28</v>
      </c>
    </row>
    <row r="1605" spans="1:2" x14ac:dyDescent="0.35">
      <c r="A1605" s="2">
        <v>45959</v>
      </c>
      <c r="B1605" s="1" t="s">
        <v>5</v>
      </c>
    </row>
    <row r="1606" spans="1:2" x14ac:dyDescent="0.35">
      <c r="A1606" s="2">
        <v>45959</v>
      </c>
      <c r="B1606" s="1" t="s">
        <v>5</v>
      </c>
    </row>
    <row r="1607" spans="1:2" x14ac:dyDescent="0.35">
      <c r="A1607" s="2">
        <v>45959</v>
      </c>
      <c r="B1607" s="1" t="s">
        <v>9</v>
      </c>
    </row>
    <row r="1608" spans="1:2" x14ac:dyDescent="0.35">
      <c r="A1608" s="2">
        <v>45959</v>
      </c>
      <c r="B1608" s="1" t="s">
        <v>9</v>
      </c>
    </row>
    <row r="1609" spans="1:2" x14ac:dyDescent="0.35">
      <c r="A1609" s="2">
        <v>45959</v>
      </c>
      <c r="B1609" s="1" t="s">
        <v>9</v>
      </c>
    </row>
    <row r="1610" spans="1:2" x14ac:dyDescent="0.35">
      <c r="A1610" s="2">
        <v>45959</v>
      </c>
      <c r="B1610" s="1" t="s">
        <v>9</v>
      </c>
    </row>
    <row r="1611" spans="1:2" x14ac:dyDescent="0.35">
      <c r="A1611" s="2">
        <v>45959</v>
      </c>
      <c r="B1611" s="1" t="s">
        <v>9</v>
      </c>
    </row>
    <row r="1612" spans="1:2" x14ac:dyDescent="0.35">
      <c r="A1612" s="2">
        <v>45959</v>
      </c>
      <c r="B1612" s="1" t="s">
        <v>77</v>
      </c>
    </row>
    <row r="1613" spans="1:2" x14ac:dyDescent="0.35">
      <c r="A1613" s="2">
        <v>45959</v>
      </c>
      <c r="B1613" s="1" t="s">
        <v>77</v>
      </c>
    </row>
    <row r="1614" spans="1:2" x14ac:dyDescent="0.35">
      <c r="A1614" s="2">
        <v>45959</v>
      </c>
      <c r="B1614" s="1" t="s">
        <v>9</v>
      </c>
    </row>
    <row r="1615" spans="1:2" x14ac:dyDescent="0.35">
      <c r="A1615" s="2">
        <v>45959</v>
      </c>
      <c r="B1615" s="1" t="s">
        <v>9</v>
      </c>
    </row>
    <row r="1616" spans="1:2" x14ac:dyDescent="0.35">
      <c r="A1616" s="2">
        <v>45959</v>
      </c>
      <c r="B1616" s="1" t="s">
        <v>9</v>
      </c>
    </row>
    <row r="1617" spans="1:2" x14ac:dyDescent="0.35">
      <c r="A1617" s="2">
        <v>45959</v>
      </c>
      <c r="B1617" s="1" t="s">
        <v>34</v>
      </c>
    </row>
    <row r="1618" spans="1:2" x14ac:dyDescent="0.35">
      <c r="A1618" s="2">
        <v>45959</v>
      </c>
      <c r="B1618" s="1" t="s">
        <v>34</v>
      </c>
    </row>
    <row r="1619" spans="1:2" x14ac:dyDescent="0.35">
      <c r="A1619" s="2">
        <v>45959</v>
      </c>
      <c r="B1619" s="1" t="s">
        <v>34</v>
      </c>
    </row>
    <row r="1620" spans="1:2" x14ac:dyDescent="0.35">
      <c r="A1620" s="2">
        <v>45959</v>
      </c>
      <c r="B1620" s="1" t="s">
        <v>34</v>
      </c>
    </row>
    <row r="1621" spans="1:2" x14ac:dyDescent="0.35">
      <c r="A1621" s="2">
        <v>45959</v>
      </c>
      <c r="B1621" s="1" t="s">
        <v>34</v>
      </c>
    </row>
    <row r="1622" spans="1:2" x14ac:dyDescent="0.35">
      <c r="A1622" s="2">
        <v>45959</v>
      </c>
      <c r="B1622" s="1" t="s">
        <v>34</v>
      </c>
    </row>
    <row r="1623" spans="1:2" x14ac:dyDescent="0.35">
      <c r="A1623" s="2">
        <v>45959</v>
      </c>
      <c r="B1623" s="1" t="s">
        <v>34</v>
      </c>
    </row>
    <row r="1624" spans="1:2" x14ac:dyDescent="0.35">
      <c r="A1624" s="2">
        <v>45959</v>
      </c>
      <c r="B1624" s="1" t="s">
        <v>34</v>
      </c>
    </row>
    <row r="1625" spans="1:2" x14ac:dyDescent="0.35">
      <c r="A1625" s="2">
        <v>45959</v>
      </c>
      <c r="B1625" s="1" t="s">
        <v>5</v>
      </c>
    </row>
    <row r="1626" spans="1:2" x14ac:dyDescent="0.35">
      <c r="A1626" s="2">
        <v>45961</v>
      </c>
      <c r="B1626" s="1" t="s">
        <v>33</v>
      </c>
    </row>
    <row r="1627" spans="1:2" x14ac:dyDescent="0.35">
      <c r="A1627" s="2">
        <v>45961</v>
      </c>
      <c r="B1627" s="1" t="s">
        <v>9</v>
      </c>
    </row>
    <row r="1628" spans="1:2" x14ac:dyDescent="0.35">
      <c r="A1628" s="2">
        <v>45961</v>
      </c>
      <c r="B1628" s="1" t="s">
        <v>9</v>
      </c>
    </row>
    <row r="1629" spans="1:2" x14ac:dyDescent="0.35">
      <c r="A1629" s="2">
        <v>45961</v>
      </c>
      <c r="B1629" s="1" t="s">
        <v>9</v>
      </c>
    </row>
    <row r="1630" spans="1:2" x14ac:dyDescent="0.35">
      <c r="A1630" s="2">
        <v>45961</v>
      </c>
      <c r="B1630" s="1" t="s">
        <v>9</v>
      </c>
    </row>
    <row r="1631" spans="1:2" x14ac:dyDescent="0.35">
      <c r="A1631" s="2">
        <v>45961</v>
      </c>
      <c r="B1631" s="1" t="s">
        <v>9</v>
      </c>
    </row>
    <row r="1632" spans="1:2" x14ac:dyDescent="0.35">
      <c r="A1632" s="2">
        <v>45961</v>
      </c>
      <c r="B1632" s="1" t="s">
        <v>9</v>
      </c>
    </row>
    <row r="1633" spans="1:2" x14ac:dyDescent="0.35">
      <c r="A1633" s="2">
        <v>45964</v>
      </c>
      <c r="B1633" s="1" t="s">
        <v>77</v>
      </c>
    </row>
    <row r="1634" spans="1:2" x14ac:dyDescent="0.35">
      <c r="A1634" s="2">
        <v>45964</v>
      </c>
      <c r="B1634" s="1" t="s">
        <v>77</v>
      </c>
    </row>
    <row r="1635" spans="1:2" x14ac:dyDescent="0.35">
      <c r="A1635" s="2">
        <v>45964</v>
      </c>
      <c r="B1635" s="1" t="s">
        <v>77</v>
      </c>
    </row>
    <row r="1636" spans="1:2" x14ac:dyDescent="0.35">
      <c r="A1636" s="2">
        <v>45964</v>
      </c>
      <c r="B1636" s="1" t="s">
        <v>77</v>
      </c>
    </row>
    <row r="1637" spans="1:2" x14ac:dyDescent="0.35">
      <c r="A1637" s="2">
        <v>45964</v>
      </c>
      <c r="B1637" s="1" t="s">
        <v>77</v>
      </c>
    </row>
    <row r="1638" spans="1:2" x14ac:dyDescent="0.35">
      <c r="A1638" s="2">
        <v>45964</v>
      </c>
      <c r="B1638" s="1" t="s">
        <v>77</v>
      </c>
    </row>
    <row r="1639" spans="1:2" x14ac:dyDescent="0.35">
      <c r="A1639" s="2">
        <v>45964</v>
      </c>
      <c r="B1639" s="1" t="s">
        <v>24</v>
      </c>
    </row>
    <row r="1640" spans="1:2" x14ac:dyDescent="0.35">
      <c r="A1640" s="2">
        <v>45964</v>
      </c>
      <c r="B1640" s="1" t="s">
        <v>9</v>
      </c>
    </row>
    <row r="1641" spans="1:2" x14ac:dyDescent="0.35">
      <c r="A1641" s="2">
        <v>45964</v>
      </c>
      <c r="B1641" s="1" t="s">
        <v>34</v>
      </c>
    </row>
    <row r="1642" spans="1:2" x14ac:dyDescent="0.35">
      <c r="A1642" s="2">
        <v>45964</v>
      </c>
      <c r="B1642" s="1" t="s">
        <v>34</v>
      </c>
    </row>
    <row r="1643" spans="1:2" x14ac:dyDescent="0.35">
      <c r="A1643" s="2">
        <v>45964</v>
      </c>
      <c r="B1643" s="1" t="s">
        <v>34</v>
      </c>
    </row>
    <row r="1644" spans="1:2" x14ac:dyDescent="0.35">
      <c r="A1644" s="2">
        <v>45964</v>
      </c>
      <c r="B1644" s="1" t="s">
        <v>34</v>
      </c>
    </row>
    <row r="1645" spans="1:2" x14ac:dyDescent="0.35">
      <c r="A1645" s="2">
        <v>45964</v>
      </c>
      <c r="B1645" s="1" t="s">
        <v>34</v>
      </c>
    </row>
    <row r="1646" spans="1:2" x14ac:dyDescent="0.35">
      <c r="A1646" s="2">
        <v>45964</v>
      </c>
      <c r="B1646" s="1" t="s">
        <v>33</v>
      </c>
    </row>
    <row r="1647" spans="1:2" x14ac:dyDescent="0.35">
      <c r="A1647" s="2">
        <v>45964</v>
      </c>
      <c r="B1647" s="1" t="s">
        <v>33</v>
      </c>
    </row>
    <row r="1648" spans="1:2" x14ac:dyDescent="0.35">
      <c r="A1648" s="2">
        <v>45964</v>
      </c>
      <c r="B1648" s="1" t="s">
        <v>5</v>
      </c>
    </row>
    <row r="1649" spans="1:2" x14ac:dyDescent="0.35">
      <c r="A1649" s="2">
        <v>45964</v>
      </c>
      <c r="B1649" s="1" t="s">
        <v>5</v>
      </c>
    </row>
    <row r="1650" spans="1:2" x14ac:dyDescent="0.35">
      <c r="A1650" s="2">
        <v>45964</v>
      </c>
      <c r="B1650" s="1" t="s">
        <v>5</v>
      </c>
    </row>
    <row r="1651" spans="1:2" x14ac:dyDescent="0.35">
      <c r="A1651" s="2">
        <v>45964</v>
      </c>
      <c r="B1651" s="1" t="s">
        <v>5</v>
      </c>
    </row>
    <row r="1652" spans="1:2" x14ac:dyDescent="0.35">
      <c r="A1652" s="2">
        <v>45964</v>
      </c>
      <c r="B1652" s="1" t="s">
        <v>5</v>
      </c>
    </row>
    <row r="1653" spans="1:2" x14ac:dyDescent="0.35">
      <c r="A1653" s="2">
        <v>45964</v>
      </c>
      <c r="B1653" s="1" t="s">
        <v>5</v>
      </c>
    </row>
    <row r="1654" spans="1:2" x14ac:dyDescent="0.35">
      <c r="A1654" s="2">
        <v>45964</v>
      </c>
      <c r="B1654" s="1" t="s">
        <v>5</v>
      </c>
    </row>
    <row r="1655" spans="1:2" x14ac:dyDescent="0.35">
      <c r="A1655" s="2">
        <v>45964</v>
      </c>
      <c r="B1655" s="1" t="s">
        <v>9</v>
      </c>
    </row>
    <row r="1656" spans="1:2" x14ac:dyDescent="0.35">
      <c r="A1656" s="2">
        <v>45964</v>
      </c>
      <c r="B1656" s="1" t="s">
        <v>9</v>
      </c>
    </row>
    <row r="1657" spans="1:2" x14ac:dyDescent="0.35">
      <c r="A1657" s="2">
        <v>45964</v>
      </c>
      <c r="B1657" s="1" t="s">
        <v>9</v>
      </c>
    </row>
    <row r="1658" spans="1:2" x14ac:dyDescent="0.35">
      <c r="A1658" s="2">
        <v>45964</v>
      </c>
      <c r="B1658" s="1" t="s">
        <v>28</v>
      </c>
    </row>
    <row r="1659" spans="1:2" x14ac:dyDescent="0.35">
      <c r="A1659" s="2">
        <v>45964</v>
      </c>
      <c r="B1659" s="1" t="s">
        <v>28</v>
      </c>
    </row>
    <row r="1660" spans="1:2" x14ac:dyDescent="0.35">
      <c r="A1660" s="2">
        <v>45964</v>
      </c>
      <c r="B1660" s="1" t="s">
        <v>68</v>
      </c>
    </row>
    <row r="1661" spans="1:2" x14ac:dyDescent="0.35">
      <c r="A1661" s="2">
        <v>45964</v>
      </c>
      <c r="B1661" s="1" t="s">
        <v>28</v>
      </c>
    </row>
    <row r="1662" spans="1:2" x14ac:dyDescent="0.35">
      <c r="A1662" s="2">
        <v>45964</v>
      </c>
      <c r="B1662" s="1" t="s">
        <v>28</v>
      </c>
    </row>
    <row r="1663" spans="1:2" x14ac:dyDescent="0.35">
      <c r="A1663" s="2">
        <v>45964</v>
      </c>
      <c r="B1663" s="1" t="s">
        <v>68</v>
      </c>
    </row>
    <row r="1664" spans="1:2" x14ac:dyDescent="0.35">
      <c r="A1664" s="2">
        <v>45965</v>
      </c>
      <c r="B1664" s="1" t="s">
        <v>9</v>
      </c>
    </row>
    <row r="1665" spans="1:2" x14ac:dyDescent="0.35">
      <c r="A1665" s="2">
        <v>45965</v>
      </c>
      <c r="B1665" s="1" t="s">
        <v>9</v>
      </c>
    </row>
    <row r="1666" spans="1:2" x14ac:dyDescent="0.35">
      <c r="A1666" s="2">
        <v>45965</v>
      </c>
      <c r="B1666" s="1" t="s">
        <v>9</v>
      </c>
    </row>
    <row r="1667" spans="1:2" x14ac:dyDescent="0.35">
      <c r="A1667" s="2">
        <v>45965</v>
      </c>
      <c r="B1667" s="1" t="s">
        <v>9</v>
      </c>
    </row>
    <row r="1668" spans="1:2" x14ac:dyDescent="0.35">
      <c r="A1668" s="2">
        <v>45965</v>
      </c>
      <c r="B1668" s="1" t="s">
        <v>5</v>
      </c>
    </row>
    <row r="1669" spans="1:2" x14ac:dyDescent="0.35">
      <c r="A1669" s="2">
        <v>45965</v>
      </c>
      <c r="B1669" s="1" t="s">
        <v>9</v>
      </c>
    </row>
    <row r="1670" spans="1:2" x14ac:dyDescent="0.35">
      <c r="A1670" s="2">
        <v>45965</v>
      </c>
      <c r="B1670" s="1" t="s">
        <v>77</v>
      </c>
    </row>
    <row r="1671" spans="1:2" x14ac:dyDescent="0.35">
      <c r="A1671" s="2">
        <v>45965</v>
      </c>
      <c r="B1671" s="1" t="s">
        <v>77</v>
      </c>
    </row>
    <row r="1672" spans="1:2" x14ac:dyDescent="0.35">
      <c r="A1672" s="2">
        <v>45965</v>
      </c>
      <c r="B1672" s="1" t="s">
        <v>5</v>
      </c>
    </row>
    <row r="1673" spans="1:2" x14ac:dyDescent="0.35">
      <c r="A1673" s="2">
        <v>45965</v>
      </c>
      <c r="B1673" s="1" t="s">
        <v>34</v>
      </c>
    </row>
    <row r="1674" spans="1:2" x14ac:dyDescent="0.35">
      <c r="A1674" s="2">
        <v>45965</v>
      </c>
      <c r="B1674" s="1" t="s">
        <v>34</v>
      </c>
    </row>
    <row r="1675" spans="1:2" x14ac:dyDescent="0.35">
      <c r="A1675" s="2">
        <v>45965</v>
      </c>
      <c r="B1675" s="1" t="s">
        <v>34</v>
      </c>
    </row>
    <row r="1676" spans="1:2" x14ac:dyDescent="0.35">
      <c r="A1676" s="2">
        <v>45965</v>
      </c>
      <c r="B1676" s="1" t="s">
        <v>34</v>
      </c>
    </row>
    <row r="1677" spans="1:2" x14ac:dyDescent="0.35">
      <c r="A1677" s="2">
        <v>45965</v>
      </c>
      <c r="B1677" s="1" t="s">
        <v>34</v>
      </c>
    </row>
    <row r="1678" spans="1:2" x14ac:dyDescent="0.35">
      <c r="A1678" s="2">
        <v>45965</v>
      </c>
      <c r="B1678" s="1" t="s">
        <v>34</v>
      </c>
    </row>
    <row r="1679" spans="1:2" x14ac:dyDescent="0.35">
      <c r="A1679" s="2">
        <v>45965</v>
      </c>
      <c r="B1679" s="1" t="s">
        <v>24</v>
      </c>
    </row>
    <row r="1680" spans="1:2" x14ac:dyDescent="0.35">
      <c r="A1680" s="2">
        <v>45965</v>
      </c>
      <c r="B1680" s="1" t="s">
        <v>24</v>
      </c>
    </row>
    <row r="1681" spans="1:2" x14ac:dyDescent="0.35">
      <c r="A1681" s="2">
        <v>45965</v>
      </c>
      <c r="B1681" s="1" t="s">
        <v>24</v>
      </c>
    </row>
    <row r="1682" spans="1:2" x14ac:dyDescent="0.35">
      <c r="A1682" s="2">
        <v>45965</v>
      </c>
      <c r="B1682" s="1" t="s">
        <v>9</v>
      </c>
    </row>
    <row r="1683" spans="1:2" x14ac:dyDescent="0.35">
      <c r="A1683" s="2">
        <v>45965</v>
      </c>
      <c r="B1683" s="1" t="s">
        <v>24</v>
      </c>
    </row>
    <row r="1684" spans="1:2" x14ac:dyDescent="0.35">
      <c r="A1684" s="2">
        <v>45965</v>
      </c>
      <c r="B1684" s="1" t="s">
        <v>28</v>
      </c>
    </row>
    <row r="1685" spans="1:2" x14ac:dyDescent="0.35">
      <c r="A1685" s="2">
        <v>45965</v>
      </c>
      <c r="B1685" s="1" t="s">
        <v>28</v>
      </c>
    </row>
    <row r="1686" spans="1:2" x14ac:dyDescent="0.35">
      <c r="A1686" s="2">
        <v>45965</v>
      </c>
      <c r="B1686" s="1" t="s">
        <v>68</v>
      </c>
    </row>
    <row r="1687" spans="1:2" x14ac:dyDescent="0.35">
      <c r="A1687" s="2">
        <v>45965</v>
      </c>
      <c r="B1687" s="1" t="s">
        <v>68</v>
      </c>
    </row>
    <row r="1688" spans="1:2" x14ac:dyDescent="0.35">
      <c r="A1688" s="2">
        <v>45965</v>
      </c>
      <c r="B1688" s="1" t="s">
        <v>68</v>
      </c>
    </row>
    <row r="1689" spans="1:2" x14ac:dyDescent="0.35">
      <c r="A1689" s="2">
        <v>45965</v>
      </c>
      <c r="B1689" s="1" t="s">
        <v>68</v>
      </c>
    </row>
    <row r="1690" spans="1:2" x14ac:dyDescent="0.35">
      <c r="A1690" s="2">
        <v>45965</v>
      </c>
      <c r="B1690" s="1" t="s">
        <v>68</v>
      </c>
    </row>
    <row r="1691" spans="1:2" x14ac:dyDescent="0.35">
      <c r="A1691" s="2">
        <v>45965</v>
      </c>
      <c r="B1691" s="1" t="s">
        <v>68</v>
      </c>
    </row>
    <row r="1692" spans="1:2" x14ac:dyDescent="0.35">
      <c r="A1692" s="2">
        <v>45965</v>
      </c>
      <c r="B1692" s="1" t="s">
        <v>68</v>
      </c>
    </row>
    <row r="1693" spans="1:2" x14ac:dyDescent="0.35">
      <c r="A1693" s="2">
        <v>45965</v>
      </c>
      <c r="B1693" s="1" t="s">
        <v>68</v>
      </c>
    </row>
    <row r="1694" spans="1:2" x14ac:dyDescent="0.35">
      <c r="A1694" s="2">
        <v>45966</v>
      </c>
      <c r="B1694" s="1" t="s">
        <v>33</v>
      </c>
    </row>
    <row r="1695" spans="1:2" x14ac:dyDescent="0.35">
      <c r="A1695" s="2">
        <v>45966</v>
      </c>
      <c r="B1695" s="1" t="s">
        <v>24</v>
      </c>
    </row>
    <row r="1696" spans="1:2" x14ac:dyDescent="0.35">
      <c r="A1696" s="2">
        <v>45966</v>
      </c>
      <c r="B1696" s="1" t="s">
        <v>33</v>
      </c>
    </row>
    <row r="1697" spans="1:2" x14ac:dyDescent="0.35">
      <c r="A1697" s="2">
        <v>45966</v>
      </c>
      <c r="B1697" s="1" t="s">
        <v>33</v>
      </c>
    </row>
    <row r="1698" spans="1:2" x14ac:dyDescent="0.35">
      <c r="A1698" s="2">
        <v>45966</v>
      </c>
      <c r="B1698" s="1" t="s">
        <v>33</v>
      </c>
    </row>
    <row r="1699" spans="1:2" x14ac:dyDescent="0.35">
      <c r="A1699" s="2">
        <v>45966</v>
      </c>
      <c r="B1699" s="1" t="s">
        <v>33</v>
      </c>
    </row>
    <row r="1700" spans="1:2" x14ac:dyDescent="0.35">
      <c r="A1700" s="2">
        <v>45966</v>
      </c>
      <c r="B1700" s="1" t="s">
        <v>5</v>
      </c>
    </row>
    <row r="1701" spans="1:2" x14ac:dyDescent="0.35">
      <c r="A1701" s="2">
        <v>45966</v>
      </c>
      <c r="B1701" s="1" t="s">
        <v>5</v>
      </c>
    </row>
    <row r="1702" spans="1:2" x14ac:dyDescent="0.35">
      <c r="A1702" s="2">
        <v>45966</v>
      </c>
      <c r="B1702" s="1" t="s">
        <v>33</v>
      </c>
    </row>
    <row r="1703" spans="1:2" x14ac:dyDescent="0.35">
      <c r="A1703" s="2">
        <v>45966</v>
      </c>
      <c r="B1703" s="1" t="s">
        <v>34</v>
      </c>
    </row>
    <row r="1704" spans="1:2" x14ac:dyDescent="0.35">
      <c r="A1704" s="2">
        <v>45966</v>
      </c>
      <c r="B1704" s="1" t="s">
        <v>34</v>
      </c>
    </row>
    <row r="1705" spans="1:2" x14ac:dyDescent="0.35">
      <c r="A1705" s="2">
        <v>45966</v>
      </c>
      <c r="B1705" s="1" t="s">
        <v>34</v>
      </c>
    </row>
    <row r="1706" spans="1:2" x14ac:dyDescent="0.35">
      <c r="A1706" s="2">
        <v>45966</v>
      </c>
      <c r="B1706" s="1" t="s">
        <v>34</v>
      </c>
    </row>
    <row r="1707" spans="1:2" x14ac:dyDescent="0.35">
      <c r="A1707" s="2">
        <v>45966</v>
      </c>
      <c r="B1707" s="1" t="s">
        <v>34</v>
      </c>
    </row>
    <row r="1708" spans="1:2" x14ac:dyDescent="0.35">
      <c r="A1708" s="2">
        <v>45966</v>
      </c>
      <c r="B1708" s="1" t="s">
        <v>34</v>
      </c>
    </row>
    <row r="1709" spans="1:2" x14ac:dyDescent="0.35">
      <c r="A1709" s="2">
        <v>45966</v>
      </c>
      <c r="B1709" s="1" t="s">
        <v>24</v>
      </c>
    </row>
    <row r="1710" spans="1:2" x14ac:dyDescent="0.35">
      <c r="A1710" s="2">
        <v>45966</v>
      </c>
      <c r="B1710" s="1" t="s">
        <v>24</v>
      </c>
    </row>
    <row r="1711" spans="1:2" x14ac:dyDescent="0.35">
      <c r="A1711" s="2">
        <v>45966</v>
      </c>
      <c r="B1711" s="1" t="s">
        <v>24</v>
      </c>
    </row>
    <row r="1712" spans="1:2" x14ac:dyDescent="0.35">
      <c r="A1712" s="2">
        <v>45966</v>
      </c>
      <c r="B1712" s="1" t="s">
        <v>24</v>
      </c>
    </row>
    <row r="1713" spans="1:2" x14ac:dyDescent="0.35">
      <c r="A1713" s="2">
        <v>45966</v>
      </c>
      <c r="B1713" s="1" t="s">
        <v>24</v>
      </c>
    </row>
    <row r="1714" spans="1:2" x14ac:dyDescent="0.35">
      <c r="A1714" s="2">
        <v>45966</v>
      </c>
      <c r="B1714" s="1" t="s">
        <v>5</v>
      </c>
    </row>
    <row r="1715" spans="1:2" x14ac:dyDescent="0.35">
      <c r="A1715" s="2">
        <v>45966</v>
      </c>
      <c r="B1715" s="1" t="s">
        <v>33</v>
      </c>
    </row>
    <row r="1716" spans="1:2" x14ac:dyDescent="0.35">
      <c r="A1716" s="2">
        <v>45966</v>
      </c>
      <c r="B1716" s="1" t="s">
        <v>33</v>
      </c>
    </row>
    <row r="1717" spans="1:2" x14ac:dyDescent="0.35">
      <c r="A1717" s="2">
        <v>45966</v>
      </c>
      <c r="B1717" s="1" t="s">
        <v>9</v>
      </c>
    </row>
    <row r="1718" spans="1:2" x14ac:dyDescent="0.35">
      <c r="A1718" s="2">
        <v>45966</v>
      </c>
      <c r="B1718" s="1" t="s">
        <v>9</v>
      </c>
    </row>
    <row r="1719" spans="1:2" x14ac:dyDescent="0.35">
      <c r="A1719" s="2">
        <v>45966</v>
      </c>
      <c r="B1719" s="1" t="s">
        <v>9</v>
      </c>
    </row>
    <row r="1720" spans="1:2" x14ac:dyDescent="0.35">
      <c r="A1720" s="2">
        <v>45966</v>
      </c>
      <c r="B1720" s="1" t="s">
        <v>9</v>
      </c>
    </row>
    <row r="1721" spans="1:2" x14ac:dyDescent="0.35">
      <c r="A1721" s="2">
        <v>45966</v>
      </c>
      <c r="B1721" s="1" t="s">
        <v>9</v>
      </c>
    </row>
    <row r="1722" spans="1:2" x14ac:dyDescent="0.35">
      <c r="A1722" s="2">
        <v>45966</v>
      </c>
      <c r="B1722" s="1" t="s">
        <v>33</v>
      </c>
    </row>
    <row r="1723" spans="1:2" x14ac:dyDescent="0.35">
      <c r="A1723" s="2">
        <v>45966</v>
      </c>
      <c r="B1723" s="1" t="s">
        <v>68</v>
      </c>
    </row>
    <row r="1724" spans="1:2" x14ac:dyDescent="0.35">
      <c r="A1724" s="2">
        <v>45966</v>
      </c>
      <c r="B1724" s="1" t="s">
        <v>68</v>
      </c>
    </row>
    <row r="1725" spans="1:2" x14ac:dyDescent="0.35">
      <c r="A1725" s="2">
        <v>45966</v>
      </c>
      <c r="B1725" s="1" t="s">
        <v>28</v>
      </c>
    </row>
    <row r="1726" spans="1:2" x14ac:dyDescent="0.35">
      <c r="A1726" s="2">
        <v>45966</v>
      </c>
      <c r="B1726" s="1" t="s">
        <v>28</v>
      </c>
    </row>
    <row r="1727" spans="1:2" x14ac:dyDescent="0.35">
      <c r="A1727" s="2">
        <v>45967</v>
      </c>
      <c r="B1727" s="1" t="s">
        <v>34</v>
      </c>
    </row>
    <row r="1728" spans="1:2" x14ac:dyDescent="0.35">
      <c r="A1728" s="2">
        <v>45967</v>
      </c>
      <c r="B1728" s="1" t="s">
        <v>34</v>
      </c>
    </row>
    <row r="1729" spans="1:2" x14ac:dyDescent="0.35">
      <c r="A1729" s="2">
        <v>45967</v>
      </c>
      <c r="B1729" s="1" t="s">
        <v>34</v>
      </c>
    </row>
    <row r="1730" spans="1:2" x14ac:dyDescent="0.35">
      <c r="A1730" s="2">
        <v>45967</v>
      </c>
      <c r="B1730" s="1" t="s">
        <v>24</v>
      </c>
    </row>
    <row r="1731" spans="1:2" x14ac:dyDescent="0.35">
      <c r="A1731" s="2">
        <v>45967</v>
      </c>
      <c r="B1731" s="1" t="s">
        <v>24</v>
      </c>
    </row>
    <row r="1732" spans="1:2" x14ac:dyDescent="0.35">
      <c r="A1732" s="2">
        <v>45967</v>
      </c>
      <c r="B1732" s="1" t="s">
        <v>24</v>
      </c>
    </row>
    <row r="1733" spans="1:2" x14ac:dyDescent="0.35">
      <c r="A1733" s="2">
        <v>45967</v>
      </c>
      <c r="B1733" s="1" t="s">
        <v>77</v>
      </c>
    </row>
    <row r="1734" spans="1:2" x14ac:dyDescent="0.35">
      <c r="A1734" s="2">
        <v>45967</v>
      </c>
      <c r="B1734" s="1" t="s">
        <v>77</v>
      </c>
    </row>
    <row r="1735" spans="1:2" x14ac:dyDescent="0.35">
      <c r="A1735" s="2">
        <v>45967</v>
      </c>
      <c r="B1735" s="1" t="s">
        <v>9</v>
      </c>
    </row>
    <row r="1736" spans="1:2" x14ac:dyDescent="0.35">
      <c r="A1736" s="2">
        <v>45967</v>
      </c>
      <c r="B1736" s="1" t="s">
        <v>9</v>
      </c>
    </row>
    <row r="1737" spans="1:2" x14ac:dyDescent="0.35">
      <c r="A1737" s="2">
        <v>45967</v>
      </c>
      <c r="B1737" s="1" t="s">
        <v>9</v>
      </c>
    </row>
    <row r="1738" spans="1:2" x14ac:dyDescent="0.35">
      <c r="A1738" s="2">
        <v>45967</v>
      </c>
      <c r="B1738" s="1" t="s">
        <v>33</v>
      </c>
    </row>
    <row r="1739" spans="1:2" x14ac:dyDescent="0.35">
      <c r="A1739" s="2">
        <v>45967</v>
      </c>
      <c r="B1739" s="1" t="s">
        <v>24</v>
      </c>
    </row>
    <row r="1740" spans="1:2" x14ac:dyDescent="0.35">
      <c r="A1740" s="2">
        <v>45967</v>
      </c>
      <c r="B1740" s="1" t="s">
        <v>33</v>
      </c>
    </row>
    <row r="1741" spans="1:2" x14ac:dyDescent="0.35">
      <c r="A1741" s="2">
        <v>45967</v>
      </c>
      <c r="B1741" s="1" t="s">
        <v>24</v>
      </c>
    </row>
    <row r="1742" spans="1:2" x14ac:dyDescent="0.35">
      <c r="A1742" s="2">
        <v>45967</v>
      </c>
      <c r="B1742" s="1" t="s">
        <v>34</v>
      </c>
    </row>
    <row r="1743" spans="1:2" x14ac:dyDescent="0.35">
      <c r="A1743" s="2">
        <v>45967</v>
      </c>
      <c r="B1743" s="1" t="s">
        <v>34</v>
      </c>
    </row>
    <row r="1744" spans="1:2" x14ac:dyDescent="0.35">
      <c r="A1744" s="2">
        <v>45967</v>
      </c>
      <c r="B1744" s="1" t="s">
        <v>77</v>
      </c>
    </row>
    <row r="1745" spans="1:2" x14ac:dyDescent="0.35">
      <c r="A1745" s="2">
        <v>45967</v>
      </c>
      <c r="B1745" s="1" t="s">
        <v>24</v>
      </c>
    </row>
    <row r="1746" spans="1:2" x14ac:dyDescent="0.35">
      <c r="A1746" s="2">
        <v>45967</v>
      </c>
      <c r="B1746" s="1" t="s">
        <v>33</v>
      </c>
    </row>
    <row r="1747" spans="1:2" x14ac:dyDescent="0.35">
      <c r="A1747" s="2">
        <v>45967</v>
      </c>
      <c r="B1747" s="1" t="s">
        <v>33</v>
      </c>
    </row>
    <row r="1748" spans="1:2" x14ac:dyDescent="0.35">
      <c r="A1748" s="2">
        <v>45967</v>
      </c>
      <c r="B1748" s="1" t="s">
        <v>33</v>
      </c>
    </row>
    <row r="1749" spans="1:2" x14ac:dyDescent="0.35">
      <c r="A1749" s="2">
        <v>45967</v>
      </c>
      <c r="B1749" s="1" t="s">
        <v>33</v>
      </c>
    </row>
    <row r="1750" spans="1:2" x14ac:dyDescent="0.35">
      <c r="A1750" s="2">
        <v>45967</v>
      </c>
      <c r="B1750" s="1" t="s">
        <v>33</v>
      </c>
    </row>
    <row r="1751" spans="1:2" x14ac:dyDescent="0.35">
      <c r="A1751" s="2">
        <v>45967</v>
      </c>
      <c r="B1751" s="1" t="s">
        <v>24</v>
      </c>
    </row>
    <row r="1752" spans="1:2" x14ac:dyDescent="0.35">
      <c r="A1752" s="2">
        <v>45967</v>
      </c>
      <c r="B1752" s="1" t="s">
        <v>68</v>
      </c>
    </row>
    <row r="1753" spans="1:2" x14ac:dyDescent="0.35">
      <c r="A1753" s="2">
        <v>45967</v>
      </c>
      <c r="B1753" s="1" t="s">
        <v>68</v>
      </c>
    </row>
    <row r="1754" spans="1:2" x14ac:dyDescent="0.35">
      <c r="A1754" s="2">
        <v>45967</v>
      </c>
      <c r="B1754" s="1" t="s">
        <v>68</v>
      </c>
    </row>
    <row r="1755" spans="1:2" x14ac:dyDescent="0.35">
      <c r="A1755" s="2">
        <v>45967</v>
      </c>
      <c r="B1755" s="1" t="s">
        <v>68</v>
      </c>
    </row>
    <row r="1756" spans="1:2" x14ac:dyDescent="0.35">
      <c r="A1756" s="2">
        <v>45967</v>
      </c>
      <c r="B1756" s="1" t="s">
        <v>68</v>
      </c>
    </row>
    <row r="1757" spans="1:2" x14ac:dyDescent="0.35">
      <c r="A1757" s="2">
        <v>45967</v>
      </c>
      <c r="B1757" s="1" t="s">
        <v>68</v>
      </c>
    </row>
    <row r="1758" spans="1:2" x14ac:dyDescent="0.35">
      <c r="A1758" s="2">
        <v>45967</v>
      </c>
      <c r="B1758" s="1" t="s">
        <v>68</v>
      </c>
    </row>
    <row r="1759" spans="1:2" x14ac:dyDescent="0.35">
      <c r="A1759" s="2">
        <v>45967</v>
      </c>
      <c r="B1759" s="1" t="s">
        <v>68</v>
      </c>
    </row>
    <row r="1760" spans="1:2" x14ac:dyDescent="0.35">
      <c r="A1760" s="2">
        <v>45967</v>
      </c>
      <c r="B1760" s="1" t="s">
        <v>68</v>
      </c>
    </row>
    <row r="1761" spans="1:2" x14ac:dyDescent="0.35">
      <c r="A1761" s="2">
        <v>45967</v>
      </c>
      <c r="B1761" s="1" t="s">
        <v>68</v>
      </c>
    </row>
    <row r="1762" spans="1:2" x14ac:dyDescent="0.35">
      <c r="A1762" s="2">
        <v>45967</v>
      </c>
      <c r="B1762" s="1" t="s">
        <v>68</v>
      </c>
    </row>
    <row r="1763" spans="1:2" x14ac:dyDescent="0.35">
      <c r="A1763" s="2">
        <v>45967</v>
      </c>
      <c r="B1763" s="1" t="s">
        <v>68</v>
      </c>
    </row>
    <row r="1764" spans="1:2" x14ac:dyDescent="0.35">
      <c r="A1764" s="2">
        <v>45967</v>
      </c>
      <c r="B1764" s="1" t="s">
        <v>68</v>
      </c>
    </row>
    <row r="1765" spans="1:2" x14ac:dyDescent="0.35">
      <c r="A1765" s="2">
        <v>45968</v>
      </c>
      <c r="B1765" s="1" t="s">
        <v>24</v>
      </c>
    </row>
    <row r="1766" spans="1:2" x14ac:dyDescent="0.35">
      <c r="A1766" s="2">
        <v>45968</v>
      </c>
      <c r="B1766" s="1" t="s">
        <v>24</v>
      </c>
    </row>
    <row r="1767" spans="1:2" x14ac:dyDescent="0.35">
      <c r="A1767" s="2">
        <v>45968</v>
      </c>
      <c r="B1767" s="1" t="s">
        <v>24</v>
      </c>
    </row>
    <row r="1768" spans="1:2" x14ac:dyDescent="0.35">
      <c r="A1768" s="2">
        <v>45968</v>
      </c>
      <c r="B1768" s="1" t="s">
        <v>24</v>
      </c>
    </row>
    <row r="1769" spans="1:2" x14ac:dyDescent="0.35">
      <c r="A1769" s="2">
        <v>45968</v>
      </c>
      <c r="B1769" s="1" t="s">
        <v>24</v>
      </c>
    </row>
    <row r="1770" spans="1:2" x14ac:dyDescent="0.35">
      <c r="A1770" s="2">
        <v>45968</v>
      </c>
      <c r="B1770" s="1" t="s">
        <v>9</v>
      </c>
    </row>
    <row r="1771" spans="1:2" x14ac:dyDescent="0.35">
      <c r="A1771" s="2">
        <v>45968</v>
      </c>
      <c r="B1771" s="1" t="s">
        <v>24</v>
      </c>
    </row>
    <row r="1772" spans="1:2" x14ac:dyDescent="0.35">
      <c r="A1772" s="2">
        <v>45968</v>
      </c>
      <c r="B1772" s="1" t="s">
        <v>68</v>
      </c>
    </row>
    <row r="1773" spans="1:2" x14ac:dyDescent="0.35">
      <c r="A1773" s="2">
        <v>45968</v>
      </c>
      <c r="B1773" s="1" t="s">
        <v>68</v>
      </c>
    </row>
    <row r="1774" spans="1:2" x14ac:dyDescent="0.35">
      <c r="A1774" s="2">
        <v>45968</v>
      </c>
      <c r="B1774" s="1" t="s">
        <v>68</v>
      </c>
    </row>
    <row r="1775" spans="1:2" x14ac:dyDescent="0.35">
      <c r="A1775" s="2">
        <v>45971</v>
      </c>
      <c r="B1775" s="1" t="s">
        <v>22</v>
      </c>
    </row>
    <row r="1776" spans="1:2" x14ac:dyDescent="0.35">
      <c r="A1776" s="2">
        <v>45971</v>
      </c>
      <c r="B1776" s="1" t="s">
        <v>22</v>
      </c>
    </row>
    <row r="1777" spans="1:2" x14ac:dyDescent="0.35">
      <c r="A1777" s="2">
        <v>45971</v>
      </c>
      <c r="B1777" s="1" t="s">
        <v>22</v>
      </c>
    </row>
    <row r="1778" spans="1:2" x14ac:dyDescent="0.35">
      <c r="A1778" s="2">
        <v>45971</v>
      </c>
      <c r="B1778" s="1" t="s">
        <v>22</v>
      </c>
    </row>
    <row r="1779" spans="1:2" x14ac:dyDescent="0.35">
      <c r="A1779" s="2">
        <v>45971</v>
      </c>
      <c r="B1779" s="1" t="s">
        <v>22</v>
      </c>
    </row>
    <row r="1780" spans="1:2" x14ac:dyDescent="0.35">
      <c r="A1780" s="2">
        <v>45971</v>
      </c>
      <c r="B1780" s="1" t="s">
        <v>24</v>
      </c>
    </row>
    <row r="1781" spans="1:2" x14ac:dyDescent="0.35">
      <c r="A1781" s="2">
        <v>45971</v>
      </c>
      <c r="B1781" s="1" t="s">
        <v>9</v>
      </c>
    </row>
    <row r="1782" spans="1:2" x14ac:dyDescent="0.35">
      <c r="A1782" s="2">
        <v>45971</v>
      </c>
      <c r="B1782" s="1" t="s">
        <v>9</v>
      </c>
    </row>
    <row r="1783" spans="1:2" x14ac:dyDescent="0.35">
      <c r="A1783" s="2">
        <v>45971</v>
      </c>
      <c r="B1783" s="1" t="s">
        <v>9</v>
      </c>
    </row>
    <row r="1784" spans="1:2" x14ac:dyDescent="0.35">
      <c r="A1784" s="2">
        <v>45971</v>
      </c>
      <c r="B1784" s="1" t="s">
        <v>24</v>
      </c>
    </row>
    <row r="1785" spans="1:2" x14ac:dyDescent="0.35">
      <c r="A1785" s="2">
        <v>45971</v>
      </c>
      <c r="B1785" s="1" t="s">
        <v>9</v>
      </c>
    </row>
    <row r="1786" spans="1:2" x14ac:dyDescent="0.35">
      <c r="A1786" s="2">
        <v>45971</v>
      </c>
      <c r="B1786" s="1" t="s">
        <v>24</v>
      </c>
    </row>
    <row r="1787" spans="1:2" x14ac:dyDescent="0.35">
      <c r="A1787" s="2">
        <v>45971</v>
      </c>
      <c r="B1787" s="1" t="s">
        <v>9</v>
      </c>
    </row>
    <row r="1788" spans="1:2" x14ac:dyDescent="0.35">
      <c r="A1788" s="2">
        <v>45971</v>
      </c>
      <c r="B1788" s="1" t="s">
        <v>24</v>
      </c>
    </row>
    <row r="1789" spans="1:2" x14ac:dyDescent="0.35">
      <c r="A1789" s="2">
        <v>45971</v>
      </c>
      <c r="B1789" s="1" t="s">
        <v>5</v>
      </c>
    </row>
    <row r="1790" spans="1:2" x14ac:dyDescent="0.35">
      <c r="A1790" s="2">
        <v>45971</v>
      </c>
      <c r="B1790" s="1" t="s">
        <v>24</v>
      </c>
    </row>
    <row r="1791" spans="1:2" x14ac:dyDescent="0.35">
      <c r="A1791" s="2">
        <v>45971</v>
      </c>
      <c r="B1791" s="1" t="s">
        <v>24</v>
      </c>
    </row>
    <row r="1792" spans="1:2" x14ac:dyDescent="0.35">
      <c r="A1792" s="2">
        <v>45971</v>
      </c>
      <c r="B1792" s="1" t="s">
        <v>24</v>
      </c>
    </row>
    <row r="1793" spans="1:2" x14ac:dyDescent="0.35">
      <c r="A1793" s="2">
        <v>45971</v>
      </c>
      <c r="B1793" s="1" t="s">
        <v>33</v>
      </c>
    </row>
    <row r="1794" spans="1:2" x14ac:dyDescent="0.35">
      <c r="A1794" s="2">
        <v>45971</v>
      </c>
      <c r="B1794" s="1" t="s">
        <v>24</v>
      </c>
    </row>
    <row r="1795" spans="1:2" x14ac:dyDescent="0.35">
      <c r="A1795" s="2">
        <v>45971</v>
      </c>
      <c r="B1795" s="1" t="s">
        <v>24</v>
      </c>
    </row>
    <row r="1796" spans="1:2" x14ac:dyDescent="0.35">
      <c r="A1796" s="2">
        <v>45971</v>
      </c>
      <c r="B1796" s="1" t="s">
        <v>24</v>
      </c>
    </row>
    <row r="1797" spans="1:2" x14ac:dyDescent="0.35">
      <c r="A1797" s="2">
        <v>45971</v>
      </c>
      <c r="B1797" s="1" t="s">
        <v>9</v>
      </c>
    </row>
    <row r="1798" spans="1:2" x14ac:dyDescent="0.35">
      <c r="A1798" s="2">
        <v>45971</v>
      </c>
      <c r="B1798" s="1" t="s">
        <v>33</v>
      </c>
    </row>
    <row r="1799" spans="1:2" x14ac:dyDescent="0.35">
      <c r="A1799" s="2">
        <v>45971</v>
      </c>
      <c r="B1799" s="1" t="s">
        <v>24</v>
      </c>
    </row>
    <row r="1800" spans="1:2" x14ac:dyDescent="0.35">
      <c r="A1800" s="2">
        <v>45971</v>
      </c>
      <c r="B1800" s="1" t="s">
        <v>9</v>
      </c>
    </row>
    <row r="1801" spans="1:2" x14ac:dyDescent="0.35">
      <c r="A1801" s="2">
        <v>45971</v>
      </c>
      <c r="B1801" s="1" t="s">
        <v>5</v>
      </c>
    </row>
    <row r="1802" spans="1:2" x14ac:dyDescent="0.35">
      <c r="A1802" s="2">
        <v>45971</v>
      </c>
      <c r="B1802" s="1" t="s">
        <v>9</v>
      </c>
    </row>
    <row r="1803" spans="1:2" x14ac:dyDescent="0.35">
      <c r="A1803" s="2">
        <v>45971</v>
      </c>
      <c r="B1803" s="1" t="s">
        <v>9</v>
      </c>
    </row>
    <row r="1804" spans="1:2" x14ac:dyDescent="0.35">
      <c r="A1804" s="2">
        <v>45971</v>
      </c>
      <c r="B1804" s="1" t="s">
        <v>33</v>
      </c>
    </row>
    <row r="1805" spans="1:2" x14ac:dyDescent="0.35">
      <c r="A1805" s="2">
        <v>45971</v>
      </c>
      <c r="B1805" s="1" t="s">
        <v>24</v>
      </c>
    </row>
    <row r="1806" spans="1:2" x14ac:dyDescent="0.35">
      <c r="A1806" s="2">
        <v>45971</v>
      </c>
      <c r="B1806" s="1" t="s">
        <v>22</v>
      </c>
    </row>
    <row r="1807" spans="1:2" x14ac:dyDescent="0.35">
      <c r="A1807" s="2">
        <v>45971</v>
      </c>
      <c r="B1807" s="1" t="s">
        <v>22</v>
      </c>
    </row>
    <row r="1808" spans="1:2" x14ac:dyDescent="0.35">
      <c r="A1808" s="2">
        <v>45971</v>
      </c>
      <c r="B1808" s="1" t="s">
        <v>22</v>
      </c>
    </row>
    <row r="1809" spans="1:2" x14ac:dyDescent="0.35">
      <c r="A1809" s="2">
        <v>45971</v>
      </c>
      <c r="B1809" s="1" t="s">
        <v>22</v>
      </c>
    </row>
    <row r="1810" spans="1:2" x14ac:dyDescent="0.35">
      <c r="A1810" s="2">
        <v>45971</v>
      </c>
      <c r="B1810" s="1" t="s">
        <v>22</v>
      </c>
    </row>
    <row r="1811" spans="1:2" x14ac:dyDescent="0.35">
      <c r="A1811" s="2">
        <v>45971</v>
      </c>
      <c r="B1811" s="1" t="s">
        <v>22</v>
      </c>
    </row>
    <row r="1812" spans="1:2" x14ac:dyDescent="0.35">
      <c r="A1812" s="2">
        <v>45971</v>
      </c>
      <c r="B1812" s="1" t="s">
        <v>34</v>
      </c>
    </row>
    <row r="1813" spans="1:2" x14ac:dyDescent="0.35">
      <c r="A1813" s="2">
        <v>45971</v>
      </c>
      <c r="B1813" s="1" t="s">
        <v>34</v>
      </c>
    </row>
    <row r="1814" spans="1:2" x14ac:dyDescent="0.35">
      <c r="A1814" s="2">
        <v>45971</v>
      </c>
      <c r="B1814" s="1" t="s">
        <v>34</v>
      </c>
    </row>
    <row r="1815" spans="1:2" x14ac:dyDescent="0.35">
      <c r="A1815" s="2">
        <v>45971</v>
      </c>
      <c r="B1815" s="1" t="s">
        <v>34</v>
      </c>
    </row>
    <row r="1816" spans="1:2" x14ac:dyDescent="0.35">
      <c r="A1816" s="2">
        <v>45971</v>
      </c>
      <c r="B1816" s="1" t="s">
        <v>34</v>
      </c>
    </row>
    <row r="1817" spans="1:2" x14ac:dyDescent="0.35">
      <c r="A1817" s="2">
        <v>45971</v>
      </c>
      <c r="B1817" s="1" t="s">
        <v>22</v>
      </c>
    </row>
    <row r="1818" spans="1:2" x14ac:dyDescent="0.35">
      <c r="A1818" s="2">
        <v>45971</v>
      </c>
      <c r="B1818" s="1" t="s">
        <v>22</v>
      </c>
    </row>
    <row r="1819" spans="1:2" x14ac:dyDescent="0.35">
      <c r="A1819" s="2">
        <v>45971</v>
      </c>
      <c r="B1819" s="1" t="s">
        <v>22</v>
      </c>
    </row>
    <row r="1820" spans="1:2" x14ac:dyDescent="0.35">
      <c r="A1820" s="2">
        <v>45971</v>
      </c>
      <c r="B1820" s="1" t="s">
        <v>22</v>
      </c>
    </row>
    <row r="1821" spans="1:2" x14ac:dyDescent="0.35">
      <c r="A1821" s="2">
        <v>45971</v>
      </c>
      <c r="B1821" s="1" t="s">
        <v>22</v>
      </c>
    </row>
    <row r="1822" spans="1:2" x14ac:dyDescent="0.35">
      <c r="A1822" s="2">
        <v>45971</v>
      </c>
      <c r="B1822" s="1" t="s">
        <v>34</v>
      </c>
    </row>
    <row r="1823" spans="1:2" x14ac:dyDescent="0.35">
      <c r="A1823" s="2">
        <v>45971</v>
      </c>
      <c r="B1823" s="1" t="s">
        <v>34</v>
      </c>
    </row>
    <row r="1824" spans="1:2" x14ac:dyDescent="0.35">
      <c r="A1824" s="2">
        <v>45971</v>
      </c>
      <c r="B1824" s="1" t="s">
        <v>34</v>
      </c>
    </row>
    <row r="1825" spans="1:2" x14ac:dyDescent="0.35">
      <c r="A1825" s="2">
        <v>45971</v>
      </c>
      <c r="B1825" s="1" t="s">
        <v>34</v>
      </c>
    </row>
    <row r="1826" spans="1:2" x14ac:dyDescent="0.35">
      <c r="A1826" s="2">
        <v>45971</v>
      </c>
      <c r="B1826" s="1" t="s">
        <v>68</v>
      </c>
    </row>
    <row r="1827" spans="1:2" x14ac:dyDescent="0.35">
      <c r="A1827" s="2">
        <v>45971</v>
      </c>
      <c r="B1827" s="1" t="s">
        <v>34</v>
      </c>
    </row>
    <row r="1828" spans="1:2" x14ac:dyDescent="0.35">
      <c r="A1828" s="2">
        <v>45971</v>
      </c>
      <c r="B1828" s="1" t="s">
        <v>34</v>
      </c>
    </row>
    <row r="1829" spans="1:2" x14ac:dyDescent="0.35">
      <c r="A1829" s="2">
        <v>45971</v>
      </c>
      <c r="B1829" s="1" t="s">
        <v>68</v>
      </c>
    </row>
    <row r="1830" spans="1:2" x14ac:dyDescent="0.35">
      <c r="A1830" s="2">
        <v>45971</v>
      </c>
      <c r="B1830" s="1" t="s">
        <v>68</v>
      </c>
    </row>
    <row r="1831" spans="1:2" x14ac:dyDescent="0.35">
      <c r="A1831" s="2">
        <v>45972</v>
      </c>
      <c r="B1831" s="1" t="s">
        <v>33</v>
      </c>
    </row>
    <row r="1832" spans="1:2" x14ac:dyDescent="0.35">
      <c r="A1832" s="2">
        <v>45972</v>
      </c>
      <c r="B1832" s="1" t="s">
        <v>33</v>
      </c>
    </row>
    <row r="1833" spans="1:2" x14ac:dyDescent="0.35">
      <c r="A1833" s="2">
        <v>45972</v>
      </c>
      <c r="B1833" s="1" t="s">
        <v>33</v>
      </c>
    </row>
    <row r="1834" spans="1:2" x14ac:dyDescent="0.35">
      <c r="A1834" s="2">
        <v>45972</v>
      </c>
      <c r="B1834" s="1" t="s">
        <v>33</v>
      </c>
    </row>
    <row r="1835" spans="1:2" x14ac:dyDescent="0.35">
      <c r="A1835" s="2">
        <v>45972</v>
      </c>
      <c r="B1835" s="1" t="s">
        <v>33</v>
      </c>
    </row>
    <row r="1836" spans="1:2" x14ac:dyDescent="0.35">
      <c r="A1836" s="2">
        <v>45972</v>
      </c>
      <c r="B1836" s="1" t="s">
        <v>33</v>
      </c>
    </row>
    <row r="1837" spans="1:2" x14ac:dyDescent="0.35">
      <c r="A1837" s="2">
        <v>45972</v>
      </c>
      <c r="B1837" s="1" t="s">
        <v>33</v>
      </c>
    </row>
    <row r="1838" spans="1:2" x14ac:dyDescent="0.35">
      <c r="A1838" s="2">
        <v>45972</v>
      </c>
      <c r="B1838" s="1" t="s">
        <v>24</v>
      </c>
    </row>
    <row r="1839" spans="1:2" x14ac:dyDescent="0.35">
      <c r="A1839" s="2">
        <v>45972</v>
      </c>
      <c r="B1839" s="1" t="s">
        <v>68</v>
      </c>
    </row>
    <row r="1840" spans="1:2" x14ac:dyDescent="0.35">
      <c r="A1840" s="2">
        <v>45972</v>
      </c>
      <c r="B1840" s="1" t="s">
        <v>68</v>
      </c>
    </row>
    <row r="1841" spans="1:2" x14ac:dyDescent="0.35">
      <c r="A1841" s="2">
        <v>45972</v>
      </c>
      <c r="B1841" s="1" t="s">
        <v>68</v>
      </c>
    </row>
    <row r="1842" spans="1:2" x14ac:dyDescent="0.35">
      <c r="A1842" s="2">
        <v>45972</v>
      </c>
      <c r="B1842" s="1" t="s">
        <v>68</v>
      </c>
    </row>
    <row r="1843" spans="1:2" x14ac:dyDescent="0.35">
      <c r="A1843" s="2">
        <v>45972</v>
      </c>
      <c r="B1843" s="1" t="s">
        <v>22</v>
      </c>
    </row>
    <row r="1844" spans="1:2" x14ac:dyDescent="0.35">
      <c r="A1844" s="2">
        <v>45972</v>
      </c>
      <c r="B1844" s="1" t="s">
        <v>22</v>
      </c>
    </row>
    <row r="1845" spans="1:2" x14ac:dyDescent="0.35">
      <c r="A1845" s="2">
        <v>45972</v>
      </c>
      <c r="B1845" s="1" t="s">
        <v>22</v>
      </c>
    </row>
    <row r="1846" spans="1:2" x14ac:dyDescent="0.35">
      <c r="A1846" s="2">
        <v>45972</v>
      </c>
      <c r="B1846" s="1" t="s">
        <v>22</v>
      </c>
    </row>
    <row r="1847" spans="1:2" x14ac:dyDescent="0.35">
      <c r="A1847" s="2">
        <v>45972</v>
      </c>
      <c r="B1847" s="1" t="s">
        <v>22</v>
      </c>
    </row>
    <row r="1848" spans="1:2" x14ac:dyDescent="0.35">
      <c r="A1848" s="2">
        <v>45972</v>
      </c>
      <c r="B1848" s="1" t="s">
        <v>22</v>
      </c>
    </row>
    <row r="1849" spans="1:2" x14ac:dyDescent="0.35">
      <c r="A1849" s="2">
        <v>45973</v>
      </c>
      <c r="B1849" s="1" t="s">
        <v>34</v>
      </c>
    </row>
    <row r="1850" spans="1:2" x14ac:dyDescent="0.35">
      <c r="A1850" s="2">
        <v>45973</v>
      </c>
      <c r="B1850" s="1" t="s">
        <v>34</v>
      </c>
    </row>
    <row r="1851" spans="1:2" x14ac:dyDescent="0.35">
      <c r="A1851" s="2">
        <v>45973</v>
      </c>
      <c r="B1851" s="1" t="s">
        <v>34</v>
      </c>
    </row>
    <row r="1852" spans="1:2" x14ac:dyDescent="0.35">
      <c r="A1852" s="2">
        <v>45973</v>
      </c>
      <c r="B1852" s="1" t="s">
        <v>34</v>
      </c>
    </row>
    <row r="1853" spans="1:2" x14ac:dyDescent="0.35">
      <c r="A1853" s="2">
        <v>45973</v>
      </c>
      <c r="B1853" s="1" t="s">
        <v>34</v>
      </c>
    </row>
    <row r="1854" spans="1:2" x14ac:dyDescent="0.35">
      <c r="A1854" s="2">
        <v>45973</v>
      </c>
      <c r="B1854" s="1" t="s">
        <v>34</v>
      </c>
    </row>
    <row r="1855" spans="1:2" x14ac:dyDescent="0.35">
      <c r="A1855" s="2">
        <v>45973</v>
      </c>
      <c r="B1855" s="1" t="s">
        <v>34</v>
      </c>
    </row>
    <row r="1856" spans="1:2" x14ac:dyDescent="0.35">
      <c r="A1856" s="2">
        <v>45973</v>
      </c>
      <c r="B1856" s="1" t="s">
        <v>34</v>
      </c>
    </row>
    <row r="1857" spans="1:2" x14ac:dyDescent="0.35">
      <c r="A1857" s="2">
        <v>45973</v>
      </c>
      <c r="B1857" s="1" t="s">
        <v>5</v>
      </c>
    </row>
    <row r="1858" spans="1:2" x14ac:dyDescent="0.35">
      <c r="A1858" s="2">
        <v>45973</v>
      </c>
      <c r="B1858" s="1" t="s">
        <v>5</v>
      </c>
    </row>
    <row r="1859" spans="1:2" x14ac:dyDescent="0.35">
      <c r="A1859" s="2">
        <v>45973</v>
      </c>
      <c r="B1859" s="1" t="s">
        <v>5</v>
      </c>
    </row>
    <row r="1860" spans="1:2" x14ac:dyDescent="0.35">
      <c r="A1860" s="2">
        <v>45973</v>
      </c>
      <c r="B1860" s="1" t="s">
        <v>5</v>
      </c>
    </row>
    <row r="1861" spans="1:2" x14ac:dyDescent="0.35">
      <c r="A1861" s="2">
        <v>45973</v>
      </c>
      <c r="B1861" s="1" t="s">
        <v>68</v>
      </c>
    </row>
    <row r="1862" spans="1:2" x14ac:dyDescent="0.35">
      <c r="A1862" s="2">
        <v>45973</v>
      </c>
      <c r="B1862" s="1" t="s">
        <v>68</v>
      </c>
    </row>
    <row r="1863" spans="1:2" x14ac:dyDescent="0.35">
      <c r="A1863" s="2">
        <v>45973</v>
      </c>
      <c r="B1863" s="1" t="s">
        <v>24</v>
      </c>
    </row>
    <row r="1864" spans="1:2" x14ac:dyDescent="0.35">
      <c r="A1864" s="2">
        <v>45973</v>
      </c>
      <c r="B1864" s="1" t="s">
        <v>24</v>
      </c>
    </row>
    <row r="1865" spans="1:2" x14ac:dyDescent="0.35">
      <c r="A1865" s="2">
        <v>45973</v>
      </c>
      <c r="B1865" s="1" t="s">
        <v>34</v>
      </c>
    </row>
    <row r="1866" spans="1:2" x14ac:dyDescent="0.35">
      <c r="A1866" s="2">
        <v>45973</v>
      </c>
      <c r="B1866" s="1" t="s">
        <v>28</v>
      </c>
    </row>
    <row r="1867" spans="1:2" x14ac:dyDescent="0.35">
      <c r="A1867" s="2">
        <v>45973</v>
      </c>
      <c r="B1867" s="1" t="s">
        <v>68</v>
      </c>
    </row>
    <row r="1868" spans="1:2" x14ac:dyDescent="0.35">
      <c r="A1868" s="2">
        <v>45973</v>
      </c>
      <c r="B1868" s="1" t="s">
        <v>68</v>
      </c>
    </row>
    <row r="1869" spans="1:2" x14ac:dyDescent="0.35">
      <c r="A1869" s="2">
        <v>45973</v>
      </c>
      <c r="B1869" s="1" t="s">
        <v>68</v>
      </c>
    </row>
    <row r="1870" spans="1:2" x14ac:dyDescent="0.35">
      <c r="A1870" s="2">
        <v>45973</v>
      </c>
      <c r="B1870" s="1" t="s">
        <v>68</v>
      </c>
    </row>
    <row r="1871" spans="1:2" x14ac:dyDescent="0.35">
      <c r="A1871" s="2">
        <v>45974</v>
      </c>
      <c r="B1871" s="1" t="s">
        <v>5</v>
      </c>
    </row>
    <row r="1872" spans="1:2" x14ac:dyDescent="0.35">
      <c r="A1872" s="2">
        <v>45974</v>
      </c>
      <c r="B1872" s="1" t="s">
        <v>24</v>
      </c>
    </row>
    <row r="1873" spans="1:2" x14ac:dyDescent="0.35">
      <c r="A1873" s="2">
        <v>45974</v>
      </c>
      <c r="B1873" s="1" t="s">
        <v>5</v>
      </c>
    </row>
    <row r="1874" spans="1:2" x14ac:dyDescent="0.35">
      <c r="A1874" s="2">
        <v>45974</v>
      </c>
      <c r="B1874" s="1" t="s">
        <v>9</v>
      </c>
    </row>
    <row r="1875" spans="1:2" x14ac:dyDescent="0.35">
      <c r="A1875" s="2">
        <v>45974</v>
      </c>
      <c r="B1875" s="1" t="s">
        <v>9</v>
      </c>
    </row>
    <row r="1876" spans="1:2" x14ac:dyDescent="0.35">
      <c r="A1876" s="2">
        <v>45974</v>
      </c>
      <c r="B1876" s="1" t="s">
        <v>9</v>
      </c>
    </row>
    <row r="1877" spans="1:2" x14ac:dyDescent="0.35">
      <c r="A1877" s="2">
        <v>45974</v>
      </c>
      <c r="B1877" s="1" t="s">
        <v>9</v>
      </c>
    </row>
    <row r="1878" spans="1:2" x14ac:dyDescent="0.35">
      <c r="A1878" s="2">
        <v>45974</v>
      </c>
      <c r="B1878" s="1" t="s">
        <v>24</v>
      </c>
    </row>
    <row r="1879" spans="1:2" x14ac:dyDescent="0.35">
      <c r="A1879" s="2">
        <v>45974</v>
      </c>
      <c r="B1879" s="1" t="s">
        <v>24</v>
      </c>
    </row>
    <row r="1880" spans="1:2" x14ac:dyDescent="0.35">
      <c r="A1880" s="2">
        <v>45974</v>
      </c>
      <c r="B1880" s="1" t="s">
        <v>24</v>
      </c>
    </row>
    <row r="1881" spans="1:2" x14ac:dyDescent="0.35">
      <c r="A1881" s="2">
        <v>45975</v>
      </c>
      <c r="B1881" s="1" t="s">
        <v>9</v>
      </c>
    </row>
    <row r="1882" spans="1:2" x14ac:dyDescent="0.35">
      <c r="A1882" s="2">
        <v>45975</v>
      </c>
      <c r="B1882" s="1" t="s">
        <v>9</v>
      </c>
    </row>
    <row r="1883" spans="1:2" x14ac:dyDescent="0.35">
      <c r="A1883" s="2">
        <v>45975</v>
      </c>
      <c r="B1883" s="1" t="s">
        <v>9</v>
      </c>
    </row>
    <row r="1884" spans="1:2" x14ac:dyDescent="0.35">
      <c r="A1884" s="2">
        <v>45975</v>
      </c>
      <c r="B1884" s="1" t="s">
        <v>9</v>
      </c>
    </row>
    <row r="1885" spans="1:2" x14ac:dyDescent="0.35">
      <c r="A1885" s="2">
        <v>45975</v>
      </c>
      <c r="B1885" s="1" t="s">
        <v>34</v>
      </c>
    </row>
    <row r="1886" spans="1:2" x14ac:dyDescent="0.35">
      <c r="A1886" s="2">
        <v>45975</v>
      </c>
      <c r="B1886" s="1" t="s">
        <v>34</v>
      </c>
    </row>
    <row r="1887" spans="1:2" x14ac:dyDescent="0.35">
      <c r="A1887" s="2">
        <v>45975</v>
      </c>
      <c r="B1887" s="1" t="s">
        <v>34</v>
      </c>
    </row>
    <row r="1888" spans="1:2" x14ac:dyDescent="0.35">
      <c r="A1888" s="2">
        <v>45975</v>
      </c>
      <c r="B1888" s="1" t="s">
        <v>34</v>
      </c>
    </row>
    <row r="1889" spans="1:2" x14ac:dyDescent="0.35">
      <c r="A1889" s="2">
        <v>45975</v>
      </c>
      <c r="B1889" s="1" t="s">
        <v>9</v>
      </c>
    </row>
    <row r="1890" spans="1:2" x14ac:dyDescent="0.35">
      <c r="A1890" s="2">
        <v>45975</v>
      </c>
      <c r="B1890" s="1" t="s">
        <v>34</v>
      </c>
    </row>
    <row r="1891" spans="1:2" x14ac:dyDescent="0.35">
      <c r="A1891" s="2">
        <v>45975</v>
      </c>
      <c r="B1891" s="1" t="s">
        <v>34</v>
      </c>
    </row>
    <row r="1892" spans="1:2" x14ac:dyDescent="0.35">
      <c r="A1892" s="2">
        <v>45975</v>
      </c>
      <c r="B1892" s="1" t="s">
        <v>34</v>
      </c>
    </row>
    <row r="1893" spans="1:2" x14ac:dyDescent="0.35">
      <c r="A1893" s="2">
        <v>45975</v>
      </c>
      <c r="B1893" s="1" t="s">
        <v>34</v>
      </c>
    </row>
    <row r="1894" spans="1:2" x14ac:dyDescent="0.35">
      <c r="A1894" s="2">
        <v>45975</v>
      </c>
      <c r="B1894" s="1" t="s">
        <v>34</v>
      </c>
    </row>
    <row r="1895" spans="1:2" x14ac:dyDescent="0.35">
      <c r="A1895" s="2">
        <v>45975</v>
      </c>
      <c r="B1895" s="1" t="s">
        <v>34</v>
      </c>
    </row>
    <row r="1896" spans="1:2" x14ac:dyDescent="0.35">
      <c r="A1896" s="2">
        <v>45975</v>
      </c>
      <c r="B1896" s="1" t="s">
        <v>68</v>
      </c>
    </row>
    <row r="1897" spans="1:2" x14ac:dyDescent="0.35">
      <c r="A1897" s="2">
        <v>45975</v>
      </c>
      <c r="B1897" s="1" t="s">
        <v>68</v>
      </c>
    </row>
    <row r="1898" spans="1:2" x14ac:dyDescent="0.35">
      <c r="A1898" s="2">
        <v>45975</v>
      </c>
      <c r="B1898" s="1" t="s">
        <v>68</v>
      </c>
    </row>
    <row r="1899" spans="1:2" x14ac:dyDescent="0.35">
      <c r="A1899" s="2">
        <v>45975</v>
      </c>
      <c r="B1899" s="1" t="s">
        <v>68</v>
      </c>
    </row>
    <row r="1900" spans="1:2" x14ac:dyDescent="0.35">
      <c r="A1900" s="2">
        <v>45975</v>
      </c>
      <c r="B1900" s="1" t="s">
        <v>68</v>
      </c>
    </row>
    <row r="1901" spans="1:2" x14ac:dyDescent="0.35">
      <c r="A1901" s="2">
        <v>45975</v>
      </c>
      <c r="B1901" s="1" t="s">
        <v>68</v>
      </c>
    </row>
    <row r="1902" spans="1:2" x14ac:dyDescent="0.35">
      <c r="A1902" s="2">
        <v>45975</v>
      </c>
      <c r="B1902" s="1" t="s">
        <v>68</v>
      </c>
    </row>
    <row r="1903" spans="1:2" x14ac:dyDescent="0.35">
      <c r="A1903" s="2">
        <v>45975</v>
      </c>
      <c r="B1903" s="1" t="s">
        <v>68</v>
      </c>
    </row>
    <row r="1904" spans="1:2" x14ac:dyDescent="0.35">
      <c r="A1904" s="2">
        <v>45975</v>
      </c>
      <c r="B1904" s="1" t="s">
        <v>68</v>
      </c>
    </row>
    <row r="1905" spans="1:2" x14ac:dyDescent="0.35">
      <c r="A1905" s="2">
        <v>45975</v>
      </c>
      <c r="B1905" s="1" t="s">
        <v>68</v>
      </c>
    </row>
    <row r="1906" spans="1:2" x14ac:dyDescent="0.35">
      <c r="A1906" s="2">
        <v>45975</v>
      </c>
      <c r="B1906" s="1" t="s">
        <v>68</v>
      </c>
    </row>
    <row r="1907" spans="1:2" x14ac:dyDescent="0.35">
      <c r="A1907" s="2">
        <v>45978</v>
      </c>
      <c r="B1907" s="1" t="s">
        <v>33</v>
      </c>
    </row>
    <row r="1908" spans="1:2" x14ac:dyDescent="0.35">
      <c r="A1908" s="2">
        <v>45978</v>
      </c>
      <c r="B1908" s="1" t="s">
        <v>24</v>
      </c>
    </row>
    <row r="1909" spans="1:2" x14ac:dyDescent="0.35">
      <c r="A1909" s="2">
        <v>45978</v>
      </c>
      <c r="B1909" s="1" t="s">
        <v>24</v>
      </c>
    </row>
    <row r="1910" spans="1:2" x14ac:dyDescent="0.35">
      <c r="A1910" s="2">
        <v>45978</v>
      </c>
      <c r="B1910" s="1" t="s">
        <v>24</v>
      </c>
    </row>
    <row r="1911" spans="1:2" x14ac:dyDescent="0.35">
      <c r="A1911" s="2">
        <v>45978</v>
      </c>
      <c r="B1911" s="1" t="s">
        <v>24</v>
      </c>
    </row>
    <row r="1912" spans="1:2" x14ac:dyDescent="0.35">
      <c r="A1912" s="2">
        <v>45978</v>
      </c>
      <c r="B1912" s="1" t="s">
        <v>9</v>
      </c>
    </row>
    <row r="1913" spans="1:2" x14ac:dyDescent="0.35">
      <c r="A1913" s="2">
        <v>45978</v>
      </c>
      <c r="B1913" s="1" t="s">
        <v>5</v>
      </c>
    </row>
    <row r="1914" spans="1:2" x14ac:dyDescent="0.35">
      <c r="A1914" s="2">
        <v>45978</v>
      </c>
      <c r="B1914" s="1" t="s">
        <v>24</v>
      </c>
    </row>
    <row r="1915" spans="1:2" x14ac:dyDescent="0.35">
      <c r="A1915" s="2">
        <v>45978</v>
      </c>
      <c r="B1915" s="1" t="s">
        <v>34</v>
      </c>
    </row>
    <row r="1916" spans="1:2" x14ac:dyDescent="0.35">
      <c r="A1916" s="2">
        <v>45978</v>
      </c>
      <c r="B1916" s="1" t="s">
        <v>34</v>
      </c>
    </row>
    <row r="1917" spans="1:2" x14ac:dyDescent="0.35">
      <c r="A1917" s="2">
        <v>45978</v>
      </c>
      <c r="B1917" s="1" t="s">
        <v>34</v>
      </c>
    </row>
    <row r="1918" spans="1:2" x14ac:dyDescent="0.35">
      <c r="A1918" s="2">
        <v>45978</v>
      </c>
      <c r="B1918" s="1" t="s">
        <v>24</v>
      </c>
    </row>
    <row r="1919" spans="1:2" x14ac:dyDescent="0.35">
      <c r="A1919" s="2">
        <v>45978</v>
      </c>
      <c r="B1919" s="1" t="s">
        <v>34</v>
      </c>
    </row>
    <row r="1920" spans="1:2" x14ac:dyDescent="0.35">
      <c r="A1920" s="2">
        <v>45978</v>
      </c>
      <c r="B1920" s="1" t="s">
        <v>34</v>
      </c>
    </row>
    <row r="1921" spans="1:2" x14ac:dyDescent="0.35">
      <c r="A1921" s="2">
        <v>45978</v>
      </c>
      <c r="B1921" s="1" t="s">
        <v>24</v>
      </c>
    </row>
    <row r="1922" spans="1:2" x14ac:dyDescent="0.35">
      <c r="A1922" s="2">
        <v>45978</v>
      </c>
      <c r="B1922" s="1" t="s">
        <v>24</v>
      </c>
    </row>
    <row r="1923" spans="1:2" x14ac:dyDescent="0.35">
      <c r="A1923" s="2">
        <v>45978</v>
      </c>
      <c r="B1923" s="1" t="s">
        <v>33</v>
      </c>
    </row>
    <row r="1924" spans="1:2" x14ac:dyDescent="0.35">
      <c r="A1924" s="2">
        <v>45978</v>
      </c>
      <c r="B1924" s="1" t="s">
        <v>33</v>
      </c>
    </row>
    <row r="1925" spans="1:2" x14ac:dyDescent="0.35">
      <c r="A1925" s="2">
        <v>45978</v>
      </c>
      <c r="B1925" s="1" t="s">
        <v>33</v>
      </c>
    </row>
    <row r="1926" spans="1:2" x14ac:dyDescent="0.35">
      <c r="A1926" s="2">
        <v>45978</v>
      </c>
      <c r="B1926" s="1" t="s">
        <v>9</v>
      </c>
    </row>
    <row r="1927" spans="1:2" x14ac:dyDescent="0.35">
      <c r="A1927" s="2">
        <v>45978</v>
      </c>
      <c r="B1927" s="1" t="s">
        <v>9</v>
      </c>
    </row>
    <row r="1928" spans="1:2" x14ac:dyDescent="0.35">
      <c r="A1928" s="2">
        <v>45978</v>
      </c>
      <c r="B1928" s="1" t="s">
        <v>33</v>
      </c>
    </row>
    <row r="1929" spans="1:2" x14ac:dyDescent="0.35">
      <c r="A1929" s="2">
        <v>45978</v>
      </c>
      <c r="B1929" s="1" t="s">
        <v>68</v>
      </c>
    </row>
    <row r="1930" spans="1:2" x14ac:dyDescent="0.35">
      <c r="A1930" s="2">
        <v>45978</v>
      </c>
      <c r="B1930" s="1" t="s">
        <v>68</v>
      </c>
    </row>
    <row r="1931" spans="1:2" x14ac:dyDescent="0.35">
      <c r="A1931" s="2">
        <v>45978</v>
      </c>
      <c r="B1931" s="1" t="s">
        <v>68</v>
      </c>
    </row>
    <row r="1932" spans="1:2" x14ac:dyDescent="0.35">
      <c r="A1932" s="2">
        <v>45978</v>
      </c>
      <c r="B1932" s="1" t="s">
        <v>68</v>
      </c>
    </row>
    <row r="1933" spans="1:2" x14ac:dyDescent="0.35">
      <c r="A1933" s="2">
        <v>45978</v>
      </c>
      <c r="B1933" s="1" t="s">
        <v>68</v>
      </c>
    </row>
    <row r="1934" spans="1:2" x14ac:dyDescent="0.35">
      <c r="A1934" s="2">
        <v>45978</v>
      </c>
      <c r="B1934" s="1" t="s">
        <v>68</v>
      </c>
    </row>
    <row r="1935" spans="1:2" x14ac:dyDescent="0.35">
      <c r="A1935" s="2">
        <v>45978</v>
      </c>
      <c r="B1935" s="1" t="s">
        <v>68</v>
      </c>
    </row>
    <row r="1936" spans="1:2" x14ac:dyDescent="0.35">
      <c r="A1936" s="2">
        <v>45978</v>
      </c>
      <c r="B1936" s="1" t="s">
        <v>68</v>
      </c>
    </row>
    <row r="1937" spans="1:2" x14ac:dyDescent="0.35">
      <c r="A1937" s="2">
        <v>45978</v>
      </c>
      <c r="B1937" s="1" t="s">
        <v>68</v>
      </c>
    </row>
    <row r="1938" spans="1:2" x14ac:dyDescent="0.35">
      <c r="A1938" s="2">
        <v>45978</v>
      </c>
      <c r="B1938" s="1" t="s">
        <v>68</v>
      </c>
    </row>
    <row r="1939" spans="1:2" x14ac:dyDescent="0.35">
      <c r="A1939" s="2">
        <v>45978</v>
      </c>
      <c r="B1939" s="1" t="s">
        <v>68</v>
      </c>
    </row>
    <row r="1940" spans="1:2" x14ac:dyDescent="0.35">
      <c r="A1940" s="2">
        <v>45978</v>
      </c>
      <c r="B1940" s="1" t="s">
        <v>68</v>
      </c>
    </row>
    <row r="1941" spans="1:2" x14ac:dyDescent="0.35">
      <c r="A1941" s="2">
        <v>45978</v>
      </c>
      <c r="B1941" s="1" t="s">
        <v>68</v>
      </c>
    </row>
    <row r="1942" spans="1:2" x14ac:dyDescent="0.35">
      <c r="A1942" s="2">
        <v>45978</v>
      </c>
      <c r="B1942" s="1" t="s">
        <v>68</v>
      </c>
    </row>
    <row r="1943" spans="1:2" x14ac:dyDescent="0.35">
      <c r="A1943" s="2">
        <v>45978</v>
      </c>
      <c r="B1943" s="1" t="s">
        <v>68</v>
      </c>
    </row>
    <row r="1944" spans="1:2" x14ac:dyDescent="0.35">
      <c r="A1944" s="2">
        <v>45978</v>
      </c>
      <c r="B1944" s="1" t="s">
        <v>68</v>
      </c>
    </row>
    <row r="1945" spans="1:2" x14ac:dyDescent="0.35">
      <c r="A1945" s="2">
        <v>45979</v>
      </c>
      <c r="B1945" s="1" t="s">
        <v>9</v>
      </c>
    </row>
    <row r="1946" spans="1:2" x14ac:dyDescent="0.35">
      <c r="A1946" s="2">
        <v>45982</v>
      </c>
      <c r="B1946" s="1" t="s">
        <v>68</v>
      </c>
    </row>
    <row r="1947" spans="1:2" x14ac:dyDescent="0.35">
      <c r="A1947" s="2">
        <v>45986</v>
      </c>
      <c r="B1947" s="1" t="s">
        <v>33</v>
      </c>
    </row>
    <row r="1948" spans="1:2" x14ac:dyDescent="0.35">
      <c r="A1948" s="2">
        <v>45995</v>
      </c>
      <c r="B1948" s="1" t="s">
        <v>33</v>
      </c>
    </row>
    <row r="1949" spans="1:2" x14ac:dyDescent="0.35">
      <c r="A1949" s="2">
        <v>45995</v>
      </c>
      <c r="B1949" s="1" t="s">
        <v>33</v>
      </c>
    </row>
    <row r="1950" spans="1:2" x14ac:dyDescent="0.35">
      <c r="A1950" s="2">
        <v>46028</v>
      </c>
      <c r="B1950" s="1" t="s">
        <v>9</v>
      </c>
    </row>
    <row r="1951" spans="1:2" x14ac:dyDescent="0.35">
      <c r="A1951" s="2">
        <v>46028</v>
      </c>
      <c r="B1951" s="1" t="s">
        <v>9</v>
      </c>
    </row>
    <row r="1952" spans="1:2" x14ac:dyDescent="0.35">
      <c r="A1952" s="2">
        <v>46035</v>
      </c>
      <c r="B1952" s="1" t="s">
        <v>9</v>
      </c>
    </row>
    <row r="1953" spans="1:2" x14ac:dyDescent="0.35">
      <c r="A1953" s="2">
        <v>46035</v>
      </c>
      <c r="B1953" s="1" t="s">
        <v>33</v>
      </c>
    </row>
    <row r="1954" spans="1:2" x14ac:dyDescent="0.35">
      <c r="A1954" s="2">
        <v>46055</v>
      </c>
      <c r="B1954" s="1" t="s">
        <v>34</v>
      </c>
    </row>
    <row r="1955" spans="1:2" x14ac:dyDescent="0.35">
      <c r="A1955" s="2">
        <v>46055</v>
      </c>
      <c r="B1955" s="1" t="s">
        <v>34</v>
      </c>
    </row>
    <row r="1956" spans="1:2" x14ac:dyDescent="0.35">
      <c r="A1956" s="2">
        <v>46055</v>
      </c>
      <c r="B1956" s="1" t="s">
        <v>34</v>
      </c>
    </row>
    <row r="1957" spans="1:2" x14ac:dyDescent="0.35">
      <c r="A1957" s="2">
        <v>46055</v>
      </c>
      <c r="B1957" s="1" t="s">
        <v>34</v>
      </c>
    </row>
    <row r="1958" spans="1:2" x14ac:dyDescent="0.35">
      <c r="A1958" s="2">
        <v>46055</v>
      </c>
      <c r="B1958" s="1" t="s">
        <v>5</v>
      </c>
    </row>
    <row r="1959" spans="1:2" x14ac:dyDescent="0.35">
      <c r="A1959" s="2">
        <v>46055</v>
      </c>
      <c r="B1959" s="1" t="s">
        <v>5</v>
      </c>
    </row>
    <row r="1960" spans="1:2" x14ac:dyDescent="0.35">
      <c r="A1960" s="2">
        <v>46055</v>
      </c>
      <c r="B1960" s="1" t="s">
        <v>33</v>
      </c>
    </row>
    <row r="1961" spans="1:2" x14ac:dyDescent="0.35">
      <c r="A1961" s="2">
        <v>46055</v>
      </c>
      <c r="B1961" s="1" t="s">
        <v>33</v>
      </c>
    </row>
    <row r="1962" spans="1:2" x14ac:dyDescent="0.35">
      <c r="A1962" s="2">
        <v>46055</v>
      </c>
      <c r="B1962" s="1" t="s">
        <v>33</v>
      </c>
    </row>
    <row r="1963" spans="1:2" x14ac:dyDescent="0.35">
      <c r="A1963" s="2">
        <v>46055</v>
      </c>
      <c r="B1963" s="1" t="s">
        <v>33</v>
      </c>
    </row>
    <row r="1964" spans="1:2" x14ac:dyDescent="0.35">
      <c r="A1964" s="2">
        <v>46055</v>
      </c>
      <c r="B1964" s="1" t="s">
        <v>33</v>
      </c>
    </row>
    <row r="1965" spans="1:2" x14ac:dyDescent="0.35">
      <c r="A1965" s="2">
        <v>46055</v>
      </c>
      <c r="B1965" s="1" t="s">
        <v>5</v>
      </c>
    </row>
    <row r="1966" spans="1:2" x14ac:dyDescent="0.35">
      <c r="A1966" s="2">
        <v>46055</v>
      </c>
      <c r="B1966" s="1" t="s">
        <v>5</v>
      </c>
    </row>
    <row r="1967" spans="1:2" x14ac:dyDescent="0.35">
      <c r="A1967" s="2">
        <v>46055</v>
      </c>
      <c r="B1967" s="1" t="s">
        <v>5</v>
      </c>
    </row>
    <row r="1968" spans="1:2" x14ac:dyDescent="0.35">
      <c r="A1968" s="2">
        <v>46055</v>
      </c>
      <c r="B1968" s="1" t="s">
        <v>32</v>
      </c>
    </row>
    <row r="1969" spans="1:2" x14ac:dyDescent="0.35">
      <c r="A1969" s="2">
        <v>46055</v>
      </c>
      <c r="B1969" s="1" t="s">
        <v>32</v>
      </c>
    </row>
    <row r="1970" spans="1:2" x14ac:dyDescent="0.35">
      <c r="A1970" s="2">
        <v>46056</v>
      </c>
      <c r="B1970" s="1" t="s">
        <v>33</v>
      </c>
    </row>
    <row r="1971" spans="1:2" x14ac:dyDescent="0.35">
      <c r="A1971" s="2">
        <v>46056</v>
      </c>
      <c r="B1971" s="1" t="s">
        <v>9</v>
      </c>
    </row>
    <row r="1972" spans="1:2" x14ac:dyDescent="0.35">
      <c r="A1972" s="2">
        <v>46056</v>
      </c>
      <c r="B1972" s="1" t="s">
        <v>9</v>
      </c>
    </row>
    <row r="1973" spans="1:2" x14ac:dyDescent="0.35">
      <c r="A1973" s="2">
        <v>46056</v>
      </c>
      <c r="B1973" s="1" t="s">
        <v>9</v>
      </c>
    </row>
    <row r="1974" spans="1:2" x14ac:dyDescent="0.35">
      <c r="A1974" s="2">
        <v>46056</v>
      </c>
      <c r="B1974" s="1" t="s">
        <v>9</v>
      </c>
    </row>
    <row r="1975" spans="1:2" x14ac:dyDescent="0.35">
      <c r="A1975" s="2">
        <v>46056</v>
      </c>
      <c r="B1975" s="1" t="s">
        <v>9</v>
      </c>
    </row>
    <row r="1976" spans="1:2" x14ac:dyDescent="0.35">
      <c r="A1976" s="2">
        <v>46056</v>
      </c>
      <c r="B1976" s="1" t="s">
        <v>9</v>
      </c>
    </row>
    <row r="1977" spans="1:2" x14ac:dyDescent="0.35">
      <c r="A1977" s="2">
        <v>46056</v>
      </c>
      <c r="B1977" s="1" t="s">
        <v>9</v>
      </c>
    </row>
    <row r="1978" spans="1:2" x14ac:dyDescent="0.35">
      <c r="A1978" s="2">
        <v>46056</v>
      </c>
      <c r="B1978" s="1" t="s">
        <v>9</v>
      </c>
    </row>
    <row r="1979" spans="1:2" x14ac:dyDescent="0.35">
      <c r="A1979" s="2">
        <v>46056</v>
      </c>
      <c r="B1979" s="1" t="s">
        <v>33</v>
      </c>
    </row>
    <row r="1980" spans="1:2" x14ac:dyDescent="0.35">
      <c r="A1980" s="2">
        <v>46056</v>
      </c>
      <c r="B1980" s="1" t="s">
        <v>33</v>
      </c>
    </row>
    <row r="1981" spans="1:2" x14ac:dyDescent="0.35">
      <c r="A1981" s="2">
        <v>46056</v>
      </c>
      <c r="B1981" s="1" t="s">
        <v>33</v>
      </c>
    </row>
    <row r="1982" spans="1:2" x14ac:dyDescent="0.35">
      <c r="A1982" s="2">
        <v>46056</v>
      </c>
      <c r="B1982" s="1" t="s">
        <v>33</v>
      </c>
    </row>
    <row r="1983" spans="1:2" x14ac:dyDescent="0.35">
      <c r="A1983" s="2">
        <v>46057</v>
      </c>
      <c r="B1983" s="1" t="s">
        <v>5</v>
      </c>
    </row>
    <row r="1984" spans="1:2" x14ac:dyDescent="0.35">
      <c r="A1984" s="2">
        <v>46057</v>
      </c>
      <c r="B1984" s="1" t="s">
        <v>5</v>
      </c>
    </row>
    <row r="1985" spans="1:2" x14ac:dyDescent="0.35">
      <c r="A1985" s="2">
        <v>46057</v>
      </c>
      <c r="B1985" s="1" t="s">
        <v>5</v>
      </c>
    </row>
    <row r="1986" spans="1:2" x14ac:dyDescent="0.35">
      <c r="A1986" s="2">
        <v>46057</v>
      </c>
      <c r="B1986" s="1" t="s">
        <v>5</v>
      </c>
    </row>
    <row r="1987" spans="1:2" x14ac:dyDescent="0.35">
      <c r="A1987" s="2">
        <v>46057</v>
      </c>
      <c r="B1987" s="1" t="s">
        <v>5</v>
      </c>
    </row>
    <row r="1988" spans="1:2" x14ac:dyDescent="0.35">
      <c r="A1988" s="2">
        <v>46057</v>
      </c>
      <c r="B1988" s="1" t="s">
        <v>5</v>
      </c>
    </row>
    <row r="1989" spans="1:2" x14ac:dyDescent="0.35">
      <c r="A1989" s="2">
        <v>46057</v>
      </c>
      <c r="B1989" s="1" t="s">
        <v>5</v>
      </c>
    </row>
    <row r="1990" spans="1:2" x14ac:dyDescent="0.35">
      <c r="A1990" s="2">
        <v>46057</v>
      </c>
      <c r="B1990" s="1" t="s">
        <v>5</v>
      </c>
    </row>
    <row r="1991" spans="1:2" x14ac:dyDescent="0.35">
      <c r="A1991" s="2">
        <v>46057</v>
      </c>
      <c r="B1991" s="1" t="s">
        <v>9</v>
      </c>
    </row>
    <row r="1992" spans="1:2" x14ac:dyDescent="0.35">
      <c r="A1992" s="2">
        <v>46057</v>
      </c>
      <c r="B1992" s="1" t="s">
        <v>9</v>
      </c>
    </row>
    <row r="1993" spans="1:2" x14ac:dyDescent="0.35">
      <c r="A1993" s="2">
        <v>46057</v>
      </c>
      <c r="B1993" s="1" t="s">
        <v>9</v>
      </c>
    </row>
    <row r="1994" spans="1:2" x14ac:dyDescent="0.35">
      <c r="A1994" s="2">
        <v>46057</v>
      </c>
      <c r="B1994" s="1" t="s">
        <v>9</v>
      </c>
    </row>
    <row r="1995" spans="1:2" x14ac:dyDescent="0.35">
      <c r="A1995" s="2">
        <v>46057</v>
      </c>
      <c r="B1995" s="1" t="s">
        <v>34</v>
      </c>
    </row>
    <row r="1996" spans="1:2" x14ac:dyDescent="0.35">
      <c r="A1996" s="2">
        <v>46057</v>
      </c>
      <c r="B1996" s="1" t="s">
        <v>34</v>
      </c>
    </row>
    <row r="1997" spans="1:2" x14ac:dyDescent="0.35">
      <c r="A1997" s="2">
        <v>46057</v>
      </c>
      <c r="B1997" s="1" t="s">
        <v>34</v>
      </c>
    </row>
    <row r="1998" spans="1:2" x14ac:dyDescent="0.35">
      <c r="A1998" s="2">
        <v>46057</v>
      </c>
      <c r="B1998" s="1" t="s">
        <v>34</v>
      </c>
    </row>
    <row r="1999" spans="1:2" x14ac:dyDescent="0.35">
      <c r="A1999" s="2">
        <v>46058</v>
      </c>
      <c r="B1999" s="1" t="s">
        <v>34</v>
      </c>
    </row>
    <row r="2000" spans="1:2" x14ac:dyDescent="0.35">
      <c r="A2000" s="2">
        <v>46058</v>
      </c>
      <c r="B2000" s="1" t="s">
        <v>34</v>
      </c>
    </row>
    <row r="2001" spans="1:2" x14ac:dyDescent="0.35">
      <c r="A2001" s="2">
        <v>46058</v>
      </c>
      <c r="B2001" s="1" t="s">
        <v>34</v>
      </c>
    </row>
    <row r="2002" spans="1:2" x14ac:dyDescent="0.35">
      <c r="A2002" s="2">
        <v>46058</v>
      </c>
      <c r="B2002" s="1" t="s">
        <v>34</v>
      </c>
    </row>
    <row r="2003" spans="1:2" x14ac:dyDescent="0.35">
      <c r="A2003" s="2">
        <v>46058</v>
      </c>
      <c r="B2003" s="1" t="s">
        <v>34</v>
      </c>
    </row>
    <row r="2004" spans="1:2" x14ac:dyDescent="0.35">
      <c r="A2004" s="2">
        <v>46058</v>
      </c>
      <c r="B2004" s="1" t="s">
        <v>9</v>
      </c>
    </row>
    <row r="2005" spans="1:2" x14ac:dyDescent="0.35">
      <c r="A2005" s="2">
        <v>46058</v>
      </c>
      <c r="B2005" s="1" t="s">
        <v>9</v>
      </c>
    </row>
    <row r="2006" spans="1:2" x14ac:dyDescent="0.35">
      <c r="A2006" s="2">
        <v>46058</v>
      </c>
      <c r="B2006" s="1" t="s">
        <v>9</v>
      </c>
    </row>
    <row r="2007" spans="1:2" x14ac:dyDescent="0.35">
      <c r="A2007" s="2">
        <v>46058</v>
      </c>
      <c r="B2007" s="1" t="s">
        <v>9</v>
      </c>
    </row>
    <row r="2008" spans="1:2" x14ac:dyDescent="0.35">
      <c r="A2008" s="2">
        <v>46062</v>
      </c>
      <c r="B2008" s="1" t="s">
        <v>5</v>
      </c>
    </row>
    <row r="2009" spans="1:2" x14ac:dyDescent="0.35">
      <c r="A2009" s="2">
        <v>46062</v>
      </c>
      <c r="B2009" s="1" t="s">
        <v>9</v>
      </c>
    </row>
    <row r="2010" spans="1:2" x14ac:dyDescent="0.35">
      <c r="A2010" s="2">
        <v>46062</v>
      </c>
      <c r="B2010" s="1" t="s">
        <v>5</v>
      </c>
    </row>
    <row r="2011" spans="1:2" x14ac:dyDescent="0.35">
      <c r="A2011" s="2">
        <v>46062</v>
      </c>
      <c r="B2011" s="1" t="s">
        <v>5</v>
      </c>
    </row>
    <row r="2012" spans="1:2" x14ac:dyDescent="0.35">
      <c r="A2012" s="2">
        <v>46062</v>
      </c>
      <c r="B2012" s="1" t="s">
        <v>5</v>
      </c>
    </row>
    <row r="2013" spans="1:2" x14ac:dyDescent="0.35">
      <c r="A2013" s="2">
        <v>46062</v>
      </c>
      <c r="B2013" s="1" t="s">
        <v>9</v>
      </c>
    </row>
    <row r="2014" spans="1:2" x14ac:dyDescent="0.35">
      <c r="A2014" s="2">
        <v>46062</v>
      </c>
      <c r="B2014" s="1" t="s">
        <v>9</v>
      </c>
    </row>
    <row r="2015" spans="1:2" x14ac:dyDescent="0.35">
      <c r="A2015" s="2">
        <v>46063</v>
      </c>
      <c r="B2015" s="1" t="s">
        <v>9</v>
      </c>
    </row>
    <row r="2016" spans="1:2" x14ac:dyDescent="0.35">
      <c r="A2016" s="2">
        <v>46064</v>
      </c>
      <c r="B2016" s="1" t="s">
        <v>5</v>
      </c>
    </row>
    <row r="2017" spans="1:2" x14ac:dyDescent="0.35">
      <c r="A2017" s="2">
        <v>46064</v>
      </c>
      <c r="B2017" s="1" t="s">
        <v>5</v>
      </c>
    </row>
    <row r="2018" spans="1:2" x14ac:dyDescent="0.35">
      <c r="A2018" s="2">
        <v>46065</v>
      </c>
      <c r="B2018" s="1" t="s">
        <v>9</v>
      </c>
    </row>
    <row r="2019" spans="1:2" x14ac:dyDescent="0.35">
      <c r="A2019" s="2">
        <v>46065</v>
      </c>
      <c r="B2019" s="1" t="s">
        <v>5</v>
      </c>
    </row>
    <row r="2020" spans="1:2" x14ac:dyDescent="0.35">
      <c r="A2020" s="2">
        <v>46065</v>
      </c>
      <c r="B2020" s="1" t="s">
        <v>5</v>
      </c>
    </row>
    <row r="2021" spans="1:2" x14ac:dyDescent="0.35">
      <c r="A2021" s="2">
        <v>46065</v>
      </c>
      <c r="B2021" s="1" t="s">
        <v>5</v>
      </c>
    </row>
    <row r="2022" spans="1:2" x14ac:dyDescent="0.35">
      <c r="A2022" s="2">
        <v>46065</v>
      </c>
      <c r="B2022" s="1" t="s">
        <v>9</v>
      </c>
    </row>
    <row r="2023" spans="1:2" x14ac:dyDescent="0.35">
      <c r="A2023" s="2">
        <v>46066</v>
      </c>
      <c r="B2023" s="1" t="s">
        <v>9</v>
      </c>
    </row>
    <row r="2024" spans="1:2" x14ac:dyDescent="0.35">
      <c r="A2024" s="2">
        <v>46066</v>
      </c>
      <c r="B2024" s="1" t="s">
        <v>34</v>
      </c>
    </row>
    <row r="2025" spans="1:2" x14ac:dyDescent="0.35">
      <c r="A2025" s="2">
        <v>46066</v>
      </c>
      <c r="B2025" s="1" t="s">
        <v>34</v>
      </c>
    </row>
    <row r="2026" spans="1:2" x14ac:dyDescent="0.35">
      <c r="A2026" s="2">
        <v>46066</v>
      </c>
      <c r="B2026" s="1" t="s">
        <v>34</v>
      </c>
    </row>
    <row r="2027" spans="1:2" x14ac:dyDescent="0.35">
      <c r="A2027" s="2">
        <v>46066</v>
      </c>
      <c r="B2027" s="1" t="s">
        <v>34</v>
      </c>
    </row>
    <row r="2028" spans="1:2" x14ac:dyDescent="0.35">
      <c r="A2028" s="2">
        <v>46066</v>
      </c>
      <c r="B2028" s="1" t="s">
        <v>34</v>
      </c>
    </row>
    <row r="2029" spans="1:2" x14ac:dyDescent="0.35">
      <c r="A2029" s="2">
        <v>46066</v>
      </c>
      <c r="B2029" s="1" t="s">
        <v>34</v>
      </c>
    </row>
    <row r="2030" spans="1:2" x14ac:dyDescent="0.35">
      <c r="A2030" s="2">
        <v>46066</v>
      </c>
      <c r="B2030" s="1" t="s">
        <v>34</v>
      </c>
    </row>
    <row r="2031" spans="1:2" x14ac:dyDescent="0.35">
      <c r="A2031" s="2">
        <v>46066</v>
      </c>
      <c r="B2031" s="1" t="s">
        <v>34</v>
      </c>
    </row>
    <row r="2032" spans="1:2" x14ac:dyDescent="0.35">
      <c r="A2032" s="2">
        <v>46066</v>
      </c>
      <c r="B2032" s="1" t="s">
        <v>34</v>
      </c>
    </row>
    <row r="2033" spans="1:2" x14ac:dyDescent="0.35">
      <c r="A2033" s="2">
        <v>46066</v>
      </c>
      <c r="B2033" s="1" t="s">
        <v>34</v>
      </c>
    </row>
    <row r="2034" spans="1:2" x14ac:dyDescent="0.35">
      <c r="A2034" s="2">
        <v>46066</v>
      </c>
      <c r="B2034" s="1" t="s">
        <v>34</v>
      </c>
    </row>
    <row r="2035" spans="1:2" x14ac:dyDescent="0.35">
      <c r="A2035" s="2">
        <v>46066</v>
      </c>
      <c r="B2035" s="1" t="s">
        <v>9</v>
      </c>
    </row>
    <row r="2036" spans="1:2" x14ac:dyDescent="0.35">
      <c r="A2036" s="2">
        <v>46066</v>
      </c>
      <c r="B2036" s="1" t="s">
        <v>9</v>
      </c>
    </row>
    <row r="2037" spans="1:2" x14ac:dyDescent="0.35">
      <c r="A2037" s="2">
        <v>46066</v>
      </c>
      <c r="B2037" s="1" t="s">
        <v>34</v>
      </c>
    </row>
    <row r="2038" spans="1:2" x14ac:dyDescent="0.35">
      <c r="A2038" s="2">
        <v>46069</v>
      </c>
      <c r="B2038" s="1" t="s">
        <v>9</v>
      </c>
    </row>
    <row r="2039" spans="1:2" x14ac:dyDescent="0.35">
      <c r="A2039" s="2">
        <v>46069</v>
      </c>
      <c r="B2039" s="1" t="s">
        <v>9</v>
      </c>
    </row>
    <row r="2040" spans="1:2" x14ac:dyDescent="0.35">
      <c r="A2040" s="2">
        <v>46069</v>
      </c>
      <c r="B2040" s="1" t="s">
        <v>9</v>
      </c>
    </row>
    <row r="2041" spans="1:2" x14ac:dyDescent="0.35">
      <c r="A2041" s="2">
        <v>46069</v>
      </c>
      <c r="B2041" s="1" t="s">
        <v>9</v>
      </c>
    </row>
    <row r="2042" spans="1:2" x14ac:dyDescent="0.35">
      <c r="A2042" s="2">
        <v>46069</v>
      </c>
      <c r="B2042" s="1" t="s">
        <v>9</v>
      </c>
    </row>
    <row r="2043" spans="1:2" x14ac:dyDescent="0.35">
      <c r="A2043" s="2">
        <v>46069</v>
      </c>
      <c r="B2043" s="1" t="s">
        <v>9</v>
      </c>
    </row>
    <row r="2044" spans="1:2" x14ac:dyDescent="0.35">
      <c r="A2044" s="2">
        <v>46069</v>
      </c>
      <c r="B2044" s="1" t="s">
        <v>9</v>
      </c>
    </row>
    <row r="2045" spans="1:2" x14ac:dyDescent="0.35">
      <c r="A2045" s="2">
        <v>46069</v>
      </c>
      <c r="B2045" s="1" t="s">
        <v>9</v>
      </c>
    </row>
    <row r="2046" spans="1:2" x14ac:dyDescent="0.35">
      <c r="A2046" s="2">
        <v>46072</v>
      </c>
      <c r="B2046" s="1" t="s">
        <v>9</v>
      </c>
    </row>
    <row r="2047" spans="1:2" x14ac:dyDescent="0.35">
      <c r="A2047" s="2">
        <v>46072</v>
      </c>
      <c r="B2047" s="1" t="s">
        <v>9</v>
      </c>
    </row>
    <row r="2048" spans="1:2" x14ac:dyDescent="0.35">
      <c r="A2048" s="2">
        <v>46072</v>
      </c>
      <c r="B2048" s="1" t="s">
        <v>9</v>
      </c>
    </row>
    <row r="2049" spans="1:2" x14ac:dyDescent="0.35">
      <c r="A2049" s="2">
        <v>46072</v>
      </c>
      <c r="B2049" s="1" t="s">
        <v>9</v>
      </c>
    </row>
    <row r="2050" spans="1:2" x14ac:dyDescent="0.35">
      <c r="A2050" s="2">
        <v>46073</v>
      </c>
      <c r="B2050" s="1" t="s">
        <v>9</v>
      </c>
    </row>
    <row r="2051" spans="1:2" x14ac:dyDescent="0.35">
      <c r="A2051" s="2">
        <v>46073</v>
      </c>
      <c r="B2051" s="1" t="s">
        <v>9</v>
      </c>
    </row>
    <row r="2052" spans="1:2" x14ac:dyDescent="0.35">
      <c r="A2052" s="2">
        <v>46073</v>
      </c>
      <c r="B2052" s="1" t="s">
        <v>9</v>
      </c>
    </row>
    <row r="2053" spans="1:2" x14ac:dyDescent="0.35">
      <c r="A2053" s="2">
        <v>46073</v>
      </c>
      <c r="B2053" s="1" t="s">
        <v>33</v>
      </c>
    </row>
    <row r="2054" spans="1:2" x14ac:dyDescent="0.35">
      <c r="A2054" s="2">
        <v>46073</v>
      </c>
      <c r="B2054" s="1" t="s">
        <v>33</v>
      </c>
    </row>
    <row r="2055" spans="1:2" x14ac:dyDescent="0.35">
      <c r="A2055" s="2">
        <v>46073</v>
      </c>
      <c r="B2055" s="1" t="s">
        <v>9</v>
      </c>
    </row>
    <row r="2056" spans="1:2" x14ac:dyDescent="0.35">
      <c r="A2056" s="2">
        <v>46073</v>
      </c>
      <c r="B2056" s="1" t="s">
        <v>9</v>
      </c>
    </row>
    <row r="2057" spans="1:2" x14ac:dyDescent="0.35">
      <c r="A2057" s="2">
        <v>46073</v>
      </c>
      <c r="B2057" s="1" t="s">
        <v>9</v>
      </c>
    </row>
    <row r="2058" spans="1:2" x14ac:dyDescent="0.35">
      <c r="A2058" s="2">
        <v>46073</v>
      </c>
      <c r="B2058" s="1" t="s">
        <v>9</v>
      </c>
    </row>
    <row r="2059" spans="1:2" x14ac:dyDescent="0.35">
      <c r="A2059" s="2">
        <v>46073</v>
      </c>
      <c r="B2059" s="1" t="s">
        <v>33</v>
      </c>
    </row>
    <row r="2060" spans="1:2" x14ac:dyDescent="0.35">
      <c r="A2060" s="2">
        <v>46073</v>
      </c>
      <c r="B2060" s="1" t="s">
        <v>34</v>
      </c>
    </row>
    <row r="2061" spans="1:2" x14ac:dyDescent="0.35">
      <c r="A2061" s="2">
        <v>46073</v>
      </c>
      <c r="B2061" s="1" t="s">
        <v>34</v>
      </c>
    </row>
    <row r="2062" spans="1:2" x14ac:dyDescent="0.35">
      <c r="A2062" s="2">
        <v>46073</v>
      </c>
      <c r="B2062" s="1" t="s">
        <v>34</v>
      </c>
    </row>
    <row r="2063" spans="1:2" x14ac:dyDescent="0.35">
      <c r="A2063" s="2">
        <v>46073</v>
      </c>
      <c r="B2063" s="1" t="s">
        <v>34</v>
      </c>
    </row>
    <row r="2064" spans="1:2" x14ac:dyDescent="0.35">
      <c r="A2064" s="2">
        <v>46076</v>
      </c>
      <c r="B2064" s="1" t="s">
        <v>9</v>
      </c>
    </row>
    <row r="2065" spans="1:2" x14ac:dyDescent="0.35">
      <c r="A2065" s="2">
        <v>46076</v>
      </c>
      <c r="B2065" s="1" t="s">
        <v>9</v>
      </c>
    </row>
    <row r="2066" spans="1:2" x14ac:dyDescent="0.35">
      <c r="A2066" s="2">
        <v>46076</v>
      </c>
      <c r="B2066" s="1" t="s">
        <v>22</v>
      </c>
    </row>
    <row r="2067" spans="1:2" x14ac:dyDescent="0.35">
      <c r="A2067" s="2">
        <v>46077</v>
      </c>
      <c r="B2067" s="1" t="s">
        <v>9</v>
      </c>
    </row>
    <row r="2068" spans="1:2" x14ac:dyDescent="0.35">
      <c r="A2068" s="2">
        <v>46077</v>
      </c>
      <c r="B2068" s="1" t="s">
        <v>9</v>
      </c>
    </row>
    <row r="2069" spans="1:2" x14ac:dyDescent="0.35">
      <c r="A2069" s="2">
        <v>46077</v>
      </c>
      <c r="B2069" s="1" t="s">
        <v>9</v>
      </c>
    </row>
    <row r="2070" spans="1:2" x14ac:dyDescent="0.35">
      <c r="A2070" s="2">
        <v>46077</v>
      </c>
      <c r="B2070" s="1" t="s">
        <v>34</v>
      </c>
    </row>
    <row r="2071" spans="1:2" x14ac:dyDescent="0.35">
      <c r="A2071" s="2">
        <v>46077</v>
      </c>
      <c r="B2071" s="1" t="s">
        <v>34</v>
      </c>
    </row>
    <row r="2072" spans="1:2" x14ac:dyDescent="0.35">
      <c r="A2072" s="2">
        <v>46077</v>
      </c>
      <c r="B2072" s="1" t="s">
        <v>34</v>
      </c>
    </row>
    <row r="2073" spans="1:2" x14ac:dyDescent="0.35">
      <c r="A2073" s="2">
        <v>46077</v>
      </c>
      <c r="B2073" s="1" t="s">
        <v>34</v>
      </c>
    </row>
    <row r="2074" spans="1:2" x14ac:dyDescent="0.35">
      <c r="A2074" s="2">
        <v>46077</v>
      </c>
      <c r="B2074" s="1" t="s">
        <v>34</v>
      </c>
    </row>
    <row r="2075" spans="1:2" x14ac:dyDescent="0.35">
      <c r="A2075" s="2">
        <v>46077</v>
      </c>
      <c r="B2075" s="1" t="s">
        <v>34</v>
      </c>
    </row>
    <row r="2076" spans="1:2" x14ac:dyDescent="0.35">
      <c r="A2076" s="2">
        <v>46077</v>
      </c>
      <c r="B2076" s="1" t="s">
        <v>34</v>
      </c>
    </row>
    <row r="2077" spans="1:2" x14ac:dyDescent="0.35">
      <c r="A2077" s="2">
        <v>46077</v>
      </c>
      <c r="B2077" s="1" t="s">
        <v>34</v>
      </c>
    </row>
    <row r="2078" spans="1:2" x14ac:dyDescent="0.35">
      <c r="A2078" s="2">
        <v>46077</v>
      </c>
      <c r="B2078" s="1" t="s">
        <v>34</v>
      </c>
    </row>
    <row r="2079" spans="1:2" x14ac:dyDescent="0.35">
      <c r="A2079" s="2">
        <v>46077</v>
      </c>
      <c r="B2079" s="1" t="s">
        <v>22</v>
      </c>
    </row>
    <row r="2080" spans="1:2" x14ac:dyDescent="0.35">
      <c r="A2080" s="2">
        <v>46077</v>
      </c>
      <c r="B2080" s="1" t="s">
        <v>22</v>
      </c>
    </row>
    <row r="2081" spans="1:2" x14ac:dyDescent="0.35">
      <c r="A2081" s="2">
        <v>46077</v>
      </c>
      <c r="B2081" s="1" t="s">
        <v>22</v>
      </c>
    </row>
    <row r="2082" spans="1:2" x14ac:dyDescent="0.35">
      <c r="A2082" s="2">
        <v>46077</v>
      </c>
      <c r="B2082" s="1" t="s">
        <v>22</v>
      </c>
    </row>
    <row r="2083" spans="1:2" x14ac:dyDescent="0.35">
      <c r="A2083" s="2">
        <v>46077</v>
      </c>
      <c r="B2083" s="1" t="s">
        <v>22</v>
      </c>
    </row>
    <row r="2084" spans="1:2" x14ac:dyDescent="0.35">
      <c r="A2084" s="2">
        <v>46077</v>
      </c>
      <c r="B2084" s="1" t="s">
        <v>22</v>
      </c>
    </row>
    <row r="2085" spans="1:2" x14ac:dyDescent="0.35">
      <c r="A2085" s="2">
        <v>46077</v>
      </c>
      <c r="B2085" s="1" t="s">
        <v>22</v>
      </c>
    </row>
    <row r="2086" spans="1:2" x14ac:dyDescent="0.35">
      <c r="A2086" s="2">
        <v>46077</v>
      </c>
      <c r="B2086" s="1" t="s">
        <v>22</v>
      </c>
    </row>
    <row r="2087" spans="1:2" x14ac:dyDescent="0.35">
      <c r="A2087" s="2">
        <v>46077</v>
      </c>
      <c r="B2087" s="1" t="s">
        <v>22</v>
      </c>
    </row>
    <row r="2088" spans="1:2" x14ac:dyDescent="0.35">
      <c r="A2088" s="2">
        <v>46077</v>
      </c>
      <c r="B2088" s="1" t="s">
        <v>22</v>
      </c>
    </row>
    <row r="2089" spans="1:2" x14ac:dyDescent="0.35">
      <c r="A2089" s="2">
        <v>46077</v>
      </c>
      <c r="B2089" s="1" t="s">
        <v>9</v>
      </c>
    </row>
    <row r="2090" spans="1:2" x14ac:dyDescent="0.35">
      <c r="A2090" s="2">
        <v>46083</v>
      </c>
      <c r="B2090" s="1" t="s">
        <v>33</v>
      </c>
    </row>
    <row r="2091" spans="1:2" x14ac:dyDescent="0.35">
      <c r="A2091" s="2">
        <v>46083</v>
      </c>
      <c r="B2091" s="1" t="s">
        <v>33</v>
      </c>
    </row>
    <row r="2092" spans="1:2" x14ac:dyDescent="0.35">
      <c r="A2092" s="2">
        <v>46083</v>
      </c>
      <c r="B2092" s="1" t="s">
        <v>33</v>
      </c>
    </row>
    <row r="2093" spans="1:2" x14ac:dyDescent="0.35">
      <c r="A2093" s="2">
        <v>46083</v>
      </c>
      <c r="B2093" s="1" t="s">
        <v>33</v>
      </c>
    </row>
    <row r="2094" spans="1:2" x14ac:dyDescent="0.35">
      <c r="A2094" s="2">
        <v>46083</v>
      </c>
      <c r="B2094" s="1" t="s">
        <v>33</v>
      </c>
    </row>
    <row r="2095" spans="1:2" x14ac:dyDescent="0.35">
      <c r="A2095" s="2">
        <v>46083</v>
      </c>
      <c r="B2095" s="1" t="s">
        <v>9</v>
      </c>
    </row>
    <row r="2096" spans="1:2" x14ac:dyDescent="0.35">
      <c r="A2096" s="2">
        <v>46083</v>
      </c>
      <c r="B2096" s="1" t="s">
        <v>9</v>
      </c>
    </row>
    <row r="2097" spans="1:2" x14ac:dyDescent="0.35">
      <c r="A2097" s="2">
        <v>46083</v>
      </c>
      <c r="B2097" s="1" t="s">
        <v>9</v>
      </c>
    </row>
    <row r="2098" spans="1:2" x14ac:dyDescent="0.35">
      <c r="A2098" s="2">
        <v>46083</v>
      </c>
      <c r="B2098" s="1" t="s">
        <v>9</v>
      </c>
    </row>
    <row r="2099" spans="1:2" x14ac:dyDescent="0.35">
      <c r="A2099" s="2">
        <v>46083</v>
      </c>
      <c r="B2099" s="1" t="s">
        <v>9</v>
      </c>
    </row>
    <row r="2100" spans="1:2" x14ac:dyDescent="0.35">
      <c r="A2100" s="2">
        <v>46083</v>
      </c>
      <c r="B2100" s="1" t="s">
        <v>9</v>
      </c>
    </row>
    <row r="2101" spans="1:2" x14ac:dyDescent="0.35">
      <c r="A2101" s="2">
        <v>46084</v>
      </c>
      <c r="B2101" s="1" t="s">
        <v>33</v>
      </c>
    </row>
    <row r="2102" spans="1:2" x14ac:dyDescent="0.35">
      <c r="A2102" s="2">
        <v>46084</v>
      </c>
      <c r="B2102" s="1" t="s">
        <v>33</v>
      </c>
    </row>
    <row r="2103" spans="1:2" x14ac:dyDescent="0.35">
      <c r="A2103" s="2">
        <v>46084</v>
      </c>
      <c r="B2103" s="1" t="s">
        <v>9</v>
      </c>
    </row>
    <row r="2104" spans="1:2" x14ac:dyDescent="0.35">
      <c r="A2104" s="2">
        <v>46084</v>
      </c>
      <c r="B2104" s="1" t="s">
        <v>9</v>
      </c>
    </row>
    <row r="2105" spans="1:2" x14ac:dyDescent="0.35">
      <c r="A2105" s="2">
        <v>46085</v>
      </c>
      <c r="B2105" s="1" t="s">
        <v>83</v>
      </c>
    </row>
    <row r="2106" spans="1:2" x14ac:dyDescent="0.35">
      <c r="A2106" s="2">
        <v>46086</v>
      </c>
      <c r="B2106" s="1" t="s">
        <v>24</v>
      </c>
    </row>
    <row r="2107" spans="1:2" x14ac:dyDescent="0.35">
      <c r="A2107" s="2">
        <v>46086</v>
      </c>
      <c r="B2107" s="1" t="s">
        <v>83</v>
      </c>
    </row>
    <row r="2108" spans="1:2" x14ac:dyDescent="0.35">
      <c r="A2108" s="2">
        <v>46086</v>
      </c>
      <c r="B2108" s="1" t="s">
        <v>83</v>
      </c>
    </row>
    <row r="2109" spans="1:2" x14ac:dyDescent="0.35">
      <c r="A2109" s="2">
        <v>46086</v>
      </c>
      <c r="B2109" s="1" t="s">
        <v>83</v>
      </c>
    </row>
    <row r="2110" spans="1:2" x14ac:dyDescent="0.35">
      <c r="A2110" s="2">
        <v>46086</v>
      </c>
      <c r="B2110" s="1" t="s">
        <v>83</v>
      </c>
    </row>
    <row r="2111" spans="1:2" x14ac:dyDescent="0.35">
      <c r="A2111" s="2">
        <v>46086</v>
      </c>
      <c r="B2111" s="1" t="s">
        <v>22</v>
      </c>
    </row>
    <row r="2112" spans="1:2" x14ac:dyDescent="0.35">
      <c r="A2112" s="2">
        <v>46086</v>
      </c>
      <c r="B2112" s="1" t="s">
        <v>22</v>
      </c>
    </row>
    <row r="2113" spans="1:2" x14ac:dyDescent="0.35">
      <c r="A2113" s="2">
        <v>46086</v>
      </c>
      <c r="B2113" s="1" t="s">
        <v>22</v>
      </c>
    </row>
    <row r="2114" spans="1:2" x14ac:dyDescent="0.35">
      <c r="A2114" s="2">
        <v>46086</v>
      </c>
      <c r="B2114" s="1" t="s">
        <v>22</v>
      </c>
    </row>
    <row r="2115" spans="1:2" x14ac:dyDescent="0.35">
      <c r="A2115" s="2">
        <v>46086</v>
      </c>
      <c r="B2115" s="1" t="s">
        <v>22</v>
      </c>
    </row>
    <row r="2116" spans="1:2" x14ac:dyDescent="0.35">
      <c r="A2116" s="2">
        <v>46086</v>
      </c>
      <c r="B2116" s="1" t="s">
        <v>22</v>
      </c>
    </row>
    <row r="2117" spans="1:2" x14ac:dyDescent="0.35">
      <c r="A2117" s="2">
        <v>46086</v>
      </c>
      <c r="B2117" s="1" t="s">
        <v>22</v>
      </c>
    </row>
    <row r="2118" spans="1:2" x14ac:dyDescent="0.35">
      <c r="A2118" s="2">
        <v>46086</v>
      </c>
      <c r="B2118" s="1" t="s">
        <v>9</v>
      </c>
    </row>
    <row r="2119" spans="1:2" x14ac:dyDescent="0.35">
      <c r="A2119" s="2">
        <v>46086</v>
      </c>
      <c r="B2119" s="1" t="s">
        <v>9</v>
      </c>
    </row>
    <row r="2120" spans="1:2" x14ac:dyDescent="0.35">
      <c r="A2120" s="2">
        <v>46086</v>
      </c>
      <c r="B2120" s="1" t="s">
        <v>9</v>
      </c>
    </row>
    <row r="2121" spans="1:2" x14ac:dyDescent="0.35">
      <c r="A2121" s="2">
        <v>46086</v>
      </c>
      <c r="B2121" s="1" t="s">
        <v>9</v>
      </c>
    </row>
    <row r="2122" spans="1:2" x14ac:dyDescent="0.35">
      <c r="A2122" s="2">
        <v>46086</v>
      </c>
      <c r="B2122" s="1" t="s">
        <v>9</v>
      </c>
    </row>
    <row r="2123" spans="1:2" x14ac:dyDescent="0.35">
      <c r="A2123" s="2">
        <v>46087</v>
      </c>
      <c r="B2123" s="1" t="s">
        <v>5</v>
      </c>
    </row>
    <row r="2124" spans="1:2" x14ac:dyDescent="0.35">
      <c r="A2124" s="2">
        <v>46087</v>
      </c>
      <c r="B2124" s="1" t="s">
        <v>28</v>
      </c>
    </row>
    <row r="2125" spans="1:2" x14ac:dyDescent="0.35">
      <c r="A2125" s="2">
        <v>46087</v>
      </c>
      <c r="B2125" s="1" t="s">
        <v>28</v>
      </c>
    </row>
    <row r="2126" spans="1:2" x14ac:dyDescent="0.35">
      <c r="A2126" s="2">
        <v>46087</v>
      </c>
      <c r="B2126" s="1" t="s">
        <v>28</v>
      </c>
    </row>
    <row r="2127" spans="1:2" x14ac:dyDescent="0.35">
      <c r="A2127" s="2">
        <v>46091</v>
      </c>
      <c r="B2127" s="1" t="s">
        <v>5</v>
      </c>
    </row>
    <row r="2128" spans="1:2" x14ac:dyDescent="0.35">
      <c r="A2128" s="2">
        <v>46091</v>
      </c>
      <c r="B2128" s="1" t="s">
        <v>5</v>
      </c>
    </row>
    <row r="2129" spans="1:2" x14ac:dyDescent="0.35">
      <c r="A2129" s="2">
        <v>46091</v>
      </c>
      <c r="B2129" s="1" t="s">
        <v>5</v>
      </c>
    </row>
    <row r="2130" spans="1:2" x14ac:dyDescent="0.35">
      <c r="A2130" s="2">
        <v>46091</v>
      </c>
      <c r="B2130" s="1" t="s">
        <v>5</v>
      </c>
    </row>
    <row r="2131" spans="1:2" x14ac:dyDescent="0.35">
      <c r="A2131" s="2">
        <v>46092</v>
      </c>
      <c r="B2131" s="1" t="s">
        <v>22</v>
      </c>
    </row>
    <row r="2132" spans="1:2" x14ac:dyDescent="0.35">
      <c r="A2132" s="2">
        <v>46092</v>
      </c>
      <c r="B2132" s="1" t="s">
        <v>22</v>
      </c>
    </row>
    <row r="2133" spans="1:2" x14ac:dyDescent="0.35">
      <c r="A2133" s="2">
        <v>46092</v>
      </c>
      <c r="B2133" s="1" t="s">
        <v>22</v>
      </c>
    </row>
    <row r="2134" spans="1:2" x14ac:dyDescent="0.35">
      <c r="A2134" s="2">
        <v>46092</v>
      </c>
      <c r="B2134" s="1" t="s">
        <v>22</v>
      </c>
    </row>
    <row r="2135" spans="1:2" x14ac:dyDescent="0.35">
      <c r="A2135" s="2">
        <v>46092</v>
      </c>
      <c r="B2135" s="1" t="s">
        <v>22</v>
      </c>
    </row>
    <row r="2136" spans="1:2" x14ac:dyDescent="0.35">
      <c r="A2136" s="2">
        <v>46092</v>
      </c>
      <c r="B2136" s="1" t="s">
        <v>22</v>
      </c>
    </row>
    <row r="2137" spans="1:2" x14ac:dyDescent="0.35">
      <c r="A2137" s="2">
        <v>46092</v>
      </c>
      <c r="B2137" s="1" t="s">
        <v>22</v>
      </c>
    </row>
    <row r="2138" spans="1:2" x14ac:dyDescent="0.35">
      <c r="A2138" s="2">
        <v>46092</v>
      </c>
      <c r="B2138" s="1" t="s">
        <v>33</v>
      </c>
    </row>
    <row r="2139" spans="1:2" x14ac:dyDescent="0.35">
      <c r="A2139" s="2">
        <v>46092</v>
      </c>
      <c r="B2139" s="1" t="s">
        <v>33</v>
      </c>
    </row>
    <row r="2140" spans="1:2" x14ac:dyDescent="0.35">
      <c r="A2140" s="2">
        <v>46092</v>
      </c>
      <c r="B2140" s="1" t="s">
        <v>33</v>
      </c>
    </row>
    <row r="2141" spans="1:2" x14ac:dyDescent="0.35">
      <c r="A2141" s="2">
        <v>46092</v>
      </c>
      <c r="B2141" s="1" t="s">
        <v>22</v>
      </c>
    </row>
    <row r="2142" spans="1:2" x14ac:dyDescent="0.35">
      <c r="A2142" s="2">
        <v>46092</v>
      </c>
      <c r="B2142" s="1" t="s">
        <v>22</v>
      </c>
    </row>
    <row r="2143" spans="1:2" x14ac:dyDescent="0.35">
      <c r="A2143" s="2">
        <v>46092</v>
      </c>
      <c r="B2143" s="1" t="s">
        <v>22</v>
      </c>
    </row>
    <row r="2144" spans="1:2" x14ac:dyDescent="0.35">
      <c r="A2144" s="2">
        <v>46092</v>
      </c>
      <c r="B2144" s="1" t="s">
        <v>22</v>
      </c>
    </row>
    <row r="2145" spans="1:2" x14ac:dyDescent="0.35">
      <c r="A2145" s="2">
        <v>46092</v>
      </c>
      <c r="B2145" s="1" t="s">
        <v>22</v>
      </c>
    </row>
    <row r="2146" spans="1:2" x14ac:dyDescent="0.35">
      <c r="A2146" s="2">
        <v>46092</v>
      </c>
      <c r="B2146" s="1" t="s">
        <v>22</v>
      </c>
    </row>
    <row r="2147" spans="1:2" x14ac:dyDescent="0.35">
      <c r="A2147" s="2">
        <v>46092</v>
      </c>
      <c r="B2147" s="1" t="s">
        <v>22</v>
      </c>
    </row>
    <row r="2148" spans="1:2" x14ac:dyDescent="0.35">
      <c r="A2148" s="2">
        <v>46092</v>
      </c>
      <c r="B2148" s="1" t="s">
        <v>22</v>
      </c>
    </row>
    <row r="2149" spans="1:2" x14ac:dyDescent="0.35">
      <c r="A2149" s="2">
        <v>46092</v>
      </c>
      <c r="B2149" s="1" t="s">
        <v>22</v>
      </c>
    </row>
    <row r="2150" spans="1:2" x14ac:dyDescent="0.35">
      <c r="A2150" s="2">
        <v>46092</v>
      </c>
      <c r="B2150" s="1" t="s">
        <v>22</v>
      </c>
    </row>
    <row r="2151" spans="1:2" x14ac:dyDescent="0.35">
      <c r="A2151" s="2">
        <v>46093</v>
      </c>
      <c r="B2151" s="1" t="s">
        <v>9</v>
      </c>
    </row>
    <row r="2152" spans="1:2" x14ac:dyDescent="0.35">
      <c r="A2152" s="2">
        <v>46093</v>
      </c>
      <c r="B2152" s="1" t="s">
        <v>9</v>
      </c>
    </row>
    <row r="2153" spans="1:2" x14ac:dyDescent="0.35">
      <c r="A2153" s="2">
        <v>46093</v>
      </c>
      <c r="B2153" s="1" t="s">
        <v>83</v>
      </c>
    </row>
    <row r="2154" spans="1:2" x14ac:dyDescent="0.35">
      <c r="A2154" s="2">
        <v>46093</v>
      </c>
      <c r="B2154" s="1" t="s">
        <v>5</v>
      </c>
    </row>
    <row r="2155" spans="1:2" x14ac:dyDescent="0.35">
      <c r="A2155" s="2">
        <v>46093</v>
      </c>
      <c r="B2155" s="1" t="s">
        <v>28</v>
      </c>
    </row>
    <row r="2156" spans="1:2" x14ac:dyDescent="0.35">
      <c r="A2156" s="2">
        <v>46093</v>
      </c>
      <c r="B2156" s="1" t="s">
        <v>24</v>
      </c>
    </row>
    <row r="2157" spans="1:2" x14ac:dyDescent="0.35">
      <c r="A2157" s="2">
        <v>46093</v>
      </c>
      <c r="B2157" s="1" t="s">
        <v>24</v>
      </c>
    </row>
    <row r="2158" spans="1:2" x14ac:dyDescent="0.35">
      <c r="A2158" s="2">
        <v>46093</v>
      </c>
      <c r="B2158" s="1" t="s">
        <v>24</v>
      </c>
    </row>
    <row r="2159" spans="1:2" x14ac:dyDescent="0.35">
      <c r="A2159" s="2">
        <v>46093</v>
      </c>
      <c r="B2159" s="1" t="s">
        <v>24</v>
      </c>
    </row>
    <row r="2160" spans="1:2" x14ac:dyDescent="0.35">
      <c r="A2160" s="2">
        <v>46093</v>
      </c>
      <c r="B2160" s="1" t="s">
        <v>24</v>
      </c>
    </row>
    <row r="2161" spans="1:2" x14ac:dyDescent="0.35">
      <c r="A2161" s="2">
        <v>46093</v>
      </c>
      <c r="B2161" s="1" t="s">
        <v>24</v>
      </c>
    </row>
    <row r="2162" spans="1:2" x14ac:dyDescent="0.35">
      <c r="A2162" s="2">
        <v>46093</v>
      </c>
      <c r="B2162" s="1" t="s">
        <v>24</v>
      </c>
    </row>
    <row r="2163" spans="1:2" x14ac:dyDescent="0.35">
      <c r="A2163" s="2">
        <v>46093</v>
      </c>
      <c r="B2163" s="1" t="s">
        <v>24</v>
      </c>
    </row>
    <row r="2164" spans="1:2" x14ac:dyDescent="0.35">
      <c r="A2164" s="2">
        <v>46093</v>
      </c>
      <c r="B2164" s="1" t="s">
        <v>24</v>
      </c>
    </row>
    <row r="2165" spans="1:2" x14ac:dyDescent="0.35">
      <c r="A2165" s="2">
        <v>46093</v>
      </c>
      <c r="B2165" s="1" t="s">
        <v>28</v>
      </c>
    </row>
    <row r="2166" spans="1:2" x14ac:dyDescent="0.35">
      <c r="A2166" s="2">
        <v>46093</v>
      </c>
      <c r="B2166" s="1" t="s">
        <v>24</v>
      </c>
    </row>
    <row r="2167" spans="1:2" x14ac:dyDescent="0.35">
      <c r="A2167" s="2">
        <v>46093</v>
      </c>
      <c r="B2167" s="1" t="s">
        <v>24</v>
      </c>
    </row>
    <row r="2168" spans="1:2" x14ac:dyDescent="0.35">
      <c r="A2168" s="2">
        <v>46093</v>
      </c>
      <c r="B2168" s="1" t="s">
        <v>24</v>
      </c>
    </row>
    <row r="2169" spans="1:2" x14ac:dyDescent="0.35">
      <c r="A2169" s="2">
        <v>46093</v>
      </c>
      <c r="B2169" s="1" t="s">
        <v>24</v>
      </c>
    </row>
    <row r="2170" spans="1:2" x14ac:dyDescent="0.35">
      <c r="A2170" s="2">
        <v>46093</v>
      </c>
      <c r="B2170" s="1" t="s">
        <v>24</v>
      </c>
    </row>
    <row r="2171" spans="1:2" x14ac:dyDescent="0.35">
      <c r="A2171" s="2">
        <v>46093</v>
      </c>
      <c r="B2171" s="1" t="s">
        <v>24</v>
      </c>
    </row>
    <row r="2172" spans="1:2" x14ac:dyDescent="0.35">
      <c r="A2172" s="2">
        <v>46093</v>
      </c>
      <c r="B2172" s="1" t="s">
        <v>24</v>
      </c>
    </row>
    <row r="2173" spans="1:2" x14ac:dyDescent="0.35">
      <c r="A2173" s="2">
        <v>46093</v>
      </c>
      <c r="B2173" s="1" t="s">
        <v>24</v>
      </c>
    </row>
    <row r="2174" spans="1:2" x14ac:dyDescent="0.35">
      <c r="A2174" s="2">
        <v>46093</v>
      </c>
      <c r="B2174" s="1" t="s">
        <v>24</v>
      </c>
    </row>
    <row r="2175" spans="1:2" x14ac:dyDescent="0.35">
      <c r="A2175" s="2">
        <v>46093</v>
      </c>
      <c r="B2175" s="1" t="s">
        <v>24</v>
      </c>
    </row>
    <row r="2176" spans="1:2" x14ac:dyDescent="0.35">
      <c r="A2176" s="2">
        <v>46093</v>
      </c>
      <c r="B2176" s="1" t="s">
        <v>24</v>
      </c>
    </row>
    <row r="2177" spans="1:2" x14ac:dyDescent="0.35">
      <c r="A2177" s="2">
        <v>46093</v>
      </c>
      <c r="B2177" s="1" t="s">
        <v>24</v>
      </c>
    </row>
    <row r="2178" spans="1:2" x14ac:dyDescent="0.35">
      <c r="A2178" s="2">
        <v>46093</v>
      </c>
      <c r="B2178" s="1" t="s">
        <v>33</v>
      </c>
    </row>
    <row r="2179" spans="1:2" x14ac:dyDescent="0.35">
      <c r="A2179" s="2">
        <v>46094</v>
      </c>
      <c r="B2179" s="1" t="s">
        <v>83</v>
      </c>
    </row>
    <row r="2180" spans="1:2" x14ac:dyDescent="0.35">
      <c r="A2180" s="2">
        <v>46094</v>
      </c>
      <c r="B2180" s="1" t="s">
        <v>33</v>
      </c>
    </row>
    <row r="2181" spans="1:2" x14ac:dyDescent="0.35">
      <c r="A2181" s="2">
        <v>46094</v>
      </c>
      <c r="B2181" s="1" t="s">
        <v>33</v>
      </c>
    </row>
    <row r="2182" spans="1:2" x14ac:dyDescent="0.35">
      <c r="A2182" s="2">
        <v>46094</v>
      </c>
      <c r="B2182" s="1" t="s">
        <v>33</v>
      </c>
    </row>
    <row r="2183" spans="1:2" x14ac:dyDescent="0.35">
      <c r="A2183" s="2">
        <v>46094</v>
      </c>
      <c r="B2183" s="1" t="s">
        <v>33</v>
      </c>
    </row>
    <row r="2184" spans="1:2" x14ac:dyDescent="0.35">
      <c r="A2184" s="2">
        <v>46094</v>
      </c>
      <c r="B2184" s="1" t="s">
        <v>33</v>
      </c>
    </row>
    <row r="2185" spans="1:2" x14ac:dyDescent="0.35">
      <c r="A2185" s="2">
        <v>46094</v>
      </c>
      <c r="B2185" s="1" t="s">
        <v>9</v>
      </c>
    </row>
    <row r="2186" spans="1:2" x14ac:dyDescent="0.35">
      <c r="A2186" s="2">
        <v>46094</v>
      </c>
      <c r="B2186" s="1" t="s">
        <v>9</v>
      </c>
    </row>
    <row r="2187" spans="1:2" x14ac:dyDescent="0.35">
      <c r="A2187" s="2">
        <v>46094</v>
      </c>
      <c r="B2187" s="1" t="s">
        <v>9</v>
      </c>
    </row>
    <row r="2188" spans="1:2" x14ac:dyDescent="0.35">
      <c r="A2188" s="2">
        <v>46094</v>
      </c>
      <c r="B2188" s="1" t="s">
        <v>5</v>
      </c>
    </row>
    <row r="2189" spans="1:2" x14ac:dyDescent="0.35">
      <c r="A2189" s="2">
        <v>46094</v>
      </c>
      <c r="B2189" s="1" t="s">
        <v>5</v>
      </c>
    </row>
    <row r="2190" spans="1:2" x14ac:dyDescent="0.35">
      <c r="A2190" s="2">
        <v>46094</v>
      </c>
      <c r="B2190" s="1" t="s">
        <v>9</v>
      </c>
    </row>
    <row r="2191" spans="1:2" x14ac:dyDescent="0.35">
      <c r="A2191" s="2">
        <v>46094</v>
      </c>
      <c r="B2191" s="1" t="s">
        <v>9</v>
      </c>
    </row>
    <row r="2192" spans="1:2" x14ac:dyDescent="0.35">
      <c r="A2192" s="2">
        <v>46097</v>
      </c>
      <c r="B2192" s="1" t="s">
        <v>83</v>
      </c>
    </row>
    <row r="2193" spans="1:2" x14ac:dyDescent="0.35">
      <c r="A2193" s="2">
        <v>46097</v>
      </c>
      <c r="B2193" s="1" t="s">
        <v>83</v>
      </c>
    </row>
    <row r="2194" spans="1:2" x14ac:dyDescent="0.35">
      <c r="A2194" s="2">
        <v>46097</v>
      </c>
      <c r="B2194" s="1" t="s">
        <v>5</v>
      </c>
    </row>
    <row r="2195" spans="1:2" x14ac:dyDescent="0.35">
      <c r="A2195" s="2">
        <v>46097</v>
      </c>
      <c r="B2195" s="1" t="s">
        <v>9</v>
      </c>
    </row>
    <row r="2196" spans="1:2" x14ac:dyDescent="0.35">
      <c r="A2196" s="2">
        <v>46097</v>
      </c>
      <c r="B2196" s="1" t="s">
        <v>9</v>
      </c>
    </row>
    <row r="2197" spans="1:2" x14ac:dyDescent="0.35">
      <c r="A2197" s="2">
        <v>46097</v>
      </c>
      <c r="B2197" s="1" t="s">
        <v>9</v>
      </c>
    </row>
    <row r="2198" spans="1:2" x14ac:dyDescent="0.35">
      <c r="A2198" s="2">
        <v>46097</v>
      </c>
      <c r="B2198" s="1" t="s">
        <v>9</v>
      </c>
    </row>
    <row r="2199" spans="1:2" x14ac:dyDescent="0.35">
      <c r="A2199" s="2">
        <v>46097</v>
      </c>
      <c r="B2199" s="1" t="s">
        <v>9</v>
      </c>
    </row>
    <row r="2200" spans="1:2" x14ac:dyDescent="0.35">
      <c r="A2200" s="2">
        <v>46098</v>
      </c>
      <c r="B2200" s="1" t="s">
        <v>83</v>
      </c>
    </row>
    <row r="2201" spans="1:2" x14ac:dyDescent="0.35">
      <c r="A2201" s="2">
        <v>46098</v>
      </c>
      <c r="B2201" s="1" t="s">
        <v>83</v>
      </c>
    </row>
    <row r="2202" spans="1:2" x14ac:dyDescent="0.35">
      <c r="A2202" s="2">
        <v>46098</v>
      </c>
      <c r="B2202" s="1" t="s">
        <v>83</v>
      </c>
    </row>
    <row r="2203" spans="1:2" x14ac:dyDescent="0.35">
      <c r="A2203" s="2">
        <v>46098</v>
      </c>
      <c r="B2203" s="1" t="s">
        <v>33</v>
      </c>
    </row>
    <row r="2204" spans="1:2" x14ac:dyDescent="0.35">
      <c r="A2204" s="2">
        <v>46098</v>
      </c>
      <c r="B2204" s="1" t="s">
        <v>33</v>
      </c>
    </row>
    <row r="2205" spans="1:2" x14ac:dyDescent="0.35">
      <c r="A2205" s="2">
        <v>46098</v>
      </c>
      <c r="B2205" s="1" t="s">
        <v>83</v>
      </c>
    </row>
    <row r="2206" spans="1:2" x14ac:dyDescent="0.35">
      <c r="A2206" s="2">
        <v>46098</v>
      </c>
      <c r="B2206" s="1" t="s">
        <v>83</v>
      </c>
    </row>
    <row r="2207" spans="1:2" x14ac:dyDescent="0.35">
      <c r="A2207" s="2">
        <v>46098</v>
      </c>
      <c r="B2207" s="1" t="s">
        <v>9</v>
      </c>
    </row>
    <row r="2208" spans="1:2" x14ac:dyDescent="0.35">
      <c r="A2208" s="2">
        <v>46098</v>
      </c>
      <c r="B2208" s="1" t="s">
        <v>33</v>
      </c>
    </row>
    <row r="2209" spans="1:2" x14ac:dyDescent="0.35">
      <c r="A2209" s="2">
        <v>46098</v>
      </c>
      <c r="B2209" s="1" t="s">
        <v>33</v>
      </c>
    </row>
    <row r="2210" spans="1:2" x14ac:dyDescent="0.35">
      <c r="A2210" s="2">
        <v>46098</v>
      </c>
      <c r="B2210" s="1" t="s">
        <v>33</v>
      </c>
    </row>
    <row r="2211" spans="1:2" x14ac:dyDescent="0.35">
      <c r="A2211" s="2">
        <v>46098</v>
      </c>
      <c r="B2211" s="1" t="s">
        <v>9</v>
      </c>
    </row>
    <row r="2212" spans="1:2" x14ac:dyDescent="0.35">
      <c r="A2212" s="2">
        <v>46098</v>
      </c>
      <c r="B2212" s="1" t="s">
        <v>22</v>
      </c>
    </row>
    <row r="2213" spans="1:2" x14ac:dyDescent="0.35">
      <c r="A2213" s="2">
        <v>46098</v>
      </c>
      <c r="B2213" s="1" t="s">
        <v>5</v>
      </c>
    </row>
    <row r="2214" spans="1:2" x14ac:dyDescent="0.35">
      <c r="A2214" s="2">
        <v>46098</v>
      </c>
      <c r="B2214" s="1" t="s">
        <v>22</v>
      </c>
    </row>
    <row r="2215" spans="1:2" x14ac:dyDescent="0.35">
      <c r="A2215" s="2">
        <v>46098</v>
      </c>
      <c r="B2215" s="1" t="s">
        <v>22</v>
      </c>
    </row>
    <row r="2216" spans="1:2" x14ac:dyDescent="0.35">
      <c r="A2216" s="2">
        <v>46098</v>
      </c>
      <c r="B2216" s="1" t="s">
        <v>22</v>
      </c>
    </row>
    <row r="2217" spans="1:2" x14ac:dyDescent="0.35">
      <c r="A2217" s="2">
        <v>46098</v>
      </c>
      <c r="B2217" s="1" t="s">
        <v>22</v>
      </c>
    </row>
    <row r="2218" spans="1:2" x14ac:dyDescent="0.35">
      <c r="A2218" s="2">
        <v>46098</v>
      </c>
      <c r="B2218" s="1" t="s">
        <v>22</v>
      </c>
    </row>
    <row r="2219" spans="1:2" x14ac:dyDescent="0.35">
      <c r="A2219" s="2">
        <v>46098</v>
      </c>
      <c r="B2219" s="1" t="s">
        <v>22</v>
      </c>
    </row>
    <row r="2220" spans="1:2" x14ac:dyDescent="0.35">
      <c r="A2220" s="2">
        <v>46098</v>
      </c>
      <c r="B2220" s="1" t="s">
        <v>22</v>
      </c>
    </row>
    <row r="2221" spans="1:2" x14ac:dyDescent="0.35">
      <c r="A2221" s="2">
        <v>46098</v>
      </c>
      <c r="B2221" s="1" t="s">
        <v>22</v>
      </c>
    </row>
    <row r="2222" spans="1:2" x14ac:dyDescent="0.35">
      <c r="A2222" s="2">
        <v>46098</v>
      </c>
      <c r="B2222" s="1" t="s">
        <v>22</v>
      </c>
    </row>
    <row r="2223" spans="1:2" x14ac:dyDescent="0.35">
      <c r="A2223" s="2">
        <v>46098</v>
      </c>
      <c r="B2223" s="1" t="s">
        <v>22</v>
      </c>
    </row>
    <row r="2224" spans="1:2" x14ac:dyDescent="0.35">
      <c r="A2224" s="2">
        <v>46098</v>
      </c>
      <c r="B2224" s="1" t="s">
        <v>22</v>
      </c>
    </row>
    <row r="2225" spans="1:2" x14ac:dyDescent="0.35">
      <c r="A2225" s="2">
        <v>46098</v>
      </c>
      <c r="B2225" s="1" t="s">
        <v>22</v>
      </c>
    </row>
    <row r="2226" spans="1:2" x14ac:dyDescent="0.35">
      <c r="A2226" s="2">
        <v>46098</v>
      </c>
      <c r="B2226" s="1" t="s">
        <v>5</v>
      </c>
    </row>
    <row r="2227" spans="1:2" x14ac:dyDescent="0.35">
      <c r="A2227" s="2">
        <v>46099</v>
      </c>
      <c r="B2227" s="1" t="s">
        <v>9</v>
      </c>
    </row>
    <row r="2228" spans="1:2" x14ac:dyDescent="0.35">
      <c r="A2228" s="2">
        <v>46099</v>
      </c>
      <c r="B2228" s="1" t="s">
        <v>28</v>
      </c>
    </row>
    <row r="2229" spans="1:2" x14ac:dyDescent="0.35">
      <c r="A2229" s="2">
        <v>46099</v>
      </c>
      <c r="B2229" s="1" t="s">
        <v>28</v>
      </c>
    </row>
    <row r="2230" spans="1:2" x14ac:dyDescent="0.35">
      <c r="A2230" s="2">
        <v>46099</v>
      </c>
      <c r="B2230" s="1" t="s">
        <v>22</v>
      </c>
    </row>
    <row r="2231" spans="1:2" x14ac:dyDescent="0.35">
      <c r="A2231" s="2">
        <v>46099</v>
      </c>
      <c r="B2231" s="1" t="s">
        <v>22</v>
      </c>
    </row>
    <row r="2232" spans="1:2" x14ac:dyDescent="0.35">
      <c r="A2232" s="2">
        <v>46099</v>
      </c>
      <c r="B2232" s="1" t="s">
        <v>28</v>
      </c>
    </row>
    <row r="2233" spans="1:2" x14ac:dyDescent="0.35">
      <c r="A2233" s="2">
        <v>46099</v>
      </c>
      <c r="B2233" s="1" t="s">
        <v>9</v>
      </c>
    </row>
    <row r="2234" spans="1:2" x14ac:dyDescent="0.35">
      <c r="A2234" s="2">
        <v>46099</v>
      </c>
      <c r="B2234" s="1" t="s">
        <v>28</v>
      </c>
    </row>
    <row r="2235" spans="1:2" x14ac:dyDescent="0.35">
      <c r="A2235" s="2">
        <v>46099</v>
      </c>
      <c r="B2235" s="1" t="s">
        <v>28</v>
      </c>
    </row>
    <row r="2236" spans="1:2" x14ac:dyDescent="0.35">
      <c r="A2236" s="2">
        <v>46099</v>
      </c>
      <c r="B2236" s="1" t="s">
        <v>28</v>
      </c>
    </row>
    <row r="2237" spans="1:2" x14ac:dyDescent="0.35">
      <c r="A2237" s="2">
        <v>46100</v>
      </c>
      <c r="B2237" s="1" t="s">
        <v>5</v>
      </c>
    </row>
    <row r="2238" spans="1:2" x14ac:dyDescent="0.35">
      <c r="A2238" s="2">
        <v>46101</v>
      </c>
      <c r="B2238" s="1" t="s">
        <v>83</v>
      </c>
    </row>
    <row r="2239" spans="1:2" x14ac:dyDescent="0.35">
      <c r="A2239" s="2">
        <v>46101</v>
      </c>
      <c r="B2239" s="1" t="s">
        <v>83</v>
      </c>
    </row>
    <row r="2240" spans="1:2" x14ac:dyDescent="0.35">
      <c r="A2240" s="2">
        <v>46101</v>
      </c>
      <c r="B2240" s="1" t="s">
        <v>83</v>
      </c>
    </row>
    <row r="2241" spans="1:2" x14ac:dyDescent="0.35">
      <c r="A2241" s="2">
        <v>46101</v>
      </c>
      <c r="B2241" s="1" t="s">
        <v>9</v>
      </c>
    </row>
    <row r="2242" spans="1:2" x14ac:dyDescent="0.35">
      <c r="A2242" s="2">
        <v>46101</v>
      </c>
      <c r="B2242" s="1" t="s">
        <v>22</v>
      </c>
    </row>
    <row r="2243" spans="1:2" x14ac:dyDescent="0.35">
      <c r="A2243" s="2">
        <v>46101</v>
      </c>
      <c r="B2243" s="1" t="s">
        <v>22</v>
      </c>
    </row>
    <row r="2244" spans="1:2" x14ac:dyDescent="0.35">
      <c r="A2244" s="2">
        <v>46101</v>
      </c>
      <c r="B2244" s="1" t="s">
        <v>83</v>
      </c>
    </row>
    <row r="2245" spans="1:2" x14ac:dyDescent="0.35">
      <c r="A2245" s="2">
        <v>46101</v>
      </c>
      <c r="B2245" s="1" t="s">
        <v>9</v>
      </c>
    </row>
    <row r="2246" spans="1:2" x14ac:dyDescent="0.35">
      <c r="A2246" s="2">
        <v>46101</v>
      </c>
      <c r="B2246" s="1" t="s">
        <v>9</v>
      </c>
    </row>
    <row r="2247" spans="1:2" x14ac:dyDescent="0.35">
      <c r="A2247" s="2">
        <v>46104</v>
      </c>
      <c r="B2247" s="1" t="s">
        <v>33</v>
      </c>
    </row>
    <row r="2248" spans="1:2" x14ac:dyDescent="0.35">
      <c r="A2248" s="2">
        <v>46104</v>
      </c>
      <c r="B2248" s="1" t="s">
        <v>33</v>
      </c>
    </row>
    <row r="2249" spans="1:2" x14ac:dyDescent="0.35">
      <c r="A2249" s="2">
        <v>46104</v>
      </c>
      <c r="B2249" s="1" t="s">
        <v>22</v>
      </c>
    </row>
    <row r="2250" spans="1:2" x14ac:dyDescent="0.35">
      <c r="A2250" s="2">
        <v>46104</v>
      </c>
      <c r="B2250" s="1" t="s">
        <v>22</v>
      </c>
    </row>
    <row r="2251" spans="1:2" x14ac:dyDescent="0.35">
      <c r="A2251" s="2">
        <v>46104</v>
      </c>
      <c r="B2251" s="1" t="s">
        <v>22</v>
      </c>
    </row>
    <row r="2252" spans="1:2" x14ac:dyDescent="0.35">
      <c r="A2252" s="2">
        <v>46104</v>
      </c>
      <c r="B2252" s="1" t="s">
        <v>22</v>
      </c>
    </row>
    <row r="2253" spans="1:2" x14ac:dyDescent="0.35">
      <c r="A2253" s="2">
        <v>46104</v>
      </c>
      <c r="B2253" s="1" t="s">
        <v>22</v>
      </c>
    </row>
    <row r="2254" spans="1:2" x14ac:dyDescent="0.35">
      <c r="A2254" s="2">
        <v>46104</v>
      </c>
      <c r="B2254" s="1" t="s">
        <v>22</v>
      </c>
    </row>
    <row r="2255" spans="1:2" x14ac:dyDescent="0.35">
      <c r="A2255" s="2">
        <v>46104</v>
      </c>
      <c r="B2255" s="1" t="s">
        <v>22</v>
      </c>
    </row>
    <row r="2256" spans="1:2" x14ac:dyDescent="0.35">
      <c r="A2256" s="2">
        <v>46104</v>
      </c>
      <c r="B2256" s="1" t="s">
        <v>22</v>
      </c>
    </row>
    <row r="2257" spans="1:2" x14ac:dyDescent="0.35">
      <c r="A2257" s="2">
        <v>46104</v>
      </c>
      <c r="B2257" s="1" t="s">
        <v>5</v>
      </c>
    </row>
    <row r="2258" spans="1:2" x14ac:dyDescent="0.35">
      <c r="A2258" s="2">
        <v>46104</v>
      </c>
      <c r="B2258" s="1" t="s">
        <v>22</v>
      </c>
    </row>
    <row r="2259" spans="1:2" x14ac:dyDescent="0.35">
      <c r="A2259" s="2">
        <v>46104</v>
      </c>
      <c r="B2259" s="1" t="s">
        <v>22</v>
      </c>
    </row>
    <row r="2260" spans="1:2" x14ac:dyDescent="0.35">
      <c r="A2260" s="2">
        <v>46104</v>
      </c>
      <c r="B2260" s="1" t="s">
        <v>5</v>
      </c>
    </row>
    <row r="2261" spans="1:2" x14ac:dyDescent="0.35">
      <c r="A2261" s="2">
        <v>46104</v>
      </c>
      <c r="B2261" s="1" t="s">
        <v>5</v>
      </c>
    </row>
    <row r="2262" spans="1:2" x14ac:dyDescent="0.35">
      <c r="A2262" s="2">
        <v>46105</v>
      </c>
      <c r="B2262" s="1" t="s">
        <v>33</v>
      </c>
    </row>
    <row r="2263" spans="1:2" x14ac:dyDescent="0.35">
      <c r="A2263" s="2">
        <v>46105</v>
      </c>
      <c r="B2263" s="1" t="s">
        <v>33</v>
      </c>
    </row>
    <row r="2264" spans="1:2" x14ac:dyDescent="0.35">
      <c r="A2264" s="2">
        <v>46105</v>
      </c>
      <c r="B2264" s="1" t="s">
        <v>33</v>
      </c>
    </row>
    <row r="2265" spans="1:2" x14ac:dyDescent="0.35">
      <c r="A2265" s="2">
        <v>46105</v>
      </c>
      <c r="B2265" s="1" t="s">
        <v>5</v>
      </c>
    </row>
    <row r="2266" spans="1:2" x14ac:dyDescent="0.35">
      <c r="A2266" s="2">
        <v>46105</v>
      </c>
      <c r="B2266" s="1" t="s">
        <v>22</v>
      </c>
    </row>
    <row r="2267" spans="1:2" x14ac:dyDescent="0.35">
      <c r="A2267" s="2">
        <v>46105</v>
      </c>
      <c r="B2267" s="1" t="s">
        <v>22</v>
      </c>
    </row>
    <row r="2268" spans="1:2" x14ac:dyDescent="0.35">
      <c r="A2268" s="2">
        <v>46105</v>
      </c>
      <c r="B2268" s="1" t="s">
        <v>22</v>
      </c>
    </row>
    <row r="2269" spans="1:2" x14ac:dyDescent="0.35">
      <c r="A2269" s="2">
        <v>46105</v>
      </c>
      <c r="B2269" s="1" t="s">
        <v>22</v>
      </c>
    </row>
    <row r="2270" spans="1:2" x14ac:dyDescent="0.35">
      <c r="A2270" s="2">
        <v>46105</v>
      </c>
      <c r="B2270" s="1" t="s">
        <v>22</v>
      </c>
    </row>
    <row r="2271" spans="1:2" x14ac:dyDescent="0.35">
      <c r="A2271" s="2">
        <v>46105</v>
      </c>
      <c r="B2271" s="1" t="s">
        <v>9</v>
      </c>
    </row>
    <row r="2272" spans="1:2" x14ac:dyDescent="0.35">
      <c r="A2272" s="2">
        <v>46105</v>
      </c>
      <c r="B2272" s="1" t="s">
        <v>28</v>
      </c>
    </row>
    <row r="2273" spans="1:2" x14ac:dyDescent="0.35">
      <c r="A2273" s="2">
        <v>46105</v>
      </c>
      <c r="B2273" s="1" t="s">
        <v>22</v>
      </c>
    </row>
    <row r="2274" spans="1:2" x14ac:dyDescent="0.35">
      <c r="A2274" s="2">
        <v>46106</v>
      </c>
      <c r="B2274" s="1" t="s">
        <v>83</v>
      </c>
    </row>
    <row r="2275" spans="1:2" x14ac:dyDescent="0.35">
      <c r="A2275" s="2">
        <v>46106</v>
      </c>
      <c r="B2275" s="1" t="s">
        <v>83</v>
      </c>
    </row>
    <row r="2276" spans="1:2" x14ac:dyDescent="0.35">
      <c r="A2276" s="2">
        <v>46106</v>
      </c>
      <c r="B2276" s="1" t="s">
        <v>22</v>
      </c>
    </row>
    <row r="2277" spans="1:2" x14ac:dyDescent="0.35">
      <c r="A2277" s="2">
        <v>46106</v>
      </c>
      <c r="B2277" s="1" t="s">
        <v>22</v>
      </c>
    </row>
    <row r="2278" spans="1:2" x14ac:dyDescent="0.35">
      <c r="A2278" s="2">
        <v>46106</v>
      </c>
      <c r="B2278" s="1" t="s">
        <v>22</v>
      </c>
    </row>
    <row r="2279" spans="1:2" x14ac:dyDescent="0.35">
      <c r="A2279" s="2">
        <v>46106</v>
      </c>
      <c r="B2279" s="1" t="s">
        <v>22</v>
      </c>
    </row>
    <row r="2280" spans="1:2" x14ac:dyDescent="0.35">
      <c r="A2280" s="2">
        <v>46106</v>
      </c>
      <c r="B2280" s="1" t="s">
        <v>22</v>
      </c>
    </row>
    <row r="2281" spans="1:2" x14ac:dyDescent="0.35">
      <c r="A2281" s="2">
        <v>46106</v>
      </c>
      <c r="B2281" s="1" t="s">
        <v>22</v>
      </c>
    </row>
    <row r="2282" spans="1:2" x14ac:dyDescent="0.35">
      <c r="A2282" s="2">
        <v>46106</v>
      </c>
      <c r="B2282" s="1" t="s">
        <v>22</v>
      </c>
    </row>
    <row r="2283" spans="1:2" x14ac:dyDescent="0.35">
      <c r="A2283" s="2">
        <v>46106</v>
      </c>
      <c r="B2283" s="1" t="s">
        <v>22</v>
      </c>
    </row>
    <row r="2284" spans="1:2" x14ac:dyDescent="0.35">
      <c r="A2284" s="2">
        <v>46106</v>
      </c>
      <c r="B2284" s="1" t="s">
        <v>5</v>
      </c>
    </row>
    <row r="2285" spans="1:2" x14ac:dyDescent="0.35">
      <c r="A2285" s="2">
        <v>46108</v>
      </c>
      <c r="B2285" s="1" t="s">
        <v>22</v>
      </c>
    </row>
    <row r="2286" spans="1:2" x14ac:dyDescent="0.35">
      <c r="A2286" s="2">
        <v>46111</v>
      </c>
      <c r="B2286" s="1" t="s">
        <v>83</v>
      </c>
    </row>
    <row r="2287" spans="1:2" x14ac:dyDescent="0.35">
      <c r="A2287" s="2">
        <v>46111</v>
      </c>
      <c r="B2287" s="1" t="s">
        <v>83</v>
      </c>
    </row>
    <row r="2288" spans="1:2" x14ac:dyDescent="0.35">
      <c r="A2288" s="2">
        <v>46111</v>
      </c>
      <c r="B2288" s="1" t="s">
        <v>22</v>
      </c>
    </row>
    <row r="2289" spans="1:2" x14ac:dyDescent="0.35">
      <c r="A2289" s="2">
        <v>46111</v>
      </c>
      <c r="B2289" s="1" t="s">
        <v>22</v>
      </c>
    </row>
    <row r="2290" spans="1:2" x14ac:dyDescent="0.35">
      <c r="A2290" s="2">
        <v>46111</v>
      </c>
      <c r="B2290" s="1" t="s">
        <v>28</v>
      </c>
    </row>
    <row r="2291" spans="1:2" x14ac:dyDescent="0.35">
      <c r="A2291" s="2">
        <v>46111</v>
      </c>
      <c r="B2291" s="1" t="s">
        <v>22</v>
      </c>
    </row>
    <row r="2292" spans="1:2" x14ac:dyDescent="0.35">
      <c r="A2292" s="2">
        <v>46111</v>
      </c>
      <c r="B2292" s="1" t="s">
        <v>22</v>
      </c>
    </row>
    <row r="2293" spans="1:2" x14ac:dyDescent="0.35">
      <c r="A2293" s="2">
        <v>46111</v>
      </c>
      <c r="B2293" s="1" t="s">
        <v>22</v>
      </c>
    </row>
    <row r="2294" spans="1:2" x14ac:dyDescent="0.35">
      <c r="A2294" s="2">
        <v>46111</v>
      </c>
      <c r="B2294" s="1" t="s">
        <v>22</v>
      </c>
    </row>
    <row r="2295" spans="1:2" x14ac:dyDescent="0.35">
      <c r="A2295" s="2">
        <v>46111</v>
      </c>
      <c r="B2295" s="1" t="s">
        <v>22</v>
      </c>
    </row>
    <row r="2296" spans="1:2" x14ac:dyDescent="0.35">
      <c r="A2296" s="2">
        <v>46111</v>
      </c>
      <c r="B2296" s="1" t="s">
        <v>9</v>
      </c>
    </row>
    <row r="2297" spans="1:2" x14ac:dyDescent="0.35">
      <c r="A2297" s="2">
        <v>46111</v>
      </c>
      <c r="B2297" s="1" t="s">
        <v>22</v>
      </c>
    </row>
    <row r="2298" spans="1:2" x14ac:dyDescent="0.35">
      <c r="A2298" s="2">
        <v>46111</v>
      </c>
      <c r="B2298" s="1" t="s">
        <v>22</v>
      </c>
    </row>
    <row r="2299" spans="1:2" x14ac:dyDescent="0.35">
      <c r="A2299" s="2">
        <v>46111</v>
      </c>
      <c r="B2299" s="1" t="s">
        <v>22</v>
      </c>
    </row>
    <row r="2300" spans="1:2" x14ac:dyDescent="0.35">
      <c r="A2300" s="2">
        <v>46111</v>
      </c>
      <c r="B2300" s="1" t="s">
        <v>22</v>
      </c>
    </row>
    <row r="2301" spans="1:2" x14ac:dyDescent="0.35">
      <c r="A2301" s="2">
        <v>46111</v>
      </c>
      <c r="B2301" s="1" t="s">
        <v>22</v>
      </c>
    </row>
    <row r="2302" spans="1:2" x14ac:dyDescent="0.35">
      <c r="A2302" s="2">
        <v>46111</v>
      </c>
      <c r="B2302" s="1" t="s">
        <v>28</v>
      </c>
    </row>
    <row r="2303" spans="1:2" x14ac:dyDescent="0.35">
      <c r="A2303" s="2">
        <v>46111</v>
      </c>
      <c r="B2303" s="1" t="s">
        <v>28</v>
      </c>
    </row>
    <row r="2304" spans="1:2" x14ac:dyDescent="0.35">
      <c r="A2304" s="2">
        <v>46111</v>
      </c>
      <c r="B2304" s="1" t="s">
        <v>9</v>
      </c>
    </row>
    <row r="2305" spans="1:2" x14ac:dyDescent="0.35">
      <c r="A2305" s="2">
        <v>46111</v>
      </c>
      <c r="B2305" s="1" t="s">
        <v>9</v>
      </c>
    </row>
    <row r="2306" spans="1:2" x14ac:dyDescent="0.35">
      <c r="A2306" s="2">
        <v>46112</v>
      </c>
      <c r="B2306" s="1" t="s">
        <v>9</v>
      </c>
    </row>
    <row r="2307" spans="1:2" x14ac:dyDescent="0.35">
      <c r="A2307" s="2">
        <v>46112</v>
      </c>
      <c r="B2307" s="1" t="s">
        <v>9</v>
      </c>
    </row>
    <row r="2308" spans="1:2" x14ac:dyDescent="0.35">
      <c r="A2308" s="2">
        <v>46112</v>
      </c>
      <c r="B2308" s="1" t="s">
        <v>28</v>
      </c>
    </row>
    <row r="2309" spans="1:2" x14ac:dyDescent="0.35">
      <c r="A2309" s="2">
        <v>46113</v>
      </c>
      <c r="B2309" s="1" t="s">
        <v>83</v>
      </c>
    </row>
    <row r="2310" spans="1:2" x14ac:dyDescent="0.35">
      <c r="A2310" s="2">
        <v>46113</v>
      </c>
      <c r="B2310" s="1" t="s">
        <v>28</v>
      </c>
    </row>
    <row r="2311" spans="1:2" x14ac:dyDescent="0.35">
      <c r="A2311" s="2">
        <v>46113</v>
      </c>
      <c r="B2311" s="1" t="s">
        <v>34</v>
      </c>
    </row>
    <row r="2312" spans="1:2" x14ac:dyDescent="0.35">
      <c r="A2312" s="2">
        <v>46113</v>
      </c>
      <c r="B2312" s="1" t="s">
        <v>83</v>
      </c>
    </row>
    <row r="2313" spans="1:2" x14ac:dyDescent="0.35">
      <c r="A2313" s="2">
        <v>46113</v>
      </c>
      <c r="B2313" s="1" t="s">
        <v>83</v>
      </c>
    </row>
    <row r="2314" spans="1:2" x14ac:dyDescent="0.35">
      <c r="A2314" s="2">
        <v>46113</v>
      </c>
      <c r="B2314" s="1" t="s">
        <v>83</v>
      </c>
    </row>
    <row r="2315" spans="1:2" x14ac:dyDescent="0.35">
      <c r="A2315" s="2">
        <v>46113</v>
      </c>
      <c r="B2315" s="1" t="s">
        <v>83</v>
      </c>
    </row>
    <row r="2316" spans="1:2" x14ac:dyDescent="0.35">
      <c r="A2316" s="2">
        <v>46113</v>
      </c>
      <c r="B2316" s="1" t="s">
        <v>28</v>
      </c>
    </row>
    <row r="2317" spans="1:2" x14ac:dyDescent="0.35">
      <c r="A2317" s="2">
        <v>46113</v>
      </c>
      <c r="B2317" s="1" t="s">
        <v>22</v>
      </c>
    </row>
    <row r="2318" spans="1:2" x14ac:dyDescent="0.35">
      <c r="A2318" s="2">
        <v>46113</v>
      </c>
      <c r="B2318" s="1" t="s">
        <v>22</v>
      </c>
    </row>
    <row r="2319" spans="1:2" x14ac:dyDescent="0.35">
      <c r="A2319" s="2">
        <v>46113</v>
      </c>
      <c r="B2319" s="1" t="s">
        <v>22</v>
      </c>
    </row>
    <row r="2320" spans="1:2" x14ac:dyDescent="0.35">
      <c r="A2320" s="2">
        <v>46113</v>
      </c>
      <c r="B2320" s="1" t="s">
        <v>22</v>
      </c>
    </row>
    <row r="2321" spans="1:2" x14ac:dyDescent="0.35">
      <c r="A2321" s="2">
        <v>46113</v>
      </c>
      <c r="B2321" s="1" t="s">
        <v>22</v>
      </c>
    </row>
    <row r="2322" spans="1:2" x14ac:dyDescent="0.35">
      <c r="A2322" s="2">
        <v>46118</v>
      </c>
      <c r="B2322" s="1" t="s">
        <v>83</v>
      </c>
    </row>
    <row r="2323" spans="1:2" x14ac:dyDescent="0.35">
      <c r="A2323" s="2">
        <v>46118</v>
      </c>
      <c r="B2323" s="1" t="s">
        <v>83</v>
      </c>
    </row>
    <row r="2324" spans="1:2" x14ac:dyDescent="0.35">
      <c r="A2324" s="2">
        <v>46118</v>
      </c>
      <c r="B2324" s="1" t="s">
        <v>5</v>
      </c>
    </row>
    <row r="2325" spans="1:2" x14ac:dyDescent="0.35">
      <c r="A2325" s="2">
        <v>46118</v>
      </c>
      <c r="B2325" s="1" t="s">
        <v>83</v>
      </c>
    </row>
    <row r="2326" spans="1:2" x14ac:dyDescent="0.35">
      <c r="A2326" s="2">
        <v>46119</v>
      </c>
      <c r="B2326" s="1" t="s">
        <v>83</v>
      </c>
    </row>
    <row r="2327" spans="1:2" x14ac:dyDescent="0.35">
      <c r="A2327" s="2">
        <v>46119</v>
      </c>
      <c r="B2327" s="1" t="s">
        <v>33</v>
      </c>
    </row>
    <row r="2328" spans="1:2" x14ac:dyDescent="0.35">
      <c r="A2328" s="2">
        <v>46119</v>
      </c>
      <c r="B2328" s="1" t="s">
        <v>33</v>
      </c>
    </row>
    <row r="2329" spans="1:2" x14ac:dyDescent="0.35">
      <c r="A2329" s="2">
        <v>46119</v>
      </c>
      <c r="B2329" s="1" t="s">
        <v>33</v>
      </c>
    </row>
    <row r="2330" spans="1:2" x14ac:dyDescent="0.35">
      <c r="A2330" s="2">
        <v>46119</v>
      </c>
      <c r="B2330" s="1" t="s">
        <v>5</v>
      </c>
    </row>
    <row r="2331" spans="1:2" x14ac:dyDescent="0.35">
      <c r="A2331" s="2">
        <v>46119</v>
      </c>
      <c r="B2331" s="1" t="s">
        <v>83</v>
      </c>
    </row>
    <row r="2332" spans="1:2" x14ac:dyDescent="0.35">
      <c r="A2332" s="2">
        <v>46119</v>
      </c>
      <c r="B2332" s="1" t="s">
        <v>5</v>
      </c>
    </row>
    <row r="2333" spans="1:2" x14ac:dyDescent="0.35">
      <c r="A2333" s="2">
        <v>46120</v>
      </c>
      <c r="B2333" s="1" t="s">
        <v>33</v>
      </c>
    </row>
    <row r="2334" spans="1:2" x14ac:dyDescent="0.35">
      <c r="A2334" s="2">
        <v>46120</v>
      </c>
      <c r="B2334" s="1" t="s">
        <v>33</v>
      </c>
    </row>
    <row r="2335" spans="1:2" x14ac:dyDescent="0.35">
      <c r="A2335" s="2">
        <v>46120</v>
      </c>
      <c r="B2335" s="1" t="s">
        <v>5</v>
      </c>
    </row>
    <row r="2336" spans="1:2" x14ac:dyDescent="0.35">
      <c r="A2336" s="2">
        <v>46120</v>
      </c>
      <c r="B2336" s="1" t="s">
        <v>5</v>
      </c>
    </row>
    <row r="2337" spans="1:2" x14ac:dyDescent="0.35">
      <c r="A2337" s="2">
        <v>46121</v>
      </c>
      <c r="B2337" s="1" t="s">
        <v>83</v>
      </c>
    </row>
    <row r="2338" spans="1:2" x14ac:dyDescent="0.35">
      <c r="A2338" s="2">
        <v>46121</v>
      </c>
      <c r="B2338" s="1" t="s">
        <v>83</v>
      </c>
    </row>
    <row r="2339" spans="1:2" x14ac:dyDescent="0.35">
      <c r="A2339" s="2">
        <v>46121</v>
      </c>
      <c r="B2339" s="1" t="s">
        <v>83</v>
      </c>
    </row>
    <row r="2340" spans="1:2" x14ac:dyDescent="0.35">
      <c r="A2340" s="2">
        <v>46121</v>
      </c>
      <c r="B2340" s="1" t="s">
        <v>83</v>
      </c>
    </row>
    <row r="2341" spans="1:2" x14ac:dyDescent="0.35">
      <c r="A2341" s="2">
        <v>46121</v>
      </c>
      <c r="B2341" s="1" t="s">
        <v>83</v>
      </c>
    </row>
    <row r="2342" spans="1:2" x14ac:dyDescent="0.35">
      <c r="A2342" s="2">
        <v>46121</v>
      </c>
      <c r="B2342" s="1" t="s">
        <v>33</v>
      </c>
    </row>
    <row r="2343" spans="1:2" x14ac:dyDescent="0.35">
      <c r="A2343" s="2">
        <v>46121</v>
      </c>
      <c r="B2343" s="1" t="s">
        <v>33</v>
      </c>
    </row>
    <row r="2344" spans="1:2" x14ac:dyDescent="0.35">
      <c r="A2344" s="2">
        <v>46121</v>
      </c>
      <c r="B2344" s="1" t="s">
        <v>33</v>
      </c>
    </row>
    <row r="2345" spans="1:2" x14ac:dyDescent="0.35">
      <c r="A2345" s="2">
        <v>46121</v>
      </c>
      <c r="B2345" s="1" t="s">
        <v>33</v>
      </c>
    </row>
    <row r="2346" spans="1:2" x14ac:dyDescent="0.35">
      <c r="A2346" s="2">
        <v>46121</v>
      </c>
      <c r="B2346" s="1" t="s">
        <v>5</v>
      </c>
    </row>
    <row r="2347" spans="1:2" x14ac:dyDescent="0.35">
      <c r="A2347" s="2">
        <v>46121</v>
      </c>
      <c r="B2347" s="1" t="s">
        <v>5</v>
      </c>
    </row>
    <row r="2348" spans="1:2" x14ac:dyDescent="0.35">
      <c r="A2348" s="2">
        <v>46122</v>
      </c>
      <c r="B2348" s="1" t="s">
        <v>83</v>
      </c>
    </row>
    <row r="2349" spans="1:2" x14ac:dyDescent="0.35">
      <c r="A2349" s="2">
        <v>46122</v>
      </c>
      <c r="B2349" s="1" t="s">
        <v>83</v>
      </c>
    </row>
    <row r="2350" spans="1:2" x14ac:dyDescent="0.35">
      <c r="A2350" s="2">
        <v>46122</v>
      </c>
      <c r="B2350" s="1" t="s">
        <v>5</v>
      </c>
    </row>
    <row r="2351" spans="1:2" x14ac:dyDescent="0.35">
      <c r="A2351" s="2">
        <v>46122</v>
      </c>
      <c r="B2351" s="1" t="s">
        <v>83</v>
      </c>
    </row>
    <row r="2352" spans="1:2" x14ac:dyDescent="0.35">
      <c r="A2352" s="2">
        <v>46125</v>
      </c>
      <c r="B2352" s="1" t="s">
        <v>83</v>
      </c>
    </row>
    <row r="2353" spans="1:2" x14ac:dyDescent="0.35">
      <c r="A2353" s="2">
        <v>46125</v>
      </c>
      <c r="B2353" s="1" t="s">
        <v>83</v>
      </c>
    </row>
    <row r="2354" spans="1:2" x14ac:dyDescent="0.35">
      <c r="A2354" s="2">
        <v>46125</v>
      </c>
      <c r="B2354" s="1" t="s">
        <v>83</v>
      </c>
    </row>
    <row r="2355" spans="1:2" x14ac:dyDescent="0.35">
      <c r="A2355" s="2">
        <v>46125</v>
      </c>
      <c r="B2355" s="1" t="s">
        <v>83</v>
      </c>
    </row>
    <row r="2356" spans="1:2" x14ac:dyDescent="0.35">
      <c r="A2356" s="2">
        <v>46125</v>
      </c>
      <c r="B2356" s="1" t="s">
        <v>5</v>
      </c>
    </row>
    <row r="2357" spans="1:2" x14ac:dyDescent="0.35">
      <c r="A2357" s="2">
        <v>46125</v>
      </c>
      <c r="B2357" s="1" t="s">
        <v>5</v>
      </c>
    </row>
    <row r="2358" spans="1:2" x14ac:dyDescent="0.35">
      <c r="A2358" s="2">
        <v>46125</v>
      </c>
      <c r="B2358" s="1" t="s">
        <v>22</v>
      </c>
    </row>
    <row r="2359" spans="1:2" x14ac:dyDescent="0.35">
      <c r="A2359" s="2">
        <v>46125</v>
      </c>
      <c r="B2359" s="1" t="s">
        <v>22</v>
      </c>
    </row>
    <row r="2360" spans="1:2" x14ac:dyDescent="0.35">
      <c r="A2360" s="2">
        <v>46125</v>
      </c>
      <c r="B2360" s="1" t="s">
        <v>83</v>
      </c>
    </row>
    <row r="2361" spans="1:2" x14ac:dyDescent="0.35">
      <c r="A2361" s="2">
        <v>46125</v>
      </c>
      <c r="B2361" s="1" t="s">
        <v>5</v>
      </c>
    </row>
    <row r="2362" spans="1:2" x14ac:dyDescent="0.35">
      <c r="A2362" s="2">
        <v>46126</v>
      </c>
      <c r="B2362" s="1" t="s">
        <v>83</v>
      </c>
    </row>
    <row r="2363" spans="1:2" x14ac:dyDescent="0.35">
      <c r="A2363" s="2">
        <v>46126</v>
      </c>
      <c r="B2363" s="1" t="s">
        <v>83</v>
      </c>
    </row>
    <row r="2364" spans="1:2" x14ac:dyDescent="0.35">
      <c r="A2364" s="2">
        <v>46126</v>
      </c>
      <c r="B2364" s="1" t="s">
        <v>83</v>
      </c>
    </row>
    <row r="2365" spans="1:2" x14ac:dyDescent="0.35">
      <c r="A2365" s="2">
        <v>46126</v>
      </c>
      <c r="B2365" s="1" t="s">
        <v>83</v>
      </c>
    </row>
    <row r="2366" spans="1:2" x14ac:dyDescent="0.35">
      <c r="A2366" s="2">
        <v>46126</v>
      </c>
      <c r="B2366" s="1" t="s">
        <v>83</v>
      </c>
    </row>
    <row r="2367" spans="1:2" x14ac:dyDescent="0.35">
      <c r="A2367" s="2">
        <v>46126</v>
      </c>
      <c r="B2367" s="1" t="s">
        <v>83</v>
      </c>
    </row>
    <row r="2368" spans="1:2" x14ac:dyDescent="0.35">
      <c r="A2368" s="2">
        <v>46126</v>
      </c>
      <c r="B2368" s="1" t="s">
        <v>83</v>
      </c>
    </row>
    <row r="2369" spans="1:2" x14ac:dyDescent="0.35">
      <c r="A2369" s="2">
        <v>46126</v>
      </c>
      <c r="B2369" s="1" t="s">
        <v>83</v>
      </c>
    </row>
    <row r="2370" spans="1:2" x14ac:dyDescent="0.35">
      <c r="A2370" s="2">
        <v>46126</v>
      </c>
      <c r="B2370" s="1" t="s">
        <v>83</v>
      </c>
    </row>
    <row r="2371" spans="1:2" x14ac:dyDescent="0.35">
      <c r="A2371" s="2">
        <v>46126</v>
      </c>
      <c r="B2371" s="1" t="s">
        <v>24</v>
      </c>
    </row>
    <row r="2372" spans="1:2" x14ac:dyDescent="0.35">
      <c r="A2372" s="2">
        <v>46126</v>
      </c>
      <c r="B2372" s="1" t="s">
        <v>24</v>
      </c>
    </row>
    <row r="2373" spans="1:2" x14ac:dyDescent="0.35">
      <c r="A2373" s="2">
        <v>46126</v>
      </c>
      <c r="B2373" s="1" t="s">
        <v>24</v>
      </c>
    </row>
    <row r="2374" spans="1:2" x14ac:dyDescent="0.35">
      <c r="A2374" s="2">
        <v>46126</v>
      </c>
      <c r="B2374" s="1" t="s">
        <v>24</v>
      </c>
    </row>
    <row r="2375" spans="1:2" x14ac:dyDescent="0.35">
      <c r="A2375" s="2">
        <v>46126</v>
      </c>
      <c r="B2375" s="1" t="s">
        <v>24</v>
      </c>
    </row>
    <row r="2376" spans="1:2" x14ac:dyDescent="0.35">
      <c r="A2376" s="2">
        <v>46126</v>
      </c>
      <c r="B2376" s="1" t="s">
        <v>83</v>
      </c>
    </row>
    <row r="2377" spans="1:2" x14ac:dyDescent="0.35">
      <c r="A2377" s="2">
        <v>46126</v>
      </c>
      <c r="B2377" s="1" t="s">
        <v>83</v>
      </c>
    </row>
    <row r="2378" spans="1:2" x14ac:dyDescent="0.35">
      <c r="A2378" s="2">
        <v>46126</v>
      </c>
      <c r="B2378" s="1" t="s">
        <v>33</v>
      </c>
    </row>
    <row r="2379" spans="1:2" x14ac:dyDescent="0.35">
      <c r="A2379" s="2">
        <v>46126</v>
      </c>
      <c r="B2379" s="1" t="s">
        <v>33</v>
      </c>
    </row>
    <row r="2380" spans="1:2" x14ac:dyDescent="0.35">
      <c r="A2380" s="2">
        <v>46126</v>
      </c>
      <c r="B2380" s="1" t="s">
        <v>33</v>
      </c>
    </row>
    <row r="2381" spans="1:2" x14ac:dyDescent="0.35">
      <c r="A2381" s="2">
        <v>46126</v>
      </c>
      <c r="B2381" s="1" t="s">
        <v>33</v>
      </c>
    </row>
    <row r="2382" spans="1:2" x14ac:dyDescent="0.35">
      <c r="A2382" s="2">
        <v>46126</v>
      </c>
      <c r="B2382" s="1" t="s">
        <v>24</v>
      </c>
    </row>
    <row r="2383" spans="1:2" x14ac:dyDescent="0.35">
      <c r="A2383" s="2">
        <v>46126</v>
      </c>
      <c r="B2383" s="1" t="s">
        <v>24</v>
      </c>
    </row>
    <row r="2384" spans="1:2" x14ac:dyDescent="0.35">
      <c r="A2384" s="2">
        <v>46126</v>
      </c>
      <c r="B2384" s="1" t="s">
        <v>83</v>
      </c>
    </row>
    <row r="2385" spans="1:2" x14ac:dyDescent="0.35">
      <c r="A2385" s="2">
        <v>46126</v>
      </c>
      <c r="B2385" s="1" t="s">
        <v>5</v>
      </c>
    </row>
    <row r="2386" spans="1:2" x14ac:dyDescent="0.35">
      <c r="A2386" s="2">
        <v>46127</v>
      </c>
      <c r="B2386" s="1" t="s">
        <v>83</v>
      </c>
    </row>
    <row r="2387" spans="1:2" x14ac:dyDescent="0.35">
      <c r="A2387" s="2">
        <v>46127</v>
      </c>
      <c r="B2387" s="1" t="s">
        <v>83</v>
      </c>
    </row>
    <row r="2388" spans="1:2" x14ac:dyDescent="0.35">
      <c r="A2388" s="2">
        <v>46127</v>
      </c>
      <c r="B2388" s="1" t="s">
        <v>5</v>
      </c>
    </row>
    <row r="2389" spans="1:2" x14ac:dyDescent="0.35">
      <c r="A2389" s="2">
        <v>46127</v>
      </c>
      <c r="B2389" s="1" t="s">
        <v>5</v>
      </c>
    </row>
    <row r="2390" spans="1:2" x14ac:dyDescent="0.35">
      <c r="A2390" s="2">
        <v>46127</v>
      </c>
      <c r="B2390" s="1" t="s">
        <v>5</v>
      </c>
    </row>
    <row r="2391" spans="1:2" x14ac:dyDescent="0.35">
      <c r="A2391" s="2">
        <v>46127</v>
      </c>
      <c r="B2391" s="1" t="s">
        <v>5</v>
      </c>
    </row>
    <row r="2392" spans="1:2" x14ac:dyDescent="0.35">
      <c r="A2392" s="2">
        <v>46128</v>
      </c>
      <c r="B2392" s="1" t="s">
        <v>83</v>
      </c>
    </row>
    <row r="2393" spans="1:2" x14ac:dyDescent="0.35">
      <c r="A2393" s="2">
        <v>46128</v>
      </c>
      <c r="B2393" s="1" t="s">
        <v>83</v>
      </c>
    </row>
    <row r="2394" spans="1:2" x14ac:dyDescent="0.35">
      <c r="A2394" s="2">
        <v>46128</v>
      </c>
      <c r="B2394" s="1" t="s">
        <v>83</v>
      </c>
    </row>
    <row r="2395" spans="1:2" x14ac:dyDescent="0.35">
      <c r="A2395" s="2">
        <v>46128</v>
      </c>
      <c r="B2395" s="1" t="s">
        <v>83</v>
      </c>
    </row>
    <row r="2396" spans="1:2" x14ac:dyDescent="0.35">
      <c r="A2396" s="2">
        <v>46128</v>
      </c>
      <c r="B2396" s="1" t="s">
        <v>24</v>
      </c>
    </row>
    <row r="2397" spans="1:2" x14ac:dyDescent="0.35">
      <c r="A2397" s="2">
        <v>46128</v>
      </c>
      <c r="B2397" s="1" t="s">
        <v>24</v>
      </c>
    </row>
    <row r="2398" spans="1:2" x14ac:dyDescent="0.35">
      <c r="A2398" s="2">
        <v>46128</v>
      </c>
      <c r="B2398" s="1" t="s">
        <v>24</v>
      </c>
    </row>
    <row r="2399" spans="1:2" x14ac:dyDescent="0.35">
      <c r="A2399" s="2">
        <v>46128</v>
      </c>
      <c r="B2399" s="1" t="s">
        <v>24</v>
      </c>
    </row>
    <row r="2400" spans="1:2" x14ac:dyDescent="0.35">
      <c r="A2400" s="2">
        <v>46128</v>
      </c>
      <c r="B2400" s="1" t="s">
        <v>83</v>
      </c>
    </row>
    <row r="2401" spans="1:2" x14ac:dyDescent="0.35">
      <c r="A2401" s="2">
        <v>46128</v>
      </c>
      <c r="B2401" s="1" t="s">
        <v>83</v>
      </c>
    </row>
    <row r="2402" spans="1:2" x14ac:dyDescent="0.35">
      <c r="A2402" s="2">
        <v>46128</v>
      </c>
      <c r="B2402" s="1" t="s">
        <v>83</v>
      </c>
    </row>
    <row r="2403" spans="1:2" x14ac:dyDescent="0.35">
      <c r="A2403" s="2">
        <v>46128</v>
      </c>
      <c r="B2403" s="1" t="s">
        <v>33</v>
      </c>
    </row>
    <row r="2404" spans="1:2" x14ac:dyDescent="0.35">
      <c r="A2404" s="2">
        <v>46128</v>
      </c>
      <c r="B2404" s="1" t="s">
        <v>33</v>
      </c>
    </row>
    <row r="2405" spans="1:2" x14ac:dyDescent="0.35">
      <c r="A2405" s="2">
        <v>46128</v>
      </c>
      <c r="B2405" s="1" t="s">
        <v>33</v>
      </c>
    </row>
    <row r="2406" spans="1:2" x14ac:dyDescent="0.35">
      <c r="A2406" s="2">
        <v>46128</v>
      </c>
      <c r="B2406" s="1" t="s">
        <v>33</v>
      </c>
    </row>
    <row r="2407" spans="1:2" x14ac:dyDescent="0.35">
      <c r="A2407" s="2">
        <v>46128</v>
      </c>
      <c r="B2407" s="1" t="s">
        <v>83</v>
      </c>
    </row>
    <row r="2408" spans="1:2" x14ac:dyDescent="0.35">
      <c r="A2408" s="2">
        <v>46128</v>
      </c>
      <c r="B2408" s="1" t="s">
        <v>83</v>
      </c>
    </row>
    <row r="2409" spans="1:2" x14ac:dyDescent="0.35">
      <c r="A2409" s="2">
        <v>46128</v>
      </c>
      <c r="B2409" s="1" t="s">
        <v>5</v>
      </c>
    </row>
    <row r="2410" spans="1:2" x14ac:dyDescent="0.35">
      <c r="A2410" s="2">
        <v>46128</v>
      </c>
      <c r="B2410" s="1" t="s">
        <v>5</v>
      </c>
    </row>
    <row r="2411" spans="1:2" x14ac:dyDescent="0.35">
      <c r="A2411" s="2">
        <v>46129</v>
      </c>
      <c r="B2411" s="1" t="s">
        <v>83</v>
      </c>
    </row>
    <row r="2412" spans="1:2" x14ac:dyDescent="0.35">
      <c r="A2412" s="2">
        <v>46129</v>
      </c>
      <c r="B2412" s="1" t="s">
        <v>83</v>
      </c>
    </row>
    <row r="2413" spans="1:2" x14ac:dyDescent="0.35">
      <c r="A2413" s="2">
        <v>46129</v>
      </c>
      <c r="B2413" s="1" t="s">
        <v>22</v>
      </c>
    </row>
    <row r="2414" spans="1:2" x14ac:dyDescent="0.35">
      <c r="A2414" s="2">
        <v>46129</v>
      </c>
      <c r="B2414" s="1" t="s">
        <v>22</v>
      </c>
    </row>
    <row r="2415" spans="1:2" x14ac:dyDescent="0.35">
      <c r="A2415" s="2">
        <v>46129</v>
      </c>
      <c r="B2415" s="1" t="s">
        <v>22</v>
      </c>
    </row>
    <row r="2416" spans="1:2" x14ac:dyDescent="0.35">
      <c r="A2416" s="2">
        <v>46129</v>
      </c>
      <c r="B2416" s="1" t="s">
        <v>22</v>
      </c>
    </row>
    <row r="2417" spans="1:2" x14ac:dyDescent="0.35">
      <c r="A2417" s="2">
        <v>46129</v>
      </c>
      <c r="B2417" s="1" t="s">
        <v>22</v>
      </c>
    </row>
    <row r="2418" spans="1:2" x14ac:dyDescent="0.35">
      <c r="A2418" s="2">
        <v>46129</v>
      </c>
      <c r="B2418" s="1" t="s">
        <v>9</v>
      </c>
    </row>
    <row r="2419" spans="1:2" x14ac:dyDescent="0.35">
      <c r="A2419" s="2">
        <v>46129</v>
      </c>
      <c r="B2419" s="1" t="s">
        <v>9</v>
      </c>
    </row>
    <row r="2420" spans="1:2" x14ac:dyDescent="0.35">
      <c r="A2420" s="2">
        <v>46129</v>
      </c>
      <c r="B2420" s="1" t="s">
        <v>5</v>
      </c>
    </row>
    <row r="2421" spans="1:2" x14ac:dyDescent="0.35">
      <c r="A2421" s="2">
        <v>46132</v>
      </c>
      <c r="B2421" s="1" t="s">
        <v>5</v>
      </c>
    </row>
    <row r="2422" spans="1:2" x14ac:dyDescent="0.35">
      <c r="A2422" s="2">
        <v>46132</v>
      </c>
      <c r="B2422" s="1" t="s">
        <v>33</v>
      </c>
    </row>
    <row r="2423" spans="1:2" x14ac:dyDescent="0.35">
      <c r="A2423" s="2">
        <v>46132</v>
      </c>
      <c r="B2423" s="1" t="s">
        <v>22</v>
      </c>
    </row>
    <row r="2424" spans="1:2" x14ac:dyDescent="0.35">
      <c r="A2424" s="2">
        <v>46132</v>
      </c>
      <c r="B2424" s="1" t="s">
        <v>22</v>
      </c>
    </row>
    <row r="2425" spans="1:2" x14ac:dyDescent="0.35">
      <c r="A2425" s="2">
        <v>46132</v>
      </c>
      <c r="B2425" s="1" t="s">
        <v>22</v>
      </c>
    </row>
    <row r="2426" spans="1:2" x14ac:dyDescent="0.35">
      <c r="A2426" s="2">
        <v>46132</v>
      </c>
      <c r="B2426" s="1" t="s">
        <v>5</v>
      </c>
    </row>
    <row r="2427" spans="1:2" x14ac:dyDescent="0.35">
      <c r="A2427" s="2">
        <v>46132</v>
      </c>
      <c r="B2427" s="1" t="s">
        <v>5</v>
      </c>
    </row>
    <row r="2428" spans="1:2" x14ac:dyDescent="0.35">
      <c r="A2428" s="2">
        <v>46134</v>
      </c>
      <c r="B2428" s="1" t="s">
        <v>83</v>
      </c>
    </row>
    <row r="2429" spans="1:2" x14ac:dyDescent="0.35">
      <c r="A2429" s="2">
        <v>46134</v>
      </c>
      <c r="B2429" s="1" t="s">
        <v>83</v>
      </c>
    </row>
    <row r="2430" spans="1:2" x14ac:dyDescent="0.35">
      <c r="A2430" s="2">
        <v>46134</v>
      </c>
      <c r="B2430" s="1" t="s">
        <v>83</v>
      </c>
    </row>
    <row r="2431" spans="1:2" x14ac:dyDescent="0.35">
      <c r="A2431" s="2">
        <v>46134</v>
      </c>
      <c r="B2431" s="1" t="s">
        <v>83</v>
      </c>
    </row>
    <row r="2432" spans="1:2" x14ac:dyDescent="0.35">
      <c r="A2432" s="2">
        <v>46134</v>
      </c>
      <c r="B2432" s="1" t="s">
        <v>83</v>
      </c>
    </row>
    <row r="2433" spans="1:2" x14ac:dyDescent="0.35">
      <c r="A2433" s="2">
        <v>46134</v>
      </c>
      <c r="B2433" s="1" t="s">
        <v>83</v>
      </c>
    </row>
    <row r="2434" spans="1:2" x14ac:dyDescent="0.35">
      <c r="A2434" s="2">
        <v>46134</v>
      </c>
      <c r="B2434" s="1" t="s">
        <v>83</v>
      </c>
    </row>
    <row r="2435" spans="1:2" x14ac:dyDescent="0.35">
      <c r="A2435" s="2">
        <v>46134</v>
      </c>
      <c r="B2435" s="1" t="s">
        <v>83</v>
      </c>
    </row>
    <row r="2436" spans="1:2" x14ac:dyDescent="0.35">
      <c r="A2436" s="2">
        <v>46134</v>
      </c>
      <c r="B2436" s="1" t="s">
        <v>83</v>
      </c>
    </row>
    <row r="2437" spans="1:2" x14ac:dyDescent="0.35">
      <c r="A2437" s="2">
        <v>46134</v>
      </c>
      <c r="B2437" s="1" t="s">
        <v>83</v>
      </c>
    </row>
    <row r="2438" spans="1:2" x14ac:dyDescent="0.35">
      <c r="A2438" s="2">
        <v>46134</v>
      </c>
      <c r="B2438" s="1" t="s">
        <v>5</v>
      </c>
    </row>
    <row r="2439" spans="1:2" x14ac:dyDescent="0.35">
      <c r="A2439" s="2">
        <v>46134</v>
      </c>
      <c r="B2439" s="1" t="s">
        <v>5</v>
      </c>
    </row>
    <row r="2440" spans="1:2" x14ac:dyDescent="0.35">
      <c r="A2440" s="2">
        <v>46134</v>
      </c>
      <c r="B2440" s="1" t="s">
        <v>5</v>
      </c>
    </row>
    <row r="2441" spans="1:2" x14ac:dyDescent="0.35">
      <c r="A2441" s="2">
        <v>46134</v>
      </c>
      <c r="B2441" s="1" t="s">
        <v>5</v>
      </c>
    </row>
    <row r="2442" spans="1:2" x14ac:dyDescent="0.35">
      <c r="A2442" s="2">
        <v>46135</v>
      </c>
      <c r="B2442" s="1" t="s">
        <v>83</v>
      </c>
    </row>
    <row r="2443" spans="1:2" x14ac:dyDescent="0.35">
      <c r="A2443" s="2">
        <v>46135</v>
      </c>
      <c r="B2443" s="1" t="s">
        <v>83</v>
      </c>
    </row>
    <row r="2444" spans="1:2" x14ac:dyDescent="0.35">
      <c r="A2444" s="2">
        <v>46135</v>
      </c>
      <c r="B2444" s="1" t="s">
        <v>83</v>
      </c>
    </row>
    <row r="2445" spans="1:2" x14ac:dyDescent="0.35">
      <c r="A2445" s="2">
        <v>46135</v>
      </c>
      <c r="B2445" s="1" t="s">
        <v>83</v>
      </c>
    </row>
    <row r="2446" spans="1:2" x14ac:dyDescent="0.35">
      <c r="A2446" s="2">
        <v>46135</v>
      </c>
      <c r="B2446" s="1" t="s">
        <v>83</v>
      </c>
    </row>
    <row r="2447" spans="1:2" x14ac:dyDescent="0.35">
      <c r="A2447" s="2">
        <v>46135</v>
      </c>
      <c r="B2447" s="1" t="s">
        <v>5</v>
      </c>
    </row>
    <row r="2448" spans="1:2" x14ac:dyDescent="0.35">
      <c r="A2448" s="2">
        <v>46135</v>
      </c>
      <c r="B2448" s="1" t="s">
        <v>5</v>
      </c>
    </row>
    <row r="2449" spans="1:2" x14ac:dyDescent="0.35">
      <c r="A2449" s="2">
        <v>46135</v>
      </c>
      <c r="B2449" s="1" t="s">
        <v>33</v>
      </c>
    </row>
    <row r="2450" spans="1:2" x14ac:dyDescent="0.35">
      <c r="A2450" s="2">
        <v>46135</v>
      </c>
      <c r="B2450" s="1" t="s">
        <v>9</v>
      </c>
    </row>
    <row r="2451" spans="1:2" x14ac:dyDescent="0.35">
      <c r="A2451" s="2">
        <v>46135</v>
      </c>
      <c r="B2451" s="1" t="s">
        <v>9</v>
      </c>
    </row>
    <row r="2452" spans="1:2" x14ac:dyDescent="0.35">
      <c r="A2452" s="2">
        <v>46135</v>
      </c>
      <c r="B2452" s="1" t="s">
        <v>5</v>
      </c>
    </row>
    <row r="2453" spans="1:2" x14ac:dyDescent="0.35">
      <c r="A2453" s="2">
        <v>46135</v>
      </c>
      <c r="B2453" s="1" t="s">
        <v>5</v>
      </c>
    </row>
    <row r="2454" spans="1:2" x14ac:dyDescent="0.35">
      <c r="A2454" s="2">
        <v>46136</v>
      </c>
      <c r="B2454" s="1" t="s">
        <v>83</v>
      </c>
    </row>
    <row r="2455" spans="1:2" x14ac:dyDescent="0.35">
      <c r="A2455" s="2">
        <v>46136</v>
      </c>
      <c r="B2455" s="1" t="s">
        <v>83</v>
      </c>
    </row>
    <row r="2456" spans="1:2" x14ac:dyDescent="0.35">
      <c r="A2456" s="2">
        <v>46136</v>
      </c>
      <c r="B2456" s="1" t="s">
        <v>83</v>
      </c>
    </row>
    <row r="2457" spans="1:2" x14ac:dyDescent="0.35">
      <c r="A2457" s="2">
        <v>46136</v>
      </c>
      <c r="B2457" s="1" t="s">
        <v>83</v>
      </c>
    </row>
    <row r="2458" spans="1:2" x14ac:dyDescent="0.35">
      <c r="A2458" s="2">
        <v>46136</v>
      </c>
      <c r="B2458" s="1" t="s">
        <v>83</v>
      </c>
    </row>
    <row r="2459" spans="1:2" x14ac:dyDescent="0.35">
      <c r="A2459" s="2">
        <v>46136</v>
      </c>
      <c r="B2459" s="1" t="s">
        <v>83</v>
      </c>
    </row>
    <row r="2460" spans="1:2" x14ac:dyDescent="0.35">
      <c r="A2460" s="2">
        <v>46136</v>
      </c>
      <c r="B2460" s="1" t="s">
        <v>83</v>
      </c>
    </row>
    <row r="2461" spans="1:2" x14ac:dyDescent="0.35">
      <c r="A2461" s="2">
        <v>46136</v>
      </c>
      <c r="B2461" s="1" t="s">
        <v>83</v>
      </c>
    </row>
    <row r="2462" spans="1:2" x14ac:dyDescent="0.35">
      <c r="A2462" s="2">
        <v>46136</v>
      </c>
      <c r="B2462" s="1" t="s">
        <v>83</v>
      </c>
    </row>
    <row r="2463" spans="1:2" x14ac:dyDescent="0.35">
      <c r="A2463" s="2">
        <v>46136</v>
      </c>
      <c r="B2463" s="1" t="s">
        <v>5</v>
      </c>
    </row>
    <row r="2464" spans="1:2" x14ac:dyDescent="0.35">
      <c r="A2464" s="2">
        <v>46136</v>
      </c>
      <c r="B2464" s="1" t="s">
        <v>5</v>
      </c>
    </row>
    <row r="2465" spans="1:2" x14ac:dyDescent="0.35">
      <c r="A2465" s="2">
        <v>46136</v>
      </c>
      <c r="B2465" s="1" t="s">
        <v>83</v>
      </c>
    </row>
    <row r="2466" spans="1:2" x14ac:dyDescent="0.35">
      <c r="A2466" s="2">
        <v>46136</v>
      </c>
      <c r="B2466" s="1" t="s">
        <v>83</v>
      </c>
    </row>
    <row r="2467" spans="1:2" x14ac:dyDescent="0.35">
      <c r="A2467" s="2">
        <v>46136</v>
      </c>
      <c r="B2467" s="1" t="s">
        <v>83</v>
      </c>
    </row>
    <row r="2468" spans="1:2" x14ac:dyDescent="0.35">
      <c r="A2468" s="2">
        <v>46136</v>
      </c>
      <c r="B2468" s="1" t="s">
        <v>83</v>
      </c>
    </row>
    <row r="2469" spans="1:2" x14ac:dyDescent="0.35">
      <c r="A2469" s="2">
        <v>46139</v>
      </c>
      <c r="B2469" s="1" t="s">
        <v>83</v>
      </c>
    </row>
    <row r="2470" spans="1:2" x14ac:dyDescent="0.35">
      <c r="A2470" s="2">
        <v>46139</v>
      </c>
      <c r="B2470" s="1" t="s">
        <v>83</v>
      </c>
    </row>
    <row r="2471" spans="1:2" x14ac:dyDescent="0.35">
      <c r="A2471" s="2">
        <v>46139</v>
      </c>
      <c r="B2471" s="1" t="s">
        <v>83</v>
      </c>
    </row>
    <row r="2472" spans="1:2" x14ac:dyDescent="0.35">
      <c r="A2472" s="2">
        <v>46139</v>
      </c>
      <c r="B2472" s="1" t="s">
        <v>83</v>
      </c>
    </row>
    <row r="2473" spans="1:2" x14ac:dyDescent="0.35">
      <c r="A2473" s="2">
        <v>46139</v>
      </c>
      <c r="B2473" s="1" t="s">
        <v>83</v>
      </c>
    </row>
    <row r="2474" spans="1:2" x14ac:dyDescent="0.35">
      <c r="A2474" s="2">
        <v>46139</v>
      </c>
      <c r="B2474" s="1" t="s">
        <v>83</v>
      </c>
    </row>
    <row r="2475" spans="1:2" x14ac:dyDescent="0.35">
      <c r="A2475" s="2">
        <v>46139</v>
      </c>
      <c r="B2475" s="1" t="s">
        <v>83</v>
      </c>
    </row>
    <row r="2476" spans="1:2" x14ac:dyDescent="0.35">
      <c r="A2476" s="2">
        <v>46139</v>
      </c>
      <c r="B2476" s="1" t="s">
        <v>83</v>
      </c>
    </row>
    <row r="2477" spans="1:2" x14ac:dyDescent="0.35">
      <c r="A2477" s="2">
        <v>46140</v>
      </c>
      <c r="B2477" s="1" t="s">
        <v>9</v>
      </c>
    </row>
    <row r="2478" spans="1:2" x14ac:dyDescent="0.35">
      <c r="A2478" s="2">
        <v>46140</v>
      </c>
      <c r="B2478" s="1" t="s">
        <v>9</v>
      </c>
    </row>
    <row r="2479" spans="1:2" x14ac:dyDescent="0.35">
      <c r="A2479" s="2">
        <v>46140</v>
      </c>
      <c r="B2479" s="1" t="s">
        <v>33</v>
      </c>
    </row>
    <row r="2480" spans="1:2" x14ac:dyDescent="0.35">
      <c r="A2480" s="2">
        <v>46140</v>
      </c>
      <c r="B2480" s="1" t="s">
        <v>33</v>
      </c>
    </row>
    <row r="2481" spans="1:2" x14ac:dyDescent="0.35">
      <c r="A2481" s="2">
        <v>46140</v>
      </c>
      <c r="B2481" s="1" t="s">
        <v>33</v>
      </c>
    </row>
    <row r="2482" spans="1:2" x14ac:dyDescent="0.35">
      <c r="A2482" s="2">
        <v>46140</v>
      </c>
      <c r="B2482" s="1" t="s">
        <v>33</v>
      </c>
    </row>
    <row r="2483" spans="1:2" x14ac:dyDescent="0.35">
      <c r="A2483" s="2">
        <v>46140</v>
      </c>
      <c r="B2483" s="1" t="s">
        <v>33</v>
      </c>
    </row>
    <row r="2484" spans="1:2" x14ac:dyDescent="0.35">
      <c r="A2484" s="2">
        <v>46140</v>
      </c>
      <c r="B2484" s="1" t="s">
        <v>9</v>
      </c>
    </row>
    <row r="2485" spans="1:2" x14ac:dyDescent="0.35">
      <c r="A2485" s="2">
        <v>46140</v>
      </c>
      <c r="B2485" s="1" t="s">
        <v>9</v>
      </c>
    </row>
    <row r="2486" spans="1:2" x14ac:dyDescent="0.35">
      <c r="A2486" s="2">
        <v>46141</v>
      </c>
      <c r="B2486" s="1" t="s">
        <v>9</v>
      </c>
    </row>
    <row r="2487" spans="1:2" x14ac:dyDescent="0.35">
      <c r="A2487" s="2">
        <v>46141</v>
      </c>
      <c r="B2487" s="1" t="s">
        <v>9</v>
      </c>
    </row>
    <row r="2488" spans="1:2" x14ac:dyDescent="0.35">
      <c r="A2488" s="2">
        <v>46146</v>
      </c>
      <c r="B2488" s="1" t="s">
        <v>33</v>
      </c>
    </row>
    <row r="2489" spans="1:2" x14ac:dyDescent="0.35">
      <c r="A2489" s="2">
        <v>46146</v>
      </c>
      <c r="B2489" s="1" t="s">
        <v>33</v>
      </c>
    </row>
    <row r="2490" spans="1:2" x14ac:dyDescent="0.35">
      <c r="A2490" s="2">
        <v>46146</v>
      </c>
      <c r="B2490" s="1" t="s">
        <v>33</v>
      </c>
    </row>
    <row r="2491" spans="1:2" x14ac:dyDescent="0.35">
      <c r="A2491" s="2">
        <v>46146</v>
      </c>
      <c r="B2491" s="1" t="s">
        <v>9</v>
      </c>
    </row>
    <row r="2492" spans="1:2" x14ac:dyDescent="0.35">
      <c r="A2492" s="2">
        <v>46146</v>
      </c>
      <c r="B2492" s="1" t="s">
        <v>9</v>
      </c>
    </row>
    <row r="2493" spans="1:2" x14ac:dyDescent="0.35">
      <c r="A2493" s="2">
        <v>46146</v>
      </c>
      <c r="B2493" s="1" t="s">
        <v>9</v>
      </c>
    </row>
    <row r="2494" spans="1:2" x14ac:dyDescent="0.35">
      <c r="A2494" s="2">
        <v>46146</v>
      </c>
      <c r="B2494" s="1" t="s">
        <v>9</v>
      </c>
    </row>
    <row r="2495" spans="1:2" x14ac:dyDescent="0.35">
      <c r="A2495" s="2">
        <v>46147</v>
      </c>
      <c r="B2495" s="1" t="s">
        <v>33</v>
      </c>
    </row>
    <row r="2496" spans="1:2" x14ac:dyDescent="0.35">
      <c r="A2496" s="2">
        <v>46147</v>
      </c>
      <c r="B2496" s="1" t="s">
        <v>33</v>
      </c>
    </row>
    <row r="2497" spans="1:2" x14ac:dyDescent="0.35">
      <c r="A2497" s="2">
        <v>46147</v>
      </c>
      <c r="B2497" s="1" t="s">
        <v>33</v>
      </c>
    </row>
    <row r="2498" spans="1:2" x14ac:dyDescent="0.35">
      <c r="A2498" s="2">
        <v>46147</v>
      </c>
      <c r="B2498" s="1" t="s">
        <v>33</v>
      </c>
    </row>
    <row r="2499" spans="1:2" x14ac:dyDescent="0.35">
      <c r="A2499" s="2">
        <v>46147</v>
      </c>
      <c r="B2499" s="1" t="s">
        <v>33</v>
      </c>
    </row>
    <row r="2500" spans="1:2" x14ac:dyDescent="0.35">
      <c r="A2500" s="2">
        <v>46148</v>
      </c>
      <c r="B2500" s="1" t="s">
        <v>33</v>
      </c>
    </row>
    <row r="2501" spans="1:2" x14ac:dyDescent="0.35">
      <c r="A2501" s="2">
        <v>46148</v>
      </c>
      <c r="B2501" s="1" t="s">
        <v>24</v>
      </c>
    </row>
    <row r="2502" spans="1:2" x14ac:dyDescent="0.35">
      <c r="A2502" s="2">
        <v>46148</v>
      </c>
      <c r="B2502" s="1" t="s">
        <v>24</v>
      </c>
    </row>
    <row r="2503" spans="1:2" x14ac:dyDescent="0.35">
      <c r="A2503" s="2">
        <v>46148</v>
      </c>
      <c r="B2503" s="1" t="s">
        <v>24</v>
      </c>
    </row>
    <row r="2504" spans="1:2" x14ac:dyDescent="0.35">
      <c r="A2504" s="2">
        <v>46148</v>
      </c>
      <c r="B2504" s="1" t="s">
        <v>24</v>
      </c>
    </row>
    <row r="2505" spans="1:2" x14ac:dyDescent="0.35">
      <c r="A2505" s="2">
        <v>46148</v>
      </c>
      <c r="B2505" s="1" t="s">
        <v>9</v>
      </c>
    </row>
    <row r="2506" spans="1:2" x14ac:dyDescent="0.35">
      <c r="A2506" s="2">
        <v>46148</v>
      </c>
      <c r="B2506" s="1" t="s">
        <v>9</v>
      </c>
    </row>
    <row r="2507" spans="1:2" x14ac:dyDescent="0.35">
      <c r="A2507" s="2">
        <v>46148</v>
      </c>
      <c r="B2507" s="1" t="s">
        <v>24</v>
      </c>
    </row>
    <row r="2508" spans="1:2" x14ac:dyDescent="0.35">
      <c r="A2508" s="2">
        <v>46148</v>
      </c>
      <c r="B2508" s="1" t="s">
        <v>9</v>
      </c>
    </row>
    <row r="2509" spans="1:2" x14ac:dyDescent="0.35">
      <c r="A2509" s="2">
        <v>46148</v>
      </c>
      <c r="B2509" s="1" t="s">
        <v>28</v>
      </c>
    </row>
    <row r="2510" spans="1:2" x14ac:dyDescent="0.35">
      <c r="A2510" s="2">
        <v>46148</v>
      </c>
      <c r="B2510" s="1" t="s">
        <v>28</v>
      </c>
    </row>
    <row r="2511" spans="1:2" x14ac:dyDescent="0.35">
      <c r="A2511" s="2">
        <v>46148</v>
      </c>
      <c r="B2511" s="1" t="s">
        <v>9</v>
      </c>
    </row>
    <row r="2512" spans="1:2" x14ac:dyDescent="0.35">
      <c r="A2512" s="2">
        <v>46148</v>
      </c>
      <c r="B2512" s="1" t="s">
        <v>24</v>
      </c>
    </row>
    <row r="2513" spans="1:2" x14ac:dyDescent="0.35">
      <c r="A2513" s="2">
        <v>46148</v>
      </c>
      <c r="B2513" s="1" t="s">
        <v>24</v>
      </c>
    </row>
    <row r="2514" spans="1:2" x14ac:dyDescent="0.35">
      <c r="A2514" s="2">
        <v>46148</v>
      </c>
      <c r="B2514" s="1" t="s">
        <v>24</v>
      </c>
    </row>
    <row r="2515" spans="1:2" x14ac:dyDescent="0.35">
      <c r="A2515" s="2">
        <v>46148</v>
      </c>
      <c r="B2515" s="1" t="s">
        <v>24</v>
      </c>
    </row>
    <row r="2516" spans="1:2" x14ac:dyDescent="0.35">
      <c r="A2516" s="2">
        <v>46148</v>
      </c>
      <c r="B2516" s="1" t="s">
        <v>24</v>
      </c>
    </row>
    <row r="2517" spans="1:2" x14ac:dyDescent="0.35">
      <c r="A2517" s="2">
        <v>46148</v>
      </c>
      <c r="B2517" s="1" t="s">
        <v>24</v>
      </c>
    </row>
    <row r="2518" spans="1:2" x14ac:dyDescent="0.35">
      <c r="A2518" s="2">
        <v>46148</v>
      </c>
      <c r="B2518" s="1" t="s">
        <v>28</v>
      </c>
    </row>
    <row r="2519" spans="1:2" x14ac:dyDescent="0.35">
      <c r="A2519" s="2">
        <v>46148</v>
      </c>
      <c r="B2519" s="1" t="s">
        <v>9</v>
      </c>
    </row>
    <row r="2520" spans="1:2" x14ac:dyDescent="0.35">
      <c r="A2520" s="2">
        <v>46148</v>
      </c>
      <c r="B2520" s="1" t="s">
        <v>9</v>
      </c>
    </row>
    <row r="2521" spans="1:2" x14ac:dyDescent="0.35">
      <c r="A2521" s="2">
        <v>46148</v>
      </c>
      <c r="B2521" s="1" t="s">
        <v>9</v>
      </c>
    </row>
    <row r="2522" spans="1:2" x14ac:dyDescent="0.35">
      <c r="A2522" s="2">
        <v>46148</v>
      </c>
      <c r="B2522" s="1" t="s">
        <v>33</v>
      </c>
    </row>
    <row r="2523" spans="1:2" x14ac:dyDescent="0.35">
      <c r="A2523" s="2">
        <v>46148</v>
      </c>
      <c r="B2523" s="1" t="s">
        <v>33</v>
      </c>
    </row>
    <row r="2524" spans="1:2" x14ac:dyDescent="0.35">
      <c r="A2524" s="2">
        <v>46148</v>
      </c>
      <c r="B2524" s="1" t="s">
        <v>33</v>
      </c>
    </row>
    <row r="2525" spans="1:2" x14ac:dyDescent="0.35">
      <c r="A2525" s="2">
        <v>46149</v>
      </c>
      <c r="B2525" s="1" t="s">
        <v>24</v>
      </c>
    </row>
    <row r="2526" spans="1:2" x14ac:dyDescent="0.35">
      <c r="A2526" s="2">
        <v>46149</v>
      </c>
      <c r="B2526" s="1" t="s">
        <v>9</v>
      </c>
    </row>
    <row r="2527" spans="1:2" x14ac:dyDescent="0.35">
      <c r="A2527" s="2">
        <v>46149</v>
      </c>
      <c r="B2527" s="1" t="s">
        <v>24</v>
      </c>
    </row>
    <row r="2528" spans="1:2" x14ac:dyDescent="0.35">
      <c r="A2528" s="2">
        <v>46149</v>
      </c>
      <c r="B2528" s="1" t="s">
        <v>24</v>
      </c>
    </row>
    <row r="2529" spans="1:2" x14ac:dyDescent="0.35">
      <c r="A2529" s="2">
        <v>46149</v>
      </c>
      <c r="B2529" s="1" t="s">
        <v>24</v>
      </c>
    </row>
    <row r="2530" spans="1:2" x14ac:dyDescent="0.35">
      <c r="A2530" s="2">
        <v>46149</v>
      </c>
      <c r="B2530" s="1" t="s">
        <v>24</v>
      </c>
    </row>
    <row r="2531" spans="1:2" x14ac:dyDescent="0.35">
      <c r="A2531" s="2">
        <v>46149</v>
      </c>
      <c r="B2531" s="1" t="s">
        <v>5</v>
      </c>
    </row>
    <row r="2532" spans="1:2" x14ac:dyDescent="0.35">
      <c r="A2532" s="2">
        <v>46149</v>
      </c>
      <c r="B2532" s="1" t="s">
        <v>33</v>
      </c>
    </row>
    <row r="2533" spans="1:2" x14ac:dyDescent="0.35">
      <c r="A2533" s="2">
        <v>46149</v>
      </c>
      <c r="B2533" s="1" t="s">
        <v>33</v>
      </c>
    </row>
    <row r="2534" spans="1:2" x14ac:dyDescent="0.35">
      <c r="A2534" s="2">
        <v>46149</v>
      </c>
      <c r="B2534" s="1" t="s">
        <v>33</v>
      </c>
    </row>
    <row r="2535" spans="1:2" x14ac:dyDescent="0.35">
      <c r="A2535" s="2">
        <v>46150</v>
      </c>
      <c r="B2535" s="1" t="s">
        <v>9</v>
      </c>
    </row>
    <row r="2536" spans="1:2" x14ac:dyDescent="0.35">
      <c r="A2536" s="2">
        <v>46150</v>
      </c>
      <c r="B2536" s="1" t="s">
        <v>9</v>
      </c>
    </row>
    <row r="2537" spans="1:2" x14ac:dyDescent="0.35">
      <c r="A2537" s="2">
        <v>46150</v>
      </c>
      <c r="B2537" s="1" t="s">
        <v>9</v>
      </c>
    </row>
    <row r="2538" spans="1:2" x14ac:dyDescent="0.35">
      <c r="A2538" s="2">
        <v>46150</v>
      </c>
      <c r="B2538" s="1" t="s">
        <v>9</v>
      </c>
    </row>
    <row r="2539" spans="1:2" x14ac:dyDescent="0.35">
      <c r="A2539" s="2">
        <v>46150</v>
      </c>
      <c r="B2539" s="1" t="s">
        <v>28</v>
      </c>
    </row>
    <row r="2540" spans="1:2" x14ac:dyDescent="0.35">
      <c r="A2540" s="2">
        <v>46153</v>
      </c>
      <c r="B2540" s="1" t="s">
        <v>9</v>
      </c>
    </row>
    <row r="2541" spans="1:2" x14ac:dyDescent="0.35">
      <c r="A2541" s="2">
        <v>46153</v>
      </c>
      <c r="B2541" s="1" t="s">
        <v>9</v>
      </c>
    </row>
    <row r="2542" spans="1:2" x14ac:dyDescent="0.35">
      <c r="A2542" s="2">
        <v>46153</v>
      </c>
      <c r="B2542" s="1" t="s">
        <v>9</v>
      </c>
    </row>
    <row r="2543" spans="1:2" x14ac:dyDescent="0.35">
      <c r="A2543" s="2">
        <v>46153</v>
      </c>
      <c r="B2543" s="1" t="s">
        <v>9</v>
      </c>
    </row>
    <row r="2544" spans="1:2" x14ac:dyDescent="0.35">
      <c r="A2544" s="2">
        <v>46153</v>
      </c>
      <c r="B2544" s="1" t="s">
        <v>9</v>
      </c>
    </row>
    <row r="2545" spans="1:2" x14ac:dyDescent="0.35">
      <c r="A2545" s="2">
        <v>46153</v>
      </c>
      <c r="B2545" s="1" t="s">
        <v>9</v>
      </c>
    </row>
    <row r="2546" spans="1:2" x14ac:dyDescent="0.35">
      <c r="A2546" s="2">
        <v>46155</v>
      </c>
      <c r="B2546" s="1" t="s">
        <v>22</v>
      </c>
    </row>
    <row r="2547" spans="1:2" x14ac:dyDescent="0.35">
      <c r="A2547" s="2">
        <v>46155</v>
      </c>
      <c r="B2547" s="1" t="s">
        <v>22</v>
      </c>
    </row>
    <row r="2548" spans="1:2" x14ac:dyDescent="0.35">
      <c r="A2548" s="2">
        <v>46155</v>
      </c>
      <c r="B2548" s="1" t="s">
        <v>9</v>
      </c>
    </row>
    <row r="2549" spans="1:2" x14ac:dyDescent="0.35">
      <c r="A2549" s="2">
        <v>46155</v>
      </c>
      <c r="B2549" s="1" t="s">
        <v>22</v>
      </c>
    </row>
    <row r="2550" spans="1:2" x14ac:dyDescent="0.35">
      <c r="A2550" s="2">
        <v>46155</v>
      </c>
      <c r="B2550" s="1" t="s">
        <v>22</v>
      </c>
    </row>
    <row r="2551" spans="1:2" x14ac:dyDescent="0.35">
      <c r="A2551" s="2">
        <v>46155</v>
      </c>
      <c r="B2551" s="1" t="s">
        <v>22</v>
      </c>
    </row>
    <row r="2552" spans="1:2" x14ac:dyDescent="0.35">
      <c r="A2552" s="2">
        <v>46155</v>
      </c>
      <c r="B2552" s="1" t="s">
        <v>22</v>
      </c>
    </row>
    <row r="2553" spans="1:2" x14ac:dyDescent="0.35">
      <c r="A2553" s="2">
        <v>46155</v>
      </c>
      <c r="B2553" s="1" t="s">
        <v>9</v>
      </c>
    </row>
    <row r="2554" spans="1:2" x14ac:dyDescent="0.35">
      <c r="A2554" s="2">
        <v>46155</v>
      </c>
      <c r="B2554" s="1" t="s">
        <v>9</v>
      </c>
    </row>
    <row r="2555" spans="1:2" x14ac:dyDescent="0.35">
      <c r="A2555" s="2">
        <v>46155</v>
      </c>
      <c r="B2555" s="1" t="s">
        <v>9</v>
      </c>
    </row>
    <row r="2556" spans="1:2" x14ac:dyDescent="0.35">
      <c r="A2556" s="2">
        <v>46155</v>
      </c>
      <c r="B2556" s="1" t="s">
        <v>22</v>
      </c>
    </row>
    <row r="2557" spans="1:2" x14ac:dyDescent="0.35">
      <c r="A2557" s="2">
        <v>46155</v>
      </c>
      <c r="B2557" s="1" t="s">
        <v>9</v>
      </c>
    </row>
    <row r="2558" spans="1:2" x14ac:dyDescent="0.35">
      <c r="A2558" s="2">
        <v>46155</v>
      </c>
      <c r="B2558" s="1" t="s">
        <v>22</v>
      </c>
    </row>
    <row r="2559" spans="1:2" x14ac:dyDescent="0.35">
      <c r="A2559" s="2">
        <v>46155</v>
      </c>
      <c r="B2559" s="1" t="s">
        <v>22</v>
      </c>
    </row>
    <row r="2560" spans="1:2" x14ac:dyDescent="0.35">
      <c r="A2560" s="2">
        <v>46155</v>
      </c>
      <c r="B2560" s="1" t="s">
        <v>22</v>
      </c>
    </row>
    <row r="2561" spans="1:2" x14ac:dyDescent="0.35">
      <c r="A2561" s="2">
        <v>46157</v>
      </c>
      <c r="B2561" s="1" t="s">
        <v>9</v>
      </c>
    </row>
    <row r="2562" spans="1:2" x14ac:dyDescent="0.35">
      <c r="A2562" s="2">
        <v>46157</v>
      </c>
      <c r="B2562" s="1" t="s">
        <v>9</v>
      </c>
    </row>
    <row r="2563" spans="1:2" x14ac:dyDescent="0.35">
      <c r="A2563" s="2">
        <v>46157</v>
      </c>
      <c r="B2563" s="1" t="s">
        <v>9</v>
      </c>
    </row>
    <row r="2564" spans="1:2" x14ac:dyDescent="0.35">
      <c r="A2564" s="2">
        <v>46157</v>
      </c>
      <c r="B2564" s="1" t="s">
        <v>9</v>
      </c>
    </row>
    <row r="2565" spans="1:2" x14ac:dyDescent="0.35">
      <c r="A2565" s="2">
        <v>46157</v>
      </c>
      <c r="B2565" s="1" t="s">
        <v>9</v>
      </c>
    </row>
    <row r="2566" spans="1:2" x14ac:dyDescent="0.35">
      <c r="A2566" s="2">
        <v>46157</v>
      </c>
      <c r="B2566" s="1" t="s">
        <v>9</v>
      </c>
    </row>
    <row r="2567" spans="1:2" x14ac:dyDescent="0.35">
      <c r="A2567" s="2">
        <v>46157</v>
      </c>
      <c r="B2567" s="1" t="s">
        <v>9</v>
      </c>
    </row>
    <row r="2568" spans="1:2" x14ac:dyDescent="0.35">
      <c r="A2568" s="2">
        <v>46160</v>
      </c>
      <c r="B2568" s="1" t="s">
        <v>24</v>
      </c>
    </row>
    <row r="2569" spans="1:2" x14ac:dyDescent="0.35">
      <c r="A2569" s="2">
        <v>46160</v>
      </c>
      <c r="B2569" s="1" t="s">
        <v>24</v>
      </c>
    </row>
    <row r="2570" spans="1:2" x14ac:dyDescent="0.35">
      <c r="A2570" s="2">
        <v>46160</v>
      </c>
      <c r="B2570" s="1" t="s">
        <v>24</v>
      </c>
    </row>
    <row r="2571" spans="1:2" x14ac:dyDescent="0.35">
      <c r="A2571" s="2">
        <v>46160</v>
      </c>
      <c r="B2571" s="1" t="s">
        <v>24</v>
      </c>
    </row>
    <row r="2572" spans="1:2" x14ac:dyDescent="0.35">
      <c r="A2572" s="2">
        <v>46160</v>
      </c>
      <c r="B2572" s="1" t="s">
        <v>24</v>
      </c>
    </row>
    <row r="2573" spans="1:2" x14ac:dyDescent="0.35">
      <c r="A2573" s="2">
        <v>46160</v>
      </c>
      <c r="B2573" s="1" t="s">
        <v>24</v>
      </c>
    </row>
    <row r="2574" spans="1:2" x14ac:dyDescent="0.35">
      <c r="A2574" s="2">
        <v>46160</v>
      </c>
      <c r="B2574" s="1" t="s">
        <v>24</v>
      </c>
    </row>
    <row r="2575" spans="1:2" x14ac:dyDescent="0.35">
      <c r="A2575" s="2">
        <v>46160</v>
      </c>
      <c r="B2575" s="1" t="s">
        <v>24</v>
      </c>
    </row>
    <row r="2576" spans="1:2" x14ac:dyDescent="0.35">
      <c r="A2576" s="2">
        <v>46160</v>
      </c>
      <c r="B2576" s="1" t="s">
        <v>24</v>
      </c>
    </row>
    <row r="2577" spans="1:2" x14ac:dyDescent="0.35">
      <c r="A2577" s="2">
        <v>46160</v>
      </c>
      <c r="B2577" s="1" t="s">
        <v>24</v>
      </c>
    </row>
    <row r="2578" spans="1:2" x14ac:dyDescent="0.35">
      <c r="A2578" s="2">
        <v>46160</v>
      </c>
      <c r="B2578" s="1" t="s">
        <v>9</v>
      </c>
    </row>
    <row r="2579" spans="1:2" x14ac:dyDescent="0.35">
      <c r="A2579" s="2">
        <v>46160</v>
      </c>
      <c r="B2579" s="1" t="s">
        <v>9</v>
      </c>
    </row>
    <row r="2580" spans="1:2" x14ac:dyDescent="0.35">
      <c r="A2580" s="2">
        <v>46160</v>
      </c>
      <c r="B2580" s="1" t="s">
        <v>9</v>
      </c>
    </row>
    <row r="2581" spans="1:2" x14ac:dyDescent="0.35">
      <c r="A2581" s="2">
        <v>46160</v>
      </c>
      <c r="B2581" s="1" t="s">
        <v>9</v>
      </c>
    </row>
    <row r="2582" spans="1:2" x14ac:dyDescent="0.35">
      <c r="A2582" s="2">
        <v>46160</v>
      </c>
      <c r="B2582" s="1" t="s">
        <v>9</v>
      </c>
    </row>
    <row r="2583" spans="1:2" x14ac:dyDescent="0.35">
      <c r="A2583" s="2">
        <v>46160</v>
      </c>
      <c r="B2583" s="1" t="s">
        <v>9</v>
      </c>
    </row>
    <row r="2584" spans="1:2" x14ac:dyDescent="0.35">
      <c r="A2584" s="2">
        <v>46160</v>
      </c>
      <c r="B2584" s="1" t="s">
        <v>9</v>
      </c>
    </row>
    <row r="2585" spans="1:2" x14ac:dyDescent="0.35">
      <c r="A2585" s="2">
        <v>46160</v>
      </c>
      <c r="B2585" s="1" t="s">
        <v>9</v>
      </c>
    </row>
    <row r="2586" spans="1:2" x14ac:dyDescent="0.35">
      <c r="A2586" s="2">
        <v>46160</v>
      </c>
      <c r="B2586" s="1" t="s">
        <v>28</v>
      </c>
    </row>
    <row r="2587" spans="1:2" x14ac:dyDescent="0.35">
      <c r="A2587" s="2">
        <v>46160</v>
      </c>
      <c r="B2587" s="1" t="s">
        <v>28</v>
      </c>
    </row>
    <row r="2588" spans="1:2" x14ac:dyDescent="0.35">
      <c r="A2588" s="2">
        <v>46161</v>
      </c>
      <c r="B2588" s="1" t="s">
        <v>24</v>
      </c>
    </row>
    <row r="2589" spans="1:2" x14ac:dyDescent="0.35">
      <c r="A2589" s="2">
        <v>46161</v>
      </c>
      <c r="B2589" s="1" t="s">
        <v>24</v>
      </c>
    </row>
    <row r="2590" spans="1:2" x14ac:dyDescent="0.35">
      <c r="A2590" s="2">
        <v>46161</v>
      </c>
      <c r="B2590" s="1" t="s">
        <v>24</v>
      </c>
    </row>
    <row r="2591" spans="1:2" x14ac:dyDescent="0.35">
      <c r="A2591" s="2">
        <v>46161</v>
      </c>
      <c r="B2591" s="1" t="s">
        <v>24</v>
      </c>
    </row>
    <row r="2592" spans="1:2" x14ac:dyDescent="0.35">
      <c r="A2592" s="2">
        <v>46161</v>
      </c>
      <c r="B2592" s="1" t="s">
        <v>24</v>
      </c>
    </row>
    <row r="2593" spans="1:2" x14ac:dyDescent="0.35">
      <c r="A2593" s="2">
        <v>46161</v>
      </c>
      <c r="B2593" s="1" t="s">
        <v>9</v>
      </c>
    </row>
    <row r="2594" spans="1:2" x14ac:dyDescent="0.35">
      <c r="A2594" s="2">
        <v>46161</v>
      </c>
      <c r="B2594" s="1" t="s">
        <v>9</v>
      </c>
    </row>
    <row r="2595" spans="1:2" x14ac:dyDescent="0.35">
      <c r="A2595" s="2">
        <v>46161</v>
      </c>
      <c r="B2595" s="1" t="s">
        <v>9</v>
      </c>
    </row>
    <row r="2596" spans="1:2" x14ac:dyDescent="0.35">
      <c r="A2596" s="2">
        <v>46161</v>
      </c>
      <c r="B2596" s="1" t="s">
        <v>9</v>
      </c>
    </row>
    <row r="2597" spans="1:2" x14ac:dyDescent="0.35">
      <c r="A2597" s="2">
        <v>46162</v>
      </c>
      <c r="B2597" s="1" t="s">
        <v>24</v>
      </c>
    </row>
    <row r="2598" spans="1:2" x14ac:dyDescent="0.35">
      <c r="A2598" s="2">
        <v>46162</v>
      </c>
      <c r="B2598" s="1" t="s">
        <v>24</v>
      </c>
    </row>
    <row r="2599" spans="1:2" x14ac:dyDescent="0.35">
      <c r="A2599" s="2">
        <v>46162</v>
      </c>
      <c r="B2599" s="1" t="s">
        <v>24</v>
      </c>
    </row>
    <row r="2600" spans="1:2" x14ac:dyDescent="0.35">
      <c r="A2600" s="2">
        <v>46162</v>
      </c>
      <c r="B2600" s="1" t="s">
        <v>9</v>
      </c>
    </row>
    <row r="2601" spans="1:2" x14ac:dyDescent="0.35">
      <c r="A2601" s="2">
        <v>46164</v>
      </c>
      <c r="B2601" s="1" t="s">
        <v>28</v>
      </c>
    </row>
    <row r="2602" spans="1:2" x14ac:dyDescent="0.35">
      <c r="A2602" s="2">
        <v>46167</v>
      </c>
      <c r="B2602" s="1" t="s">
        <v>9</v>
      </c>
    </row>
    <row r="2603" spans="1:2" x14ac:dyDescent="0.35">
      <c r="A2603" s="2">
        <v>46167</v>
      </c>
      <c r="B2603" s="1" t="s">
        <v>9</v>
      </c>
    </row>
    <row r="2604" spans="1:2" x14ac:dyDescent="0.35">
      <c r="A2604" s="2">
        <v>46167</v>
      </c>
      <c r="B2604" s="1" t="s">
        <v>9</v>
      </c>
    </row>
    <row r="2605" spans="1:2" x14ac:dyDescent="0.35">
      <c r="A2605" s="2">
        <v>46167</v>
      </c>
      <c r="B2605" s="1" t="s">
        <v>28</v>
      </c>
    </row>
    <row r="2606" spans="1:2" x14ac:dyDescent="0.35">
      <c r="A2606" s="2">
        <v>46168</v>
      </c>
      <c r="B2606" s="1" t="s">
        <v>9</v>
      </c>
    </row>
    <row r="2607" spans="1:2" x14ac:dyDescent="0.35">
      <c r="A2607" s="2">
        <v>46168</v>
      </c>
      <c r="B2607" s="1" t="s">
        <v>9</v>
      </c>
    </row>
    <row r="2608" spans="1:2" x14ac:dyDescent="0.35">
      <c r="A2608" s="2">
        <v>46168</v>
      </c>
      <c r="B2608" s="1" t="s">
        <v>9</v>
      </c>
    </row>
    <row r="2609" spans="1:2" x14ac:dyDescent="0.35">
      <c r="A2609" s="2">
        <v>46168</v>
      </c>
      <c r="B2609" s="1" t="s">
        <v>28</v>
      </c>
    </row>
    <row r="2610" spans="1:2" x14ac:dyDescent="0.35">
      <c r="A2610" s="2">
        <v>46168</v>
      </c>
      <c r="B2610" s="1" t="s">
        <v>28</v>
      </c>
    </row>
    <row r="2611" spans="1:2" x14ac:dyDescent="0.35">
      <c r="A2611" s="2">
        <v>46168</v>
      </c>
      <c r="B2611" s="1" t="s">
        <v>28</v>
      </c>
    </row>
    <row r="2612" spans="1:2" x14ac:dyDescent="0.35">
      <c r="A2612" s="2">
        <v>46168</v>
      </c>
      <c r="B2612" s="1" t="s">
        <v>28</v>
      </c>
    </row>
    <row r="2613" spans="1:2" x14ac:dyDescent="0.35">
      <c r="A2613" s="2">
        <v>46169</v>
      </c>
      <c r="B2613" s="1" t="s">
        <v>28</v>
      </c>
    </row>
    <row r="2614" spans="1:2" x14ac:dyDescent="0.35">
      <c r="A2614" s="2">
        <v>46169</v>
      </c>
      <c r="B2614" s="1" t="s">
        <v>28</v>
      </c>
    </row>
    <row r="2615" spans="1:2" x14ac:dyDescent="0.35">
      <c r="A2615" s="2">
        <v>46170</v>
      </c>
      <c r="B2615" s="1" t="s">
        <v>9</v>
      </c>
    </row>
    <row r="2616" spans="1:2" x14ac:dyDescent="0.35">
      <c r="A2616" s="2">
        <v>46170</v>
      </c>
      <c r="B2616" s="1" t="s">
        <v>9</v>
      </c>
    </row>
    <row r="2617" spans="1:2" x14ac:dyDescent="0.35">
      <c r="A2617" s="2">
        <v>46170</v>
      </c>
      <c r="B2617" s="1" t="s">
        <v>9</v>
      </c>
    </row>
    <row r="2618" spans="1:2" x14ac:dyDescent="0.35">
      <c r="A2618" s="2">
        <v>46170</v>
      </c>
      <c r="B2618" s="1" t="s">
        <v>9</v>
      </c>
    </row>
    <row r="2619" spans="1:2" x14ac:dyDescent="0.35">
      <c r="A2619" s="2">
        <v>46170</v>
      </c>
      <c r="B2619" s="1" t="s">
        <v>9</v>
      </c>
    </row>
    <row r="2620" spans="1:2" x14ac:dyDescent="0.35">
      <c r="A2620" s="2">
        <v>46170</v>
      </c>
      <c r="B2620" s="1" t="s">
        <v>9</v>
      </c>
    </row>
    <row r="2621" spans="1:2" x14ac:dyDescent="0.35">
      <c r="A2621" s="2">
        <v>46171</v>
      </c>
      <c r="B2621" s="1" t="s">
        <v>9</v>
      </c>
    </row>
    <row r="2622" spans="1:2" x14ac:dyDescent="0.35">
      <c r="A2622" s="2">
        <v>46172</v>
      </c>
      <c r="B2622" s="1" t="s">
        <v>5</v>
      </c>
    </row>
    <row r="2623" spans="1:2" x14ac:dyDescent="0.35">
      <c r="A2623" s="2">
        <v>46172</v>
      </c>
      <c r="B2623" s="1" t="s">
        <v>5</v>
      </c>
    </row>
    <row r="2624" spans="1:2" x14ac:dyDescent="0.35">
      <c r="A2624" s="2">
        <v>46174</v>
      </c>
      <c r="B2624" s="1" t="s">
        <v>9</v>
      </c>
    </row>
    <row r="2625" spans="1:2" x14ac:dyDescent="0.35">
      <c r="A2625" s="2">
        <v>46174</v>
      </c>
      <c r="B2625" s="1" t="s">
        <v>9</v>
      </c>
    </row>
    <row r="2626" spans="1:2" x14ac:dyDescent="0.35">
      <c r="A2626" s="2">
        <v>46174</v>
      </c>
      <c r="B2626" s="1" t="s">
        <v>9</v>
      </c>
    </row>
    <row r="2627" spans="1:2" x14ac:dyDescent="0.35">
      <c r="A2627" s="2">
        <v>46174</v>
      </c>
      <c r="B2627" s="1" t="s">
        <v>9</v>
      </c>
    </row>
    <row r="2628" spans="1:2" x14ac:dyDescent="0.35">
      <c r="A2628" s="2">
        <v>46174</v>
      </c>
      <c r="B2628" s="1" t="s">
        <v>9</v>
      </c>
    </row>
    <row r="2629" spans="1:2" x14ac:dyDescent="0.35">
      <c r="A2629" s="2">
        <v>46174</v>
      </c>
      <c r="B2629" s="1" t="s">
        <v>5</v>
      </c>
    </row>
    <row r="2630" spans="1:2" x14ac:dyDescent="0.35">
      <c r="A2630" s="2">
        <v>46174</v>
      </c>
      <c r="B2630" s="1" t="s">
        <v>5</v>
      </c>
    </row>
    <row r="2631" spans="1:2" x14ac:dyDescent="0.35">
      <c r="A2631" s="2">
        <v>46175</v>
      </c>
      <c r="B2631" s="1" t="s">
        <v>24</v>
      </c>
    </row>
    <row r="2632" spans="1:2" x14ac:dyDescent="0.35">
      <c r="A2632" s="2">
        <v>46175</v>
      </c>
      <c r="B2632" s="1" t="s">
        <v>9</v>
      </c>
    </row>
    <row r="2633" spans="1:2" x14ac:dyDescent="0.35">
      <c r="A2633" s="2">
        <v>46175</v>
      </c>
      <c r="B2633" s="1" t="s">
        <v>9</v>
      </c>
    </row>
    <row r="2634" spans="1:2" x14ac:dyDescent="0.35">
      <c r="A2634" s="2">
        <v>46175</v>
      </c>
      <c r="B2634" s="1" t="s">
        <v>9</v>
      </c>
    </row>
    <row r="2635" spans="1:2" x14ac:dyDescent="0.35">
      <c r="A2635" s="2">
        <v>46175</v>
      </c>
      <c r="B2635" s="1" t="s">
        <v>24</v>
      </c>
    </row>
    <row r="2636" spans="1:2" x14ac:dyDescent="0.35">
      <c r="A2636" s="2">
        <v>46175</v>
      </c>
      <c r="B2636" s="1" t="s">
        <v>28</v>
      </c>
    </row>
    <row r="2637" spans="1:2" x14ac:dyDescent="0.35">
      <c r="A2637" s="2">
        <v>46175</v>
      </c>
      <c r="B2637" s="1" t="s">
        <v>28</v>
      </c>
    </row>
    <row r="2638" spans="1:2" x14ac:dyDescent="0.35">
      <c r="A2638" s="2">
        <v>46175</v>
      </c>
      <c r="B2638" s="1" t="s">
        <v>5</v>
      </c>
    </row>
    <row r="2639" spans="1:2" x14ac:dyDescent="0.35">
      <c r="A2639" s="2">
        <v>46175</v>
      </c>
      <c r="B2639" s="1" t="s">
        <v>28</v>
      </c>
    </row>
    <row r="2640" spans="1:2" x14ac:dyDescent="0.35">
      <c r="A2640" s="2">
        <v>46175</v>
      </c>
      <c r="B2640" s="1" t="s">
        <v>28</v>
      </c>
    </row>
    <row r="2641" spans="1:2" x14ac:dyDescent="0.35">
      <c r="A2641" s="2">
        <v>46178</v>
      </c>
      <c r="B2641" s="1" t="s">
        <v>9</v>
      </c>
    </row>
    <row r="2642" spans="1:2" x14ac:dyDescent="0.35">
      <c r="A2642" s="2">
        <v>46178</v>
      </c>
      <c r="B2642" s="1" t="s">
        <v>9</v>
      </c>
    </row>
    <row r="2643" spans="1:2" x14ac:dyDescent="0.35">
      <c r="A2643" s="2">
        <v>46178</v>
      </c>
      <c r="B2643" s="1" t="s">
        <v>9</v>
      </c>
    </row>
    <row r="2644" spans="1:2" x14ac:dyDescent="0.35">
      <c r="A2644" s="2">
        <v>46178</v>
      </c>
      <c r="B2644" s="1" t="s">
        <v>9</v>
      </c>
    </row>
    <row r="2645" spans="1:2" x14ac:dyDescent="0.35">
      <c r="A2645" s="2">
        <v>46178</v>
      </c>
      <c r="B2645" s="1" t="s">
        <v>28</v>
      </c>
    </row>
    <row r="2646" spans="1:2" x14ac:dyDescent="0.35">
      <c r="A2646" s="2">
        <v>46178</v>
      </c>
      <c r="B2646" s="1" t="s">
        <v>28</v>
      </c>
    </row>
    <row r="2647" spans="1:2" x14ac:dyDescent="0.35">
      <c r="A2647" s="2">
        <v>46178</v>
      </c>
      <c r="B2647" s="1" t="s">
        <v>28</v>
      </c>
    </row>
    <row r="2648" spans="1:2" x14ac:dyDescent="0.35">
      <c r="A2648" s="2">
        <v>46178</v>
      </c>
      <c r="B2648" s="1" t="s">
        <v>28</v>
      </c>
    </row>
    <row r="2649" spans="1:2" x14ac:dyDescent="0.35">
      <c r="A2649" s="2">
        <v>46178</v>
      </c>
      <c r="B2649" s="1" t="s">
        <v>28</v>
      </c>
    </row>
    <row r="2650" spans="1:2" x14ac:dyDescent="0.35">
      <c r="A2650" s="2">
        <v>46181</v>
      </c>
      <c r="B2650" s="1" t="s">
        <v>24</v>
      </c>
    </row>
    <row r="2651" spans="1:2" x14ac:dyDescent="0.35">
      <c r="A2651" s="2">
        <v>46181</v>
      </c>
      <c r="B2651" s="1" t="s">
        <v>9</v>
      </c>
    </row>
    <row r="2652" spans="1:2" x14ac:dyDescent="0.35">
      <c r="A2652" s="2">
        <v>46181</v>
      </c>
      <c r="B2652" s="1" t="s">
        <v>22</v>
      </c>
    </row>
    <row r="2653" spans="1:2" x14ac:dyDescent="0.35">
      <c r="A2653" s="2">
        <v>46181</v>
      </c>
      <c r="B2653" s="1" t="s">
        <v>24</v>
      </c>
    </row>
    <row r="2654" spans="1:2" x14ac:dyDescent="0.35">
      <c r="A2654" s="2">
        <v>46181</v>
      </c>
      <c r="B2654" s="1" t="s">
        <v>9</v>
      </c>
    </row>
    <row r="2655" spans="1:2" x14ac:dyDescent="0.35">
      <c r="A2655" s="2">
        <v>46181</v>
      </c>
      <c r="B2655" s="1" t="s">
        <v>9</v>
      </c>
    </row>
    <row r="2656" spans="1:2" x14ac:dyDescent="0.35">
      <c r="A2656" s="2">
        <v>46181</v>
      </c>
      <c r="B2656" s="1" t="s">
        <v>9</v>
      </c>
    </row>
    <row r="2657" spans="1:2" x14ac:dyDescent="0.35">
      <c r="A2657" s="2">
        <v>46181</v>
      </c>
      <c r="B2657" s="1" t="s">
        <v>9</v>
      </c>
    </row>
    <row r="2658" spans="1:2" x14ac:dyDescent="0.35">
      <c r="A2658" s="2">
        <v>46182</v>
      </c>
      <c r="B2658" s="1" t="s">
        <v>24</v>
      </c>
    </row>
    <row r="2659" spans="1:2" x14ac:dyDescent="0.35">
      <c r="A2659" s="2">
        <v>46182</v>
      </c>
      <c r="B2659" s="1" t="s">
        <v>24</v>
      </c>
    </row>
    <row r="2660" spans="1:2" x14ac:dyDescent="0.35">
      <c r="A2660" s="2">
        <v>46182</v>
      </c>
      <c r="B2660" s="1" t="s">
        <v>24</v>
      </c>
    </row>
    <row r="2661" spans="1:2" x14ac:dyDescent="0.35">
      <c r="A2661" s="2">
        <v>46182</v>
      </c>
      <c r="B2661" s="1" t="s">
        <v>24</v>
      </c>
    </row>
    <row r="2662" spans="1:2" x14ac:dyDescent="0.35">
      <c r="A2662" s="2">
        <v>46182</v>
      </c>
      <c r="B2662" s="1" t="s">
        <v>9</v>
      </c>
    </row>
    <row r="2663" spans="1:2" x14ac:dyDescent="0.35">
      <c r="A2663" s="2">
        <v>46182</v>
      </c>
      <c r="B2663" s="1" t="s">
        <v>9</v>
      </c>
    </row>
    <row r="2664" spans="1:2" x14ac:dyDescent="0.35">
      <c r="A2664" s="2">
        <v>46182</v>
      </c>
      <c r="B2664" s="1" t="s">
        <v>9</v>
      </c>
    </row>
    <row r="2665" spans="1:2" x14ac:dyDescent="0.35">
      <c r="A2665" s="2">
        <v>46182</v>
      </c>
      <c r="B2665" s="1" t="s">
        <v>9</v>
      </c>
    </row>
    <row r="2666" spans="1:2" x14ac:dyDescent="0.35">
      <c r="A2666" s="2">
        <v>46182</v>
      </c>
      <c r="B2666" s="1" t="s">
        <v>9</v>
      </c>
    </row>
    <row r="2667" spans="1:2" x14ac:dyDescent="0.35">
      <c r="A2667" s="2">
        <v>46182</v>
      </c>
      <c r="B2667" s="1" t="s">
        <v>9</v>
      </c>
    </row>
    <row r="2668" spans="1:2" x14ac:dyDescent="0.35">
      <c r="A2668" s="2">
        <v>46183</v>
      </c>
      <c r="B2668" s="1" t="s">
        <v>9</v>
      </c>
    </row>
    <row r="2669" spans="1:2" x14ac:dyDescent="0.35">
      <c r="A2669" s="2">
        <v>46183</v>
      </c>
      <c r="B2669" s="1" t="s">
        <v>9</v>
      </c>
    </row>
    <row r="2670" spans="1:2" x14ac:dyDescent="0.35">
      <c r="A2670" s="2">
        <v>46183</v>
      </c>
      <c r="B2670" s="1" t="s">
        <v>9</v>
      </c>
    </row>
    <row r="2671" spans="1:2" x14ac:dyDescent="0.35">
      <c r="A2671" s="2">
        <v>46183</v>
      </c>
      <c r="B2671" s="1" t="s">
        <v>9</v>
      </c>
    </row>
    <row r="2672" spans="1:2" x14ac:dyDescent="0.35">
      <c r="A2672" s="2">
        <v>46183</v>
      </c>
      <c r="B2672" s="1" t="s">
        <v>9</v>
      </c>
    </row>
    <row r="2673" spans="1:2" x14ac:dyDescent="0.35">
      <c r="A2673" s="2">
        <v>46183</v>
      </c>
      <c r="B2673" s="1" t="s">
        <v>9</v>
      </c>
    </row>
    <row r="2674" spans="1:2" x14ac:dyDescent="0.35">
      <c r="A2674" s="2">
        <v>46184</v>
      </c>
      <c r="B2674" s="1" t="s">
        <v>9</v>
      </c>
    </row>
    <row r="2675" spans="1:2" x14ac:dyDescent="0.35">
      <c r="A2675" s="2">
        <v>46184</v>
      </c>
      <c r="B2675" s="1" t="s">
        <v>5</v>
      </c>
    </row>
    <row r="2676" spans="1:2" x14ac:dyDescent="0.35">
      <c r="A2676" s="2">
        <v>46184</v>
      </c>
      <c r="B2676" s="1" t="s">
        <v>5</v>
      </c>
    </row>
    <row r="2677" spans="1:2" x14ac:dyDescent="0.35">
      <c r="A2677" s="2">
        <v>46184</v>
      </c>
      <c r="B2677" s="1" t="s">
        <v>9</v>
      </c>
    </row>
    <row r="2678" spans="1:2" x14ac:dyDescent="0.35">
      <c r="A2678" s="2">
        <v>46188</v>
      </c>
      <c r="B2678" s="1" t="s">
        <v>9</v>
      </c>
    </row>
    <row r="2679" spans="1:2" x14ac:dyDescent="0.35">
      <c r="A2679" s="2">
        <v>46188</v>
      </c>
      <c r="B2679" s="1" t="s">
        <v>9</v>
      </c>
    </row>
    <row r="2680" spans="1:2" x14ac:dyDescent="0.35">
      <c r="A2680" s="2">
        <v>46188</v>
      </c>
      <c r="B2680" s="1" t="s">
        <v>9</v>
      </c>
    </row>
    <row r="2681" spans="1:2" x14ac:dyDescent="0.35">
      <c r="A2681" s="2">
        <v>46188</v>
      </c>
      <c r="B2681" s="1" t="s">
        <v>9</v>
      </c>
    </row>
    <row r="2682" spans="1:2" x14ac:dyDescent="0.35">
      <c r="A2682" s="2">
        <v>46188</v>
      </c>
      <c r="B2682" s="1" t="s">
        <v>9</v>
      </c>
    </row>
    <row r="2683" spans="1:2" x14ac:dyDescent="0.35">
      <c r="A2683" s="2">
        <v>46188</v>
      </c>
      <c r="B2683" s="1" t="s">
        <v>9</v>
      </c>
    </row>
    <row r="2684" spans="1:2" x14ac:dyDescent="0.35">
      <c r="A2684" s="2">
        <v>46188</v>
      </c>
      <c r="B2684" s="1" t="s">
        <v>9</v>
      </c>
    </row>
    <row r="2685" spans="1:2" x14ac:dyDescent="0.35">
      <c r="A2685" s="2">
        <v>46188</v>
      </c>
      <c r="B2685" s="1" t="s">
        <v>24</v>
      </c>
    </row>
    <row r="2686" spans="1:2" x14ac:dyDescent="0.35">
      <c r="A2686" s="2">
        <v>46188</v>
      </c>
      <c r="B2686" s="1" t="s">
        <v>5</v>
      </c>
    </row>
    <row r="2687" spans="1:2" x14ac:dyDescent="0.35">
      <c r="A2687" s="2">
        <v>46189</v>
      </c>
      <c r="B2687" s="1" t="s">
        <v>32</v>
      </c>
    </row>
    <row r="2688" spans="1:2" x14ac:dyDescent="0.35">
      <c r="A2688" s="2">
        <v>46189</v>
      </c>
      <c r="B2688" s="1" t="s">
        <v>9</v>
      </c>
    </row>
    <row r="2689" spans="1:2" x14ac:dyDescent="0.35">
      <c r="A2689" s="2">
        <v>46189</v>
      </c>
      <c r="B2689" s="1" t="s">
        <v>9</v>
      </c>
    </row>
    <row r="2690" spans="1:2" x14ac:dyDescent="0.35">
      <c r="A2690" s="2">
        <v>46189</v>
      </c>
      <c r="B2690" s="1" t="s">
        <v>9</v>
      </c>
    </row>
    <row r="2691" spans="1:2" x14ac:dyDescent="0.35">
      <c r="A2691" s="2">
        <v>46191</v>
      </c>
      <c r="B2691" s="1" t="s">
        <v>5</v>
      </c>
    </row>
    <row r="2692" spans="1:2" x14ac:dyDescent="0.35">
      <c r="A2692" s="2">
        <v>46191</v>
      </c>
      <c r="B2692" s="1" t="s">
        <v>9</v>
      </c>
    </row>
    <row r="2693" spans="1:2" x14ac:dyDescent="0.35">
      <c r="A2693" s="2">
        <v>46191</v>
      </c>
      <c r="B2693" s="1" t="s">
        <v>9</v>
      </c>
    </row>
    <row r="2694" spans="1:2" x14ac:dyDescent="0.35">
      <c r="A2694" s="2">
        <v>46191</v>
      </c>
      <c r="B2694" s="1" t="s">
        <v>9</v>
      </c>
    </row>
    <row r="2695" spans="1:2" x14ac:dyDescent="0.35">
      <c r="A2695" s="2">
        <v>46191</v>
      </c>
      <c r="B2695" s="1" t="s">
        <v>9</v>
      </c>
    </row>
    <row r="2696" spans="1:2" x14ac:dyDescent="0.35">
      <c r="A2696" s="2">
        <v>46191</v>
      </c>
      <c r="B2696" s="1" t="s">
        <v>9</v>
      </c>
    </row>
    <row r="2697" spans="1:2" x14ac:dyDescent="0.35">
      <c r="A2697" s="2">
        <v>46192</v>
      </c>
      <c r="B2697" s="1" t="s">
        <v>9</v>
      </c>
    </row>
    <row r="2698" spans="1:2" x14ac:dyDescent="0.35">
      <c r="A2698" s="2">
        <v>46192</v>
      </c>
      <c r="B2698" s="1" t="s">
        <v>9</v>
      </c>
    </row>
    <row r="2699" spans="1:2" x14ac:dyDescent="0.35">
      <c r="A2699" s="2">
        <v>46192</v>
      </c>
      <c r="B2699" s="1" t="s">
        <v>9</v>
      </c>
    </row>
    <row r="2700" spans="1:2" x14ac:dyDescent="0.35">
      <c r="A2700" s="2">
        <v>46195</v>
      </c>
      <c r="B2700" s="1" t="s">
        <v>9</v>
      </c>
    </row>
    <row r="2701" spans="1:2" x14ac:dyDescent="0.35">
      <c r="A2701" s="2">
        <v>46195</v>
      </c>
      <c r="B2701" s="1" t="s">
        <v>9</v>
      </c>
    </row>
    <row r="2702" spans="1:2" x14ac:dyDescent="0.35">
      <c r="A2702" s="2">
        <v>46195</v>
      </c>
      <c r="B2702" s="1" t="s">
        <v>9</v>
      </c>
    </row>
    <row r="2703" spans="1:2" x14ac:dyDescent="0.35">
      <c r="A2703" s="2">
        <v>46195</v>
      </c>
      <c r="B2703" s="1" t="s">
        <v>9</v>
      </c>
    </row>
    <row r="2704" spans="1:2" x14ac:dyDescent="0.35">
      <c r="A2704" s="2">
        <v>46196</v>
      </c>
      <c r="B2704" s="1" t="s">
        <v>9</v>
      </c>
    </row>
    <row r="2705" spans="1:2" x14ac:dyDescent="0.35">
      <c r="A2705" s="2">
        <v>46196</v>
      </c>
      <c r="B2705" s="1" t="s">
        <v>9</v>
      </c>
    </row>
    <row r="2706" spans="1:2" x14ac:dyDescent="0.35">
      <c r="A2706" s="2">
        <v>46196</v>
      </c>
      <c r="B2706" s="1" t="s">
        <v>9</v>
      </c>
    </row>
    <row r="2707" spans="1:2" x14ac:dyDescent="0.35">
      <c r="A2707" s="2">
        <v>46196</v>
      </c>
      <c r="B2707" s="1" t="s">
        <v>9</v>
      </c>
    </row>
    <row r="2708" spans="1:2" x14ac:dyDescent="0.35">
      <c r="A2708" s="2">
        <v>46202</v>
      </c>
      <c r="B2708" s="1" t="s">
        <v>9</v>
      </c>
    </row>
    <row r="2709" spans="1:2" x14ac:dyDescent="0.35">
      <c r="A2709" s="2">
        <v>46202</v>
      </c>
      <c r="B2709" s="1" t="s">
        <v>9</v>
      </c>
    </row>
    <row r="2710" spans="1:2" x14ac:dyDescent="0.35">
      <c r="A2710" s="2">
        <v>46202</v>
      </c>
      <c r="B2710" s="1" t="s">
        <v>9</v>
      </c>
    </row>
    <row r="2711" spans="1:2" x14ac:dyDescent="0.35">
      <c r="A2711" s="2">
        <v>46202</v>
      </c>
      <c r="B2711" s="1" t="s">
        <v>9</v>
      </c>
    </row>
    <row r="2712" spans="1:2" x14ac:dyDescent="0.35">
      <c r="A2712" s="2">
        <v>46203</v>
      </c>
      <c r="B2712" s="1" t="s">
        <v>9</v>
      </c>
    </row>
    <row r="2713" spans="1:2" x14ac:dyDescent="0.35">
      <c r="A2713" s="2">
        <v>46203</v>
      </c>
      <c r="B2713" s="1" t="s">
        <v>9</v>
      </c>
    </row>
    <row r="2714" spans="1:2" x14ac:dyDescent="0.35">
      <c r="A2714" s="2">
        <v>46203</v>
      </c>
      <c r="B2714" s="1" t="s">
        <v>9</v>
      </c>
    </row>
    <row r="2715" spans="1:2" x14ac:dyDescent="0.35">
      <c r="A2715" s="2">
        <v>46203</v>
      </c>
      <c r="B2715" s="1" t="s">
        <v>9</v>
      </c>
    </row>
    <row r="2716" spans="1:2" x14ac:dyDescent="0.35">
      <c r="A2716" s="2">
        <v>46204</v>
      </c>
      <c r="B2716" s="1" t="s">
        <v>9</v>
      </c>
    </row>
    <row r="2717" spans="1:2" x14ac:dyDescent="0.35">
      <c r="A2717" s="2">
        <v>46205</v>
      </c>
      <c r="B2717" s="1" t="s">
        <v>9</v>
      </c>
    </row>
    <row r="2718" spans="1:2" x14ac:dyDescent="0.35">
      <c r="A2718" s="2">
        <v>46205</v>
      </c>
      <c r="B2718" s="1" t="s">
        <v>9</v>
      </c>
    </row>
    <row r="2719" spans="1:2" x14ac:dyDescent="0.35">
      <c r="A2719" s="2">
        <v>46205</v>
      </c>
      <c r="B2719" s="1" t="s">
        <v>9</v>
      </c>
    </row>
    <row r="2720" spans="1:2" x14ac:dyDescent="0.35">
      <c r="A2720" s="2">
        <v>46205</v>
      </c>
      <c r="B2720" s="1" t="s">
        <v>9</v>
      </c>
    </row>
    <row r="2721" spans="1:2" x14ac:dyDescent="0.35">
      <c r="A2721" s="2">
        <v>46205</v>
      </c>
      <c r="B2721" s="1" t="s">
        <v>9</v>
      </c>
    </row>
    <row r="2722" spans="1:2" x14ac:dyDescent="0.35">
      <c r="A2722" s="2">
        <v>46206</v>
      </c>
      <c r="B2722" s="1" t="s">
        <v>5</v>
      </c>
    </row>
    <row r="2723" spans="1:2" x14ac:dyDescent="0.35">
      <c r="A2723" s="2">
        <v>46206</v>
      </c>
      <c r="B2723" s="1" t="s">
        <v>5</v>
      </c>
    </row>
    <row r="2724" spans="1:2" x14ac:dyDescent="0.35">
      <c r="A2724" s="2">
        <v>46206</v>
      </c>
      <c r="B2724" s="1" t="s">
        <v>5</v>
      </c>
    </row>
    <row r="2725" spans="1:2" x14ac:dyDescent="0.35">
      <c r="A2725" s="2">
        <v>46206</v>
      </c>
      <c r="B2725" s="1" t="s">
        <v>9</v>
      </c>
    </row>
    <row r="2726" spans="1:2" x14ac:dyDescent="0.35">
      <c r="A2726" s="2">
        <v>46206</v>
      </c>
      <c r="B2726" s="1" t="s">
        <v>9</v>
      </c>
    </row>
    <row r="2727" spans="1:2" x14ac:dyDescent="0.35">
      <c r="A2727" s="2">
        <v>46206</v>
      </c>
      <c r="B2727" s="1" t="s">
        <v>9</v>
      </c>
    </row>
    <row r="2728" spans="1:2" x14ac:dyDescent="0.35">
      <c r="A2728" s="2">
        <v>46206</v>
      </c>
      <c r="B2728" s="1" t="s">
        <v>9</v>
      </c>
    </row>
    <row r="2729" spans="1:2" x14ac:dyDescent="0.35">
      <c r="A2729" s="2">
        <v>46206</v>
      </c>
      <c r="B2729" s="1" t="s">
        <v>9</v>
      </c>
    </row>
    <row r="2730" spans="1:2" x14ac:dyDescent="0.35">
      <c r="A2730" s="2">
        <v>46209</v>
      </c>
      <c r="B2730" s="1" t="s">
        <v>9</v>
      </c>
    </row>
    <row r="2731" spans="1:2" x14ac:dyDescent="0.35">
      <c r="A2731" s="2">
        <v>46209</v>
      </c>
      <c r="B2731" s="1" t="s">
        <v>9</v>
      </c>
    </row>
    <row r="2732" spans="1:2" x14ac:dyDescent="0.35">
      <c r="A2732" s="2">
        <v>46209</v>
      </c>
      <c r="B2732" s="1" t="s">
        <v>9</v>
      </c>
    </row>
    <row r="2733" spans="1:2" x14ac:dyDescent="0.35">
      <c r="A2733" s="2">
        <v>46209</v>
      </c>
      <c r="B2733" s="1" t="s">
        <v>9</v>
      </c>
    </row>
    <row r="2734" spans="1:2" x14ac:dyDescent="0.35">
      <c r="A2734" s="2">
        <v>46210</v>
      </c>
      <c r="B2734" s="1" t="s">
        <v>9</v>
      </c>
    </row>
    <row r="2735" spans="1:2" x14ac:dyDescent="0.35">
      <c r="A2735" s="2">
        <v>46210</v>
      </c>
      <c r="B2735" s="1" t="s">
        <v>9</v>
      </c>
    </row>
    <row r="2736" spans="1:2" x14ac:dyDescent="0.35">
      <c r="A2736" s="2">
        <v>46210</v>
      </c>
      <c r="B2736" s="1" t="s">
        <v>9</v>
      </c>
    </row>
    <row r="2737" spans="1:2" x14ac:dyDescent="0.35">
      <c r="A2737" s="2">
        <v>46210</v>
      </c>
      <c r="B2737" s="1" t="s">
        <v>9</v>
      </c>
    </row>
    <row r="2738" spans="1:2" x14ac:dyDescent="0.35">
      <c r="A2738" s="2">
        <v>46210</v>
      </c>
      <c r="B2738" s="1" t="s">
        <v>9</v>
      </c>
    </row>
    <row r="2739" spans="1:2" x14ac:dyDescent="0.35">
      <c r="A2739" s="2">
        <v>46211</v>
      </c>
      <c r="B2739" s="1" t="s">
        <v>9</v>
      </c>
    </row>
    <row r="2740" spans="1:2" x14ac:dyDescent="0.35">
      <c r="A2740" s="2">
        <v>46211</v>
      </c>
      <c r="B2740" s="1" t="s">
        <v>9</v>
      </c>
    </row>
    <row r="2741" spans="1:2" x14ac:dyDescent="0.35">
      <c r="A2741" s="2">
        <v>46211</v>
      </c>
      <c r="B2741" s="1" t="s">
        <v>9</v>
      </c>
    </row>
    <row r="2742" spans="1:2" x14ac:dyDescent="0.35">
      <c r="A2742" s="2">
        <v>46211</v>
      </c>
      <c r="B2742" s="1" t="s">
        <v>9</v>
      </c>
    </row>
    <row r="2743" spans="1:2" x14ac:dyDescent="0.35">
      <c r="A2743" s="2">
        <v>46217</v>
      </c>
      <c r="B2743" s="1" t="s">
        <v>9</v>
      </c>
    </row>
    <row r="2744" spans="1:2" x14ac:dyDescent="0.35">
      <c r="A2744" s="2">
        <v>46217</v>
      </c>
      <c r="B2744" s="1" t="s">
        <v>9</v>
      </c>
    </row>
    <row r="2745" spans="1:2" x14ac:dyDescent="0.35">
      <c r="A2745" s="2">
        <v>46217</v>
      </c>
      <c r="B2745" s="1" t="s">
        <v>9</v>
      </c>
    </row>
    <row r="2746" spans="1:2" x14ac:dyDescent="0.35">
      <c r="A2746" s="2">
        <v>46217</v>
      </c>
      <c r="B2746" s="1" t="s">
        <v>9</v>
      </c>
    </row>
    <row r="2747" spans="1:2" x14ac:dyDescent="0.35">
      <c r="A2747" s="2">
        <v>46217</v>
      </c>
      <c r="B2747" s="1" t="s">
        <v>9</v>
      </c>
    </row>
    <row r="2748" spans="1:2" x14ac:dyDescent="0.35">
      <c r="A2748" s="2">
        <v>46217</v>
      </c>
      <c r="B2748" s="1" t="s">
        <v>9</v>
      </c>
    </row>
    <row r="2749" spans="1:2" x14ac:dyDescent="0.35">
      <c r="A2749" s="2">
        <v>46217</v>
      </c>
      <c r="B2749" s="1" t="s">
        <v>9</v>
      </c>
    </row>
    <row r="2750" spans="1:2" x14ac:dyDescent="0.35">
      <c r="A2750" s="2">
        <v>46217</v>
      </c>
      <c r="B2750" s="1" t="s">
        <v>9</v>
      </c>
    </row>
    <row r="2751" spans="1:2" x14ac:dyDescent="0.35">
      <c r="A2751" s="2">
        <v>46217</v>
      </c>
      <c r="B2751" s="1" t="s">
        <v>9</v>
      </c>
    </row>
    <row r="2752" spans="1:2" x14ac:dyDescent="0.35">
      <c r="A2752" s="2">
        <v>46217</v>
      </c>
      <c r="B2752" s="1" t="s">
        <v>9</v>
      </c>
    </row>
    <row r="2753" spans="1:2" x14ac:dyDescent="0.35">
      <c r="A2753" s="2">
        <v>46217</v>
      </c>
      <c r="B2753" s="1" t="s">
        <v>9</v>
      </c>
    </row>
    <row r="2754" spans="1:2" x14ac:dyDescent="0.35">
      <c r="A2754" s="2">
        <v>46217</v>
      </c>
      <c r="B2754" s="1" t="s">
        <v>9</v>
      </c>
    </row>
    <row r="2755" spans="1:2" x14ac:dyDescent="0.35">
      <c r="A2755" s="2">
        <v>46217</v>
      </c>
      <c r="B2755" s="1" t="s">
        <v>19</v>
      </c>
    </row>
    <row r="2756" spans="1:2" x14ac:dyDescent="0.35">
      <c r="A2756" s="2">
        <v>46217</v>
      </c>
      <c r="B2756" s="1" t="s">
        <v>83</v>
      </c>
    </row>
    <row r="2757" spans="1:2" x14ac:dyDescent="0.35">
      <c r="A2757" s="2">
        <v>46218</v>
      </c>
      <c r="B2757" s="1" t="s">
        <v>19</v>
      </c>
    </row>
    <row r="2758" spans="1:2" x14ac:dyDescent="0.35">
      <c r="A2758" s="2">
        <v>46218</v>
      </c>
      <c r="B2758" s="1" t="s">
        <v>19</v>
      </c>
    </row>
    <row r="2759" spans="1:2" x14ac:dyDescent="0.35">
      <c r="A2759" s="2">
        <v>46218</v>
      </c>
      <c r="B2759" s="1" t="s">
        <v>19</v>
      </c>
    </row>
    <row r="2760" spans="1:2" x14ac:dyDescent="0.35">
      <c r="A2760" s="2">
        <v>46218</v>
      </c>
      <c r="B2760" s="1" t="s">
        <v>19</v>
      </c>
    </row>
    <row r="2761" spans="1:2" x14ac:dyDescent="0.35">
      <c r="A2761" s="2">
        <v>46220</v>
      </c>
      <c r="B2761" s="1" t="s">
        <v>19</v>
      </c>
    </row>
    <row r="2762" spans="1:2" x14ac:dyDescent="0.35">
      <c r="A2762" s="2">
        <v>46223</v>
      </c>
      <c r="B2762" s="1" t="s">
        <v>9</v>
      </c>
    </row>
    <row r="2763" spans="1:2" x14ac:dyDescent="0.35">
      <c r="A2763" s="2">
        <v>46223</v>
      </c>
      <c r="B2763" s="1" t="s">
        <v>9</v>
      </c>
    </row>
    <row r="2764" spans="1:2" x14ac:dyDescent="0.35">
      <c r="A2764" s="2">
        <v>46223</v>
      </c>
      <c r="B2764" s="1" t="s">
        <v>9</v>
      </c>
    </row>
    <row r="2765" spans="1:2" x14ac:dyDescent="0.35">
      <c r="A2765" s="2">
        <v>46223</v>
      </c>
      <c r="B2765" s="1" t="s">
        <v>9</v>
      </c>
    </row>
    <row r="2766" spans="1:2" x14ac:dyDescent="0.35">
      <c r="A2766" s="2">
        <v>46223</v>
      </c>
      <c r="B2766" s="1" t="s">
        <v>9</v>
      </c>
    </row>
    <row r="2767" spans="1:2" x14ac:dyDescent="0.35">
      <c r="A2767" s="2">
        <v>46223</v>
      </c>
      <c r="B2767" s="1" t="s">
        <v>9</v>
      </c>
    </row>
    <row r="2768" spans="1:2" x14ac:dyDescent="0.35">
      <c r="A2768" s="2">
        <v>46223</v>
      </c>
      <c r="B2768" s="1" t="s">
        <v>9</v>
      </c>
    </row>
    <row r="2769" spans="1:2" x14ac:dyDescent="0.35">
      <c r="A2769" s="2">
        <v>46224</v>
      </c>
      <c r="B2769" s="1" t="s">
        <v>9</v>
      </c>
    </row>
    <row r="2770" spans="1:2" x14ac:dyDescent="0.35">
      <c r="A2770" s="2">
        <v>46224</v>
      </c>
      <c r="B2770" s="1" t="s">
        <v>9</v>
      </c>
    </row>
    <row r="2771" spans="1:2" x14ac:dyDescent="0.35">
      <c r="A2771" s="2">
        <v>46224</v>
      </c>
      <c r="B2771" s="1" t="s">
        <v>9</v>
      </c>
    </row>
    <row r="2772" spans="1:2" x14ac:dyDescent="0.35">
      <c r="A2772" s="2">
        <v>46224</v>
      </c>
      <c r="B2772" s="1" t="s">
        <v>9</v>
      </c>
    </row>
    <row r="2773" spans="1:2" x14ac:dyDescent="0.35">
      <c r="A2773" s="2">
        <v>46224</v>
      </c>
      <c r="B2773" s="1" t="s">
        <v>9</v>
      </c>
    </row>
    <row r="2774" spans="1:2" x14ac:dyDescent="0.35">
      <c r="A2774" s="2">
        <v>46224</v>
      </c>
      <c r="B2774" s="1" t="s">
        <v>9</v>
      </c>
    </row>
    <row r="2775" spans="1:2" x14ac:dyDescent="0.35">
      <c r="A2775" s="2">
        <v>46224</v>
      </c>
      <c r="B2775" s="1" t="s">
        <v>9</v>
      </c>
    </row>
    <row r="2776" spans="1:2" x14ac:dyDescent="0.35">
      <c r="A2776" s="2">
        <v>46224</v>
      </c>
      <c r="B2776" s="1" t="s">
        <v>9</v>
      </c>
    </row>
    <row r="2777" spans="1:2" x14ac:dyDescent="0.35">
      <c r="A2777" s="2">
        <v>46224</v>
      </c>
      <c r="B2777" s="1" t="s">
        <v>19</v>
      </c>
    </row>
    <row r="2778" spans="1:2" x14ac:dyDescent="0.35">
      <c r="A2778" s="2">
        <v>46224</v>
      </c>
      <c r="B2778" s="1" t="s">
        <v>19</v>
      </c>
    </row>
    <row r="2779" spans="1:2" x14ac:dyDescent="0.35">
      <c r="A2779" s="2">
        <v>46225</v>
      </c>
      <c r="B2779" s="1" t="s">
        <v>19</v>
      </c>
    </row>
    <row r="2780" spans="1:2" x14ac:dyDescent="0.35">
      <c r="A2780" s="2">
        <v>46225</v>
      </c>
      <c r="B2780" s="1" t="s">
        <v>19</v>
      </c>
    </row>
    <row r="2781" spans="1:2" x14ac:dyDescent="0.35">
      <c r="A2781" s="2">
        <v>46225</v>
      </c>
      <c r="B2781" s="1" t="s">
        <v>19</v>
      </c>
    </row>
    <row r="2782" spans="1:2" x14ac:dyDescent="0.35">
      <c r="A2782" s="2">
        <v>46225</v>
      </c>
      <c r="B2782" s="1" t="s">
        <v>19</v>
      </c>
    </row>
    <row r="2783" spans="1:2" x14ac:dyDescent="0.35">
      <c r="A2783" s="2">
        <v>46226</v>
      </c>
      <c r="B2783" s="1" t="s">
        <v>9</v>
      </c>
    </row>
    <row r="2784" spans="1:2" x14ac:dyDescent="0.35">
      <c r="A2784" s="2">
        <v>46226</v>
      </c>
      <c r="B2784" s="1" t="s">
        <v>9</v>
      </c>
    </row>
    <row r="2785" spans="1:2" x14ac:dyDescent="0.35">
      <c r="A2785" s="2">
        <v>46226</v>
      </c>
      <c r="B2785" s="1" t="s">
        <v>19</v>
      </c>
    </row>
    <row r="2786" spans="1:2" x14ac:dyDescent="0.35">
      <c r="A2786" s="2">
        <v>46226</v>
      </c>
      <c r="B2786" s="1" t="s">
        <v>19</v>
      </c>
    </row>
    <row r="2787" spans="1:2" x14ac:dyDescent="0.35">
      <c r="A2787" s="2">
        <v>46226</v>
      </c>
      <c r="B2787" s="1" t="s">
        <v>19</v>
      </c>
    </row>
    <row r="2788" spans="1:2" x14ac:dyDescent="0.35">
      <c r="A2788" s="2">
        <v>46226</v>
      </c>
      <c r="B2788" s="1" t="s">
        <v>19</v>
      </c>
    </row>
    <row r="2789" spans="1:2" x14ac:dyDescent="0.35">
      <c r="A2789" s="2">
        <v>46226</v>
      </c>
      <c r="B2789" s="1" t="s">
        <v>19</v>
      </c>
    </row>
    <row r="2790" spans="1:2" x14ac:dyDescent="0.35">
      <c r="A2790" s="2">
        <v>46227</v>
      </c>
      <c r="B2790" s="1" t="s">
        <v>9</v>
      </c>
    </row>
    <row r="2791" spans="1:2" x14ac:dyDescent="0.35">
      <c r="A2791" s="2">
        <v>46227</v>
      </c>
      <c r="B2791" s="1" t="s">
        <v>9</v>
      </c>
    </row>
    <row r="2792" spans="1:2" x14ac:dyDescent="0.35">
      <c r="A2792" s="2">
        <v>46227</v>
      </c>
      <c r="B2792" s="1" t="s">
        <v>19</v>
      </c>
    </row>
    <row r="2793" spans="1:2" x14ac:dyDescent="0.35">
      <c r="A2793" s="2">
        <v>46227</v>
      </c>
      <c r="B2793" s="1" t="s">
        <v>19</v>
      </c>
    </row>
    <row r="2794" spans="1:2" x14ac:dyDescent="0.35">
      <c r="A2794" s="2">
        <v>46227</v>
      </c>
      <c r="B2794" s="1" t="s">
        <v>19</v>
      </c>
    </row>
    <row r="2795" spans="1:2" x14ac:dyDescent="0.35">
      <c r="A2795" s="2">
        <v>46227</v>
      </c>
      <c r="B2795" s="1" t="s">
        <v>19</v>
      </c>
    </row>
    <row r="2796" spans="1:2" x14ac:dyDescent="0.35">
      <c r="A2796" s="2">
        <v>46227</v>
      </c>
      <c r="B2796" s="1" t="s">
        <v>19</v>
      </c>
    </row>
    <row r="2797" spans="1:2" x14ac:dyDescent="0.35">
      <c r="A2797" s="2">
        <v>46227</v>
      </c>
      <c r="B2797" s="1" t="s">
        <v>19</v>
      </c>
    </row>
    <row r="2798" spans="1:2" x14ac:dyDescent="0.35">
      <c r="A2798" s="2">
        <v>46227</v>
      </c>
      <c r="B2798" s="1" t="s">
        <v>19</v>
      </c>
    </row>
    <row r="2799" spans="1:2" x14ac:dyDescent="0.35">
      <c r="A2799" s="2">
        <v>46227</v>
      </c>
      <c r="B2799" s="1" t="s">
        <v>19</v>
      </c>
    </row>
    <row r="2800" spans="1:2" x14ac:dyDescent="0.35">
      <c r="A2800" s="2">
        <v>46227</v>
      </c>
      <c r="B2800" s="1" t="s">
        <v>9</v>
      </c>
    </row>
    <row r="2801" spans="1:2" x14ac:dyDescent="0.35">
      <c r="A2801" s="2">
        <v>46227</v>
      </c>
      <c r="B2801" s="1" t="s">
        <v>19</v>
      </c>
    </row>
    <row r="2802" spans="1:2" x14ac:dyDescent="0.35">
      <c r="A2802" s="2">
        <v>46227</v>
      </c>
      <c r="B2802" s="1" t="s">
        <v>19</v>
      </c>
    </row>
    <row r="2803" spans="1:2" x14ac:dyDescent="0.35">
      <c r="A2803" s="2">
        <v>46227</v>
      </c>
      <c r="B2803" s="1" t="s">
        <v>19</v>
      </c>
    </row>
    <row r="2804" spans="1:2" x14ac:dyDescent="0.35">
      <c r="A2804" s="2">
        <v>46227</v>
      </c>
      <c r="B2804" s="1" t="s">
        <v>19</v>
      </c>
    </row>
    <row r="2805" spans="1:2" x14ac:dyDescent="0.35">
      <c r="A2805" s="2">
        <v>46227</v>
      </c>
      <c r="B2805" s="1" t="s">
        <v>19</v>
      </c>
    </row>
    <row r="2806" spans="1:2" x14ac:dyDescent="0.35">
      <c r="A2806" s="2">
        <v>46227</v>
      </c>
      <c r="B2806" s="1" t="s">
        <v>19</v>
      </c>
    </row>
    <row r="2807" spans="1:2" x14ac:dyDescent="0.35">
      <c r="A2807" s="2">
        <v>46227</v>
      </c>
      <c r="B2807" s="1" t="s">
        <v>19</v>
      </c>
    </row>
    <row r="2808" spans="1:2" x14ac:dyDescent="0.35">
      <c r="A2808" s="2">
        <v>46227</v>
      </c>
      <c r="B2808" s="1" t="s">
        <v>19</v>
      </c>
    </row>
    <row r="2809" spans="1:2" x14ac:dyDescent="0.35">
      <c r="A2809" s="2">
        <v>46230</v>
      </c>
      <c r="B2809" s="1" t="s">
        <v>9</v>
      </c>
    </row>
    <row r="2810" spans="1:2" x14ac:dyDescent="0.35">
      <c r="A2810" s="2">
        <v>46230</v>
      </c>
      <c r="B2810" s="1" t="s">
        <v>9</v>
      </c>
    </row>
    <row r="2811" spans="1:2" x14ac:dyDescent="0.35">
      <c r="A2811" s="2">
        <v>46230</v>
      </c>
      <c r="B2811" s="1" t="s">
        <v>9</v>
      </c>
    </row>
    <row r="2812" spans="1:2" x14ac:dyDescent="0.35">
      <c r="A2812" s="2">
        <v>46230</v>
      </c>
      <c r="B2812" s="1" t="s">
        <v>19</v>
      </c>
    </row>
    <row r="2813" spans="1:2" x14ac:dyDescent="0.35">
      <c r="A2813" s="2">
        <v>46230</v>
      </c>
      <c r="B2813" s="1" t="s">
        <v>19</v>
      </c>
    </row>
    <row r="2814" spans="1:2" x14ac:dyDescent="0.35">
      <c r="A2814" s="2">
        <v>46230</v>
      </c>
      <c r="B2814" s="1" t="s">
        <v>19</v>
      </c>
    </row>
    <row r="2815" spans="1:2" x14ac:dyDescent="0.35">
      <c r="A2815" s="2">
        <v>46231</v>
      </c>
      <c r="B2815" s="1" t="s">
        <v>9</v>
      </c>
    </row>
    <row r="2816" spans="1:2" x14ac:dyDescent="0.35">
      <c r="A2816" s="2">
        <v>46231</v>
      </c>
      <c r="B2816" s="1" t="s">
        <v>9</v>
      </c>
    </row>
    <row r="2817" spans="1:2" x14ac:dyDescent="0.35">
      <c r="A2817" s="2">
        <v>46231</v>
      </c>
      <c r="B2817" s="1" t="s">
        <v>19</v>
      </c>
    </row>
    <row r="2818" spans="1:2" x14ac:dyDescent="0.35">
      <c r="A2818" s="2">
        <v>46231</v>
      </c>
      <c r="B2818" s="1" t="s">
        <v>19</v>
      </c>
    </row>
    <row r="2819" spans="1:2" x14ac:dyDescent="0.35">
      <c r="A2819" s="2">
        <v>46231</v>
      </c>
      <c r="B2819" s="1" t="s">
        <v>19</v>
      </c>
    </row>
    <row r="2820" spans="1:2" x14ac:dyDescent="0.35">
      <c r="A2820" s="2">
        <v>46231</v>
      </c>
      <c r="B2820" s="1" t="s">
        <v>19</v>
      </c>
    </row>
    <row r="2821" spans="1:2" x14ac:dyDescent="0.35">
      <c r="A2821" s="2">
        <v>46231</v>
      </c>
      <c r="B2821" s="1" t="s">
        <v>19</v>
      </c>
    </row>
    <row r="2822" spans="1:2" x14ac:dyDescent="0.35">
      <c r="A2822" s="2">
        <v>46231</v>
      </c>
      <c r="B2822" s="1" t="s">
        <v>19</v>
      </c>
    </row>
    <row r="2823" spans="1:2" x14ac:dyDescent="0.35">
      <c r="A2823" s="2">
        <v>46231</v>
      </c>
      <c r="B2823" s="1" t="s">
        <v>19</v>
      </c>
    </row>
    <row r="2824" spans="1:2" x14ac:dyDescent="0.35">
      <c r="A2824" s="2">
        <v>46232</v>
      </c>
      <c r="B2824" s="1" t="s">
        <v>9</v>
      </c>
    </row>
    <row r="2825" spans="1:2" x14ac:dyDescent="0.35">
      <c r="A2825" s="2">
        <v>46232</v>
      </c>
      <c r="B2825" s="1" t="s">
        <v>9</v>
      </c>
    </row>
    <row r="2826" spans="1:2" x14ac:dyDescent="0.35">
      <c r="A2826" s="2">
        <v>46232</v>
      </c>
      <c r="B2826" s="1" t="s">
        <v>9</v>
      </c>
    </row>
    <row r="2827" spans="1:2" x14ac:dyDescent="0.35">
      <c r="A2827" s="2">
        <v>46232</v>
      </c>
      <c r="B2827" s="1" t="s">
        <v>9</v>
      </c>
    </row>
    <row r="2828" spans="1:2" x14ac:dyDescent="0.35">
      <c r="A2828" s="2">
        <v>46232</v>
      </c>
      <c r="B2828" s="1" t="s">
        <v>9</v>
      </c>
    </row>
    <row r="2829" spans="1:2" x14ac:dyDescent="0.35">
      <c r="A2829" s="2">
        <v>46232</v>
      </c>
      <c r="B2829" s="1" t="s">
        <v>9</v>
      </c>
    </row>
    <row r="2830" spans="1:2" x14ac:dyDescent="0.35">
      <c r="A2830" s="2">
        <v>46232</v>
      </c>
      <c r="B2830" s="1" t="s">
        <v>9</v>
      </c>
    </row>
    <row r="2831" spans="1:2" x14ac:dyDescent="0.35">
      <c r="A2831" s="2">
        <v>46232</v>
      </c>
      <c r="B2831" s="1" t="s">
        <v>9</v>
      </c>
    </row>
    <row r="2832" spans="1:2" x14ac:dyDescent="0.35">
      <c r="A2832" s="2">
        <v>46233</v>
      </c>
      <c r="B2832" s="1" t="s">
        <v>19</v>
      </c>
    </row>
    <row r="2833" spans="1:2" x14ac:dyDescent="0.35">
      <c r="A2833" s="2">
        <v>46233</v>
      </c>
      <c r="B2833" s="1" t="s">
        <v>19</v>
      </c>
    </row>
    <row r="2834" spans="1:2" x14ac:dyDescent="0.35">
      <c r="A2834" s="2">
        <v>46233</v>
      </c>
      <c r="B2834" s="1" t="s">
        <v>19</v>
      </c>
    </row>
    <row r="2835" spans="1:2" x14ac:dyDescent="0.35">
      <c r="A2835" s="2">
        <v>46233</v>
      </c>
      <c r="B2835" s="1" t="s">
        <v>19</v>
      </c>
    </row>
    <row r="2836" spans="1:2" x14ac:dyDescent="0.35">
      <c r="A2836" s="2">
        <v>46233</v>
      </c>
      <c r="B2836" s="1" t="s">
        <v>19</v>
      </c>
    </row>
    <row r="2837" spans="1:2" x14ac:dyDescent="0.35">
      <c r="A2837" s="2">
        <v>46233</v>
      </c>
      <c r="B2837" s="1" t="s">
        <v>19</v>
      </c>
    </row>
    <row r="2838" spans="1:2" x14ac:dyDescent="0.35">
      <c r="A2838" s="2">
        <v>46233</v>
      </c>
      <c r="B2838" s="1" t="s">
        <v>19</v>
      </c>
    </row>
    <row r="2839" spans="1:2" x14ac:dyDescent="0.35">
      <c r="A2839" s="2">
        <v>46237</v>
      </c>
      <c r="B2839" s="1" t="s">
        <v>84</v>
      </c>
    </row>
    <row r="2840" spans="1:2" x14ac:dyDescent="0.35">
      <c r="A2840" s="2">
        <v>46237</v>
      </c>
      <c r="B2840" s="1" t="s">
        <v>84</v>
      </c>
    </row>
    <row r="2841" spans="1:2" x14ac:dyDescent="0.35">
      <c r="A2841" s="2">
        <v>46238</v>
      </c>
      <c r="B2841" s="1" t="s">
        <v>19</v>
      </c>
    </row>
    <row r="2842" spans="1:2" x14ac:dyDescent="0.35">
      <c r="A2842" s="2">
        <v>46238</v>
      </c>
      <c r="B2842" s="1" t="s">
        <v>19</v>
      </c>
    </row>
    <row r="2843" spans="1:2" x14ac:dyDescent="0.35">
      <c r="A2843" s="2">
        <v>46238</v>
      </c>
      <c r="B2843" s="1" t="s">
        <v>19</v>
      </c>
    </row>
    <row r="2844" spans="1:2" x14ac:dyDescent="0.35">
      <c r="A2844" s="2">
        <v>46238</v>
      </c>
      <c r="B2844" s="1" t="s">
        <v>84</v>
      </c>
    </row>
    <row r="2845" spans="1:2" x14ac:dyDescent="0.35">
      <c r="A2845" s="2">
        <v>46238</v>
      </c>
      <c r="B2845" s="1" t="s">
        <v>84</v>
      </c>
    </row>
    <row r="2846" spans="1:2" x14ac:dyDescent="0.35">
      <c r="A2846" s="2">
        <v>46238</v>
      </c>
      <c r="B2846" s="1" t="s">
        <v>84</v>
      </c>
    </row>
    <row r="2847" spans="1:2" x14ac:dyDescent="0.35">
      <c r="A2847" s="2">
        <v>46239</v>
      </c>
      <c r="B2847" s="1" t="s">
        <v>84</v>
      </c>
    </row>
    <row r="2848" spans="1:2" x14ac:dyDescent="0.35">
      <c r="A2848" s="2">
        <v>46239</v>
      </c>
      <c r="B2848" s="1" t="s">
        <v>84</v>
      </c>
    </row>
    <row r="2849" spans="1:2" x14ac:dyDescent="0.35">
      <c r="A2849" s="2">
        <v>46239</v>
      </c>
      <c r="B2849" s="1" t="s">
        <v>19</v>
      </c>
    </row>
    <row r="2850" spans="1:2" x14ac:dyDescent="0.35">
      <c r="A2850" s="2">
        <v>46239</v>
      </c>
      <c r="B2850" s="1" t="s">
        <v>19</v>
      </c>
    </row>
    <row r="2851" spans="1:2" x14ac:dyDescent="0.35">
      <c r="A2851" s="2">
        <v>46239</v>
      </c>
      <c r="B2851" s="1" t="s">
        <v>84</v>
      </c>
    </row>
    <row r="2852" spans="1:2" x14ac:dyDescent="0.35">
      <c r="A2852" s="2">
        <v>46239</v>
      </c>
      <c r="B2852" s="1" t="s">
        <v>84</v>
      </c>
    </row>
    <row r="2853" spans="1:2" x14ac:dyDescent="0.35">
      <c r="A2853" s="2">
        <v>46241</v>
      </c>
      <c r="B2853" s="1" t="s">
        <v>19</v>
      </c>
    </row>
    <row r="2854" spans="1:2" x14ac:dyDescent="0.35">
      <c r="A2854" s="2">
        <v>46241</v>
      </c>
      <c r="B2854" s="1" t="s">
        <v>84</v>
      </c>
    </row>
    <row r="2855" spans="1:2" x14ac:dyDescent="0.35">
      <c r="A2855" s="2">
        <v>46241</v>
      </c>
      <c r="B2855" s="1" t="s">
        <v>84</v>
      </c>
    </row>
    <row r="2856" spans="1:2" x14ac:dyDescent="0.35">
      <c r="A2856" s="2">
        <v>46241</v>
      </c>
      <c r="B2856" s="1" t="s">
        <v>84</v>
      </c>
    </row>
    <row r="2857" spans="1:2" x14ac:dyDescent="0.35">
      <c r="A2857" s="2">
        <v>46244</v>
      </c>
      <c r="B2857" s="1" t="s">
        <v>9</v>
      </c>
    </row>
    <row r="2858" spans="1:2" x14ac:dyDescent="0.35">
      <c r="A2858" s="2">
        <v>46244</v>
      </c>
      <c r="B2858" s="1" t="s">
        <v>9</v>
      </c>
    </row>
    <row r="2859" spans="1:2" x14ac:dyDescent="0.35">
      <c r="A2859" s="2">
        <v>46244</v>
      </c>
      <c r="B2859" s="1" t="s">
        <v>9</v>
      </c>
    </row>
    <row r="2860" spans="1:2" x14ac:dyDescent="0.35">
      <c r="A2860" s="2">
        <v>46244</v>
      </c>
      <c r="B2860" s="1" t="s">
        <v>9</v>
      </c>
    </row>
    <row r="2861" spans="1:2" x14ac:dyDescent="0.35">
      <c r="A2861" s="2">
        <v>46244</v>
      </c>
      <c r="B2861" s="1" t="s">
        <v>9</v>
      </c>
    </row>
    <row r="2862" spans="1:2" x14ac:dyDescent="0.35">
      <c r="A2862" s="2">
        <v>46244</v>
      </c>
      <c r="B2862" s="1" t="s">
        <v>22</v>
      </c>
    </row>
    <row r="2863" spans="1:2" x14ac:dyDescent="0.35">
      <c r="A2863" s="2">
        <v>46244</v>
      </c>
      <c r="B2863" s="1" t="s">
        <v>84</v>
      </c>
    </row>
    <row r="2864" spans="1:2" x14ac:dyDescent="0.35">
      <c r="A2864" s="2">
        <v>46244</v>
      </c>
      <c r="B2864" s="1" t="s">
        <v>84</v>
      </c>
    </row>
    <row r="2865" spans="1:2" x14ac:dyDescent="0.35">
      <c r="A2865" s="2">
        <v>46245</v>
      </c>
      <c r="B2865" s="1" t="s">
        <v>9</v>
      </c>
    </row>
    <row r="2866" spans="1:2" x14ac:dyDescent="0.35">
      <c r="A2866" s="2">
        <v>46245</v>
      </c>
      <c r="B2866" s="1" t="s">
        <v>9</v>
      </c>
    </row>
    <row r="2867" spans="1:2" x14ac:dyDescent="0.35">
      <c r="A2867" s="2">
        <v>46245</v>
      </c>
      <c r="B2867" s="1" t="s">
        <v>9</v>
      </c>
    </row>
    <row r="2868" spans="1:2" x14ac:dyDescent="0.35">
      <c r="A2868" s="2">
        <v>46245</v>
      </c>
      <c r="B2868" s="1" t="s">
        <v>9</v>
      </c>
    </row>
    <row r="2869" spans="1:2" x14ac:dyDescent="0.35">
      <c r="A2869" s="2">
        <v>46245</v>
      </c>
      <c r="B2869" s="1" t="s">
        <v>9</v>
      </c>
    </row>
    <row r="2870" spans="1:2" x14ac:dyDescent="0.35">
      <c r="A2870" s="2">
        <v>46246</v>
      </c>
      <c r="B2870" s="1" t="s">
        <v>9</v>
      </c>
    </row>
    <row r="2871" spans="1:2" x14ac:dyDescent="0.35">
      <c r="A2871" s="2">
        <v>46246</v>
      </c>
      <c r="B2871" s="1" t="s">
        <v>9</v>
      </c>
    </row>
    <row r="2872" spans="1:2" x14ac:dyDescent="0.35">
      <c r="A2872" s="2">
        <v>46246</v>
      </c>
      <c r="B2872" s="1" t="s">
        <v>9</v>
      </c>
    </row>
    <row r="2873" spans="1:2" x14ac:dyDescent="0.35">
      <c r="A2873" s="2">
        <v>46246</v>
      </c>
      <c r="B2873" s="1" t="s">
        <v>9</v>
      </c>
    </row>
    <row r="2874" spans="1:2" x14ac:dyDescent="0.35">
      <c r="A2874" s="2">
        <v>46246</v>
      </c>
      <c r="B2874" s="1" t="s">
        <v>9</v>
      </c>
    </row>
    <row r="2875" spans="1:2" x14ac:dyDescent="0.35">
      <c r="A2875" s="2">
        <v>46247</v>
      </c>
      <c r="B2875" s="1" t="s">
        <v>84</v>
      </c>
    </row>
    <row r="2876" spans="1:2" x14ac:dyDescent="0.35">
      <c r="A2876" s="2">
        <v>46247</v>
      </c>
      <c r="B2876" s="1" t="s">
        <v>84</v>
      </c>
    </row>
    <row r="2877" spans="1:2" x14ac:dyDescent="0.35">
      <c r="A2877" s="2">
        <v>46247</v>
      </c>
      <c r="B2877" s="1" t="s">
        <v>84</v>
      </c>
    </row>
    <row r="2878" spans="1:2" x14ac:dyDescent="0.35">
      <c r="A2878" s="2">
        <v>46247</v>
      </c>
      <c r="B2878" s="1" t="s">
        <v>19</v>
      </c>
    </row>
    <row r="2879" spans="1:2" x14ac:dyDescent="0.35">
      <c r="A2879" s="2">
        <v>46247</v>
      </c>
      <c r="B2879" s="1" t="s">
        <v>19</v>
      </c>
    </row>
    <row r="2880" spans="1:2" x14ac:dyDescent="0.35">
      <c r="A2880" s="2">
        <v>46247</v>
      </c>
      <c r="B2880" s="1" t="s">
        <v>19</v>
      </c>
    </row>
    <row r="2881" spans="1:2" x14ac:dyDescent="0.35">
      <c r="A2881" s="2">
        <v>46247</v>
      </c>
      <c r="B2881" s="1" t="s">
        <v>19</v>
      </c>
    </row>
    <row r="2882" spans="1:2" x14ac:dyDescent="0.35">
      <c r="A2882" s="2">
        <v>46247</v>
      </c>
      <c r="B2882" s="1" t="s">
        <v>19</v>
      </c>
    </row>
    <row r="2883" spans="1:2" x14ac:dyDescent="0.35">
      <c r="A2883" s="2">
        <v>46247</v>
      </c>
      <c r="B2883" s="1" t="s">
        <v>84</v>
      </c>
    </row>
    <row r="2884" spans="1:2" x14ac:dyDescent="0.35">
      <c r="A2884" s="2">
        <v>46247</v>
      </c>
      <c r="B2884" s="1" t="s">
        <v>84</v>
      </c>
    </row>
    <row r="2885" spans="1:2" x14ac:dyDescent="0.35">
      <c r="A2885" s="2">
        <v>46247</v>
      </c>
      <c r="B2885" s="1" t="s">
        <v>84</v>
      </c>
    </row>
    <row r="2886" spans="1:2" x14ac:dyDescent="0.35">
      <c r="A2886" s="2">
        <v>46247</v>
      </c>
      <c r="B2886" s="1" t="s">
        <v>84</v>
      </c>
    </row>
    <row r="2887" spans="1:2" x14ac:dyDescent="0.35">
      <c r="A2887" s="2">
        <v>46247</v>
      </c>
      <c r="B2887" s="1" t="s">
        <v>84</v>
      </c>
    </row>
    <row r="2888" spans="1:2" x14ac:dyDescent="0.35">
      <c r="A2888" s="2">
        <v>46247</v>
      </c>
      <c r="B2888" s="1" t="s">
        <v>84</v>
      </c>
    </row>
    <row r="2889" spans="1:2" x14ac:dyDescent="0.35">
      <c r="A2889" s="2">
        <v>46247</v>
      </c>
      <c r="B2889" s="1" t="s">
        <v>9</v>
      </c>
    </row>
    <row r="2890" spans="1:2" x14ac:dyDescent="0.35">
      <c r="A2890" s="2">
        <v>46247</v>
      </c>
      <c r="B2890" s="1" t="s">
        <v>9</v>
      </c>
    </row>
    <row r="2891" spans="1:2" x14ac:dyDescent="0.35">
      <c r="A2891" s="2">
        <v>46247</v>
      </c>
      <c r="B2891" s="1" t="s">
        <v>9</v>
      </c>
    </row>
    <row r="2892" spans="1:2" x14ac:dyDescent="0.35">
      <c r="A2892" s="2">
        <v>46247</v>
      </c>
      <c r="B2892" s="1" t="s">
        <v>9</v>
      </c>
    </row>
    <row r="2893" spans="1:2" x14ac:dyDescent="0.35">
      <c r="A2893" s="2">
        <v>46247</v>
      </c>
      <c r="B2893" s="1" t="s">
        <v>9</v>
      </c>
    </row>
    <row r="2894" spans="1:2" x14ac:dyDescent="0.35">
      <c r="A2894" s="2">
        <v>46247</v>
      </c>
      <c r="B2894" s="1" t="s">
        <v>9</v>
      </c>
    </row>
    <row r="2895" spans="1:2" x14ac:dyDescent="0.35">
      <c r="A2895" s="2">
        <v>46247</v>
      </c>
      <c r="B2895" s="1" t="s">
        <v>22</v>
      </c>
    </row>
    <row r="2896" spans="1:2" x14ac:dyDescent="0.35">
      <c r="A2896" s="2">
        <v>46247</v>
      </c>
      <c r="B2896" s="1" t="s">
        <v>22</v>
      </c>
    </row>
    <row r="2897" spans="1:2" x14ac:dyDescent="0.35">
      <c r="A2897" s="2">
        <v>46247</v>
      </c>
      <c r="B2897" s="1" t="s">
        <v>22</v>
      </c>
    </row>
    <row r="2898" spans="1:2" x14ac:dyDescent="0.35">
      <c r="A2898" s="2">
        <v>46247</v>
      </c>
      <c r="B2898" s="1" t="s">
        <v>22</v>
      </c>
    </row>
    <row r="2899" spans="1:2" x14ac:dyDescent="0.35">
      <c r="A2899" s="2">
        <v>46247</v>
      </c>
      <c r="B2899" s="1" t="s">
        <v>22</v>
      </c>
    </row>
    <row r="2900" spans="1:2" x14ac:dyDescent="0.35">
      <c r="A2900" s="2">
        <v>46247</v>
      </c>
      <c r="B2900" s="1" t="s">
        <v>22</v>
      </c>
    </row>
    <row r="2901" spans="1:2" x14ac:dyDescent="0.35">
      <c r="A2901" s="2">
        <v>46247</v>
      </c>
      <c r="B2901" s="1" t="s">
        <v>22</v>
      </c>
    </row>
    <row r="2902" spans="1:2" x14ac:dyDescent="0.35">
      <c r="A2902" s="2">
        <v>46247</v>
      </c>
      <c r="B2902" s="1" t="s">
        <v>22</v>
      </c>
    </row>
    <row r="2903" spans="1:2" x14ac:dyDescent="0.35">
      <c r="A2903" s="2">
        <v>46247</v>
      </c>
      <c r="B2903" s="1" t="s">
        <v>22</v>
      </c>
    </row>
    <row r="2904" spans="1:2" x14ac:dyDescent="0.35">
      <c r="A2904" s="2">
        <v>46247</v>
      </c>
      <c r="B2904" s="1" t="s">
        <v>22</v>
      </c>
    </row>
    <row r="2905" spans="1:2" x14ac:dyDescent="0.35">
      <c r="A2905" s="2">
        <v>46247</v>
      </c>
      <c r="B2905" s="1" t="s">
        <v>22</v>
      </c>
    </row>
    <row r="2906" spans="1:2" x14ac:dyDescent="0.35">
      <c r="A2906" s="2">
        <v>46247</v>
      </c>
      <c r="B2906" s="1" t="s">
        <v>22</v>
      </c>
    </row>
    <row r="2907" spans="1:2" x14ac:dyDescent="0.35">
      <c r="A2907" s="2">
        <v>46247</v>
      </c>
      <c r="B2907" s="1" t="s">
        <v>22</v>
      </c>
    </row>
    <row r="2908" spans="1:2" x14ac:dyDescent="0.35">
      <c r="A2908" s="2">
        <v>46247</v>
      </c>
      <c r="B2908" s="1" t="s">
        <v>22</v>
      </c>
    </row>
    <row r="2909" spans="1:2" x14ac:dyDescent="0.35">
      <c r="A2909" s="2">
        <v>46247</v>
      </c>
      <c r="B2909" s="1" t="s">
        <v>22</v>
      </c>
    </row>
    <row r="2910" spans="1:2" x14ac:dyDescent="0.35">
      <c r="A2910" s="2">
        <v>46247</v>
      </c>
      <c r="B2910" s="1" t="s">
        <v>22</v>
      </c>
    </row>
    <row r="2911" spans="1:2" x14ac:dyDescent="0.35">
      <c r="A2911" s="2">
        <v>46247</v>
      </c>
      <c r="B2911" s="1" t="s">
        <v>22</v>
      </c>
    </row>
    <row r="2912" spans="1:2" x14ac:dyDescent="0.35">
      <c r="A2912" s="2">
        <v>46247</v>
      </c>
      <c r="B2912" s="1" t="s">
        <v>22</v>
      </c>
    </row>
    <row r="2913" spans="1:2" x14ac:dyDescent="0.35">
      <c r="A2913" s="2">
        <v>46247</v>
      </c>
      <c r="B2913" s="1" t="s">
        <v>22</v>
      </c>
    </row>
    <row r="2914" spans="1:2" x14ac:dyDescent="0.35">
      <c r="A2914" s="2">
        <v>46247</v>
      </c>
      <c r="B2914" s="1" t="s">
        <v>22</v>
      </c>
    </row>
    <row r="2915" spans="1:2" x14ac:dyDescent="0.35">
      <c r="A2915" s="2">
        <v>46247</v>
      </c>
      <c r="B2915" s="1" t="s">
        <v>22</v>
      </c>
    </row>
    <row r="2916" spans="1:2" x14ac:dyDescent="0.35">
      <c r="A2916" s="2">
        <v>46247</v>
      </c>
      <c r="B2916" s="1" t="s">
        <v>22</v>
      </c>
    </row>
    <row r="2917" spans="1:2" x14ac:dyDescent="0.35">
      <c r="A2917" s="2">
        <v>46247</v>
      </c>
      <c r="B2917" s="1" t="s">
        <v>22</v>
      </c>
    </row>
    <row r="2918" spans="1:2" x14ac:dyDescent="0.35">
      <c r="A2918" s="2">
        <v>46247</v>
      </c>
      <c r="B2918" s="1" t="s">
        <v>22</v>
      </c>
    </row>
    <row r="2919" spans="1:2" x14ac:dyDescent="0.35">
      <c r="A2919" s="2">
        <v>46247</v>
      </c>
      <c r="B2919" s="1" t="s">
        <v>22</v>
      </c>
    </row>
    <row r="2920" spans="1:2" x14ac:dyDescent="0.35">
      <c r="A2920" s="2">
        <v>46247</v>
      </c>
      <c r="B2920" s="1" t="s">
        <v>22</v>
      </c>
    </row>
    <row r="2921" spans="1:2" x14ac:dyDescent="0.35">
      <c r="A2921" s="2">
        <v>46247</v>
      </c>
      <c r="B2921" s="1" t="s">
        <v>22</v>
      </c>
    </row>
    <row r="2922" spans="1:2" x14ac:dyDescent="0.35">
      <c r="A2922" s="2">
        <v>46247</v>
      </c>
      <c r="B2922" s="1" t="s">
        <v>22</v>
      </c>
    </row>
    <row r="2923" spans="1:2" x14ac:dyDescent="0.35">
      <c r="A2923" s="2">
        <v>46247</v>
      </c>
      <c r="B2923" s="1" t="s">
        <v>22</v>
      </c>
    </row>
    <row r="2924" spans="1:2" x14ac:dyDescent="0.35">
      <c r="A2924" s="2">
        <v>46247</v>
      </c>
      <c r="B2924" s="1" t="s">
        <v>22</v>
      </c>
    </row>
    <row r="2925" spans="1:2" x14ac:dyDescent="0.35">
      <c r="A2925" s="2">
        <v>46247</v>
      </c>
      <c r="B2925" s="1" t="s">
        <v>22</v>
      </c>
    </row>
    <row r="2926" spans="1:2" x14ac:dyDescent="0.35">
      <c r="A2926" s="2">
        <v>46248</v>
      </c>
      <c r="B2926" s="1" t="s">
        <v>9</v>
      </c>
    </row>
    <row r="2927" spans="1:2" x14ac:dyDescent="0.35">
      <c r="A2927" s="2">
        <v>46248</v>
      </c>
      <c r="B2927" s="1" t="s">
        <v>9</v>
      </c>
    </row>
    <row r="2928" spans="1:2" x14ac:dyDescent="0.35">
      <c r="A2928" s="2">
        <v>46248</v>
      </c>
      <c r="B2928" s="1" t="s">
        <v>9</v>
      </c>
    </row>
    <row r="2929" spans="1:2" x14ac:dyDescent="0.35">
      <c r="A2929" s="2">
        <v>46248</v>
      </c>
      <c r="B2929" s="1" t="s">
        <v>9</v>
      </c>
    </row>
    <row r="2930" spans="1:2" x14ac:dyDescent="0.35">
      <c r="A2930" s="2">
        <v>46248</v>
      </c>
      <c r="B2930" s="1" t="s">
        <v>9</v>
      </c>
    </row>
    <row r="2931" spans="1:2" x14ac:dyDescent="0.35">
      <c r="A2931" s="2">
        <v>46248</v>
      </c>
      <c r="B2931" s="1" t="s">
        <v>84</v>
      </c>
    </row>
    <row r="2932" spans="1:2" x14ac:dyDescent="0.35">
      <c r="A2932" s="2">
        <v>46248</v>
      </c>
      <c r="B2932" s="1" t="s">
        <v>84</v>
      </c>
    </row>
    <row r="2933" spans="1:2" x14ac:dyDescent="0.35">
      <c r="A2933" s="2">
        <v>46248</v>
      </c>
      <c r="B2933" s="1" t="s">
        <v>9</v>
      </c>
    </row>
    <row r="2934" spans="1:2" x14ac:dyDescent="0.35">
      <c r="A2934" s="2">
        <v>46248</v>
      </c>
      <c r="B2934" s="1" t="s">
        <v>9</v>
      </c>
    </row>
    <row r="2935" spans="1:2" x14ac:dyDescent="0.35">
      <c r="A2935" s="2">
        <v>46248</v>
      </c>
      <c r="B2935" s="1" t="s">
        <v>83</v>
      </c>
    </row>
    <row r="2936" spans="1:2" x14ac:dyDescent="0.35">
      <c r="A2936" s="2">
        <v>46248</v>
      </c>
      <c r="B2936" s="1" t="s">
        <v>83</v>
      </c>
    </row>
    <row r="2937" spans="1:2" x14ac:dyDescent="0.35">
      <c r="A2937" s="2">
        <v>46251</v>
      </c>
      <c r="B2937" s="1" t="s">
        <v>9</v>
      </c>
    </row>
    <row r="2938" spans="1:2" x14ac:dyDescent="0.35">
      <c r="A2938" s="2">
        <v>46251</v>
      </c>
      <c r="B2938" s="1" t="s">
        <v>84</v>
      </c>
    </row>
    <row r="2939" spans="1:2" x14ac:dyDescent="0.35">
      <c r="A2939" s="2">
        <v>46251</v>
      </c>
      <c r="B2939" s="1" t="s">
        <v>5</v>
      </c>
    </row>
    <row r="2940" spans="1:2" x14ac:dyDescent="0.35">
      <c r="A2940" s="2">
        <v>46253</v>
      </c>
      <c r="B2940" s="1" t="s">
        <v>9</v>
      </c>
    </row>
    <row r="2941" spans="1:2" x14ac:dyDescent="0.35">
      <c r="A2941" s="2">
        <v>46253</v>
      </c>
      <c r="B2941" s="1" t="s">
        <v>9</v>
      </c>
    </row>
    <row r="2942" spans="1:2" x14ac:dyDescent="0.35">
      <c r="A2942" s="2">
        <v>46254</v>
      </c>
      <c r="B2942" s="1" t="s">
        <v>84</v>
      </c>
    </row>
    <row r="2943" spans="1:2" x14ac:dyDescent="0.35">
      <c r="A2943" s="2">
        <v>46255</v>
      </c>
      <c r="B2943" s="1" t="s">
        <v>9</v>
      </c>
    </row>
    <row r="2944" spans="1:2" x14ac:dyDescent="0.35">
      <c r="A2944" s="2">
        <v>46255</v>
      </c>
      <c r="B2944" s="1" t="s">
        <v>9</v>
      </c>
    </row>
    <row r="2945" spans="1:2" x14ac:dyDescent="0.35">
      <c r="A2945" s="2">
        <v>46255</v>
      </c>
      <c r="B2945" s="1" t="s">
        <v>9</v>
      </c>
    </row>
    <row r="2946" spans="1:2" x14ac:dyDescent="0.35">
      <c r="A2946" s="2">
        <v>46255</v>
      </c>
      <c r="B2946" s="1" t="s">
        <v>9</v>
      </c>
    </row>
    <row r="2947" spans="1:2" x14ac:dyDescent="0.35">
      <c r="A2947" s="2">
        <v>46255</v>
      </c>
      <c r="B2947" s="1" t="s">
        <v>9</v>
      </c>
    </row>
    <row r="2948" spans="1:2" x14ac:dyDescent="0.35">
      <c r="A2948" s="2">
        <v>46255</v>
      </c>
      <c r="B2948" s="1" t="s">
        <v>9</v>
      </c>
    </row>
    <row r="2949" spans="1:2" x14ac:dyDescent="0.35">
      <c r="A2949" s="2">
        <v>46255</v>
      </c>
      <c r="B2949" s="1" t="s">
        <v>9</v>
      </c>
    </row>
    <row r="2950" spans="1:2" x14ac:dyDescent="0.35">
      <c r="A2950" s="2">
        <v>46259</v>
      </c>
      <c r="B2950" s="1" t="s">
        <v>9</v>
      </c>
    </row>
    <row r="2951" spans="1:2" x14ac:dyDescent="0.35">
      <c r="A2951" s="2">
        <v>46259</v>
      </c>
      <c r="B2951" s="1" t="s">
        <v>9</v>
      </c>
    </row>
    <row r="2952" spans="1:2" x14ac:dyDescent="0.35">
      <c r="A2952" s="2">
        <v>46259</v>
      </c>
      <c r="B2952" s="1" t="s">
        <v>9</v>
      </c>
    </row>
    <row r="2953" spans="1:2" x14ac:dyDescent="0.35">
      <c r="A2953" s="2">
        <v>46259</v>
      </c>
      <c r="B2953" s="1" t="s">
        <v>9</v>
      </c>
    </row>
    <row r="2954" spans="1:2" x14ac:dyDescent="0.35">
      <c r="A2954" s="2">
        <v>46259</v>
      </c>
      <c r="B2954" s="1" t="s">
        <v>84</v>
      </c>
    </row>
    <row r="2955" spans="1:2" x14ac:dyDescent="0.35">
      <c r="A2955" s="2">
        <v>46259</v>
      </c>
      <c r="B2955" s="1" t="s">
        <v>84</v>
      </c>
    </row>
    <row r="2956" spans="1:2" x14ac:dyDescent="0.35">
      <c r="A2956" s="2">
        <v>46259</v>
      </c>
      <c r="B2956" s="1" t="s">
        <v>84</v>
      </c>
    </row>
    <row r="2957" spans="1:2" x14ac:dyDescent="0.35">
      <c r="A2957" s="2">
        <v>46259</v>
      </c>
      <c r="B2957" s="1" t="s">
        <v>19</v>
      </c>
    </row>
    <row r="2958" spans="1:2" x14ac:dyDescent="0.35">
      <c r="A2958" s="2">
        <v>46259</v>
      </c>
      <c r="B2958" s="1" t="s">
        <v>19</v>
      </c>
    </row>
    <row r="2959" spans="1:2" x14ac:dyDescent="0.35">
      <c r="A2959" s="2">
        <v>46259</v>
      </c>
      <c r="B2959" s="1" t="s">
        <v>19</v>
      </c>
    </row>
    <row r="2960" spans="1:2" x14ac:dyDescent="0.35">
      <c r="A2960" s="2">
        <v>46261</v>
      </c>
      <c r="B2960" s="1" t="s">
        <v>24</v>
      </c>
    </row>
    <row r="2961" spans="1:2" x14ac:dyDescent="0.35">
      <c r="A2961" s="2">
        <v>46261</v>
      </c>
      <c r="B2961" s="1" t="s">
        <v>24</v>
      </c>
    </row>
    <row r="2962" spans="1:2" x14ac:dyDescent="0.35">
      <c r="A2962" s="2">
        <v>46261</v>
      </c>
      <c r="B2962" s="1" t="s">
        <v>24</v>
      </c>
    </row>
    <row r="2963" spans="1:2" x14ac:dyDescent="0.35">
      <c r="A2963" s="2">
        <v>46261</v>
      </c>
      <c r="B2963" s="1" t="s">
        <v>24</v>
      </c>
    </row>
    <row r="2964" spans="1:2" x14ac:dyDescent="0.35">
      <c r="A2964" s="2">
        <v>46261</v>
      </c>
      <c r="B2964" s="1" t="s">
        <v>24</v>
      </c>
    </row>
    <row r="2965" spans="1:2" x14ac:dyDescent="0.35">
      <c r="A2965" s="2">
        <v>46261</v>
      </c>
      <c r="B2965" s="1" t="s">
        <v>24</v>
      </c>
    </row>
    <row r="2966" spans="1:2" x14ac:dyDescent="0.35">
      <c r="A2966" s="2">
        <v>46261</v>
      </c>
      <c r="B2966" s="1" t="s">
        <v>24</v>
      </c>
    </row>
    <row r="2967" spans="1:2" x14ac:dyDescent="0.35">
      <c r="A2967" s="2">
        <v>46261</v>
      </c>
      <c r="B2967" s="1" t="s">
        <v>24</v>
      </c>
    </row>
    <row r="2968" spans="1:2" x14ac:dyDescent="0.35">
      <c r="A2968" s="2">
        <v>46261</v>
      </c>
      <c r="B2968" s="1" t="s">
        <v>24</v>
      </c>
    </row>
    <row r="2969" spans="1:2" x14ac:dyDescent="0.35">
      <c r="A2969" s="2">
        <v>46261</v>
      </c>
      <c r="B2969" s="1" t="s">
        <v>24</v>
      </c>
    </row>
    <row r="2970" spans="1:2" x14ac:dyDescent="0.35">
      <c r="A2970" s="2">
        <v>46261</v>
      </c>
      <c r="B2970" s="1" t="s">
        <v>24</v>
      </c>
    </row>
    <row r="2971" spans="1:2" x14ac:dyDescent="0.35">
      <c r="A2971" s="2">
        <v>46261</v>
      </c>
      <c r="B2971" s="1" t="s">
        <v>84</v>
      </c>
    </row>
    <row r="2972" spans="1:2" x14ac:dyDescent="0.35">
      <c r="A2972" s="2">
        <v>46261</v>
      </c>
      <c r="B2972" s="1" t="s">
        <v>84</v>
      </c>
    </row>
    <row r="2973" spans="1:2" x14ac:dyDescent="0.35">
      <c r="A2973" s="2">
        <v>46261</v>
      </c>
      <c r="B2973" s="1" t="s">
        <v>84</v>
      </c>
    </row>
    <row r="2974" spans="1:2" x14ac:dyDescent="0.35">
      <c r="A2974" s="2">
        <v>46261</v>
      </c>
      <c r="B2974" s="1" t="s">
        <v>84</v>
      </c>
    </row>
    <row r="2975" spans="1:2" x14ac:dyDescent="0.35">
      <c r="A2975" s="2">
        <v>46261</v>
      </c>
      <c r="B2975" s="1" t="s">
        <v>84</v>
      </c>
    </row>
    <row r="2976" spans="1:2" x14ac:dyDescent="0.35">
      <c r="A2976" s="2">
        <v>46261</v>
      </c>
      <c r="B2976" s="1" t="s">
        <v>84</v>
      </c>
    </row>
    <row r="2977" spans="1:2" x14ac:dyDescent="0.35">
      <c r="A2977" s="2">
        <v>46261</v>
      </c>
      <c r="B2977" s="1" t="s">
        <v>24</v>
      </c>
    </row>
    <row r="2978" spans="1:2" x14ac:dyDescent="0.35">
      <c r="A2978" s="2">
        <v>46261</v>
      </c>
      <c r="B2978" s="1" t="s">
        <v>24</v>
      </c>
    </row>
    <row r="2979" spans="1:2" x14ac:dyDescent="0.35">
      <c r="A2979" s="2">
        <v>46261</v>
      </c>
      <c r="B2979" s="1" t="s">
        <v>24</v>
      </c>
    </row>
    <row r="2980" spans="1:2" x14ac:dyDescent="0.35">
      <c r="A2980" s="2">
        <v>46261</v>
      </c>
      <c r="B2980" s="1" t="s">
        <v>24</v>
      </c>
    </row>
    <row r="2981" spans="1:2" x14ac:dyDescent="0.35">
      <c r="A2981" s="2">
        <v>46261</v>
      </c>
      <c r="B2981" s="1" t="s">
        <v>24</v>
      </c>
    </row>
    <row r="2982" spans="1:2" x14ac:dyDescent="0.35">
      <c r="A2982" s="2">
        <v>46261</v>
      </c>
      <c r="B2982" s="1" t="s">
        <v>24</v>
      </c>
    </row>
    <row r="2983" spans="1:2" x14ac:dyDescent="0.35">
      <c r="A2983" s="2">
        <v>46261</v>
      </c>
      <c r="B2983" s="1" t="s">
        <v>24</v>
      </c>
    </row>
    <row r="2984" spans="1:2" x14ac:dyDescent="0.35">
      <c r="A2984" s="2">
        <v>46261</v>
      </c>
      <c r="B2984" s="1" t="s">
        <v>24</v>
      </c>
    </row>
    <row r="2985" spans="1:2" x14ac:dyDescent="0.35">
      <c r="A2985" s="2">
        <v>46261</v>
      </c>
      <c r="B2985" s="1" t="s">
        <v>24</v>
      </c>
    </row>
    <row r="2986" spans="1:2" x14ac:dyDescent="0.35">
      <c r="A2986" s="2">
        <v>46261</v>
      </c>
      <c r="B2986" s="1" t="s">
        <v>24</v>
      </c>
    </row>
    <row r="2987" spans="1:2" x14ac:dyDescent="0.35">
      <c r="A2987" s="2">
        <v>46261</v>
      </c>
      <c r="B2987" s="1" t="s">
        <v>24</v>
      </c>
    </row>
    <row r="2988" spans="1:2" x14ac:dyDescent="0.35">
      <c r="A2988" s="2">
        <v>46261</v>
      </c>
      <c r="B2988" s="1" t="s">
        <v>24</v>
      </c>
    </row>
    <row r="2989" spans="1:2" x14ac:dyDescent="0.35">
      <c r="A2989" s="2">
        <v>46261</v>
      </c>
      <c r="B2989" s="1" t="s">
        <v>24</v>
      </c>
    </row>
    <row r="2990" spans="1:2" x14ac:dyDescent="0.35">
      <c r="A2990" s="2">
        <v>46261</v>
      </c>
      <c r="B2990" s="1" t="s">
        <v>24</v>
      </c>
    </row>
    <row r="2991" spans="1:2" x14ac:dyDescent="0.35">
      <c r="A2991" s="2">
        <v>46261</v>
      </c>
      <c r="B2991" s="1" t="s">
        <v>24</v>
      </c>
    </row>
    <row r="2992" spans="1:2" x14ac:dyDescent="0.35">
      <c r="A2992" s="2">
        <v>46261</v>
      </c>
      <c r="B2992" s="1" t="s">
        <v>24</v>
      </c>
    </row>
    <row r="2993" spans="1:2" x14ac:dyDescent="0.35">
      <c r="A2993" s="2">
        <v>46261</v>
      </c>
      <c r="B2993" s="1" t="s">
        <v>24</v>
      </c>
    </row>
    <row r="2994" spans="1:2" x14ac:dyDescent="0.35">
      <c r="A2994" s="2">
        <v>46261</v>
      </c>
      <c r="B2994" s="1" t="s">
        <v>24</v>
      </c>
    </row>
    <row r="2995" spans="1:2" x14ac:dyDescent="0.35">
      <c r="A2995" s="2">
        <v>46261</v>
      </c>
      <c r="B2995" s="1" t="s">
        <v>24</v>
      </c>
    </row>
    <row r="2996" spans="1:2" x14ac:dyDescent="0.35">
      <c r="A2996" s="2">
        <v>46261</v>
      </c>
      <c r="B2996" s="1" t="s">
        <v>24</v>
      </c>
    </row>
    <row r="2997" spans="1:2" x14ac:dyDescent="0.35">
      <c r="A2997" s="2">
        <v>46261</v>
      </c>
      <c r="B2997" s="1" t="s">
        <v>24</v>
      </c>
    </row>
    <row r="2998" spans="1:2" x14ac:dyDescent="0.35">
      <c r="A2998" s="2">
        <v>46261</v>
      </c>
      <c r="B2998" s="1" t="s">
        <v>24</v>
      </c>
    </row>
    <row r="2999" spans="1:2" x14ac:dyDescent="0.35">
      <c r="A2999" s="2">
        <v>46261</v>
      </c>
      <c r="B2999" s="1" t="s">
        <v>24</v>
      </c>
    </row>
    <row r="3000" spans="1:2" x14ac:dyDescent="0.35">
      <c r="A3000" s="2">
        <v>46261</v>
      </c>
      <c r="B3000" s="1" t="s">
        <v>24</v>
      </c>
    </row>
    <row r="3001" spans="1:2" x14ac:dyDescent="0.35">
      <c r="A3001" s="2">
        <v>46261</v>
      </c>
      <c r="B3001" s="1" t="s">
        <v>24</v>
      </c>
    </row>
    <row r="3002" spans="1:2" x14ac:dyDescent="0.35">
      <c r="A3002" s="2">
        <v>46261</v>
      </c>
      <c r="B3002" s="1" t="s">
        <v>24</v>
      </c>
    </row>
    <row r="3003" spans="1:2" x14ac:dyDescent="0.35">
      <c r="A3003" s="2">
        <v>46261</v>
      </c>
      <c r="B3003" s="1" t="s">
        <v>24</v>
      </c>
    </row>
    <row r="3004" spans="1:2" x14ac:dyDescent="0.35">
      <c r="A3004" s="2">
        <v>46261</v>
      </c>
      <c r="B3004" s="1" t="s">
        <v>24</v>
      </c>
    </row>
    <row r="3005" spans="1:2" x14ac:dyDescent="0.35">
      <c r="A3005" s="2">
        <v>46261</v>
      </c>
      <c r="B3005" s="1" t="s">
        <v>24</v>
      </c>
    </row>
    <row r="3006" spans="1:2" x14ac:dyDescent="0.35">
      <c r="A3006" s="2">
        <v>46261</v>
      </c>
      <c r="B3006" s="1" t="s">
        <v>24</v>
      </c>
    </row>
    <row r="3007" spans="1:2" x14ac:dyDescent="0.35">
      <c r="A3007" s="2">
        <v>46261</v>
      </c>
      <c r="B3007" s="1" t="s">
        <v>24</v>
      </c>
    </row>
    <row r="3008" spans="1:2" x14ac:dyDescent="0.35">
      <c r="A3008" s="2">
        <v>46261</v>
      </c>
      <c r="B3008" s="1" t="s">
        <v>24</v>
      </c>
    </row>
    <row r="3009" spans="1:2" x14ac:dyDescent="0.35">
      <c r="A3009" s="2">
        <v>46262</v>
      </c>
      <c r="B3009" s="1" t="s">
        <v>84</v>
      </c>
    </row>
    <row r="3010" spans="1:2" x14ac:dyDescent="0.35">
      <c r="A3010" s="2">
        <v>46265</v>
      </c>
      <c r="B3010" s="1" t="s">
        <v>9</v>
      </c>
    </row>
    <row r="3011" spans="1:2" x14ac:dyDescent="0.35">
      <c r="A3011" s="2">
        <v>46265</v>
      </c>
      <c r="B3011" s="1" t="s">
        <v>9</v>
      </c>
    </row>
    <row r="3012" spans="1:2" x14ac:dyDescent="0.35">
      <c r="A3012" s="2">
        <v>46265</v>
      </c>
      <c r="B3012" s="1" t="s">
        <v>9</v>
      </c>
    </row>
    <row r="3013" spans="1:2" x14ac:dyDescent="0.35">
      <c r="A3013" s="2">
        <v>46265</v>
      </c>
      <c r="B3013" s="1" t="s">
        <v>9</v>
      </c>
    </row>
    <row r="3014" spans="1:2" x14ac:dyDescent="0.35">
      <c r="A3014" s="2">
        <v>46265</v>
      </c>
      <c r="B3014" s="1" t="s">
        <v>9</v>
      </c>
    </row>
    <row r="3015" spans="1:2" x14ac:dyDescent="0.35">
      <c r="A3015" s="2">
        <v>46266</v>
      </c>
      <c r="B3015" s="1" t="s">
        <v>22</v>
      </c>
    </row>
    <row r="3016" spans="1:2" x14ac:dyDescent="0.35">
      <c r="A3016" s="2">
        <v>46266</v>
      </c>
      <c r="B3016" s="1" t="s">
        <v>22</v>
      </c>
    </row>
    <row r="3017" spans="1:2" x14ac:dyDescent="0.35">
      <c r="A3017" s="2">
        <v>46266</v>
      </c>
      <c r="B3017" s="1" t="s">
        <v>22</v>
      </c>
    </row>
    <row r="3018" spans="1:2" x14ac:dyDescent="0.35">
      <c r="A3018" s="2">
        <v>46266</v>
      </c>
      <c r="B3018" s="1" t="s">
        <v>22</v>
      </c>
    </row>
    <row r="3019" spans="1:2" x14ac:dyDescent="0.35">
      <c r="A3019" s="2">
        <v>46266</v>
      </c>
      <c r="B3019" s="1" t="s">
        <v>22</v>
      </c>
    </row>
    <row r="3020" spans="1:2" x14ac:dyDescent="0.35">
      <c r="A3020" s="2">
        <v>46266</v>
      </c>
      <c r="B3020" s="1" t="s">
        <v>22</v>
      </c>
    </row>
    <row r="3021" spans="1:2" x14ac:dyDescent="0.35">
      <c r="A3021" s="2">
        <v>46266</v>
      </c>
      <c r="B3021" s="1" t="s">
        <v>22</v>
      </c>
    </row>
    <row r="3022" spans="1:2" x14ac:dyDescent="0.35">
      <c r="A3022" s="2">
        <v>46266</v>
      </c>
      <c r="B3022" s="1" t="s">
        <v>22</v>
      </c>
    </row>
    <row r="3023" spans="1:2" x14ac:dyDescent="0.35">
      <c r="A3023" s="2">
        <v>46266</v>
      </c>
      <c r="B3023" s="1" t="s">
        <v>22</v>
      </c>
    </row>
    <row r="3024" spans="1:2" x14ac:dyDescent="0.35">
      <c r="A3024" s="2">
        <v>46266</v>
      </c>
      <c r="B3024" s="1" t="s">
        <v>22</v>
      </c>
    </row>
    <row r="3025" spans="1:2" x14ac:dyDescent="0.35">
      <c r="A3025" s="2">
        <v>46266</v>
      </c>
      <c r="B3025" s="1" t="s">
        <v>22</v>
      </c>
    </row>
    <row r="3026" spans="1:2" x14ac:dyDescent="0.35">
      <c r="A3026" s="2">
        <v>46267</v>
      </c>
      <c r="B3026" s="1" t="s">
        <v>84</v>
      </c>
    </row>
    <row r="3027" spans="1:2" x14ac:dyDescent="0.35">
      <c r="A3027" s="2">
        <v>46267</v>
      </c>
      <c r="B3027" s="1" t="s">
        <v>84</v>
      </c>
    </row>
    <row r="3028" spans="1:2" x14ac:dyDescent="0.35">
      <c r="A3028" s="2">
        <v>46267</v>
      </c>
      <c r="B3028" s="1" t="s">
        <v>84</v>
      </c>
    </row>
    <row r="3029" spans="1:2" x14ac:dyDescent="0.35">
      <c r="A3029" s="2">
        <v>46267</v>
      </c>
      <c r="B3029" s="1" t="s">
        <v>84</v>
      </c>
    </row>
    <row r="3030" spans="1:2" x14ac:dyDescent="0.35">
      <c r="A3030" s="2">
        <v>46267</v>
      </c>
      <c r="B3030" s="1" t="s">
        <v>84</v>
      </c>
    </row>
    <row r="3031" spans="1:2" x14ac:dyDescent="0.35">
      <c r="A3031" s="2">
        <v>46267</v>
      </c>
      <c r="B3031" s="1" t="s">
        <v>84</v>
      </c>
    </row>
    <row r="3032" spans="1:2" x14ac:dyDescent="0.35">
      <c r="A3032" s="2">
        <v>46267</v>
      </c>
      <c r="B3032" s="1" t="s">
        <v>84</v>
      </c>
    </row>
    <row r="3033" spans="1:2" x14ac:dyDescent="0.35">
      <c r="A3033" s="2">
        <v>46267</v>
      </c>
      <c r="B3033" s="1" t="s">
        <v>84</v>
      </c>
    </row>
    <row r="3034" spans="1:2" x14ac:dyDescent="0.35">
      <c r="A3034" s="2">
        <v>46267</v>
      </c>
      <c r="B3034" s="1" t="s">
        <v>84</v>
      </c>
    </row>
    <row r="3035" spans="1:2" x14ac:dyDescent="0.35">
      <c r="A3035" s="2">
        <v>46267</v>
      </c>
      <c r="B3035" s="1" t="s">
        <v>9</v>
      </c>
    </row>
    <row r="3036" spans="1:2" x14ac:dyDescent="0.35">
      <c r="A3036" s="2">
        <v>46267</v>
      </c>
      <c r="B3036" s="1" t="s">
        <v>9</v>
      </c>
    </row>
    <row r="3037" spans="1:2" x14ac:dyDescent="0.35">
      <c r="A3037" s="2">
        <v>46267</v>
      </c>
      <c r="B3037" s="1" t="s">
        <v>9</v>
      </c>
    </row>
    <row r="3038" spans="1:2" x14ac:dyDescent="0.35">
      <c r="A3038" s="2">
        <v>46267</v>
      </c>
      <c r="B3038" s="1" t="s">
        <v>9</v>
      </c>
    </row>
    <row r="3039" spans="1:2" x14ac:dyDescent="0.35">
      <c r="A3039" s="2">
        <v>46268</v>
      </c>
      <c r="B3039" s="1" t="s">
        <v>24</v>
      </c>
    </row>
    <row r="3040" spans="1:2" x14ac:dyDescent="0.35">
      <c r="A3040" s="2">
        <v>46268</v>
      </c>
      <c r="B3040" s="1" t="s">
        <v>24</v>
      </c>
    </row>
    <row r="3041" spans="1:2" x14ac:dyDescent="0.35">
      <c r="A3041" s="2">
        <v>46268</v>
      </c>
      <c r="B3041" s="1" t="s">
        <v>24</v>
      </c>
    </row>
    <row r="3042" spans="1:2" x14ac:dyDescent="0.35">
      <c r="A3042" s="2">
        <v>46268</v>
      </c>
      <c r="B3042" s="1" t="s">
        <v>24</v>
      </c>
    </row>
    <row r="3043" spans="1:2" x14ac:dyDescent="0.35">
      <c r="A3043" s="2">
        <v>46268</v>
      </c>
      <c r="B3043" s="1" t="s">
        <v>24</v>
      </c>
    </row>
    <row r="3044" spans="1:2" x14ac:dyDescent="0.35">
      <c r="A3044" s="2">
        <v>46268</v>
      </c>
      <c r="B3044" s="1" t="s">
        <v>24</v>
      </c>
    </row>
    <row r="3045" spans="1:2" x14ac:dyDescent="0.35">
      <c r="A3045" s="2">
        <v>46268</v>
      </c>
      <c r="B3045" s="1" t="s">
        <v>24</v>
      </c>
    </row>
    <row r="3046" spans="1:2" x14ac:dyDescent="0.35">
      <c r="A3046" s="2">
        <v>46268</v>
      </c>
      <c r="B3046" s="1" t="s">
        <v>24</v>
      </c>
    </row>
    <row r="3047" spans="1:2" x14ac:dyDescent="0.35">
      <c r="A3047" s="2">
        <v>46268</v>
      </c>
      <c r="B3047" s="1" t="s">
        <v>24</v>
      </c>
    </row>
    <row r="3048" spans="1:2" x14ac:dyDescent="0.35">
      <c r="A3048" s="2">
        <v>46268</v>
      </c>
      <c r="B3048" s="1" t="s">
        <v>24</v>
      </c>
    </row>
    <row r="3049" spans="1:2" x14ac:dyDescent="0.35">
      <c r="A3049" s="2">
        <v>46268</v>
      </c>
      <c r="B3049" s="1" t="s">
        <v>24</v>
      </c>
    </row>
    <row r="3050" spans="1:2" x14ac:dyDescent="0.35">
      <c r="A3050" s="2">
        <v>46268</v>
      </c>
      <c r="B3050" s="1" t="s">
        <v>24</v>
      </c>
    </row>
    <row r="3051" spans="1:2" x14ac:dyDescent="0.35">
      <c r="A3051" s="2">
        <v>46268</v>
      </c>
      <c r="B3051" s="1" t="s">
        <v>24</v>
      </c>
    </row>
    <row r="3052" spans="1:2" x14ac:dyDescent="0.35">
      <c r="A3052" s="2">
        <v>46268</v>
      </c>
      <c r="B3052" s="1" t="s">
        <v>24</v>
      </c>
    </row>
    <row r="3053" spans="1:2" x14ac:dyDescent="0.35">
      <c r="A3053" s="2">
        <v>46268</v>
      </c>
      <c r="B3053" s="1" t="s">
        <v>24</v>
      </c>
    </row>
    <row r="3054" spans="1:2" x14ac:dyDescent="0.35">
      <c r="A3054" s="2">
        <v>46268</v>
      </c>
      <c r="B3054" s="1" t="s">
        <v>24</v>
      </c>
    </row>
    <row r="3055" spans="1:2" x14ac:dyDescent="0.35">
      <c r="A3055" s="2">
        <v>46268</v>
      </c>
      <c r="B3055" s="1" t="s">
        <v>24</v>
      </c>
    </row>
    <row r="3056" spans="1:2" x14ac:dyDescent="0.35">
      <c r="A3056" s="2">
        <v>46269</v>
      </c>
      <c r="B3056" s="1" t="s">
        <v>9</v>
      </c>
    </row>
    <row r="3057" spans="1:2" x14ac:dyDescent="0.35">
      <c r="A3057" s="2">
        <v>46269</v>
      </c>
      <c r="B3057" s="1" t="s">
        <v>9</v>
      </c>
    </row>
    <row r="3058" spans="1:2" x14ac:dyDescent="0.35">
      <c r="A3058" s="2">
        <v>46269</v>
      </c>
      <c r="B3058" s="1" t="s">
        <v>9</v>
      </c>
    </row>
    <row r="3059" spans="1:2" x14ac:dyDescent="0.35">
      <c r="A3059" s="2">
        <v>46269</v>
      </c>
      <c r="B3059" s="1" t="s">
        <v>9</v>
      </c>
    </row>
    <row r="3060" spans="1:2" x14ac:dyDescent="0.35">
      <c r="A3060" s="2">
        <v>46269</v>
      </c>
      <c r="B3060" s="1" t="s">
        <v>9</v>
      </c>
    </row>
    <row r="3061" spans="1:2" x14ac:dyDescent="0.35">
      <c r="A3061" s="2">
        <v>46269</v>
      </c>
      <c r="B3061" s="1" t="s">
        <v>9</v>
      </c>
    </row>
    <row r="3062" spans="1:2" x14ac:dyDescent="0.35">
      <c r="A3062" s="2">
        <v>46269</v>
      </c>
      <c r="B3062" s="1" t="s">
        <v>9</v>
      </c>
    </row>
    <row r="3063" spans="1:2" x14ac:dyDescent="0.35">
      <c r="A3063" s="2">
        <v>46272</v>
      </c>
      <c r="B3063" s="1" t="s">
        <v>9</v>
      </c>
    </row>
    <row r="3064" spans="1:2" x14ac:dyDescent="0.35">
      <c r="A3064" s="2">
        <v>46272</v>
      </c>
      <c r="B3064" s="1" t="s">
        <v>9</v>
      </c>
    </row>
    <row r="3065" spans="1:2" x14ac:dyDescent="0.35">
      <c r="A3065" s="2">
        <v>46272</v>
      </c>
      <c r="B3065" s="1" t="s">
        <v>9</v>
      </c>
    </row>
    <row r="3066" spans="1:2" x14ac:dyDescent="0.35">
      <c r="A3066" s="2">
        <v>46272</v>
      </c>
      <c r="B3066" s="1" t="s">
        <v>19</v>
      </c>
    </row>
    <row r="3067" spans="1:2" x14ac:dyDescent="0.35">
      <c r="A3067" s="2">
        <v>46273</v>
      </c>
      <c r="B3067" s="1" t="s">
        <v>19</v>
      </c>
    </row>
    <row r="3068" spans="1:2" x14ac:dyDescent="0.35">
      <c r="A3068" s="2">
        <v>46274</v>
      </c>
      <c r="B3068" s="1" t="s">
        <v>84</v>
      </c>
    </row>
    <row r="3069" spans="1:2" x14ac:dyDescent="0.35">
      <c r="A3069" s="2">
        <v>46274</v>
      </c>
      <c r="B3069" s="1" t="s">
        <v>28</v>
      </c>
    </row>
    <row r="3070" spans="1:2" x14ac:dyDescent="0.35">
      <c r="A3070" s="2">
        <v>46274</v>
      </c>
      <c r="B3070" s="1" t="s">
        <v>9</v>
      </c>
    </row>
    <row r="3071" spans="1:2" x14ac:dyDescent="0.35">
      <c r="A3071" s="2">
        <v>46274</v>
      </c>
      <c r="B3071" s="1" t="s">
        <v>9</v>
      </c>
    </row>
    <row r="3072" spans="1:2" x14ac:dyDescent="0.35">
      <c r="A3072" s="2">
        <v>46274</v>
      </c>
      <c r="B3072" s="1" t="s">
        <v>9</v>
      </c>
    </row>
    <row r="3073" spans="1:2" x14ac:dyDescent="0.35">
      <c r="A3073" s="2">
        <v>46274</v>
      </c>
      <c r="B3073" s="1" t="s">
        <v>84</v>
      </c>
    </row>
    <row r="3074" spans="1:2" x14ac:dyDescent="0.35">
      <c r="A3074" s="2">
        <v>46274</v>
      </c>
      <c r="B3074" s="1" t="s">
        <v>84</v>
      </c>
    </row>
    <row r="3075" spans="1:2" x14ac:dyDescent="0.35">
      <c r="A3075" s="2">
        <v>46274</v>
      </c>
      <c r="B3075" s="1" t="s">
        <v>84</v>
      </c>
    </row>
    <row r="3076" spans="1:2" x14ac:dyDescent="0.35">
      <c r="A3076" s="2">
        <v>46274</v>
      </c>
      <c r="B3076" s="1" t="s">
        <v>9</v>
      </c>
    </row>
    <row r="3077" spans="1:2" x14ac:dyDescent="0.35">
      <c r="A3077" s="2">
        <v>46274</v>
      </c>
      <c r="B3077" s="1" t="s">
        <v>9</v>
      </c>
    </row>
    <row r="3078" spans="1:2" x14ac:dyDescent="0.35">
      <c r="A3078" s="2">
        <v>46275</v>
      </c>
      <c r="B3078" s="1" t="s">
        <v>83</v>
      </c>
    </row>
    <row r="3079" spans="1:2" x14ac:dyDescent="0.35">
      <c r="A3079" s="2">
        <v>46275</v>
      </c>
      <c r="B3079" s="1" t="s">
        <v>83</v>
      </c>
    </row>
    <row r="3080" spans="1:2" x14ac:dyDescent="0.35">
      <c r="A3080" s="2">
        <v>46275</v>
      </c>
      <c r="B3080" s="1" t="s">
        <v>83</v>
      </c>
    </row>
    <row r="3081" spans="1:2" x14ac:dyDescent="0.35">
      <c r="A3081" s="2">
        <v>46275</v>
      </c>
      <c r="B3081" s="1" t="s">
        <v>9</v>
      </c>
    </row>
    <row r="3082" spans="1:2" x14ac:dyDescent="0.35">
      <c r="A3082" s="2">
        <v>46275</v>
      </c>
      <c r="B3082" s="1" t="s">
        <v>9</v>
      </c>
    </row>
    <row r="3083" spans="1:2" x14ac:dyDescent="0.35">
      <c r="A3083" s="2">
        <v>46275</v>
      </c>
      <c r="B3083" s="1" t="s">
        <v>24</v>
      </c>
    </row>
    <row r="3084" spans="1:2" x14ac:dyDescent="0.35">
      <c r="A3084" s="2">
        <v>46275</v>
      </c>
      <c r="B3084" s="1" t="s">
        <v>24</v>
      </c>
    </row>
    <row r="3085" spans="1:2" x14ac:dyDescent="0.35">
      <c r="A3085" s="2">
        <v>46275</v>
      </c>
      <c r="B3085" s="1" t="s">
        <v>24</v>
      </c>
    </row>
    <row r="3086" spans="1:2" x14ac:dyDescent="0.35">
      <c r="A3086" s="2">
        <v>46276</v>
      </c>
      <c r="B3086" s="1" t="s">
        <v>84</v>
      </c>
    </row>
    <row r="3087" spans="1:2" x14ac:dyDescent="0.35">
      <c r="A3087" s="2">
        <v>46276</v>
      </c>
      <c r="B3087" s="1" t="s">
        <v>84</v>
      </c>
    </row>
    <row r="3088" spans="1:2" x14ac:dyDescent="0.35">
      <c r="A3088" s="2">
        <v>46276</v>
      </c>
      <c r="B3088" s="1" t="s">
        <v>84</v>
      </c>
    </row>
    <row r="3089" spans="1:2" x14ac:dyDescent="0.35">
      <c r="A3089" s="2">
        <v>46276</v>
      </c>
      <c r="B3089" s="1" t="s">
        <v>9</v>
      </c>
    </row>
    <row r="3090" spans="1:2" x14ac:dyDescent="0.35">
      <c r="A3090" s="2">
        <v>46276</v>
      </c>
      <c r="B3090" s="1" t="s">
        <v>9</v>
      </c>
    </row>
    <row r="3091" spans="1:2" x14ac:dyDescent="0.35">
      <c r="A3091" s="2">
        <v>46276</v>
      </c>
      <c r="B3091" s="1" t="s">
        <v>9</v>
      </c>
    </row>
    <row r="3092" spans="1:2" x14ac:dyDescent="0.35">
      <c r="A3092" s="2">
        <v>46276</v>
      </c>
      <c r="B3092" s="1" t="s">
        <v>9</v>
      </c>
    </row>
    <row r="3093" spans="1:2" x14ac:dyDescent="0.35">
      <c r="A3093" s="2">
        <v>46276</v>
      </c>
      <c r="B3093" s="1" t="s">
        <v>9</v>
      </c>
    </row>
    <row r="3094" spans="1:2" x14ac:dyDescent="0.35">
      <c r="A3094" s="2">
        <v>46276</v>
      </c>
      <c r="B3094" s="1" t="s">
        <v>9</v>
      </c>
    </row>
    <row r="3095" spans="1:2" x14ac:dyDescent="0.35">
      <c r="A3095" s="2">
        <v>46276</v>
      </c>
      <c r="B3095" s="1" t="s">
        <v>9</v>
      </c>
    </row>
    <row r="3096" spans="1:2" x14ac:dyDescent="0.35">
      <c r="A3096" s="2">
        <v>46276</v>
      </c>
      <c r="B3096" s="1" t="s">
        <v>9</v>
      </c>
    </row>
    <row r="3097" spans="1:2" x14ac:dyDescent="0.35">
      <c r="A3097" s="2">
        <v>46276</v>
      </c>
      <c r="B3097" s="1" t="s">
        <v>19</v>
      </c>
    </row>
    <row r="3098" spans="1:2" x14ac:dyDescent="0.35">
      <c r="A3098" s="2">
        <v>46276</v>
      </c>
      <c r="B3098" s="1" t="s">
        <v>24</v>
      </c>
    </row>
    <row r="3099" spans="1:2" x14ac:dyDescent="0.35">
      <c r="A3099" s="2">
        <v>46276</v>
      </c>
      <c r="B3099" s="1" t="s">
        <v>24</v>
      </c>
    </row>
    <row r="3100" spans="1:2" x14ac:dyDescent="0.35">
      <c r="A3100" s="2">
        <v>46280</v>
      </c>
      <c r="B3100" s="1" t="s">
        <v>9</v>
      </c>
    </row>
    <row r="3101" spans="1:2" x14ac:dyDescent="0.35">
      <c r="A3101" s="2">
        <v>46280</v>
      </c>
      <c r="B3101" s="1" t="s">
        <v>9</v>
      </c>
    </row>
    <row r="3102" spans="1:2" x14ac:dyDescent="0.35">
      <c r="A3102" s="2">
        <v>46280</v>
      </c>
      <c r="B3102" s="1" t="s">
        <v>9</v>
      </c>
    </row>
    <row r="3103" spans="1:2" x14ac:dyDescent="0.35">
      <c r="A3103" s="2">
        <v>46280</v>
      </c>
      <c r="B3103" s="1" t="s">
        <v>9</v>
      </c>
    </row>
    <row r="3104" spans="1:2" x14ac:dyDescent="0.35">
      <c r="A3104" s="2">
        <v>46280</v>
      </c>
      <c r="B3104" s="1" t="s">
        <v>19</v>
      </c>
    </row>
    <row r="3105" spans="1:2" x14ac:dyDescent="0.35">
      <c r="A3105" s="2">
        <v>46280</v>
      </c>
      <c r="B3105" s="1" t="s">
        <v>84</v>
      </c>
    </row>
    <row r="3106" spans="1:2" x14ac:dyDescent="0.35">
      <c r="A3106" s="2">
        <v>46280</v>
      </c>
      <c r="B3106" s="1" t="s">
        <v>19</v>
      </c>
    </row>
    <row r="3107" spans="1:2" x14ac:dyDescent="0.35">
      <c r="A3107" s="2">
        <v>46280</v>
      </c>
      <c r="B3107" s="1" t="s">
        <v>19</v>
      </c>
    </row>
    <row r="3108" spans="1:2" x14ac:dyDescent="0.35">
      <c r="A3108" s="2">
        <v>46280</v>
      </c>
      <c r="B3108" s="1" t="s">
        <v>19</v>
      </c>
    </row>
    <row r="3109" spans="1:2" x14ac:dyDescent="0.35">
      <c r="A3109" s="2">
        <v>46281</v>
      </c>
      <c r="B3109" s="1" t="s">
        <v>83</v>
      </c>
    </row>
    <row r="3110" spans="1:2" x14ac:dyDescent="0.35">
      <c r="A3110" s="2">
        <v>46281</v>
      </c>
      <c r="B3110" s="1" t="s">
        <v>9</v>
      </c>
    </row>
    <row r="3111" spans="1:2" x14ac:dyDescent="0.35">
      <c r="A3111" s="2">
        <v>46281</v>
      </c>
      <c r="B3111" s="1" t="s">
        <v>83</v>
      </c>
    </row>
    <row r="3112" spans="1:2" x14ac:dyDescent="0.35">
      <c r="A3112" s="2">
        <v>46281</v>
      </c>
      <c r="B3112" s="1" t="s">
        <v>83</v>
      </c>
    </row>
    <row r="3113" spans="1:2" x14ac:dyDescent="0.35">
      <c r="A3113" s="2">
        <v>46281</v>
      </c>
      <c r="B3113" s="1" t="s">
        <v>9</v>
      </c>
    </row>
    <row r="3114" spans="1:2" x14ac:dyDescent="0.35">
      <c r="A3114" s="2">
        <v>46281</v>
      </c>
      <c r="B3114" s="1" t="s">
        <v>9</v>
      </c>
    </row>
    <row r="3115" spans="1:2" x14ac:dyDescent="0.35">
      <c r="A3115" s="2">
        <v>46281</v>
      </c>
      <c r="B3115" s="1" t="s">
        <v>83</v>
      </c>
    </row>
    <row r="3116" spans="1:2" x14ac:dyDescent="0.35">
      <c r="A3116" s="2">
        <v>46281</v>
      </c>
      <c r="B3116" s="1" t="s">
        <v>84</v>
      </c>
    </row>
    <row r="3117" spans="1:2" x14ac:dyDescent="0.35">
      <c r="A3117" s="2">
        <v>46281</v>
      </c>
      <c r="B3117" s="1" t="s">
        <v>84</v>
      </c>
    </row>
    <row r="3118" spans="1:2" x14ac:dyDescent="0.35">
      <c r="A3118" s="2">
        <v>46281</v>
      </c>
      <c r="B3118" s="1" t="s">
        <v>84</v>
      </c>
    </row>
    <row r="3119" spans="1:2" x14ac:dyDescent="0.35">
      <c r="A3119" s="2">
        <v>46281</v>
      </c>
      <c r="B3119" s="1" t="s">
        <v>84</v>
      </c>
    </row>
    <row r="3120" spans="1:2" x14ac:dyDescent="0.35">
      <c r="A3120" s="2">
        <v>46281</v>
      </c>
      <c r="B3120" s="1" t="s">
        <v>84</v>
      </c>
    </row>
    <row r="3121" spans="1:2" x14ac:dyDescent="0.35">
      <c r="A3121" s="2">
        <v>46281</v>
      </c>
      <c r="B3121" s="1" t="s">
        <v>84</v>
      </c>
    </row>
    <row r="3122" spans="1:2" x14ac:dyDescent="0.35">
      <c r="A3122" s="2">
        <v>46281</v>
      </c>
      <c r="B3122" s="1" t="s">
        <v>19</v>
      </c>
    </row>
    <row r="3123" spans="1:2" x14ac:dyDescent="0.35">
      <c r="A3123" s="2">
        <v>46281</v>
      </c>
      <c r="B3123" s="1" t="s">
        <v>19</v>
      </c>
    </row>
    <row r="3124" spans="1:2" x14ac:dyDescent="0.35">
      <c r="A3124" s="2">
        <v>46281</v>
      </c>
      <c r="B3124" s="1" t="s">
        <v>19</v>
      </c>
    </row>
    <row r="3125" spans="1:2" x14ac:dyDescent="0.35">
      <c r="A3125" s="2">
        <v>46281</v>
      </c>
      <c r="B3125" s="1" t="s">
        <v>19</v>
      </c>
    </row>
    <row r="3126" spans="1:2" x14ac:dyDescent="0.35">
      <c r="A3126" s="2">
        <v>46282</v>
      </c>
      <c r="B3126" s="1" t="s">
        <v>83</v>
      </c>
    </row>
    <row r="3127" spans="1:2" x14ac:dyDescent="0.35">
      <c r="A3127" s="2">
        <v>46282</v>
      </c>
      <c r="B3127" s="1" t="s">
        <v>83</v>
      </c>
    </row>
    <row r="3128" spans="1:2" x14ac:dyDescent="0.35">
      <c r="A3128" s="2">
        <v>46282</v>
      </c>
      <c r="B3128" s="1" t="s">
        <v>83</v>
      </c>
    </row>
    <row r="3129" spans="1:2" x14ac:dyDescent="0.35">
      <c r="A3129" s="2">
        <v>46282</v>
      </c>
      <c r="B3129" s="1" t="s">
        <v>83</v>
      </c>
    </row>
    <row r="3130" spans="1:2" x14ac:dyDescent="0.35">
      <c r="A3130" s="2">
        <v>46282</v>
      </c>
      <c r="B3130" s="1" t="s">
        <v>83</v>
      </c>
    </row>
    <row r="3131" spans="1:2" x14ac:dyDescent="0.35">
      <c r="A3131" s="2">
        <v>46282</v>
      </c>
      <c r="B3131" s="1" t="s">
        <v>83</v>
      </c>
    </row>
    <row r="3132" spans="1:2" x14ac:dyDescent="0.35">
      <c r="A3132" s="2">
        <v>46282</v>
      </c>
      <c r="B3132" s="1" t="s">
        <v>19</v>
      </c>
    </row>
    <row r="3133" spans="1:2" x14ac:dyDescent="0.35">
      <c r="A3133" s="2">
        <v>46282</v>
      </c>
      <c r="B3133" s="1" t="s">
        <v>9</v>
      </c>
    </row>
    <row r="3134" spans="1:2" x14ac:dyDescent="0.35">
      <c r="A3134" s="2">
        <v>46282</v>
      </c>
      <c r="B3134" s="1" t="s">
        <v>9</v>
      </c>
    </row>
    <row r="3135" spans="1:2" x14ac:dyDescent="0.35">
      <c r="A3135" s="2">
        <v>46282</v>
      </c>
      <c r="B3135" s="1" t="s">
        <v>9</v>
      </c>
    </row>
    <row r="3136" spans="1:2" x14ac:dyDescent="0.35">
      <c r="A3136" s="2">
        <v>46282</v>
      </c>
      <c r="B3136" s="1" t="s">
        <v>9</v>
      </c>
    </row>
    <row r="3137" spans="1:2" x14ac:dyDescent="0.35">
      <c r="A3137" s="2">
        <v>46282</v>
      </c>
      <c r="B3137" s="1" t="s">
        <v>19</v>
      </c>
    </row>
    <row r="3138" spans="1:2" x14ac:dyDescent="0.35">
      <c r="A3138" s="2">
        <v>46282</v>
      </c>
      <c r="B3138" s="1" t="s">
        <v>19</v>
      </c>
    </row>
    <row r="3139" spans="1:2" x14ac:dyDescent="0.35">
      <c r="A3139" s="2">
        <v>46283</v>
      </c>
      <c r="B3139" s="1" t="s">
        <v>19</v>
      </c>
    </row>
    <row r="3140" spans="1:2" x14ac:dyDescent="0.35">
      <c r="A3140" s="2">
        <v>46283</v>
      </c>
      <c r="B3140" s="1" t="s">
        <v>19</v>
      </c>
    </row>
    <row r="3141" spans="1:2" x14ac:dyDescent="0.35">
      <c r="A3141" s="2">
        <v>46283</v>
      </c>
      <c r="B3141" s="1" t="s">
        <v>19</v>
      </c>
    </row>
    <row r="3142" spans="1:2" x14ac:dyDescent="0.35">
      <c r="A3142" s="2">
        <v>46283</v>
      </c>
      <c r="B3142" s="1" t="s">
        <v>19</v>
      </c>
    </row>
    <row r="3143" spans="1:2" x14ac:dyDescent="0.35">
      <c r="A3143" s="2">
        <v>46283</v>
      </c>
      <c r="B3143" s="1" t="s">
        <v>84</v>
      </c>
    </row>
    <row r="3144" spans="1:2" x14ac:dyDescent="0.35">
      <c r="A3144" s="2">
        <v>46283</v>
      </c>
      <c r="B3144" s="1" t="s">
        <v>84</v>
      </c>
    </row>
    <row r="3145" spans="1:2" x14ac:dyDescent="0.35">
      <c r="A3145" s="2">
        <v>46283</v>
      </c>
      <c r="B3145" s="1" t="s">
        <v>84</v>
      </c>
    </row>
    <row r="3146" spans="1:2" x14ac:dyDescent="0.35">
      <c r="A3146" s="2">
        <v>46283</v>
      </c>
      <c r="B3146" s="1" t="s">
        <v>84</v>
      </c>
    </row>
    <row r="3147" spans="1:2" x14ac:dyDescent="0.35">
      <c r="A3147" s="2">
        <v>46283</v>
      </c>
      <c r="B3147" s="1" t="s">
        <v>84</v>
      </c>
    </row>
    <row r="3148" spans="1:2" x14ac:dyDescent="0.35">
      <c r="A3148" s="2">
        <v>46283</v>
      </c>
      <c r="B3148" s="1" t="s">
        <v>84</v>
      </c>
    </row>
    <row r="3149" spans="1:2" x14ac:dyDescent="0.35">
      <c r="A3149" s="2">
        <v>46283</v>
      </c>
      <c r="B3149" s="1" t="s">
        <v>84</v>
      </c>
    </row>
    <row r="3150" spans="1:2" x14ac:dyDescent="0.35">
      <c r="A3150" s="2">
        <v>46283</v>
      </c>
      <c r="B3150" s="1" t="s">
        <v>84</v>
      </c>
    </row>
    <row r="3151" spans="1:2" x14ac:dyDescent="0.35">
      <c r="A3151" s="2">
        <v>46286</v>
      </c>
      <c r="B3151" s="1" t="s">
        <v>9</v>
      </c>
    </row>
    <row r="3152" spans="1:2" x14ac:dyDescent="0.35">
      <c r="A3152" s="2">
        <v>46286</v>
      </c>
      <c r="B3152" s="1" t="s">
        <v>9</v>
      </c>
    </row>
    <row r="3153" spans="1:2" x14ac:dyDescent="0.35">
      <c r="A3153" s="2">
        <v>46286</v>
      </c>
      <c r="B3153" s="1" t="s">
        <v>19</v>
      </c>
    </row>
    <row r="3154" spans="1:2" x14ac:dyDescent="0.35">
      <c r="A3154" s="2">
        <v>46286</v>
      </c>
      <c r="B3154" s="1" t="s">
        <v>19</v>
      </c>
    </row>
    <row r="3155" spans="1:2" x14ac:dyDescent="0.35">
      <c r="A3155" s="2">
        <v>46286</v>
      </c>
      <c r="B3155" s="1" t="s">
        <v>19</v>
      </c>
    </row>
    <row r="3156" spans="1:2" x14ac:dyDescent="0.35">
      <c r="A3156" s="2">
        <v>46286</v>
      </c>
      <c r="B3156" s="1" t="s">
        <v>19</v>
      </c>
    </row>
    <row r="3157" spans="1:2" x14ac:dyDescent="0.35">
      <c r="A3157" s="2">
        <v>46286</v>
      </c>
      <c r="B3157" s="1" t="s">
        <v>84</v>
      </c>
    </row>
    <row r="3158" spans="1:2" x14ac:dyDescent="0.35">
      <c r="A3158" s="2">
        <v>46287</v>
      </c>
      <c r="B3158" s="1" t="s">
        <v>19</v>
      </c>
    </row>
    <row r="3159" spans="1:2" x14ac:dyDescent="0.35">
      <c r="A3159" s="2">
        <v>46287</v>
      </c>
      <c r="B3159" s="1" t="s">
        <v>19</v>
      </c>
    </row>
    <row r="3160" spans="1:2" x14ac:dyDescent="0.35">
      <c r="A3160" s="2">
        <v>46287</v>
      </c>
      <c r="B3160" s="1" t="s">
        <v>19</v>
      </c>
    </row>
    <row r="3161" spans="1:2" x14ac:dyDescent="0.35">
      <c r="A3161" s="2">
        <v>46287</v>
      </c>
      <c r="B3161" s="1" t="s">
        <v>19</v>
      </c>
    </row>
    <row r="3162" spans="1:2" x14ac:dyDescent="0.35">
      <c r="A3162" s="2">
        <v>46287</v>
      </c>
      <c r="B3162" s="1" t="s">
        <v>19</v>
      </c>
    </row>
    <row r="3163" spans="1:2" x14ac:dyDescent="0.35">
      <c r="A3163" s="2">
        <v>46287</v>
      </c>
      <c r="B3163" s="1" t="s">
        <v>9</v>
      </c>
    </row>
    <row r="3164" spans="1:2" x14ac:dyDescent="0.35">
      <c r="A3164" s="2">
        <v>46287</v>
      </c>
      <c r="B3164" s="1" t="s">
        <v>9</v>
      </c>
    </row>
    <row r="3165" spans="1:2" x14ac:dyDescent="0.35">
      <c r="A3165" s="2">
        <v>46287</v>
      </c>
      <c r="B3165" s="1" t="s">
        <v>19</v>
      </c>
    </row>
    <row r="3166" spans="1:2" x14ac:dyDescent="0.35">
      <c r="A3166" s="2">
        <v>46287</v>
      </c>
      <c r="B3166" s="1" t="s">
        <v>19</v>
      </c>
    </row>
    <row r="3167" spans="1:2" x14ac:dyDescent="0.35">
      <c r="A3167" s="2">
        <v>46287</v>
      </c>
      <c r="B3167" s="1" t="s">
        <v>19</v>
      </c>
    </row>
    <row r="3168" spans="1:2" x14ac:dyDescent="0.35">
      <c r="A3168" s="2">
        <v>46287</v>
      </c>
      <c r="B3168" s="1" t="s">
        <v>84</v>
      </c>
    </row>
    <row r="3169" spans="1:2" x14ac:dyDescent="0.35">
      <c r="A3169" s="2">
        <v>46287</v>
      </c>
      <c r="B3169" s="1" t="s">
        <v>9</v>
      </c>
    </row>
    <row r="3170" spans="1:2" x14ac:dyDescent="0.35">
      <c r="A3170" s="2">
        <v>46287</v>
      </c>
      <c r="B3170" s="1" t="s">
        <v>9</v>
      </c>
    </row>
    <row r="3171" spans="1:2" x14ac:dyDescent="0.35">
      <c r="A3171" s="2">
        <v>46287</v>
      </c>
      <c r="B3171" s="1" t="s">
        <v>9</v>
      </c>
    </row>
    <row r="3172" spans="1:2" x14ac:dyDescent="0.35">
      <c r="A3172" s="2">
        <v>46287</v>
      </c>
      <c r="B3172" s="1" t="s">
        <v>9</v>
      </c>
    </row>
    <row r="3173" spans="1:2" x14ac:dyDescent="0.35">
      <c r="A3173" s="2">
        <v>46287</v>
      </c>
      <c r="B3173" s="1" t="s">
        <v>9</v>
      </c>
    </row>
    <row r="3174" spans="1:2" x14ac:dyDescent="0.35">
      <c r="A3174" s="2">
        <v>46287</v>
      </c>
      <c r="B3174" s="1" t="s">
        <v>84</v>
      </c>
    </row>
    <row r="3175" spans="1:2" x14ac:dyDescent="0.35">
      <c r="A3175" s="2">
        <v>46287</v>
      </c>
      <c r="B3175" s="1" t="s">
        <v>19</v>
      </c>
    </row>
    <row r="3176" spans="1:2" x14ac:dyDescent="0.35">
      <c r="A3176" s="2">
        <v>46288</v>
      </c>
      <c r="B3176" s="1" t="s">
        <v>83</v>
      </c>
    </row>
    <row r="3177" spans="1:2" x14ac:dyDescent="0.35">
      <c r="A3177" s="2">
        <v>46288</v>
      </c>
      <c r="B3177" s="1" t="s">
        <v>19</v>
      </c>
    </row>
    <row r="3178" spans="1:2" x14ac:dyDescent="0.35">
      <c r="A3178" s="2">
        <v>46288</v>
      </c>
      <c r="B3178" s="1" t="s">
        <v>9</v>
      </c>
    </row>
    <row r="3179" spans="1:2" x14ac:dyDescent="0.35">
      <c r="A3179" s="2">
        <v>46288</v>
      </c>
      <c r="B3179" s="1" t="s">
        <v>84</v>
      </c>
    </row>
    <row r="3180" spans="1:2" x14ac:dyDescent="0.35">
      <c r="A3180" s="2">
        <v>46288</v>
      </c>
      <c r="B3180" s="1" t="s">
        <v>9</v>
      </c>
    </row>
    <row r="3181" spans="1:2" x14ac:dyDescent="0.35">
      <c r="A3181" s="2">
        <v>46288</v>
      </c>
      <c r="B3181" s="1" t="s">
        <v>9</v>
      </c>
    </row>
    <row r="3182" spans="1:2" x14ac:dyDescent="0.35">
      <c r="A3182" s="2">
        <v>46288</v>
      </c>
      <c r="B3182" s="1" t="s">
        <v>9</v>
      </c>
    </row>
    <row r="3183" spans="1:2" x14ac:dyDescent="0.35">
      <c r="A3183" s="2">
        <v>46288</v>
      </c>
      <c r="B3183" s="1" t="s">
        <v>9</v>
      </c>
    </row>
    <row r="3184" spans="1:2" x14ac:dyDescent="0.35">
      <c r="A3184" s="2">
        <v>46288</v>
      </c>
      <c r="B3184" s="1" t="s">
        <v>9</v>
      </c>
    </row>
    <row r="3185" spans="1:2" x14ac:dyDescent="0.35">
      <c r="A3185" s="2">
        <v>46288</v>
      </c>
      <c r="B3185" s="1" t="s">
        <v>9</v>
      </c>
    </row>
    <row r="3186" spans="1:2" x14ac:dyDescent="0.35">
      <c r="A3186" s="2">
        <v>46288</v>
      </c>
      <c r="B3186" s="1" t="s">
        <v>9</v>
      </c>
    </row>
    <row r="3187" spans="1:2" x14ac:dyDescent="0.35">
      <c r="A3187" s="2">
        <v>46289</v>
      </c>
      <c r="B3187" s="1" t="s">
        <v>19</v>
      </c>
    </row>
    <row r="3188" spans="1:2" x14ac:dyDescent="0.35">
      <c r="A3188" s="2">
        <v>46289</v>
      </c>
      <c r="B3188" s="1" t="s">
        <v>9</v>
      </c>
    </row>
    <row r="3189" spans="1:2" x14ac:dyDescent="0.35">
      <c r="A3189" s="2">
        <v>46289</v>
      </c>
      <c r="B3189" s="1" t="s">
        <v>9</v>
      </c>
    </row>
    <row r="3190" spans="1:2" x14ac:dyDescent="0.35">
      <c r="A3190" s="2">
        <v>46289</v>
      </c>
      <c r="B3190" s="1" t="s">
        <v>9</v>
      </c>
    </row>
    <row r="3191" spans="1:2" x14ac:dyDescent="0.35">
      <c r="A3191" s="2">
        <v>46289</v>
      </c>
      <c r="B3191" s="1" t="s">
        <v>9</v>
      </c>
    </row>
    <row r="3192" spans="1:2" x14ac:dyDescent="0.35">
      <c r="A3192" s="2">
        <v>46289</v>
      </c>
      <c r="B3192" s="1" t="s">
        <v>9</v>
      </c>
    </row>
    <row r="3193" spans="1:2" x14ac:dyDescent="0.35">
      <c r="A3193" s="2">
        <v>46289</v>
      </c>
      <c r="B3193" s="1" t="s">
        <v>9</v>
      </c>
    </row>
    <row r="3194" spans="1:2" x14ac:dyDescent="0.35">
      <c r="A3194" s="2">
        <v>46289</v>
      </c>
      <c r="B3194" s="1" t="s">
        <v>9</v>
      </c>
    </row>
    <row r="3195" spans="1:2" x14ac:dyDescent="0.35">
      <c r="A3195" s="2">
        <v>46289</v>
      </c>
      <c r="B3195" s="1" t="s">
        <v>9</v>
      </c>
    </row>
    <row r="3196" spans="1:2" x14ac:dyDescent="0.35">
      <c r="A3196" s="2">
        <v>46289</v>
      </c>
      <c r="B3196" s="1" t="s">
        <v>9</v>
      </c>
    </row>
    <row r="3197" spans="1:2" x14ac:dyDescent="0.35">
      <c r="A3197" s="2">
        <v>46289</v>
      </c>
      <c r="B3197" s="1" t="s">
        <v>19</v>
      </c>
    </row>
    <row r="3198" spans="1:2" x14ac:dyDescent="0.35">
      <c r="A3198" s="2">
        <v>46289</v>
      </c>
      <c r="B3198" s="1" t="s">
        <v>19</v>
      </c>
    </row>
    <row r="3199" spans="1:2" x14ac:dyDescent="0.35">
      <c r="A3199" s="2">
        <v>46289</v>
      </c>
      <c r="B3199" s="1" t="s">
        <v>84</v>
      </c>
    </row>
    <row r="3200" spans="1:2" x14ac:dyDescent="0.35">
      <c r="A3200" s="2">
        <v>46289</v>
      </c>
      <c r="B3200" s="1" t="s">
        <v>24</v>
      </c>
    </row>
    <row r="3201" spans="1:2" x14ac:dyDescent="0.35">
      <c r="A3201" s="2">
        <v>46289</v>
      </c>
      <c r="B3201" s="1" t="s">
        <v>24</v>
      </c>
    </row>
    <row r="3202" spans="1:2" x14ac:dyDescent="0.35">
      <c r="A3202" s="2">
        <v>46289</v>
      </c>
      <c r="B3202" s="1" t="s">
        <v>24</v>
      </c>
    </row>
    <row r="3203" spans="1:2" x14ac:dyDescent="0.35">
      <c r="A3203" s="2">
        <v>46289</v>
      </c>
      <c r="B3203" s="1" t="s">
        <v>24</v>
      </c>
    </row>
    <row r="3204" spans="1:2" x14ac:dyDescent="0.35">
      <c r="A3204" s="2">
        <v>46289</v>
      </c>
      <c r="B3204" s="1" t="s">
        <v>24</v>
      </c>
    </row>
    <row r="3205" spans="1:2" x14ac:dyDescent="0.35">
      <c r="A3205" s="2">
        <v>46289</v>
      </c>
      <c r="B3205" s="1" t="s">
        <v>24</v>
      </c>
    </row>
    <row r="3206" spans="1:2" x14ac:dyDescent="0.35">
      <c r="A3206" s="2">
        <v>46289</v>
      </c>
      <c r="B3206" s="1" t="s">
        <v>24</v>
      </c>
    </row>
    <row r="3207" spans="1:2" x14ac:dyDescent="0.35">
      <c r="A3207" s="2">
        <v>46289</v>
      </c>
      <c r="B3207" s="1" t="s">
        <v>24</v>
      </c>
    </row>
    <row r="3208" spans="1:2" x14ac:dyDescent="0.35">
      <c r="A3208" s="2">
        <v>46290</v>
      </c>
      <c r="B3208" s="1" t="s">
        <v>19</v>
      </c>
    </row>
    <row r="3209" spans="1:2" x14ac:dyDescent="0.35">
      <c r="A3209" s="2">
        <v>46290</v>
      </c>
      <c r="B3209" s="1" t="s">
        <v>19</v>
      </c>
    </row>
    <row r="3210" spans="1:2" x14ac:dyDescent="0.35">
      <c r="A3210" s="2">
        <v>46290</v>
      </c>
      <c r="B3210" s="1" t="s">
        <v>19</v>
      </c>
    </row>
    <row r="3211" spans="1:2" x14ac:dyDescent="0.35">
      <c r="A3211" s="2">
        <v>46290</v>
      </c>
      <c r="B3211" s="1" t="s">
        <v>19</v>
      </c>
    </row>
    <row r="3212" spans="1:2" x14ac:dyDescent="0.35">
      <c r="A3212" s="2">
        <v>46290</v>
      </c>
      <c r="B3212" s="1" t="s">
        <v>19</v>
      </c>
    </row>
    <row r="3213" spans="1:2" x14ac:dyDescent="0.35">
      <c r="A3213" s="2">
        <v>46290</v>
      </c>
      <c r="B3213" s="1" t="s">
        <v>19</v>
      </c>
    </row>
    <row r="3214" spans="1:2" x14ac:dyDescent="0.35">
      <c r="A3214" s="2">
        <v>46293</v>
      </c>
      <c r="B3214" s="1" t="s">
        <v>28</v>
      </c>
    </row>
    <row r="3215" spans="1:2" x14ac:dyDescent="0.35">
      <c r="A3215" s="2">
        <v>46293</v>
      </c>
      <c r="B3215" s="1" t="s">
        <v>28</v>
      </c>
    </row>
    <row r="3216" spans="1:2" x14ac:dyDescent="0.35">
      <c r="A3216" s="2">
        <v>46293</v>
      </c>
      <c r="B3216" s="1" t="s">
        <v>28</v>
      </c>
    </row>
    <row r="3217" spans="1:2" x14ac:dyDescent="0.35">
      <c r="A3217" s="2">
        <v>46293</v>
      </c>
      <c r="B3217" s="1" t="s">
        <v>28</v>
      </c>
    </row>
    <row r="3218" spans="1:2" x14ac:dyDescent="0.35">
      <c r="A3218" s="2">
        <v>46293</v>
      </c>
      <c r="B3218" s="1" t="s">
        <v>19</v>
      </c>
    </row>
    <row r="3219" spans="1:2" x14ac:dyDescent="0.35">
      <c r="A3219" s="2">
        <v>46294</v>
      </c>
      <c r="B3219" s="1" t="s">
        <v>19</v>
      </c>
    </row>
    <row r="3220" spans="1:2" x14ac:dyDescent="0.35">
      <c r="A3220" s="2">
        <v>46294</v>
      </c>
      <c r="B3220" s="1" t="s">
        <v>19</v>
      </c>
    </row>
    <row r="3221" spans="1:2" x14ac:dyDescent="0.35">
      <c r="A3221" s="2">
        <v>46294</v>
      </c>
      <c r="B3221" s="1" t="s">
        <v>19</v>
      </c>
    </row>
    <row r="3222" spans="1:2" x14ac:dyDescent="0.35">
      <c r="A3222" s="2">
        <v>46294</v>
      </c>
      <c r="B3222" s="1" t="s">
        <v>19</v>
      </c>
    </row>
    <row r="3223" spans="1:2" x14ac:dyDescent="0.35">
      <c r="A3223" s="2">
        <v>46294</v>
      </c>
      <c r="B3223" s="1" t="s">
        <v>19</v>
      </c>
    </row>
    <row r="3224" spans="1:2" x14ac:dyDescent="0.35">
      <c r="A3224" s="2">
        <v>46294</v>
      </c>
      <c r="B3224" s="1" t="s">
        <v>19</v>
      </c>
    </row>
    <row r="3225" spans="1:2" x14ac:dyDescent="0.35">
      <c r="A3225" s="2">
        <v>46294</v>
      </c>
      <c r="B3225" s="1" t="s">
        <v>19</v>
      </c>
    </row>
    <row r="3226" spans="1:2" x14ac:dyDescent="0.35">
      <c r="A3226" s="2">
        <v>46294</v>
      </c>
      <c r="B3226" s="1" t="s">
        <v>19</v>
      </c>
    </row>
    <row r="3227" spans="1:2" x14ac:dyDescent="0.35">
      <c r="A3227" s="2">
        <v>46294</v>
      </c>
      <c r="B3227" s="1" t="s">
        <v>19</v>
      </c>
    </row>
    <row r="3228" spans="1:2" x14ac:dyDescent="0.35">
      <c r="A3228" s="2">
        <v>46294</v>
      </c>
      <c r="B3228" s="1" t="s">
        <v>9</v>
      </c>
    </row>
    <row r="3229" spans="1:2" x14ac:dyDescent="0.35">
      <c r="A3229" s="2">
        <v>46295</v>
      </c>
      <c r="B3229" s="1" t="s">
        <v>84</v>
      </c>
    </row>
    <row r="3230" spans="1:2" x14ac:dyDescent="0.35">
      <c r="A3230" s="2">
        <v>46295</v>
      </c>
      <c r="B3230" s="1" t="s">
        <v>84</v>
      </c>
    </row>
    <row r="3231" spans="1:2" x14ac:dyDescent="0.35">
      <c r="A3231" s="2">
        <v>46295</v>
      </c>
      <c r="B3231" s="1" t="s">
        <v>84</v>
      </c>
    </row>
    <row r="3232" spans="1:2" x14ac:dyDescent="0.35">
      <c r="A3232" s="2">
        <v>46295</v>
      </c>
      <c r="B3232" s="1" t="s">
        <v>84</v>
      </c>
    </row>
    <row r="3233" spans="1:2" x14ac:dyDescent="0.35">
      <c r="A3233" s="2">
        <v>46295</v>
      </c>
      <c r="B3233" s="1" t="s">
        <v>24</v>
      </c>
    </row>
    <row r="3234" spans="1:2" x14ac:dyDescent="0.35">
      <c r="A3234" s="2">
        <v>46295</v>
      </c>
      <c r="B3234" s="1" t="s">
        <v>28</v>
      </c>
    </row>
    <row r="3235" spans="1:2" x14ac:dyDescent="0.35">
      <c r="A3235" s="2">
        <v>46295</v>
      </c>
      <c r="B3235" s="1" t="s">
        <v>28</v>
      </c>
    </row>
    <row r="3236" spans="1:2" x14ac:dyDescent="0.35">
      <c r="A3236" s="2">
        <v>46295</v>
      </c>
      <c r="B3236" s="1" t="s">
        <v>28</v>
      </c>
    </row>
    <row r="3237" spans="1:2" x14ac:dyDescent="0.35">
      <c r="A3237" s="2">
        <v>46295</v>
      </c>
      <c r="B3237" s="1" t="s">
        <v>28</v>
      </c>
    </row>
    <row r="3238" spans="1:2" x14ac:dyDescent="0.35">
      <c r="A3238" s="2">
        <v>46295</v>
      </c>
      <c r="B3238" s="1" t="s">
        <v>28</v>
      </c>
    </row>
    <row r="3239" spans="1:2" x14ac:dyDescent="0.35">
      <c r="A3239" s="2">
        <v>46296</v>
      </c>
      <c r="B3239" s="1" t="s">
        <v>19</v>
      </c>
    </row>
    <row r="3240" spans="1:2" x14ac:dyDescent="0.35">
      <c r="A3240" s="2">
        <v>46296</v>
      </c>
      <c r="B3240" s="1" t="s">
        <v>9</v>
      </c>
    </row>
    <row r="3241" spans="1:2" x14ac:dyDescent="0.35">
      <c r="A3241" s="2">
        <v>46296</v>
      </c>
      <c r="B3241" s="1" t="s">
        <v>9</v>
      </c>
    </row>
    <row r="3242" spans="1:2" x14ac:dyDescent="0.35">
      <c r="A3242" s="2">
        <v>46296</v>
      </c>
      <c r="B3242" s="1" t="s">
        <v>19</v>
      </c>
    </row>
    <row r="3243" spans="1:2" x14ac:dyDescent="0.35">
      <c r="A3243" s="2">
        <v>46296</v>
      </c>
      <c r="B3243" s="1" t="s">
        <v>9</v>
      </c>
    </row>
    <row r="3244" spans="1:2" x14ac:dyDescent="0.35">
      <c r="A3244" s="2">
        <v>46296</v>
      </c>
      <c r="B3244" s="1" t="s">
        <v>9</v>
      </c>
    </row>
    <row r="3245" spans="1:2" x14ac:dyDescent="0.35">
      <c r="A3245" s="2">
        <v>46296</v>
      </c>
      <c r="B3245" s="1" t="s">
        <v>9</v>
      </c>
    </row>
    <row r="3246" spans="1:2" x14ac:dyDescent="0.35">
      <c r="A3246" s="2">
        <v>46296</v>
      </c>
      <c r="B3246" s="1" t="s">
        <v>24</v>
      </c>
    </row>
    <row r="3247" spans="1:2" x14ac:dyDescent="0.35">
      <c r="A3247" s="2">
        <v>46296</v>
      </c>
      <c r="B3247" s="1" t="s">
        <v>28</v>
      </c>
    </row>
    <row r="3248" spans="1:2" x14ac:dyDescent="0.35">
      <c r="A3248" s="2">
        <v>46296</v>
      </c>
      <c r="B3248" s="1" t="s">
        <v>28</v>
      </c>
    </row>
    <row r="3249" spans="1:2" x14ac:dyDescent="0.35">
      <c r="A3249" s="2">
        <v>46296</v>
      </c>
      <c r="B3249" s="1" t="s">
        <v>9</v>
      </c>
    </row>
    <row r="3250" spans="1:2" x14ac:dyDescent="0.35">
      <c r="A3250" s="2">
        <v>46296</v>
      </c>
      <c r="B3250" s="1" t="s">
        <v>24</v>
      </c>
    </row>
    <row r="3251" spans="1:2" x14ac:dyDescent="0.35">
      <c r="A3251" s="2">
        <v>46296</v>
      </c>
      <c r="B3251" s="1" t="s">
        <v>24</v>
      </c>
    </row>
    <row r="3252" spans="1:2" x14ac:dyDescent="0.35">
      <c r="A3252" s="2">
        <v>46296</v>
      </c>
      <c r="B3252" s="1" t="s">
        <v>24</v>
      </c>
    </row>
    <row r="3253" spans="1:2" x14ac:dyDescent="0.35">
      <c r="A3253" s="2">
        <v>46297</v>
      </c>
      <c r="B3253" s="1" t="s">
        <v>84</v>
      </c>
    </row>
    <row r="3254" spans="1:2" x14ac:dyDescent="0.35">
      <c r="A3254" s="2">
        <v>46297</v>
      </c>
      <c r="B3254" s="1" t="s">
        <v>9</v>
      </c>
    </row>
    <row r="3255" spans="1:2" x14ac:dyDescent="0.35">
      <c r="A3255" s="2">
        <v>46297</v>
      </c>
      <c r="B3255" s="1" t="s">
        <v>9</v>
      </c>
    </row>
    <row r="3256" spans="1:2" x14ac:dyDescent="0.35">
      <c r="A3256" s="2">
        <v>46297</v>
      </c>
      <c r="B3256" s="1" t="s">
        <v>84</v>
      </c>
    </row>
    <row r="3257" spans="1:2" x14ac:dyDescent="0.35">
      <c r="A3257" s="2">
        <v>46297</v>
      </c>
      <c r="B3257" s="1" t="s">
        <v>84</v>
      </c>
    </row>
    <row r="3258" spans="1:2" x14ac:dyDescent="0.35">
      <c r="A3258" s="2">
        <v>46297</v>
      </c>
      <c r="B3258" s="1" t="s">
        <v>22</v>
      </c>
    </row>
    <row r="3259" spans="1:2" x14ac:dyDescent="0.35">
      <c r="A3259" s="2">
        <v>46297</v>
      </c>
      <c r="B3259" s="1" t="s">
        <v>84</v>
      </c>
    </row>
    <row r="3260" spans="1:2" x14ac:dyDescent="0.35">
      <c r="A3260" s="2">
        <v>46297</v>
      </c>
      <c r="B3260" s="1" t="s">
        <v>22</v>
      </c>
    </row>
    <row r="3261" spans="1:2" x14ac:dyDescent="0.35">
      <c r="A3261" s="2">
        <v>46297</v>
      </c>
      <c r="B3261" s="1" t="s">
        <v>22</v>
      </c>
    </row>
    <row r="3262" spans="1:2" x14ac:dyDescent="0.35">
      <c r="A3262" s="2">
        <v>46297</v>
      </c>
      <c r="B3262" s="1" t="s">
        <v>22</v>
      </c>
    </row>
    <row r="3263" spans="1:2" x14ac:dyDescent="0.35">
      <c r="A3263" s="2">
        <v>46297</v>
      </c>
      <c r="B3263" s="1" t="s">
        <v>22</v>
      </c>
    </row>
    <row r="3264" spans="1:2" x14ac:dyDescent="0.35">
      <c r="A3264" s="2">
        <v>46297</v>
      </c>
      <c r="B3264" s="1" t="s">
        <v>22</v>
      </c>
    </row>
    <row r="3265" spans="1:2" x14ac:dyDescent="0.35">
      <c r="A3265" s="2">
        <v>46297</v>
      </c>
      <c r="B3265" s="1" t="s">
        <v>22</v>
      </c>
    </row>
    <row r="3266" spans="1:2" x14ac:dyDescent="0.35">
      <c r="A3266" s="2">
        <v>46297</v>
      </c>
      <c r="B3266" s="1" t="s">
        <v>28</v>
      </c>
    </row>
    <row r="3267" spans="1:2" x14ac:dyDescent="0.35">
      <c r="A3267" s="2">
        <v>46297</v>
      </c>
      <c r="B3267" s="1" t="s">
        <v>9</v>
      </c>
    </row>
    <row r="3268" spans="1:2" x14ac:dyDescent="0.35">
      <c r="A3268" s="2">
        <v>46297</v>
      </c>
      <c r="B3268" s="1" t="s">
        <v>9</v>
      </c>
    </row>
    <row r="3269" spans="1:2" x14ac:dyDescent="0.35">
      <c r="A3269" s="2">
        <v>46297</v>
      </c>
      <c r="B3269" s="1" t="s">
        <v>9</v>
      </c>
    </row>
    <row r="3270" spans="1:2" x14ac:dyDescent="0.35">
      <c r="A3270" s="2">
        <v>46297</v>
      </c>
      <c r="B3270" s="1" t="s">
        <v>9</v>
      </c>
    </row>
    <row r="3271" spans="1:2" x14ac:dyDescent="0.35">
      <c r="A3271" s="2">
        <v>46300</v>
      </c>
      <c r="B3271" s="1" t="s">
        <v>19</v>
      </c>
    </row>
    <row r="3272" spans="1:2" x14ac:dyDescent="0.35">
      <c r="A3272" s="2">
        <v>46300</v>
      </c>
      <c r="B3272" s="1" t="s">
        <v>19</v>
      </c>
    </row>
    <row r="3273" spans="1:2" x14ac:dyDescent="0.35">
      <c r="A3273" s="2">
        <v>46300</v>
      </c>
      <c r="B3273" s="1" t="s">
        <v>19</v>
      </c>
    </row>
    <row r="3274" spans="1:2" x14ac:dyDescent="0.35">
      <c r="A3274" s="2">
        <v>46300</v>
      </c>
      <c r="B3274" s="1" t="s">
        <v>9</v>
      </c>
    </row>
    <row r="3275" spans="1:2" x14ac:dyDescent="0.35">
      <c r="A3275" s="2">
        <v>46300</v>
      </c>
      <c r="B3275" s="1" t="s">
        <v>9</v>
      </c>
    </row>
    <row r="3276" spans="1:2" x14ac:dyDescent="0.35">
      <c r="A3276" s="2">
        <v>46300</v>
      </c>
      <c r="B3276" s="1" t="s">
        <v>9</v>
      </c>
    </row>
    <row r="3277" spans="1:2" x14ac:dyDescent="0.35">
      <c r="A3277" s="2">
        <v>46300</v>
      </c>
      <c r="B3277" s="1" t="s">
        <v>9</v>
      </c>
    </row>
    <row r="3278" spans="1:2" x14ac:dyDescent="0.35">
      <c r="A3278" s="2">
        <v>46300</v>
      </c>
      <c r="B3278" s="1" t="s">
        <v>9</v>
      </c>
    </row>
    <row r="3279" spans="1:2" x14ac:dyDescent="0.35">
      <c r="A3279" s="2">
        <v>46300</v>
      </c>
      <c r="B3279" s="1" t="s">
        <v>84</v>
      </c>
    </row>
    <row r="3280" spans="1:2" x14ac:dyDescent="0.35">
      <c r="A3280" s="2">
        <v>46300</v>
      </c>
      <c r="B3280" s="1" t="s">
        <v>84</v>
      </c>
    </row>
    <row r="3281" spans="1:2" x14ac:dyDescent="0.35">
      <c r="A3281" s="2">
        <v>46300</v>
      </c>
      <c r="B3281" s="1" t="s">
        <v>24</v>
      </c>
    </row>
    <row r="3282" spans="1:2" x14ac:dyDescent="0.35">
      <c r="A3282" s="2">
        <v>46300</v>
      </c>
      <c r="B3282" s="1" t="s">
        <v>28</v>
      </c>
    </row>
    <row r="3283" spans="1:2" x14ac:dyDescent="0.35">
      <c r="A3283" s="2">
        <v>46300</v>
      </c>
      <c r="B3283" s="1" t="s">
        <v>28</v>
      </c>
    </row>
    <row r="3284" spans="1:2" x14ac:dyDescent="0.35">
      <c r="A3284" s="2">
        <v>46300</v>
      </c>
      <c r="B3284" s="1" t="s">
        <v>24</v>
      </c>
    </row>
    <row r="3285" spans="1:2" x14ac:dyDescent="0.35">
      <c r="A3285" s="2">
        <v>46300</v>
      </c>
      <c r="B3285" s="1" t="s">
        <v>24</v>
      </c>
    </row>
    <row r="3286" spans="1:2" x14ac:dyDescent="0.35">
      <c r="A3286" s="2">
        <v>46300</v>
      </c>
      <c r="B3286" s="1" t="s">
        <v>24</v>
      </c>
    </row>
    <row r="3287" spans="1:2" x14ac:dyDescent="0.35">
      <c r="A3287" s="2">
        <v>46300</v>
      </c>
      <c r="B3287" s="1" t="s">
        <v>24</v>
      </c>
    </row>
    <row r="3288" spans="1:2" x14ac:dyDescent="0.35">
      <c r="A3288" s="2">
        <v>46300</v>
      </c>
      <c r="B3288" s="1" t="s">
        <v>24</v>
      </c>
    </row>
    <row r="3289" spans="1:2" x14ac:dyDescent="0.35">
      <c r="A3289" s="2">
        <v>46300</v>
      </c>
      <c r="B3289" s="1" t="s">
        <v>24</v>
      </c>
    </row>
    <row r="3290" spans="1:2" x14ac:dyDescent="0.35">
      <c r="A3290" s="2">
        <v>46300</v>
      </c>
      <c r="B3290" s="1" t="s">
        <v>84</v>
      </c>
    </row>
    <row r="3291" spans="1:2" x14ac:dyDescent="0.35">
      <c r="A3291" s="2">
        <v>46300</v>
      </c>
      <c r="B3291" s="1" t="s">
        <v>84</v>
      </c>
    </row>
    <row r="3292" spans="1:2" x14ac:dyDescent="0.35">
      <c r="A3292" s="2">
        <v>46300</v>
      </c>
      <c r="B3292" s="1" t="s">
        <v>19</v>
      </c>
    </row>
    <row r="3293" spans="1:2" x14ac:dyDescent="0.35">
      <c r="A3293" s="2">
        <v>46300</v>
      </c>
      <c r="B3293" s="1" t="s">
        <v>19</v>
      </c>
    </row>
    <row r="3294" spans="1:2" x14ac:dyDescent="0.35">
      <c r="A3294" s="2">
        <v>46300</v>
      </c>
      <c r="B3294" s="1" t="s">
        <v>19</v>
      </c>
    </row>
    <row r="3295" spans="1:2" x14ac:dyDescent="0.35">
      <c r="A3295" s="2">
        <v>46301</v>
      </c>
      <c r="B3295" s="1" t="s">
        <v>19</v>
      </c>
    </row>
    <row r="3296" spans="1:2" x14ac:dyDescent="0.35">
      <c r="A3296" s="2">
        <v>46301</v>
      </c>
      <c r="B3296" s="1" t="s">
        <v>19</v>
      </c>
    </row>
    <row r="3297" spans="1:2" x14ac:dyDescent="0.35">
      <c r="A3297" s="2">
        <v>46301</v>
      </c>
      <c r="B3297" s="1" t="s">
        <v>24</v>
      </c>
    </row>
    <row r="3298" spans="1:2" x14ac:dyDescent="0.35">
      <c r="A3298" s="2">
        <v>46301</v>
      </c>
      <c r="B3298" s="1" t="s">
        <v>24</v>
      </c>
    </row>
    <row r="3299" spans="1:2" x14ac:dyDescent="0.35">
      <c r="A3299" s="2">
        <v>46301</v>
      </c>
      <c r="B3299" s="1" t="s">
        <v>24</v>
      </c>
    </row>
    <row r="3300" spans="1:2" x14ac:dyDescent="0.35">
      <c r="A3300" s="2">
        <v>46301</v>
      </c>
      <c r="B3300" s="1" t="s">
        <v>19</v>
      </c>
    </row>
    <row r="3301" spans="1:2" x14ac:dyDescent="0.35">
      <c r="A3301" s="2">
        <v>46301</v>
      </c>
      <c r="B3301" s="1" t="s">
        <v>19</v>
      </c>
    </row>
    <row r="3302" spans="1:2" x14ac:dyDescent="0.35">
      <c r="A3302" s="2">
        <v>46301</v>
      </c>
      <c r="B3302" s="1" t="s">
        <v>19</v>
      </c>
    </row>
    <row r="3303" spans="1:2" x14ac:dyDescent="0.35">
      <c r="A3303" s="2">
        <v>46301</v>
      </c>
      <c r="B3303" s="1" t="s">
        <v>19</v>
      </c>
    </row>
    <row r="3304" spans="1:2" x14ac:dyDescent="0.35">
      <c r="A3304" s="2">
        <v>46301</v>
      </c>
      <c r="B3304" s="1" t="s">
        <v>19</v>
      </c>
    </row>
    <row r="3305" spans="1:2" x14ac:dyDescent="0.35">
      <c r="A3305" s="2">
        <v>46301</v>
      </c>
      <c r="B3305" s="1" t="s">
        <v>19</v>
      </c>
    </row>
    <row r="3306" spans="1:2" x14ac:dyDescent="0.35">
      <c r="A3306" s="2">
        <v>46301</v>
      </c>
      <c r="B3306" s="1" t="s">
        <v>24</v>
      </c>
    </row>
    <row r="3307" spans="1:2" x14ac:dyDescent="0.35">
      <c r="A3307" s="2">
        <v>46301</v>
      </c>
      <c r="B3307" s="1" t="s">
        <v>24</v>
      </c>
    </row>
    <row r="3308" spans="1:2" x14ac:dyDescent="0.35">
      <c r="A3308" s="2">
        <v>46301</v>
      </c>
      <c r="B3308" s="1" t="s">
        <v>24</v>
      </c>
    </row>
    <row r="3309" spans="1:2" x14ac:dyDescent="0.35">
      <c r="A3309" s="2">
        <v>46301</v>
      </c>
      <c r="B3309" s="1" t="s">
        <v>24</v>
      </c>
    </row>
    <row r="3310" spans="1:2" x14ac:dyDescent="0.35">
      <c r="A3310" s="2">
        <v>46301</v>
      </c>
      <c r="B3310" s="1" t="s">
        <v>28</v>
      </c>
    </row>
    <row r="3311" spans="1:2" x14ac:dyDescent="0.35">
      <c r="A3311" s="2">
        <v>46302</v>
      </c>
      <c r="B3311" s="1" t="s">
        <v>19</v>
      </c>
    </row>
    <row r="3312" spans="1:2" x14ac:dyDescent="0.35">
      <c r="A3312" s="2">
        <v>46302</v>
      </c>
      <c r="B3312" s="1" t="s">
        <v>9</v>
      </c>
    </row>
    <row r="3313" spans="1:2" x14ac:dyDescent="0.35">
      <c r="A3313" s="2">
        <v>46302</v>
      </c>
      <c r="B3313" s="1" t="s">
        <v>19</v>
      </c>
    </row>
    <row r="3314" spans="1:2" x14ac:dyDescent="0.35">
      <c r="A3314" s="2">
        <v>46302</v>
      </c>
      <c r="B3314" s="1" t="s">
        <v>84</v>
      </c>
    </row>
    <row r="3315" spans="1:2" x14ac:dyDescent="0.35">
      <c r="A3315" s="2">
        <v>46302</v>
      </c>
      <c r="B3315" s="1" t="s">
        <v>84</v>
      </c>
    </row>
    <row r="3316" spans="1:2" x14ac:dyDescent="0.35">
      <c r="A3316" s="2">
        <v>46303</v>
      </c>
      <c r="B3316" s="1" t="s">
        <v>9</v>
      </c>
    </row>
    <row r="3317" spans="1:2" x14ac:dyDescent="0.35">
      <c r="A3317" s="2">
        <v>46303</v>
      </c>
      <c r="B3317" s="1" t="s">
        <v>9</v>
      </c>
    </row>
    <row r="3318" spans="1:2" x14ac:dyDescent="0.35">
      <c r="A3318" s="2">
        <v>46303</v>
      </c>
      <c r="B3318" s="1" t="s">
        <v>9</v>
      </c>
    </row>
    <row r="3319" spans="1:2" x14ac:dyDescent="0.35">
      <c r="A3319" s="2">
        <v>46303</v>
      </c>
      <c r="B3319" s="1" t="s">
        <v>9</v>
      </c>
    </row>
    <row r="3320" spans="1:2" x14ac:dyDescent="0.35">
      <c r="A3320" s="2">
        <v>46303</v>
      </c>
      <c r="B3320" s="1" t="s">
        <v>22</v>
      </c>
    </row>
    <row r="3321" spans="1:2" x14ac:dyDescent="0.35">
      <c r="A3321" s="2">
        <v>46303</v>
      </c>
      <c r="B3321" s="1" t="s">
        <v>22</v>
      </c>
    </row>
    <row r="3322" spans="1:2" x14ac:dyDescent="0.35">
      <c r="A3322" s="2">
        <v>46303</v>
      </c>
      <c r="B3322" s="1" t="s">
        <v>22</v>
      </c>
    </row>
    <row r="3323" spans="1:2" x14ac:dyDescent="0.35">
      <c r="A3323" s="2">
        <v>46303</v>
      </c>
      <c r="B3323" s="1" t="s">
        <v>22</v>
      </c>
    </row>
    <row r="3324" spans="1:2" x14ac:dyDescent="0.35">
      <c r="A3324" s="2">
        <v>46303</v>
      </c>
      <c r="B3324" s="1" t="s">
        <v>22</v>
      </c>
    </row>
    <row r="3325" spans="1:2" x14ac:dyDescent="0.35">
      <c r="A3325" s="2">
        <v>46303</v>
      </c>
      <c r="B3325" s="1" t="s">
        <v>22</v>
      </c>
    </row>
    <row r="3326" spans="1:2" x14ac:dyDescent="0.35">
      <c r="A3326" s="2">
        <v>46303</v>
      </c>
      <c r="B3326" s="1" t="s">
        <v>22</v>
      </c>
    </row>
    <row r="3327" spans="1:2" x14ac:dyDescent="0.35">
      <c r="A3327" s="2">
        <v>46303</v>
      </c>
      <c r="B3327" s="1" t="s">
        <v>22</v>
      </c>
    </row>
    <row r="3328" spans="1:2" x14ac:dyDescent="0.35">
      <c r="A3328" s="2">
        <v>46303</v>
      </c>
      <c r="B3328" s="1" t="s">
        <v>22</v>
      </c>
    </row>
    <row r="3329" spans="1:2" x14ac:dyDescent="0.35">
      <c r="A3329" s="2">
        <v>46303</v>
      </c>
      <c r="B3329" s="1" t="s">
        <v>22</v>
      </c>
    </row>
    <row r="3330" spans="1:2" x14ac:dyDescent="0.35">
      <c r="A3330" s="2">
        <v>46303</v>
      </c>
      <c r="B3330" s="1" t="s">
        <v>22</v>
      </c>
    </row>
    <row r="3331" spans="1:2" x14ac:dyDescent="0.35">
      <c r="A3331" s="2">
        <v>46303</v>
      </c>
      <c r="B3331" s="1" t="s">
        <v>22</v>
      </c>
    </row>
    <row r="3332" spans="1:2" x14ac:dyDescent="0.35">
      <c r="A3332" s="2">
        <v>46303</v>
      </c>
      <c r="B3332" s="1" t="s">
        <v>22</v>
      </c>
    </row>
    <row r="3333" spans="1:2" x14ac:dyDescent="0.35">
      <c r="A3333" s="2">
        <v>46303</v>
      </c>
      <c r="B3333" s="1" t="s">
        <v>19</v>
      </c>
    </row>
    <row r="3334" spans="1:2" x14ac:dyDescent="0.35">
      <c r="A3334" s="2">
        <v>46303</v>
      </c>
      <c r="B3334" s="1" t="s">
        <v>19</v>
      </c>
    </row>
    <row r="3335" spans="1:2" x14ac:dyDescent="0.35">
      <c r="A3335" s="2">
        <v>46304</v>
      </c>
      <c r="B3335" s="1" t="s">
        <v>19</v>
      </c>
    </row>
    <row r="3336" spans="1:2" x14ac:dyDescent="0.35">
      <c r="A3336" s="2">
        <v>46304</v>
      </c>
      <c r="B3336" s="1" t="s">
        <v>19</v>
      </c>
    </row>
    <row r="3337" spans="1:2" x14ac:dyDescent="0.35">
      <c r="A3337" s="2">
        <v>46304</v>
      </c>
      <c r="B3337" s="1" t="s">
        <v>19</v>
      </c>
    </row>
    <row r="3338" spans="1:2" x14ac:dyDescent="0.35">
      <c r="A3338" s="2">
        <v>46304</v>
      </c>
      <c r="B3338" s="1" t="s">
        <v>19</v>
      </c>
    </row>
    <row r="3339" spans="1:2" x14ac:dyDescent="0.35">
      <c r="A3339" s="2">
        <v>46304</v>
      </c>
      <c r="B3339" s="1" t="s">
        <v>84</v>
      </c>
    </row>
    <row r="3340" spans="1:2" x14ac:dyDescent="0.35">
      <c r="A3340" s="2">
        <v>46304</v>
      </c>
      <c r="B3340" s="1" t="s">
        <v>28</v>
      </c>
    </row>
    <row r="3341" spans="1:2" x14ac:dyDescent="0.35">
      <c r="A3341" s="2">
        <v>46304</v>
      </c>
      <c r="B3341" s="1" t="s">
        <v>9</v>
      </c>
    </row>
    <row r="3342" spans="1:2" x14ac:dyDescent="0.35">
      <c r="A3342" s="2">
        <v>46304</v>
      </c>
      <c r="B3342" s="1" t="s">
        <v>9</v>
      </c>
    </row>
    <row r="3343" spans="1:2" x14ac:dyDescent="0.35">
      <c r="A3343" s="2">
        <v>46304</v>
      </c>
      <c r="B3343" s="1" t="s">
        <v>9</v>
      </c>
    </row>
    <row r="3344" spans="1:2" x14ac:dyDescent="0.35">
      <c r="A3344" s="2">
        <v>46304</v>
      </c>
      <c r="B3344" s="1" t="s">
        <v>9</v>
      </c>
    </row>
    <row r="3345" spans="1:2" x14ac:dyDescent="0.35">
      <c r="A3345" s="2">
        <v>46304</v>
      </c>
      <c r="B3345" s="1" t="s">
        <v>9</v>
      </c>
    </row>
    <row r="3346" spans="1:2" x14ac:dyDescent="0.35">
      <c r="A3346" s="2">
        <v>46308</v>
      </c>
      <c r="B3346" s="1" t="s">
        <v>19</v>
      </c>
    </row>
    <row r="3347" spans="1:2" x14ac:dyDescent="0.35">
      <c r="A3347" s="2">
        <v>46308</v>
      </c>
      <c r="B3347" s="1" t="s">
        <v>9</v>
      </c>
    </row>
    <row r="3348" spans="1:2" x14ac:dyDescent="0.35">
      <c r="A3348" s="2">
        <v>46308</v>
      </c>
      <c r="B3348" s="1" t="s">
        <v>9</v>
      </c>
    </row>
    <row r="3349" spans="1:2" x14ac:dyDescent="0.35">
      <c r="A3349" s="2">
        <v>46308</v>
      </c>
      <c r="B3349" s="1" t="s">
        <v>9</v>
      </c>
    </row>
    <row r="3350" spans="1:2" x14ac:dyDescent="0.35">
      <c r="A3350" s="2">
        <v>46308</v>
      </c>
      <c r="B3350" s="1" t="s">
        <v>19</v>
      </c>
    </row>
    <row r="3351" spans="1:2" x14ac:dyDescent="0.35">
      <c r="A3351" s="2">
        <v>46308</v>
      </c>
      <c r="B3351" s="1" t="s">
        <v>19</v>
      </c>
    </row>
    <row r="3352" spans="1:2" x14ac:dyDescent="0.35">
      <c r="A3352" s="2">
        <v>46308</v>
      </c>
      <c r="B3352" s="1" t="s">
        <v>83</v>
      </c>
    </row>
    <row r="3353" spans="1:2" x14ac:dyDescent="0.35">
      <c r="A3353" s="2">
        <v>46308</v>
      </c>
      <c r="B3353" s="1" t="s">
        <v>83</v>
      </c>
    </row>
    <row r="3354" spans="1:2" x14ac:dyDescent="0.35">
      <c r="A3354" s="2">
        <v>46308</v>
      </c>
      <c r="B3354" s="1" t="s">
        <v>83</v>
      </c>
    </row>
    <row r="3355" spans="1:2" x14ac:dyDescent="0.35">
      <c r="A3355" s="2">
        <v>46308</v>
      </c>
      <c r="B3355" s="1" t="s">
        <v>83</v>
      </c>
    </row>
    <row r="3356" spans="1:2" x14ac:dyDescent="0.35">
      <c r="A3356" s="2">
        <v>46308</v>
      </c>
      <c r="B3356" s="1" t="s">
        <v>83</v>
      </c>
    </row>
    <row r="3357" spans="1:2" x14ac:dyDescent="0.35">
      <c r="A3357" s="2">
        <v>46308</v>
      </c>
      <c r="B3357" s="1" t="s">
        <v>84</v>
      </c>
    </row>
    <row r="3358" spans="1:2" x14ac:dyDescent="0.35">
      <c r="A3358" s="2">
        <v>46308</v>
      </c>
      <c r="B3358" s="1" t="s">
        <v>24</v>
      </c>
    </row>
    <row r="3359" spans="1:2" x14ac:dyDescent="0.35">
      <c r="A3359" s="2">
        <v>46308</v>
      </c>
      <c r="B3359" s="1" t="s">
        <v>24</v>
      </c>
    </row>
    <row r="3360" spans="1:2" x14ac:dyDescent="0.35">
      <c r="A3360" s="2">
        <v>46308</v>
      </c>
      <c r="B3360" s="1" t="s">
        <v>24</v>
      </c>
    </row>
    <row r="3361" spans="1:2" x14ac:dyDescent="0.35">
      <c r="A3361" s="2">
        <v>46308</v>
      </c>
      <c r="B3361" s="1" t="s">
        <v>24</v>
      </c>
    </row>
    <row r="3362" spans="1:2" x14ac:dyDescent="0.35">
      <c r="A3362" s="2">
        <v>46308</v>
      </c>
      <c r="B3362" s="1" t="s">
        <v>83</v>
      </c>
    </row>
    <row r="3363" spans="1:2" x14ac:dyDescent="0.35">
      <c r="A3363" s="2">
        <v>46308</v>
      </c>
      <c r="B3363" s="1" t="s">
        <v>84</v>
      </c>
    </row>
    <row r="3364" spans="1:2" x14ac:dyDescent="0.35">
      <c r="A3364" s="2">
        <v>46308</v>
      </c>
      <c r="B3364" s="1" t="s">
        <v>84</v>
      </c>
    </row>
    <row r="3365" spans="1:2" x14ac:dyDescent="0.35">
      <c r="A3365" s="2">
        <v>46308</v>
      </c>
      <c r="B3365" s="1" t="s">
        <v>84</v>
      </c>
    </row>
    <row r="3366" spans="1:2" x14ac:dyDescent="0.35">
      <c r="A3366" s="2">
        <v>46309</v>
      </c>
      <c r="B3366" s="1" t="s">
        <v>19</v>
      </c>
    </row>
    <row r="3367" spans="1:2" x14ac:dyDescent="0.35">
      <c r="A3367" s="2">
        <v>46309</v>
      </c>
      <c r="B3367" s="1" t="s">
        <v>19</v>
      </c>
    </row>
    <row r="3368" spans="1:2" x14ac:dyDescent="0.35">
      <c r="A3368" s="2">
        <v>46309</v>
      </c>
      <c r="B3368" s="1" t="s">
        <v>24</v>
      </c>
    </row>
    <row r="3369" spans="1:2" x14ac:dyDescent="0.35">
      <c r="A3369" s="2">
        <v>46309</v>
      </c>
      <c r="B3369" s="1" t="s">
        <v>24</v>
      </c>
    </row>
    <row r="3370" spans="1:2" x14ac:dyDescent="0.35">
      <c r="A3370" s="2">
        <v>46309</v>
      </c>
      <c r="B3370" s="1" t="s">
        <v>24</v>
      </c>
    </row>
    <row r="3371" spans="1:2" x14ac:dyDescent="0.35">
      <c r="A3371" s="2">
        <v>46309</v>
      </c>
      <c r="B3371" s="1" t="s">
        <v>9</v>
      </c>
    </row>
    <row r="3372" spans="1:2" x14ac:dyDescent="0.35">
      <c r="A3372" s="2">
        <v>46309</v>
      </c>
      <c r="B3372" s="1" t="s">
        <v>9</v>
      </c>
    </row>
    <row r="3373" spans="1:2" x14ac:dyDescent="0.35">
      <c r="A3373" s="2">
        <v>46309</v>
      </c>
      <c r="B3373" s="1" t="s">
        <v>9</v>
      </c>
    </row>
    <row r="3374" spans="1:2" x14ac:dyDescent="0.35">
      <c r="A3374" s="2">
        <v>46309</v>
      </c>
      <c r="B3374" s="1" t="s">
        <v>19</v>
      </c>
    </row>
    <row r="3375" spans="1:2" x14ac:dyDescent="0.35">
      <c r="A3375" s="2">
        <v>46310</v>
      </c>
      <c r="B3375" s="1" t="s">
        <v>83</v>
      </c>
    </row>
    <row r="3376" spans="1:2" x14ac:dyDescent="0.35">
      <c r="A3376" s="2">
        <v>46311</v>
      </c>
      <c r="B3376" s="1" t="s">
        <v>19</v>
      </c>
    </row>
    <row r="3377" spans="1:2" x14ac:dyDescent="0.35">
      <c r="A3377" s="2">
        <v>46311</v>
      </c>
      <c r="B3377" s="1" t="s">
        <v>19</v>
      </c>
    </row>
    <row r="3378" spans="1:2" x14ac:dyDescent="0.35">
      <c r="A3378" s="2">
        <v>46312</v>
      </c>
      <c r="B3378" s="1" t="s">
        <v>19</v>
      </c>
    </row>
    <row r="3379" spans="1:2" x14ac:dyDescent="0.35">
      <c r="A3379" s="2">
        <v>46312</v>
      </c>
      <c r="B3379" s="1" t="s">
        <v>9</v>
      </c>
    </row>
    <row r="3380" spans="1:2" x14ac:dyDescent="0.35">
      <c r="A3380" s="2">
        <v>46314</v>
      </c>
      <c r="B3380" s="1" t="s">
        <v>9</v>
      </c>
    </row>
    <row r="3381" spans="1:2" x14ac:dyDescent="0.35">
      <c r="A3381" s="2">
        <v>46315</v>
      </c>
      <c r="B3381" s="1" t="s">
        <v>19</v>
      </c>
    </row>
    <row r="3382" spans="1:2" x14ac:dyDescent="0.35">
      <c r="A3382" s="2">
        <v>46315</v>
      </c>
      <c r="B3382" s="1" t="s">
        <v>19</v>
      </c>
    </row>
    <row r="3383" spans="1:2" x14ac:dyDescent="0.35">
      <c r="A3383" s="2">
        <v>46315</v>
      </c>
      <c r="B3383" s="1" t="s">
        <v>19</v>
      </c>
    </row>
    <row r="3384" spans="1:2" x14ac:dyDescent="0.35">
      <c r="A3384" s="2">
        <v>46315</v>
      </c>
      <c r="B3384" s="1" t="s">
        <v>19</v>
      </c>
    </row>
    <row r="3385" spans="1:2" x14ac:dyDescent="0.35">
      <c r="A3385" s="2">
        <v>46315</v>
      </c>
      <c r="B3385" s="1" t="s">
        <v>19</v>
      </c>
    </row>
    <row r="3386" spans="1:2" x14ac:dyDescent="0.35">
      <c r="A3386" s="2">
        <v>46315</v>
      </c>
      <c r="B3386" s="1" t="s">
        <v>19</v>
      </c>
    </row>
    <row r="3387" spans="1:2" x14ac:dyDescent="0.35">
      <c r="A3387" s="2">
        <v>46315</v>
      </c>
      <c r="B3387" s="1" t="s">
        <v>1037</v>
      </c>
    </row>
    <row r="3388" spans="1:2" x14ac:dyDescent="0.35">
      <c r="A3388" s="2">
        <v>46315</v>
      </c>
      <c r="B3388" s="1" t="s">
        <v>84</v>
      </c>
    </row>
    <row r="3389" spans="1:2" x14ac:dyDescent="0.35">
      <c r="A3389" s="2">
        <v>46315</v>
      </c>
      <c r="B3389" s="1" t="s">
        <v>84</v>
      </c>
    </row>
    <row r="3390" spans="1:2" x14ac:dyDescent="0.35">
      <c r="A3390" s="2">
        <v>46315</v>
      </c>
      <c r="B3390" s="1" t="s">
        <v>28</v>
      </c>
    </row>
    <row r="3391" spans="1:2" x14ac:dyDescent="0.35">
      <c r="A3391" s="2">
        <v>46315</v>
      </c>
      <c r="B3391" s="1" t="s">
        <v>19</v>
      </c>
    </row>
    <row r="3392" spans="1:2" x14ac:dyDescent="0.35">
      <c r="A3392" s="2">
        <v>46315</v>
      </c>
      <c r="B3392" s="1" t="s">
        <v>19</v>
      </c>
    </row>
    <row r="3393" spans="1:2" x14ac:dyDescent="0.35">
      <c r="A3393" s="2">
        <v>46315</v>
      </c>
      <c r="B3393" s="1" t="s">
        <v>19</v>
      </c>
    </row>
    <row r="3394" spans="1:2" x14ac:dyDescent="0.35">
      <c r="A3394" s="2">
        <v>46315</v>
      </c>
      <c r="B3394" s="1" t="s">
        <v>19</v>
      </c>
    </row>
    <row r="3395" spans="1:2" x14ac:dyDescent="0.35">
      <c r="A3395" s="2">
        <v>46315</v>
      </c>
      <c r="B3395" s="1" t="s">
        <v>28</v>
      </c>
    </row>
    <row r="3396" spans="1:2" x14ac:dyDescent="0.35">
      <c r="A3396" s="2">
        <v>46315</v>
      </c>
      <c r="B3396" s="1" t="s">
        <v>28</v>
      </c>
    </row>
    <row r="3397" spans="1:2" x14ac:dyDescent="0.35">
      <c r="A3397" s="2">
        <v>46315</v>
      </c>
      <c r="B3397" s="1" t="s">
        <v>28</v>
      </c>
    </row>
    <row r="3398" spans="1:2" x14ac:dyDescent="0.35">
      <c r="A3398" s="2">
        <v>46315</v>
      </c>
      <c r="B3398" s="1" t="s">
        <v>28</v>
      </c>
    </row>
    <row r="3399" spans="1:2" x14ac:dyDescent="0.35">
      <c r="A3399" s="2">
        <v>46315</v>
      </c>
      <c r="B3399" s="1" t="s">
        <v>28</v>
      </c>
    </row>
    <row r="3400" spans="1:2" x14ac:dyDescent="0.35">
      <c r="A3400" s="2">
        <v>46315</v>
      </c>
      <c r="B3400" s="1" t="s">
        <v>22</v>
      </c>
    </row>
    <row r="3401" spans="1:2" x14ac:dyDescent="0.35">
      <c r="A3401" s="2">
        <v>46315</v>
      </c>
      <c r="B3401" s="1" t="s">
        <v>22</v>
      </c>
    </row>
    <row r="3402" spans="1:2" x14ac:dyDescent="0.35">
      <c r="A3402" s="2">
        <v>46315</v>
      </c>
      <c r="B3402" s="1" t="s">
        <v>22</v>
      </c>
    </row>
    <row r="3403" spans="1:2" x14ac:dyDescent="0.35">
      <c r="A3403" s="2">
        <v>46315</v>
      </c>
      <c r="B3403" s="1" t="s">
        <v>24</v>
      </c>
    </row>
    <row r="3404" spans="1:2" x14ac:dyDescent="0.35">
      <c r="A3404" s="2">
        <v>46315</v>
      </c>
      <c r="B3404" s="1" t="s">
        <v>22</v>
      </c>
    </row>
    <row r="3405" spans="1:2" x14ac:dyDescent="0.35">
      <c r="A3405" s="2">
        <v>46315</v>
      </c>
      <c r="B3405" s="1" t="s">
        <v>9</v>
      </c>
    </row>
    <row r="3406" spans="1:2" x14ac:dyDescent="0.35">
      <c r="A3406" s="2">
        <v>46315</v>
      </c>
      <c r="B3406" s="1" t="s">
        <v>9</v>
      </c>
    </row>
    <row r="3407" spans="1:2" x14ac:dyDescent="0.35">
      <c r="A3407" s="2">
        <v>46315</v>
      </c>
      <c r="B3407" s="1" t="s">
        <v>9</v>
      </c>
    </row>
    <row r="3408" spans="1:2" x14ac:dyDescent="0.35">
      <c r="A3408" s="2">
        <v>46315</v>
      </c>
      <c r="B3408" s="1" t="s">
        <v>9</v>
      </c>
    </row>
    <row r="3409" spans="1:2" x14ac:dyDescent="0.35">
      <c r="A3409" s="2">
        <v>46315</v>
      </c>
      <c r="B3409" s="1" t="s">
        <v>9</v>
      </c>
    </row>
    <row r="3410" spans="1:2" x14ac:dyDescent="0.35">
      <c r="A3410" s="2">
        <v>46315</v>
      </c>
      <c r="B3410" s="1" t="s">
        <v>9</v>
      </c>
    </row>
    <row r="3411" spans="1:2" x14ac:dyDescent="0.35">
      <c r="A3411" s="2">
        <v>46315</v>
      </c>
      <c r="B3411" s="1" t="s">
        <v>9</v>
      </c>
    </row>
    <row r="3412" spans="1:2" x14ac:dyDescent="0.35">
      <c r="A3412" s="2">
        <v>46315</v>
      </c>
      <c r="B3412" s="1" t="s">
        <v>28</v>
      </c>
    </row>
    <row r="3413" spans="1:2" x14ac:dyDescent="0.35">
      <c r="A3413" s="2">
        <v>46315</v>
      </c>
      <c r="B3413" s="1" t="s">
        <v>84</v>
      </c>
    </row>
    <row r="3414" spans="1:2" x14ac:dyDescent="0.35">
      <c r="A3414" s="2">
        <v>46316</v>
      </c>
      <c r="B3414" s="1" t="s">
        <v>84</v>
      </c>
    </row>
    <row r="3415" spans="1:2" x14ac:dyDescent="0.35">
      <c r="A3415" s="2">
        <v>46316</v>
      </c>
      <c r="B3415" s="1" t="s">
        <v>9</v>
      </c>
    </row>
    <row r="3416" spans="1:2" x14ac:dyDescent="0.35">
      <c r="A3416" s="2">
        <v>46316</v>
      </c>
      <c r="B3416" s="1" t="s">
        <v>9</v>
      </c>
    </row>
    <row r="3417" spans="1:2" x14ac:dyDescent="0.35">
      <c r="A3417" s="2">
        <v>46316</v>
      </c>
      <c r="B3417" s="1" t="s">
        <v>9</v>
      </c>
    </row>
    <row r="3418" spans="1:2" x14ac:dyDescent="0.35">
      <c r="A3418" s="2">
        <v>46316</v>
      </c>
      <c r="B3418" s="1" t="s">
        <v>83</v>
      </c>
    </row>
    <row r="3419" spans="1:2" x14ac:dyDescent="0.35">
      <c r="A3419" s="2">
        <v>46323</v>
      </c>
      <c r="B3419" s="1" t="s">
        <v>9</v>
      </c>
    </row>
    <row r="3420" spans="1:2" x14ac:dyDescent="0.35">
      <c r="A3420" s="2">
        <v>46323</v>
      </c>
      <c r="B3420" s="1" t="s">
        <v>28</v>
      </c>
    </row>
    <row r="3421" spans="1:2" x14ac:dyDescent="0.35">
      <c r="A3421" s="2">
        <v>46323</v>
      </c>
      <c r="B3421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8DC4-60AE-4F30-9383-E834E53962F7}">
  <dimension ref="A1:D1476"/>
  <sheetViews>
    <sheetView showGridLines="0" topLeftCell="A1460" workbookViewId="0">
      <selection activeCell="A1476" sqref="A1476"/>
    </sheetView>
  </sheetViews>
  <sheetFormatPr defaultRowHeight="10.5" x14ac:dyDescent="0.35"/>
  <cols>
    <col min="1" max="1" width="8.36328125" style="2" bestFit="1" customWidth="1"/>
    <col min="2" max="2" width="26.6328125" style="1" bestFit="1" customWidth="1"/>
    <col min="3" max="16384" width="8.7265625" style="1"/>
  </cols>
  <sheetData>
    <row r="1" spans="1:4" x14ac:dyDescent="0.35">
      <c r="A1" s="2" t="s">
        <v>1</v>
      </c>
      <c r="B1" s="1" t="s">
        <v>2</v>
      </c>
      <c r="C1" s="1" t="s">
        <v>85</v>
      </c>
      <c r="D1" s="1" t="s">
        <v>29</v>
      </c>
    </row>
    <row r="2" spans="1:4" x14ac:dyDescent="0.35">
      <c r="A2" s="2">
        <v>46028</v>
      </c>
      <c r="B2" s="1" t="s">
        <v>9</v>
      </c>
      <c r="C2" s="1">
        <f>YEAR(Tabela14[[#This Row],[DATA]])</f>
        <v>2026</v>
      </c>
      <c r="D2" s="1">
        <f>MONTH(Tabela14[[#This Row],[DATA]])</f>
        <v>1</v>
      </c>
    </row>
    <row r="3" spans="1:4" x14ac:dyDescent="0.35">
      <c r="A3" s="2">
        <v>46028</v>
      </c>
      <c r="B3" s="1" t="s">
        <v>9</v>
      </c>
      <c r="C3" s="1">
        <f>YEAR(Tabela14[[#This Row],[DATA]])</f>
        <v>2026</v>
      </c>
      <c r="D3" s="1">
        <f>MONTH(Tabela14[[#This Row],[DATA]])</f>
        <v>1</v>
      </c>
    </row>
    <row r="4" spans="1:4" x14ac:dyDescent="0.35">
      <c r="A4" s="2">
        <v>46035</v>
      </c>
      <c r="B4" s="1" t="s">
        <v>9</v>
      </c>
      <c r="C4" s="1">
        <f>YEAR(Tabela14[[#This Row],[DATA]])</f>
        <v>2026</v>
      </c>
      <c r="D4" s="1">
        <f>MONTH(Tabela14[[#This Row],[DATA]])</f>
        <v>1</v>
      </c>
    </row>
    <row r="5" spans="1:4" x14ac:dyDescent="0.35">
      <c r="A5" s="2">
        <v>46035</v>
      </c>
      <c r="B5" s="1" t="s">
        <v>33</v>
      </c>
      <c r="C5" s="1">
        <f>YEAR(Tabela14[[#This Row],[DATA]])</f>
        <v>2026</v>
      </c>
      <c r="D5" s="1">
        <f>MONTH(Tabela14[[#This Row],[DATA]])</f>
        <v>1</v>
      </c>
    </row>
    <row r="6" spans="1:4" x14ac:dyDescent="0.35">
      <c r="A6" s="2">
        <v>46055</v>
      </c>
      <c r="B6" s="1" t="s">
        <v>5</v>
      </c>
      <c r="C6" s="1">
        <f>YEAR(Tabela14[[#This Row],[DATA]])</f>
        <v>2026</v>
      </c>
      <c r="D6" s="1">
        <f>MONTH(Tabela14[[#This Row],[DATA]])</f>
        <v>2</v>
      </c>
    </row>
    <row r="7" spans="1:4" x14ac:dyDescent="0.35">
      <c r="A7" s="2">
        <v>46055</v>
      </c>
      <c r="B7" s="1" t="s">
        <v>5</v>
      </c>
      <c r="C7" s="1">
        <f>YEAR(Tabela14[[#This Row],[DATA]])</f>
        <v>2026</v>
      </c>
      <c r="D7" s="1">
        <f>MONTH(Tabela14[[#This Row],[DATA]])</f>
        <v>2</v>
      </c>
    </row>
    <row r="8" spans="1:4" x14ac:dyDescent="0.35">
      <c r="A8" s="2">
        <v>46055</v>
      </c>
      <c r="B8" s="1" t="s">
        <v>5</v>
      </c>
      <c r="C8" s="1">
        <f>YEAR(Tabela14[[#This Row],[DATA]])</f>
        <v>2026</v>
      </c>
      <c r="D8" s="1">
        <f>MONTH(Tabela14[[#This Row],[DATA]])</f>
        <v>2</v>
      </c>
    </row>
    <row r="9" spans="1:4" x14ac:dyDescent="0.35">
      <c r="A9" s="2">
        <v>46055</v>
      </c>
      <c r="B9" s="1" t="s">
        <v>5</v>
      </c>
      <c r="C9" s="1">
        <f>YEAR(Tabela14[[#This Row],[DATA]])</f>
        <v>2026</v>
      </c>
      <c r="D9" s="1">
        <f>MONTH(Tabela14[[#This Row],[DATA]])</f>
        <v>2</v>
      </c>
    </row>
    <row r="10" spans="1:4" x14ac:dyDescent="0.35">
      <c r="A10" s="2">
        <v>46055</v>
      </c>
      <c r="B10" s="1" t="s">
        <v>5</v>
      </c>
      <c r="C10" s="1">
        <f>YEAR(Tabela14[[#This Row],[DATA]])</f>
        <v>2026</v>
      </c>
      <c r="D10" s="1">
        <f>MONTH(Tabela14[[#This Row],[DATA]])</f>
        <v>2</v>
      </c>
    </row>
    <row r="11" spans="1:4" x14ac:dyDescent="0.35">
      <c r="A11" s="2">
        <v>46055</v>
      </c>
      <c r="B11" s="1" t="s">
        <v>32</v>
      </c>
      <c r="C11" s="1">
        <f>YEAR(Tabela14[[#This Row],[DATA]])</f>
        <v>2026</v>
      </c>
      <c r="D11" s="1">
        <f>MONTH(Tabela14[[#This Row],[DATA]])</f>
        <v>2</v>
      </c>
    </row>
    <row r="12" spans="1:4" x14ac:dyDescent="0.35">
      <c r="A12" s="2">
        <v>46055</v>
      </c>
      <c r="B12" s="1" t="s">
        <v>32</v>
      </c>
      <c r="C12" s="1">
        <f>YEAR(Tabela14[[#This Row],[DATA]])</f>
        <v>2026</v>
      </c>
      <c r="D12" s="1">
        <f>MONTH(Tabela14[[#This Row],[DATA]])</f>
        <v>2</v>
      </c>
    </row>
    <row r="13" spans="1:4" x14ac:dyDescent="0.35">
      <c r="A13" s="2">
        <v>46055</v>
      </c>
      <c r="B13" s="1" t="s">
        <v>34</v>
      </c>
      <c r="C13" s="1">
        <f>YEAR(Tabela14[[#This Row],[DATA]])</f>
        <v>2026</v>
      </c>
      <c r="D13" s="1">
        <f>MONTH(Tabela14[[#This Row],[DATA]])</f>
        <v>2</v>
      </c>
    </row>
    <row r="14" spans="1:4" x14ac:dyDescent="0.35">
      <c r="A14" s="2">
        <v>46055</v>
      </c>
      <c r="B14" s="1" t="s">
        <v>34</v>
      </c>
      <c r="C14" s="1">
        <f>YEAR(Tabela14[[#This Row],[DATA]])</f>
        <v>2026</v>
      </c>
      <c r="D14" s="1">
        <f>MONTH(Tabela14[[#This Row],[DATA]])</f>
        <v>2</v>
      </c>
    </row>
    <row r="15" spans="1:4" x14ac:dyDescent="0.35">
      <c r="A15" s="2">
        <v>46055</v>
      </c>
      <c r="B15" s="1" t="s">
        <v>34</v>
      </c>
      <c r="C15" s="1">
        <f>YEAR(Tabela14[[#This Row],[DATA]])</f>
        <v>2026</v>
      </c>
      <c r="D15" s="1">
        <f>MONTH(Tabela14[[#This Row],[DATA]])</f>
        <v>2</v>
      </c>
    </row>
    <row r="16" spans="1:4" x14ac:dyDescent="0.35">
      <c r="A16" s="2">
        <v>46055</v>
      </c>
      <c r="B16" s="1" t="s">
        <v>34</v>
      </c>
      <c r="C16" s="1">
        <f>YEAR(Tabela14[[#This Row],[DATA]])</f>
        <v>2026</v>
      </c>
      <c r="D16" s="1">
        <f>MONTH(Tabela14[[#This Row],[DATA]])</f>
        <v>2</v>
      </c>
    </row>
    <row r="17" spans="1:4" x14ac:dyDescent="0.35">
      <c r="A17" s="2">
        <v>46055</v>
      </c>
      <c r="B17" s="1" t="s">
        <v>33</v>
      </c>
      <c r="C17" s="1">
        <f>YEAR(Tabela14[[#This Row],[DATA]])</f>
        <v>2026</v>
      </c>
      <c r="D17" s="1">
        <f>MONTH(Tabela14[[#This Row],[DATA]])</f>
        <v>2</v>
      </c>
    </row>
    <row r="18" spans="1:4" x14ac:dyDescent="0.35">
      <c r="A18" s="2">
        <v>46055</v>
      </c>
      <c r="B18" s="1" t="s">
        <v>33</v>
      </c>
      <c r="C18" s="1">
        <f>YEAR(Tabela14[[#This Row],[DATA]])</f>
        <v>2026</v>
      </c>
      <c r="D18" s="1">
        <f>MONTH(Tabela14[[#This Row],[DATA]])</f>
        <v>2</v>
      </c>
    </row>
    <row r="19" spans="1:4" x14ac:dyDescent="0.35">
      <c r="A19" s="2">
        <v>46055</v>
      </c>
      <c r="B19" s="1" t="s">
        <v>33</v>
      </c>
      <c r="C19" s="1">
        <f>YEAR(Tabela14[[#This Row],[DATA]])</f>
        <v>2026</v>
      </c>
      <c r="D19" s="1">
        <f>MONTH(Tabela14[[#This Row],[DATA]])</f>
        <v>2</v>
      </c>
    </row>
    <row r="20" spans="1:4" x14ac:dyDescent="0.35">
      <c r="A20" s="2">
        <v>46055</v>
      </c>
      <c r="B20" s="1" t="s">
        <v>33</v>
      </c>
      <c r="C20" s="1">
        <f>YEAR(Tabela14[[#This Row],[DATA]])</f>
        <v>2026</v>
      </c>
      <c r="D20" s="1">
        <f>MONTH(Tabela14[[#This Row],[DATA]])</f>
        <v>2</v>
      </c>
    </row>
    <row r="21" spans="1:4" x14ac:dyDescent="0.35">
      <c r="A21" s="2">
        <v>46055</v>
      </c>
      <c r="B21" s="1" t="s">
        <v>33</v>
      </c>
      <c r="C21" s="1">
        <f>YEAR(Tabela14[[#This Row],[DATA]])</f>
        <v>2026</v>
      </c>
      <c r="D21" s="1">
        <f>MONTH(Tabela14[[#This Row],[DATA]])</f>
        <v>2</v>
      </c>
    </row>
    <row r="22" spans="1:4" x14ac:dyDescent="0.35">
      <c r="A22" s="2">
        <v>46056</v>
      </c>
      <c r="B22" s="1" t="s">
        <v>9</v>
      </c>
      <c r="C22" s="1">
        <f>YEAR(Tabela14[[#This Row],[DATA]])</f>
        <v>2026</v>
      </c>
      <c r="D22" s="1">
        <f>MONTH(Tabela14[[#This Row],[DATA]])</f>
        <v>2</v>
      </c>
    </row>
    <row r="23" spans="1:4" x14ac:dyDescent="0.35">
      <c r="A23" s="2">
        <v>46056</v>
      </c>
      <c r="B23" s="1" t="s">
        <v>9</v>
      </c>
      <c r="C23" s="1">
        <f>YEAR(Tabela14[[#This Row],[DATA]])</f>
        <v>2026</v>
      </c>
      <c r="D23" s="1">
        <f>MONTH(Tabela14[[#This Row],[DATA]])</f>
        <v>2</v>
      </c>
    </row>
    <row r="24" spans="1:4" x14ac:dyDescent="0.35">
      <c r="A24" s="2">
        <v>46056</v>
      </c>
      <c r="B24" s="1" t="s">
        <v>9</v>
      </c>
      <c r="C24" s="1">
        <f>YEAR(Tabela14[[#This Row],[DATA]])</f>
        <v>2026</v>
      </c>
      <c r="D24" s="1">
        <f>MONTH(Tabela14[[#This Row],[DATA]])</f>
        <v>2</v>
      </c>
    </row>
    <row r="25" spans="1:4" x14ac:dyDescent="0.35">
      <c r="A25" s="2">
        <v>46056</v>
      </c>
      <c r="B25" s="1" t="s">
        <v>9</v>
      </c>
      <c r="C25" s="1">
        <f>YEAR(Tabela14[[#This Row],[DATA]])</f>
        <v>2026</v>
      </c>
      <c r="D25" s="1">
        <f>MONTH(Tabela14[[#This Row],[DATA]])</f>
        <v>2</v>
      </c>
    </row>
    <row r="26" spans="1:4" x14ac:dyDescent="0.35">
      <c r="A26" s="2">
        <v>46056</v>
      </c>
      <c r="B26" s="1" t="s">
        <v>9</v>
      </c>
      <c r="C26" s="1">
        <f>YEAR(Tabela14[[#This Row],[DATA]])</f>
        <v>2026</v>
      </c>
      <c r="D26" s="1">
        <f>MONTH(Tabela14[[#This Row],[DATA]])</f>
        <v>2</v>
      </c>
    </row>
    <row r="27" spans="1:4" x14ac:dyDescent="0.35">
      <c r="A27" s="2">
        <v>46056</v>
      </c>
      <c r="B27" s="1" t="s">
        <v>9</v>
      </c>
      <c r="C27" s="1">
        <f>YEAR(Tabela14[[#This Row],[DATA]])</f>
        <v>2026</v>
      </c>
      <c r="D27" s="1">
        <f>MONTH(Tabela14[[#This Row],[DATA]])</f>
        <v>2</v>
      </c>
    </row>
    <row r="28" spans="1:4" x14ac:dyDescent="0.35">
      <c r="A28" s="2">
        <v>46056</v>
      </c>
      <c r="B28" s="1" t="s">
        <v>9</v>
      </c>
      <c r="C28" s="1">
        <f>YEAR(Tabela14[[#This Row],[DATA]])</f>
        <v>2026</v>
      </c>
      <c r="D28" s="1">
        <f>MONTH(Tabela14[[#This Row],[DATA]])</f>
        <v>2</v>
      </c>
    </row>
    <row r="29" spans="1:4" x14ac:dyDescent="0.35">
      <c r="A29" s="2">
        <v>46056</v>
      </c>
      <c r="B29" s="1" t="s">
        <v>9</v>
      </c>
      <c r="C29" s="1">
        <f>YEAR(Tabela14[[#This Row],[DATA]])</f>
        <v>2026</v>
      </c>
      <c r="D29" s="1">
        <f>MONTH(Tabela14[[#This Row],[DATA]])</f>
        <v>2</v>
      </c>
    </row>
    <row r="30" spans="1:4" x14ac:dyDescent="0.35">
      <c r="A30" s="2">
        <v>46056</v>
      </c>
      <c r="B30" s="1" t="s">
        <v>33</v>
      </c>
      <c r="C30" s="1">
        <f>YEAR(Tabela14[[#This Row],[DATA]])</f>
        <v>2026</v>
      </c>
      <c r="D30" s="1">
        <f>MONTH(Tabela14[[#This Row],[DATA]])</f>
        <v>2</v>
      </c>
    </row>
    <row r="31" spans="1:4" x14ac:dyDescent="0.35">
      <c r="A31" s="2">
        <v>46056</v>
      </c>
      <c r="B31" s="1" t="s">
        <v>33</v>
      </c>
      <c r="C31" s="1">
        <f>YEAR(Tabela14[[#This Row],[DATA]])</f>
        <v>2026</v>
      </c>
      <c r="D31" s="1">
        <f>MONTH(Tabela14[[#This Row],[DATA]])</f>
        <v>2</v>
      </c>
    </row>
    <row r="32" spans="1:4" x14ac:dyDescent="0.35">
      <c r="A32" s="2">
        <v>46056</v>
      </c>
      <c r="B32" s="1" t="s">
        <v>33</v>
      </c>
      <c r="C32" s="1">
        <f>YEAR(Tabela14[[#This Row],[DATA]])</f>
        <v>2026</v>
      </c>
      <c r="D32" s="1">
        <f>MONTH(Tabela14[[#This Row],[DATA]])</f>
        <v>2</v>
      </c>
    </row>
    <row r="33" spans="1:4" x14ac:dyDescent="0.35">
      <c r="A33" s="2">
        <v>46056</v>
      </c>
      <c r="B33" s="1" t="s">
        <v>33</v>
      </c>
      <c r="C33" s="1">
        <f>YEAR(Tabela14[[#This Row],[DATA]])</f>
        <v>2026</v>
      </c>
      <c r="D33" s="1">
        <f>MONTH(Tabela14[[#This Row],[DATA]])</f>
        <v>2</v>
      </c>
    </row>
    <row r="34" spans="1:4" x14ac:dyDescent="0.35">
      <c r="A34" s="2">
        <v>46056</v>
      </c>
      <c r="B34" s="1" t="s">
        <v>33</v>
      </c>
      <c r="C34" s="1">
        <f>YEAR(Tabela14[[#This Row],[DATA]])</f>
        <v>2026</v>
      </c>
      <c r="D34" s="1">
        <f>MONTH(Tabela14[[#This Row],[DATA]])</f>
        <v>2</v>
      </c>
    </row>
    <row r="35" spans="1:4" x14ac:dyDescent="0.35">
      <c r="A35" s="2">
        <v>46057</v>
      </c>
      <c r="B35" s="1" t="s">
        <v>5</v>
      </c>
      <c r="C35" s="1">
        <f>YEAR(Tabela14[[#This Row],[DATA]])</f>
        <v>2026</v>
      </c>
      <c r="D35" s="1">
        <f>MONTH(Tabela14[[#This Row],[DATA]])</f>
        <v>2</v>
      </c>
    </row>
    <row r="36" spans="1:4" x14ac:dyDescent="0.35">
      <c r="A36" s="2">
        <v>46057</v>
      </c>
      <c r="B36" s="1" t="s">
        <v>5</v>
      </c>
      <c r="C36" s="1">
        <f>YEAR(Tabela14[[#This Row],[DATA]])</f>
        <v>2026</v>
      </c>
      <c r="D36" s="1">
        <f>MONTH(Tabela14[[#This Row],[DATA]])</f>
        <v>2</v>
      </c>
    </row>
    <row r="37" spans="1:4" x14ac:dyDescent="0.35">
      <c r="A37" s="2">
        <v>46057</v>
      </c>
      <c r="B37" s="1" t="s">
        <v>5</v>
      </c>
      <c r="C37" s="1">
        <f>YEAR(Tabela14[[#This Row],[DATA]])</f>
        <v>2026</v>
      </c>
      <c r="D37" s="1">
        <f>MONTH(Tabela14[[#This Row],[DATA]])</f>
        <v>2</v>
      </c>
    </row>
    <row r="38" spans="1:4" x14ac:dyDescent="0.35">
      <c r="A38" s="2">
        <v>46057</v>
      </c>
      <c r="B38" s="1" t="s">
        <v>5</v>
      </c>
      <c r="C38" s="1">
        <f>YEAR(Tabela14[[#This Row],[DATA]])</f>
        <v>2026</v>
      </c>
      <c r="D38" s="1">
        <f>MONTH(Tabela14[[#This Row],[DATA]])</f>
        <v>2</v>
      </c>
    </row>
    <row r="39" spans="1:4" x14ac:dyDescent="0.35">
      <c r="A39" s="2">
        <v>46057</v>
      </c>
      <c r="B39" s="1" t="s">
        <v>5</v>
      </c>
      <c r="C39" s="1">
        <f>YEAR(Tabela14[[#This Row],[DATA]])</f>
        <v>2026</v>
      </c>
      <c r="D39" s="1">
        <f>MONTH(Tabela14[[#This Row],[DATA]])</f>
        <v>2</v>
      </c>
    </row>
    <row r="40" spans="1:4" x14ac:dyDescent="0.35">
      <c r="A40" s="2">
        <v>46057</v>
      </c>
      <c r="B40" s="1" t="s">
        <v>5</v>
      </c>
      <c r="C40" s="1">
        <f>YEAR(Tabela14[[#This Row],[DATA]])</f>
        <v>2026</v>
      </c>
      <c r="D40" s="1">
        <f>MONTH(Tabela14[[#This Row],[DATA]])</f>
        <v>2</v>
      </c>
    </row>
    <row r="41" spans="1:4" x14ac:dyDescent="0.35">
      <c r="A41" s="2">
        <v>46057</v>
      </c>
      <c r="B41" s="1" t="s">
        <v>5</v>
      </c>
      <c r="C41" s="1">
        <f>YEAR(Tabela14[[#This Row],[DATA]])</f>
        <v>2026</v>
      </c>
      <c r="D41" s="1">
        <f>MONTH(Tabela14[[#This Row],[DATA]])</f>
        <v>2</v>
      </c>
    </row>
    <row r="42" spans="1:4" x14ac:dyDescent="0.35">
      <c r="A42" s="2">
        <v>46057</v>
      </c>
      <c r="B42" s="1" t="s">
        <v>34</v>
      </c>
      <c r="C42" s="1">
        <f>YEAR(Tabela14[[#This Row],[DATA]])</f>
        <v>2026</v>
      </c>
      <c r="D42" s="1">
        <f>MONTH(Tabela14[[#This Row],[DATA]])</f>
        <v>2</v>
      </c>
    </row>
    <row r="43" spans="1:4" x14ac:dyDescent="0.35">
      <c r="A43" s="2">
        <v>46057</v>
      </c>
      <c r="B43" s="1" t="s">
        <v>34</v>
      </c>
      <c r="C43" s="1">
        <f>YEAR(Tabela14[[#This Row],[DATA]])</f>
        <v>2026</v>
      </c>
      <c r="D43" s="1">
        <f>MONTH(Tabela14[[#This Row],[DATA]])</f>
        <v>2</v>
      </c>
    </row>
    <row r="44" spans="1:4" x14ac:dyDescent="0.35">
      <c r="A44" s="2">
        <v>46057</v>
      </c>
      <c r="B44" s="1" t="s">
        <v>5</v>
      </c>
      <c r="C44" s="1">
        <f>YEAR(Tabela14[[#This Row],[DATA]])</f>
        <v>2026</v>
      </c>
      <c r="D44" s="1">
        <f>MONTH(Tabela14[[#This Row],[DATA]])</f>
        <v>2</v>
      </c>
    </row>
    <row r="45" spans="1:4" x14ac:dyDescent="0.35">
      <c r="A45" s="2">
        <v>46057</v>
      </c>
      <c r="B45" s="1" t="s">
        <v>34</v>
      </c>
      <c r="C45" s="1">
        <f>YEAR(Tabela14[[#This Row],[DATA]])</f>
        <v>2026</v>
      </c>
      <c r="D45" s="1">
        <f>MONTH(Tabela14[[#This Row],[DATA]])</f>
        <v>2</v>
      </c>
    </row>
    <row r="46" spans="1:4" x14ac:dyDescent="0.35">
      <c r="A46" s="2">
        <v>46057</v>
      </c>
      <c r="B46" s="1" t="s">
        <v>34</v>
      </c>
      <c r="C46" s="1">
        <f>YEAR(Tabela14[[#This Row],[DATA]])</f>
        <v>2026</v>
      </c>
      <c r="D46" s="1">
        <f>MONTH(Tabela14[[#This Row],[DATA]])</f>
        <v>2</v>
      </c>
    </row>
    <row r="47" spans="1:4" x14ac:dyDescent="0.35">
      <c r="A47" s="2">
        <v>46057</v>
      </c>
      <c r="B47" s="1" t="s">
        <v>9</v>
      </c>
      <c r="C47" s="1">
        <f>YEAR(Tabela14[[#This Row],[DATA]])</f>
        <v>2026</v>
      </c>
      <c r="D47" s="1">
        <f>MONTH(Tabela14[[#This Row],[DATA]])</f>
        <v>2</v>
      </c>
    </row>
    <row r="48" spans="1:4" x14ac:dyDescent="0.35">
      <c r="A48" s="2">
        <v>46057</v>
      </c>
      <c r="B48" s="1" t="s">
        <v>9</v>
      </c>
      <c r="C48" s="1">
        <f>YEAR(Tabela14[[#This Row],[DATA]])</f>
        <v>2026</v>
      </c>
      <c r="D48" s="1">
        <f>MONTH(Tabela14[[#This Row],[DATA]])</f>
        <v>2</v>
      </c>
    </row>
    <row r="49" spans="1:4" x14ac:dyDescent="0.35">
      <c r="A49" s="2">
        <v>46057</v>
      </c>
      <c r="B49" s="1" t="s">
        <v>9</v>
      </c>
      <c r="C49" s="1">
        <f>YEAR(Tabela14[[#This Row],[DATA]])</f>
        <v>2026</v>
      </c>
      <c r="D49" s="1">
        <f>MONTH(Tabela14[[#This Row],[DATA]])</f>
        <v>2</v>
      </c>
    </row>
    <row r="50" spans="1:4" x14ac:dyDescent="0.35">
      <c r="A50" s="2">
        <v>46057</v>
      </c>
      <c r="B50" s="1" t="s">
        <v>9</v>
      </c>
      <c r="C50" s="1">
        <f>YEAR(Tabela14[[#This Row],[DATA]])</f>
        <v>2026</v>
      </c>
      <c r="D50" s="1">
        <f>MONTH(Tabela14[[#This Row],[DATA]])</f>
        <v>2</v>
      </c>
    </row>
    <row r="51" spans="1:4" x14ac:dyDescent="0.35">
      <c r="A51" s="2">
        <v>46058</v>
      </c>
      <c r="B51" s="1" t="s">
        <v>34</v>
      </c>
      <c r="C51" s="1">
        <f>YEAR(Tabela14[[#This Row],[DATA]])</f>
        <v>2026</v>
      </c>
      <c r="D51" s="1">
        <f>MONTH(Tabela14[[#This Row],[DATA]])</f>
        <v>2</v>
      </c>
    </row>
    <row r="52" spans="1:4" x14ac:dyDescent="0.35">
      <c r="A52" s="2">
        <v>46058</v>
      </c>
      <c r="B52" s="1" t="s">
        <v>34</v>
      </c>
      <c r="C52" s="1">
        <f>YEAR(Tabela14[[#This Row],[DATA]])</f>
        <v>2026</v>
      </c>
      <c r="D52" s="1">
        <f>MONTH(Tabela14[[#This Row],[DATA]])</f>
        <v>2</v>
      </c>
    </row>
    <row r="53" spans="1:4" x14ac:dyDescent="0.35">
      <c r="A53" s="2">
        <v>46058</v>
      </c>
      <c r="B53" s="1" t="s">
        <v>34</v>
      </c>
      <c r="C53" s="1">
        <f>YEAR(Tabela14[[#This Row],[DATA]])</f>
        <v>2026</v>
      </c>
      <c r="D53" s="1">
        <f>MONTH(Tabela14[[#This Row],[DATA]])</f>
        <v>2</v>
      </c>
    </row>
    <row r="54" spans="1:4" x14ac:dyDescent="0.35">
      <c r="A54" s="2">
        <v>46058</v>
      </c>
      <c r="B54" s="1" t="s">
        <v>34</v>
      </c>
      <c r="C54" s="1">
        <f>YEAR(Tabela14[[#This Row],[DATA]])</f>
        <v>2026</v>
      </c>
      <c r="D54" s="1">
        <f>MONTH(Tabela14[[#This Row],[DATA]])</f>
        <v>2</v>
      </c>
    </row>
    <row r="55" spans="1:4" x14ac:dyDescent="0.35">
      <c r="A55" s="2">
        <v>46058</v>
      </c>
      <c r="B55" s="1" t="s">
        <v>34</v>
      </c>
      <c r="C55" s="1">
        <f>YEAR(Tabela14[[#This Row],[DATA]])</f>
        <v>2026</v>
      </c>
      <c r="D55" s="1">
        <f>MONTH(Tabela14[[#This Row],[DATA]])</f>
        <v>2</v>
      </c>
    </row>
    <row r="56" spans="1:4" x14ac:dyDescent="0.35">
      <c r="A56" s="2">
        <v>46058</v>
      </c>
      <c r="B56" s="1" t="s">
        <v>9</v>
      </c>
      <c r="C56" s="1">
        <f>YEAR(Tabela14[[#This Row],[DATA]])</f>
        <v>2026</v>
      </c>
      <c r="D56" s="1">
        <f>MONTH(Tabela14[[#This Row],[DATA]])</f>
        <v>2</v>
      </c>
    </row>
    <row r="57" spans="1:4" x14ac:dyDescent="0.35">
      <c r="A57" s="2">
        <v>46058</v>
      </c>
      <c r="B57" s="1" t="s">
        <v>9</v>
      </c>
      <c r="C57" s="1">
        <f>YEAR(Tabela14[[#This Row],[DATA]])</f>
        <v>2026</v>
      </c>
      <c r="D57" s="1">
        <f>MONTH(Tabela14[[#This Row],[DATA]])</f>
        <v>2</v>
      </c>
    </row>
    <row r="58" spans="1:4" x14ac:dyDescent="0.35">
      <c r="A58" s="2">
        <v>46058</v>
      </c>
      <c r="B58" s="1" t="s">
        <v>9</v>
      </c>
      <c r="C58" s="1">
        <f>YEAR(Tabela14[[#This Row],[DATA]])</f>
        <v>2026</v>
      </c>
      <c r="D58" s="1">
        <f>MONTH(Tabela14[[#This Row],[DATA]])</f>
        <v>2</v>
      </c>
    </row>
    <row r="59" spans="1:4" x14ac:dyDescent="0.35">
      <c r="A59" s="2">
        <v>46058</v>
      </c>
      <c r="B59" s="1" t="s">
        <v>9</v>
      </c>
      <c r="C59" s="1">
        <f>YEAR(Tabela14[[#This Row],[DATA]])</f>
        <v>2026</v>
      </c>
      <c r="D59" s="1">
        <f>MONTH(Tabela14[[#This Row],[DATA]])</f>
        <v>2</v>
      </c>
    </row>
    <row r="60" spans="1:4" x14ac:dyDescent="0.35">
      <c r="A60" s="2">
        <v>46062</v>
      </c>
      <c r="B60" s="1" t="s">
        <v>9</v>
      </c>
      <c r="C60" s="1">
        <f>YEAR(Tabela14[[#This Row],[DATA]])</f>
        <v>2026</v>
      </c>
      <c r="D60" s="1">
        <f>MONTH(Tabela14[[#This Row],[DATA]])</f>
        <v>2</v>
      </c>
    </row>
    <row r="61" spans="1:4" x14ac:dyDescent="0.35">
      <c r="A61" s="2">
        <v>46062</v>
      </c>
      <c r="B61" s="1" t="s">
        <v>9</v>
      </c>
      <c r="C61" s="1">
        <f>YEAR(Tabela14[[#This Row],[DATA]])</f>
        <v>2026</v>
      </c>
      <c r="D61" s="1">
        <f>MONTH(Tabela14[[#This Row],[DATA]])</f>
        <v>2</v>
      </c>
    </row>
    <row r="62" spans="1:4" x14ac:dyDescent="0.35">
      <c r="A62" s="2">
        <v>46062</v>
      </c>
      <c r="B62" s="1" t="s">
        <v>9</v>
      </c>
      <c r="C62" s="1">
        <f>YEAR(Tabela14[[#This Row],[DATA]])</f>
        <v>2026</v>
      </c>
      <c r="D62" s="1">
        <f>MONTH(Tabela14[[#This Row],[DATA]])</f>
        <v>2</v>
      </c>
    </row>
    <row r="63" spans="1:4" x14ac:dyDescent="0.35">
      <c r="A63" s="2">
        <v>46062</v>
      </c>
      <c r="B63" s="1" t="s">
        <v>5</v>
      </c>
      <c r="C63" s="1">
        <f>YEAR(Tabela14[[#This Row],[DATA]])</f>
        <v>2026</v>
      </c>
      <c r="D63" s="1">
        <f>MONTH(Tabela14[[#This Row],[DATA]])</f>
        <v>2</v>
      </c>
    </row>
    <row r="64" spans="1:4" x14ac:dyDescent="0.35">
      <c r="A64" s="2">
        <v>46062</v>
      </c>
      <c r="B64" s="1" t="s">
        <v>5</v>
      </c>
      <c r="C64" s="1">
        <f>YEAR(Tabela14[[#This Row],[DATA]])</f>
        <v>2026</v>
      </c>
      <c r="D64" s="1">
        <f>MONTH(Tabela14[[#This Row],[DATA]])</f>
        <v>2</v>
      </c>
    </row>
    <row r="65" spans="1:4" x14ac:dyDescent="0.35">
      <c r="A65" s="2">
        <v>46062</v>
      </c>
      <c r="B65" s="1" t="s">
        <v>5</v>
      </c>
      <c r="C65" s="1">
        <f>YEAR(Tabela14[[#This Row],[DATA]])</f>
        <v>2026</v>
      </c>
      <c r="D65" s="1">
        <f>MONTH(Tabela14[[#This Row],[DATA]])</f>
        <v>2</v>
      </c>
    </row>
    <row r="66" spans="1:4" x14ac:dyDescent="0.35">
      <c r="A66" s="2">
        <v>46062</v>
      </c>
      <c r="B66" s="1" t="s">
        <v>5</v>
      </c>
      <c r="C66" s="1">
        <f>YEAR(Tabela14[[#This Row],[DATA]])</f>
        <v>2026</v>
      </c>
      <c r="D66" s="1">
        <f>MONTH(Tabela14[[#This Row],[DATA]])</f>
        <v>2</v>
      </c>
    </row>
    <row r="67" spans="1:4" x14ac:dyDescent="0.35">
      <c r="A67" s="2">
        <v>46063</v>
      </c>
      <c r="B67" s="1" t="s">
        <v>9</v>
      </c>
      <c r="C67" s="1">
        <f>YEAR(Tabela14[[#This Row],[DATA]])</f>
        <v>2026</v>
      </c>
      <c r="D67" s="1">
        <f>MONTH(Tabela14[[#This Row],[DATA]])</f>
        <v>2</v>
      </c>
    </row>
    <row r="68" spans="1:4" x14ac:dyDescent="0.35">
      <c r="A68" s="2">
        <v>46064</v>
      </c>
      <c r="B68" s="1" t="s">
        <v>5</v>
      </c>
      <c r="C68" s="1">
        <f>YEAR(Tabela14[[#This Row],[DATA]])</f>
        <v>2026</v>
      </c>
      <c r="D68" s="1">
        <f>MONTH(Tabela14[[#This Row],[DATA]])</f>
        <v>2</v>
      </c>
    </row>
    <row r="69" spans="1:4" x14ac:dyDescent="0.35">
      <c r="A69" s="2">
        <v>46064</v>
      </c>
      <c r="B69" s="1" t="s">
        <v>5</v>
      </c>
      <c r="C69" s="1">
        <f>YEAR(Tabela14[[#This Row],[DATA]])</f>
        <v>2026</v>
      </c>
      <c r="D69" s="1">
        <f>MONTH(Tabela14[[#This Row],[DATA]])</f>
        <v>2</v>
      </c>
    </row>
    <row r="70" spans="1:4" x14ac:dyDescent="0.35">
      <c r="A70" s="2">
        <v>46065</v>
      </c>
      <c r="B70" s="1" t="s">
        <v>5</v>
      </c>
      <c r="C70" s="1">
        <f>YEAR(Tabela14[[#This Row],[DATA]])</f>
        <v>2026</v>
      </c>
      <c r="D70" s="1">
        <f>MONTH(Tabela14[[#This Row],[DATA]])</f>
        <v>2</v>
      </c>
    </row>
    <row r="71" spans="1:4" x14ac:dyDescent="0.35">
      <c r="A71" s="2">
        <v>46065</v>
      </c>
      <c r="B71" s="1" t="s">
        <v>5</v>
      </c>
      <c r="C71" s="1">
        <f>YEAR(Tabela14[[#This Row],[DATA]])</f>
        <v>2026</v>
      </c>
      <c r="D71" s="1">
        <f>MONTH(Tabela14[[#This Row],[DATA]])</f>
        <v>2</v>
      </c>
    </row>
    <row r="72" spans="1:4" x14ac:dyDescent="0.35">
      <c r="A72" s="2">
        <v>46065</v>
      </c>
      <c r="B72" s="1" t="s">
        <v>5</v>
      </c>
      <c r="C72" s="1">
        <f>YEAR(Tabela14[[#This Row],[DATA]])</f>
        <v>2026</v>
      </c>
      <c r="D72" s="1">
        <f>MONTH(Tabela14[[#This Row],[DATA]])</f>
        <v>2</v>
      </c>
    </row>
    <row r="73" spans="1:4" x14ac:dyDescent="0.35">
      <c r="A73" s="2">
        <v>46065</v>
      </c>
      <c r="B73" s="1" t="s">
        <v>9</v>
      </c>
      <c r="C73" s="1">
        <f>YEAR(Tabela14[[#This Row],[DATA]])</f>
        <v>2026</v>
      </c>
      <c r="D73" s="1">
        <f>MONTH(Tabela14[[#This Row],[DATA]])</f>
        <v>2</v>
      </c>
    </row>
    <row r="74" spans="1:4" x14ac:dyDescent="0.35">
      <c r="A74" s="2">
        <v>46065</v>
      </c>
      <c r="B74" s="1" t="s">
        <v>9</v>
      </c>
      <c r="C74" s="1">
        <f>YEAR(Tabela14[[#This Row],[DATA]])</f>
        <v>2026</v>
      </c>
      <c r="D74" s="1">
        <f>MONTH(Tabela14[[#This Row],[DATA]])</f>
        <v>2</v>
      </c>
    </row>
    <row r="75" spans="1:4" x14ac:dyDescent="0.35">
      <c r="A75" s="2">
        <v>46066</v>
      </c>
      <c r="B75" s="1" t="s">
        <v>34</v>
      </c>
      <c r="C75" s="1">
        <f>YEAR(Tabela14[[#This Row],[DATA]])</f>
        <v>2026</v>
      </c>
      <c r="D75" s="1">
        <f>MONTH(Tabela14[[#This Row],[DATA]])</f>
        <v>2</v>
      </c>
    </row>
    <row r="76" spans="1:4" x14ac:dyDescent="0.35">
      <c r="A76" s="2">
        <v>46066</v>
      </c>
      <c r="B76" s="1" t="s">
        <v>34</v>
      </c>
      <c r="C76" s="1">
        <f>YEAR(Tabela14[[#This Row],[DATA]])</f>
        <v>2026</v>
      </c>
      <c r="D76" s="1">
        <f>MONTH(Tabela14[[#This Row],[DATA]])</f>
        <v>2</v>
      </c>
    </row>
    <row r="77" spans="1:4" x14ac:dyDescent="0.35">
      <c r="A77" s="2">
        <v>46066</v>
      </c>
      <c r="B77" s="1" t="s">
        <v>34</v>
      </c>
      <c r="C77" s="1">
        <f>YEAR(Tabela14[[#This Row],[DATA]])</f>
        <v>2026</v>
      </c>
      <c r="D77" s="1">
        <f>MONTH(Tabela14[[#This Row],[DATA]])</f>
        <v>2</v>
      </c>
    </row>
    <row r="78" spans="1:4" x14ac:dyDescent="0.35">
      <c r="A78" s="2">
        <v>46066</v>
      </c>
      <c r="B78" s="1" t="s">
        <v>34</v>
      </c>
      <c r="C78" s="1">
        <f>YEAR(Tabela14[[#This Row],[DATA]])</f>
        <v>2026</v>
      </c>
      <c r="D78" s="1">
        <f>MONTH(Tabela14[[#This Row],[DATA]])</f>
        <v>2</v>
      </c>
    </row>
    <row r="79" spans="1:4" x14ac:dyDescent="0.35">
      <c r="A79" s="2">
        <v>46066</v>
      </c>
      <c r="B79" s="1" t="s">
        <v>34</v>
      </c>
      <c r="C79" s="1">
        <f>YEAR(Tabela14[[#This Row],[DATA]])</f>
        <v>2026</v>
      </c>
      <c r="D79" s="1">
        <f>MONTH(Tabela14[[#This Row],[DATA]])</f>
        <v>2</v>
      </c>
    </row>
    <row r="80" spans="1:4" x14ac:dyDescent="0.35">
      <c r="A80" s="2">
        <v>46066</v>
      </c>
      <c r="B80" s="1" t="s">
        <v>34</v>
      </c>
      <c r="C80" s="1">
        <f>YEAR(Tabela14[[#This Row],[DATA]])</f>
        <v>2026</v>
      </c>
      <c r="D80" s="1">
        <f>MONTH(Tabela14[[#This Row],[DATA]])</f>
        <v>2</v>
      </c>
    </row>
    <row r="81" spans="1:4" x14ac:dyDescent="0.35">
      <c r="A81" s="2">
        <v>46066</v>
      </c>
      <c r="B81" s="1" t="s">
        <v>34</v>
      </c>
      <c r="C81" s="1">
        <f>YEAR(Tabela14[[#This Row],[DATA]])</f>
        <v>2026</v>
      </c>
      <c r="D81" s="1">
        <f>MONTH(Tabela14[[#This Row],[DATA]])</f>
        <v>2</v>
      </c>
    </row>
    <row r="82" spans="1:4" x14ac:dyDescent="0.35">
      <c r="A82" s="2">
        <v>46066</v>
      </c>
      <c r="B82" s="1" t="s">
        <v>34</v>
      </c>
      <c r="C82" s="1">
        <f>YEAR(Tabela14[[#This Row],[DATA]])</f>
        <v>2026</v>
      </c>
      <c r="D82" s="1">
        <f>MONTH(Tabela14[[#This Row],[DATA]])</f>
        <v>2</v>
      </c>
    </row>
    <row r="83" spans="1:4" x14ac:dyDescent="0.35">
      <c r="A83" s="2">
        <v>46066</v>
      </c>
      <c r="B83" s="1" t="s">
        <v>34</v>
      </c>
      <c r="C83" s="1">
        <f>YEAR(Tabela14[[#This Row],[DATA]])</f>
        <v>2026</v>
      </c>
      <c r="D83" s="1">
        <f>MONTH(Tabela14[[#This Row],[DATA]])</f>
        <v>2</v>
      </c>
    </row>
    <row r="84" spans="1:4" x14ac:dyDescent="0.35">
      <c r="A84" s="2">
        <v>46066</v>
      </c>
      <c r="B84" s="1" t="s">
        <v>34</v>
      </c>
      <c r="C84" s="1">
        <f>YEAR(Tabela14[[#This Row],[DATA]])</f>
        <v>2026</v>
      </c>
      <c r="D84" s="1">
        <f>MONTH(Tabela14[[#This Row],[DATA]])</f>
        <v>2</v>
      </c>
    </row>
    <row r="85" spans="1:4" x14ac:dyDescent="0.35">
      <c r="A85" s="2">
        <v>46066</v>
      </c>
      <c r="B85" s="1" t="s">
        <v>34</v>
      </c>
      <c r="C85" s="1">
        <f>YEAR(Tabela14[[#This Row],[DATA]])</f>
        <v>2026</v>
      </c>
      <c r="D85" s="1">
        <f>MONTH(Tabela14[[#This Row],[DATA]])</f>
        <v>2</v>
      </c>
    </row>
    <row r="86" spans="1:4" x14ac:dyDescent="0.35">
      <c r="A86" s="2">
        <v>46066</v>
      </c>
      <c r="B86" s="1" t="s">
        <v>34</v>
      </c>
      <c r="C86" s="1">
        <f>YEAR(Tabela14[[#This Row],[DATA]])</f>
        <v>2026</v>
      </c>
      <c r="D86" s="1">
        <f>MONTH(Tabela14[[#This Row],[DATA]])</f>
        <v>2</v>
      </c>
    </row>
    <row r="87" spans="1:4" x14ac:dyDescent="0.35">
      <c r="A87" s="2">
        <v>46066</v>
      </c>
      <c r="B87" s="1" t="s">
        <v>9</v>
      </c>
      <c r="C87" s="1">
        <f>YEAR(Tabela14[[#This Row],[DATA]])</f>
        <v>2026</v>
      </c>
      <c r="D87" s="1">
        <f>MONTH(Tabela14[[#This Row],[DATA]])</f>
        <v>2</v>
      </c>
    </row>
    <row r="88" spans="1:4" x14ac:dyDescent="0.35">
      <c r="A88" s="2">
        <v>46066</v>
      </c>
      <c r="B88" s="1" t="s">
        <v>9</v>
      </c>
      <c r="C88" s="1">
        <f>YEAR(Tabela14[[#This Row],[DATA]])</f>
        <v>2026</v>
      </c>
      <c r="D88" s="1">
        <f>MONTH(Tabela14[[#This Row],[DATA]])</f>
        <v>2</v>
      </c>
    </row>
    <row r="89" spans="1:4" x14ac:dyDescent="0.35">
      <c r="A89" s="2">
        <v>46066</v>
      </c>
      <c r="B89" s="1" t="s">
        <v>9</v>
      </c>
      <c r="C89" s="1">
        <f>YEAR(Tabela14[[#This Row],[DATA]])</f>
        <v>2026</v>
      </c>
      <c r="D89" s="1">
        <f>MONTH(Tabela14[[#This Row],[DATA]])</f>
        <v>2</v>
      </c>
    </row>
    <row r="90" spans="1:4" x14ac:dyDescent="0.35">
      <c r="A90" s="2">
        <v>46069</v>
      </c>
      <c r="B90" s="1" t="s">
        <v>9</v>
      </c>
      <c r="C90" s="1">
        <f>YEAR(Tabela14[[#This Row],[DATA]])</f>
        <v>2026</v>
      </c>
      <c r="D90" s="1">
        <f>MONTH(Tabela14[[#This Row],[DATA]])</f>
        <v>2</v>
      </c>
    </row>
    <row r="91" spans="1:4" x14ac:dyDescent="0.35">
      <c r="A91" s="2">
        <v>46069</v>
      </c>
      <c r="B91" s="1" t="s">
        <v>9</v>
      </c>
      <c r="C91" s="1">
        <f>YEAR(Tabela14[[#This Row],[DATA]])</f>
        <v>2026</v>
      </c>
      <c r="D91" s="1">
        <f>MONTH(Tabela14[[#This Row],[DATA]])</f>
        <v>2</v>
      </c>
    </row>
    <row r="92" spans="1:4" x14ac:dyDescent="0.35">
      <c r="A92" s="2">
        <v>46069</v>
      </c>
      <c r="B92" s="1" t="s">
        <v>9</v>
      </c>
      <c r="C92" s="1">
        <f>YEAR(Tabela14[[#This Row],[DATA]])</f>
        <v>2026</v>
      </c>
      <c r="D92" s="1">
        <f>MONTH(Tabela14[[#This Row],[DATA]])</f>
        <v>2</v>
      </c>
    </row>
    <row r="93" spans="1:4" x14ac:dyDescent="0.35">
      <c r="A93" s="2">
        <v>46069</v>
      </c>
      <c r="B93" s="1" t="s">
        <v>9</v>
      </c>
      <c r="C93" s="1">
        <f>YEAR(Tabela14[[#This Row],[DATA]])</f>
        <v>2026</v>
      </c>
      <c r="D93" s="1">
        <f>MONTH(Tabela14[[#This Row],[DATA]])</f>
        <v>2</v>
      </c>
    </row>
    <row r="94" spans="1:4" x14ac:dyDescent="0.35">
      <c r="A94" s="2">
        <v>46069</v>
      </c>
      <c r="B94" s="1" t="s">
        <v>9</v>
      </c>
      <c r="C94" s="1">
        <f>YEAR(Tabela14[[#This Row],[DATA]])</f>
        <v>2026</v>
      </c>
      <c r="D94" s="1">
        <f>MONTH(Tabela14[[#This Row],[DATA]])</f>
        <v>2</v>
      </c>
    </row>
    <row r="95" spans="1:4" x14ac:dyDescent="0.35">
      <c r="A95" s="2">
        <v>46069</v>
      </c>
      <c r="B95" s="1" t="s">
        <v>9</v>
      </c>
      <c r="C95" s="1">
        <f>YEAR(Tabela14[[#This Row],[DATA]])</f>
        <v>2026</v>
      </c>
      <c r="D95" s="1">
        <f>MONTH(Tabela14[[#This Row],[DATA]])</f>
        <v>2</v>
      </c>
    </row>
    <row r="96" spans="1:4" x14ac:dyDescent="0.35">
      <c r="A96" s="2">
        <v>46069</v>
      </c>
      <c r="B96" s="1" t="s">
        <v>9</v>
      </c>
      <c r="C96" s="1">
        <f>YEAR(Tabela14[[#This Row],[DATA]])</f>
        <v>2026</v>
      </c>
      <c r="D96" s="1">
        <f>MONTH(Tabela14[[#This Row],[DATA]])</f>
        <v>2</v>
      </c>
    </row>
    <row r="97" spans="1:4" x14ac:dyDescent="0.35">
      <c r="A97" s="2">
        <v>46069</v>
      </c>
      <c r="B97" s="1" t="s">
        <v>9</v>
      </c>
      <c r="C97" s="1">
        <f>YEAR(Tabela14[[#This Row],[DATA]])</f>
        <v>2026</v>
      </c>
      <c r="D97" s="1">
        <f>MONTH(Tabela14[[#This Row],[DATA]])</f>
        <v>2</v>
      </c>
    </row>
    <row r="98" spans="1:4" x14ac:dyDescent="0.35">
      <c r="A98" s="2">
        <v>46072</v>
      </c>
      <c r="B98" s="1" t="s">
        <v>9</v>
      </c>
      <c r="C98" s="1">
        <f>YEAR(Tabela14[[#This Row],[DATA]])</f>
        <v>2026</v>
      </c>
      <c r="D98" s="1">
        <f>MONTH(Tabela14[[#This Row],[DATA]])</f>
        <v>2</v>
      </c>
    </row>
    <row r="99" spans="1:4" x14ac:dyDescent="0.35">
      <c r="A99" s="2">
        <v>46072</v>
      </c>
      <c r="B99" s="1" t="s">
        <v>9</v>
      </c>
      <c r="C99" s="1">
        <f>YEAR(Tabela14[[#This Row],[DATA]])</f>
        <v>2026</v>
      </c>
      <c r="D99" s="1">
        <f>MONTH(Tabela14[[#This Row],[DATA]])</f>
        <v>2</v>
      </c>
    </row>
    <row r="100" spans="1:4" x14ac:dyDescent="0.35">
      <c r="A100" s="2">
        <v>46072</v>
      </c>
      <c r="B100" s="1" t="s">
        <v>9</v>
      </c>
      <c r="C100" s="1">
        <f>YEAR(Tabela14[[#This Row],[DATA]])</f>
        <v>2026</v>
      </c>
      <c r="D100" s="1">
        <f>MONTH(Tabela14[[#This Row],[DATA]])</f>
        <v>2</v>
      </c>
    </row>
    <row r="101" spans="1:4" x14ac:dyDescent="0.35">
      <c r="A101" s="2">
        <v>46072</v>
      </c>
      <c r="B101" s="1" t="s">
        <v>9</v>
      </c>
      <c r="C101" s="1">
        <f>YEAR(Tabela14[[#This Row],[DATA]])</f>
        <v>2026</v>
      </c>
      <c r="D101" s="1">
        <f>MONTH(Tabela14[[#This Row],[DATA]])</f>
        <v>2</v>
      </c>
    </row>
    <row r="102" spans="1:4" x14ac:dyDescent="0.35">
      <c r="A102" s="2">
        <v>46073</v>
      </c>
      <c r="B102" s="1" t="s">
        <v>34</v>
      </c>
      <c r="C102" s="1">
        <f>YEAR(Tabela14[[#This Row],[DATA]])</f>
        <v>2026</v>
      </c>
      <c r="D102" s="1">
        <f>MONTH(Tabela14[[#This Row],[DATA]])</f>
        <v>2</v>
      </c>
    </row>
    <row r="103" spans="1:4" x14ac:dyDescent="0.35">
      <c r="A103" s="2">
        <v>46073</v>
      </c>
      <c r="B103" s="1" t="s">
        <v>34</v>
      </c>
      <c r="C103" s="1">
        <f>YEAR(Tabela14[[#This Row],[DATA]])</f>
        <v>2026</v>
      </c>
      <c r="D103" s="1">
        <f>MONTH(Tabela14[[#This Row],[DATA]])</f>
        <v>2</v>
      </c>
    </row>
    <row r="104" spans="1:4" x14ac:dyDescent="0.35">
      <c r="A104" s="2">
        <v>46073</v>
      </c>
      <c r="B104" s="1" t="s">
        <v>34</v>
      </c>
      <c r="C104" s="1">
        <f>YEAR(Tabela14[[#This Row],[DATA]])</f>
        <v>2026</v>
      </c>
      <c r="D104" s="1">
        <f>MONTH(Tabela14[[#This Row],[DATA]])</f>
        <v>2</v>
      </c>
    </row>
    <row r="105" spans="1:4" x14ac:dyDescent="0.35">
      <c r="A105" s="2">
        <v>46073</v>
      </c>
      <c r="B105" s="1" t="s">
        <v>34</v>
      </c>
      <c r="C105" s="1">
        <f>YEAR(Tabela14[[#This Row],[DATA]])</f>
        <v>2026</v>
      </c>
      <c r="D105" s="1">
        <f>MONTH(Tabela14[[#This Row],[DATA]])</f>
        <v>2</v>
      </c>
    </row>
    <row r="106" spans="1:4" x14ac:dyDescent="0.35">
      <c r="A106" s="2">
        <v>46073</v>
      </c>
      <c r="B106" s="1" t="s">
        <v>9</v>
      </c>
      <c r="C106" s="1">
        <f>YEAR(Tabela14[[#This Row],[DATA]])</f>
        <v>2026</v>
      </c>
      <c r="D106" s="1">
        <f>MONTH(Tabela14[[#This Row],[DATA]])</f>
        <v>2</v>
      </c>
    </row>
    <row r="107" spans="1:4" x14ac:dyDescent="0.35">
      <c r="A107" s="2">
        <v>46073</v>
      </c>
      <c r="B107" s="1" t="s">
        <v>9</v>
      </c>
      <c r="C107" s="1">
        <f>YEAR(Tabela14[[#This Row],[DATA]])</f>
        <v>2026</v>
      </c>
      <c r="D107" s="1">
        <f>MONTH(Tabela14[[#This Row],[DATA]])</f>
        <v>2</v>
      </c>
    </row>
    <row r="108" spans="1:4" x14ac:dyDescent="0.35">
      <c r="A108" s="2">
        <v>46073</v>
      </c>
      <c r="B108" s="1" t="s">
        <v>9</v>
      </c>
      <c r="C108" s="1">
        <f>YEAR(Tabela14[[#This Row],[DATA]])</f>
        <v>2026</v>
      </c>
      <c r="D108" s="1">
        <f>MONTH(Tabela14[[#This Row],[DATA]])</f>
        <v>2</v>
      </c>
    </row>
    <row r="109" spans="1:4" x14ac:dyDescent="0.35">
      <c r="A109" s="2">
        <v>46073</v>
      </c>
      <c r="B109" s="1" t="s">
        <v>9</v>
      </c>
      <c r="C109" s="1">
        <f>YEAR(Tabela14[[#This Row],[DATA]])</f>
        <v>2026</v>
      </c>
      <c r="D109" s="1">
        <f>MONTH(Tabela14[[#This Row],[DATA]])</f>
        <v>2</v>
      </c>
    </row>
    <row r="110" spans="1:4" x14ac:dyDescent="0.35">
      <c r="A110" s="2">
        <v>46073</v>
      </c>
      <c r="B110" s="1" t="s">
        <v>9</v>
      </c>
      <c r="C110" s="1">
        <f>YEAR(Tabela14[[#This Row],[DATA]])</f>
        <v>2026</v>
      </c>
      <c r="D110" s="1">
        <f>MONTH(Tabela14[[#This Row],[DATA]])</f>
        <v>2</v>
      </c>
    </row>
    <row r="111" spans="1:4" x14ac:dyDescent="0.35">
      <c r="A111" s="2">
        <v>46073</v>
      </c>
      <c r="B111" s="1" t="s">
        <v>9</v>
      </c>
      <c r="C111" s="1">
        <f>YEAR(Tabela14[[#This Row],[DATA]])</f>
        <v>2026</v>
      </c>
      <c r="D111" s="1">
        <f>MONTH(Tabela14[[#This Row],[DATA]])</f>
        <v>2</v>
      </c>
    </row>
    <row r="112" spans="1:4" x14ac:dyDescent="0.35">
      <c r="A112" s="2">
        <v>46073</v>
      </c>
      <c r="B112" s="1" t="s">
        <v>9</v>
      </c>
      <c r="C112" s="1">
        <f>YEAR(Tabela14[[#This Row],[DATA]])</f>
        <v>2026</v>
      </c>
      <c r="D112" s="1">
        <f>MONTH(Tabela14[[#This Row],[DATA]])</f>
        <v>2</v>
      </c>
    </row>
    <row r="113" spans="1:4" x14ac:dyDescent="0.35">
      <c r="A113" s="2">
        <v>46073</v>
      </c>
      <c r="B113" s="1" t="s">
        <v>33</v>
      </c>
      <c r="C113" s="1">
        <f>YEAR(Tabela14[[#This Row],[DATA]])</f>
        <v>2026</v>
      </c>
      <c r="D113" s="1">
        <f>MONTH(Tabela14[[#This Row],[DATA]])</f>
        <v>2</v>
      </c>
    </row>
    <row r="114" spans="1:4" x14ac:dyDescent="0.35">
      <c r="A114" s="2">
        <v>46073</v>
      </c>
      <c r="B114" s="1" t="s">
        <v>33</v>
      </c>
      <c r="C114" s="1">
        <f>YEAR(Tabela14[[#This Row],[DATA]])</f>
        <v>2026</v>
      </c>
      <c r="D114" s="1">
        <f>MONTH(Tabela14[[#This Row],[DATA]])</f>
        <v>2</v>
      </c>
    </row>
    <row r="115" spans="1:4" x14ac:dyDescent="0.35">
      <c r="A115" s="2">
        <v>46073</v>
      </c>
      <c r="B115" s="1" t="s">
        <v>33</v>
      </c>
      <c r="C115" s="1">
        <f>YEAR(Tabela14[[#This Row],[DATA]])</f>
        <v>2026</v>
      </c>
      <c r="D115" s="1">
        <f>MONTH(Tabela14[[#This Row],[DATA]])</f>
        <v>2</v>
      </c>
    </row>
    <row r="116" spans="1:4" x14ac:dyDescent="0.35">
      <c r="A116" s="2">
        <v>46076</v>
      </c>
      <c r="B116" s="1" t="s">
        <v>9</v>
      </c>
      <c r="C116" s="1">
        <f>YEAR(Tabela14[[#This Row],[DATA]])</f>
        <v>2026</v>
      </c>
      <c r="D116" s="1">
        <f>MONTH(Tabela14[[#This Row],[DATA]])</f>
        <v>2</v>
      </c>
    </row>
    <row r="117" spans="1:4" x14ac:dyDescent="0.35">
      <c r="A117" s="2">
        <v>46076</v>
      </c>
      <c r="B117" s="1" t="s">
        <v>9</v>
      </c>
      <c r="C117" s="1">
        <f>YEAR(Tabela14[[#This Row],[DATA]])</f>
        <v>2026</v>
      </c>
      <c r="D117" s="1">
        <f>MONTH(Tabela14[[#This Row],[DATA]])</f>
        <v>2</v>
      </c>
    </row>
    <row r="118" spans="1:4" x14ac:dyDescent="0.35">
      <c r="A118" s="2">
        <v>46076</v>
      </c>
      <c r="B118" s="1" t="s">
        <v>22</v>
      </c>
      <c r="C118" s="1">
        <f>YEAR(Tabela14[[#This Row],[DATA]])</f>
        <v>2026</v>
      </c>
      <c r="D118" s="1">
        <f>MONTH(Tabela14[[#This Row],[DATA]])</f>
        <v>2</v>
      </c>
    </row>
    <row r="119" spans="1:4" x14ac:dyDescent="0.35">
      <c r="A119" s="2">
        <v>46077</v>
      </c>
      <c r="B119" s="1" t="s">
        <v>34</v>
      </c>
      <c r="C119" s="1">
        <f>YEAR(Tabela14[[#This Row],[DATA]])</f>
        <v>2026</v>
      </c>
      <c r="D119" s="1">
        <f>MONTH(Tabela14[[#This Row],[DATA]])</f>
        <v>2</v>
      </c>
    </row>
    <row r="120" spans="1:4" x14ac:dyDescent="0.35">
      <c r="A120" s="2">
        <v>46077</v>
      </c>
      <c r="B120" s="1" t="s">
        <v>34</v>
      </c>
      <c r="C120" s="1">
        <f>YEAR(Tabela14[[#This Row],[DATA]])</f>
        <v>2026</v>
      </c>
      <c r="D120" s="1">
        <f>MONTH(Tabela14[[#This Row],[DATA]])</f>
        <v>2</v>
      </c>
    </row>
    <row r="121" spans="1:4" x14ac:dyDescent="0.35">
      <c r="A121" s="2">
        <v>46077</v>
      </c>
      <c r="B121" s="1" t="s">
        <v>34</v>
      </c>
      <c r="C121" s="1">
        <f>YEAR(Tabela14[[#This Row],[DATA]])</f>
        <v>2026</v>
      </c>
      <c r="D121" s="1">
        <f>MONTH(Tabela14[[#This Row],[DATA]])</f>
        <v>2</v>
      </c>
    </row>
    <row r="122" spans="1:4" x14ac:dyDescent="0.35">
      <c r="A122" s="2">
        <v>46077</v>
      </c>
      <c r="B122" s="1" t="s">
        <v>34</v>
      </c>
      <c r="C122" s="1">
        <f>YEAR(Tabela14[[#This Row],[DATA]])</f>
        <v>2026</v>
      </c>
      <c r="D122" s="1">
        <f>MONTH(Tabela14[[#This Row],[DATA]])</f>
        <v>2</v>
      </c>
    </row>
    <row r="123" spans="1:4" x14ac:dyDescent="0.35">
      <c r="A123" s="2">
        <v>46077</v>
      </c>
      <c r="B123" s="1" t="s">
        <v>34</v>
      </c>
      <c r="C123" s="1">
        <f>YEAR(Tabela14[[#This Row],[DATA]])</f>
        <v>2026</v>
      </c>
      <c r="D123" s="1">
        <f>MONTH(Tabela14[[#This Row],[DATA]])</f>
        <v>2</v>
      </c>
    </row>
    <row r="124" spans="1:4" x14ac:dyDescent="0.35">
      <c r="A124" s="2">
        <v>46077</v>
      </c>
      <c r="B124" s="1" t="s">
        <v>34</v>
      </c>
      <c r="C124" s="1">
        <f>YEAR(Tabela14[[#This Row],[DATA]])</f>
        <v>2026</v>
      </c>
      <c r="D124" s="1">
        <f>MONTH(Tabela14[[#This Row],[DATA]])</f>
        <v>2</v>
      </c>
    </row>
    <row r="125" spans="1:4" x14ac:dyDescent="0.35">
      <c r="A125" s="2">
        <v>46077</v>
      </c>
      <c r="B125" s="1" t="s">
        <v>34</v>
      </c>
      <c r="C125" s="1">
        <f>YEAR(Tabela14[[#This Row],[DATA]])</f>
        <v>2026</v>
      </c>
      <c r="D125" s="1">
        <f>MONTH(Tabela14[[#This Row],[DATA]])</f>
        <v>2</v>
      </c>
    </row>
    <row r="126" spans="1:4" x14ac:dyDescent="0.35">
      <c r="A126" s="2">
        <v>46077</v>
      </c>
      <c r="B126" s="1" t="s">
        <v>22</v>
      </c>
      <c r="C126" s="1">
        <f>YEAR(Tabela14[[#This Row],[DATA]])</f>
        <v>2026</v>
      </c>
      <c r="D126" s="1">
        <f>MONTH(Tabela14[[#This Row],[DATA]])</f>
        <v>2</v>
      </c>
    </row>
    <row r="127" spans="1:4" x14ac:dyDescent="0.35">
      <c r="A127" s="2">
        <v>46077</v>
      </c>
      <c r="B127" s="1" t="s">
        <v>22</v>
      </c>
      <c r="C127" s="1">
        <f>YEAR(Tabela14[[#This Row],[DATA]])</f>
        <v>2026</v>
      </c>
      <c r="D127" s="1">
        <f>MONTH(Tabela14[[#This Row],[DATA]])</f>
        <v>2</v>
      </c>
    </row>
    <row r="128" spans="1:4" x14ac:dyDescent="0.35">
      <c r="A128" s="2">
        <v>46077</v>
      </c>
      <c r="B128" s="1" t="s">
        <v>22</v>
      </c>
      <c r="C128" s="1">
        <f>YEAR(Tabela14[[#This Row],[DATA]])</f>
        <v>2026</v>
      </c>
      <c r="D128" s="1">
        <f>MONTH(Tabela14[[#This Row],[DATA]])</f>
        <v>2</v>
      </c>
    </row>
    <row r="129" spans="1:4" x14ac:dyDescent="0.35">
      <c r="A129" s="2">
        <v>46077</v>
      </c>
      <c r="B129" s="1" t="s">
        <v>22</v>
      </c>
      <c r="C129" s="1">
        <f>YEAR(Tabela14[[#This Row],[DATA]])</f>
        <v>2026</v>
      </c>
      <c r="D129" s="1">
        <f>MONTH(Tabela14[[#This Row],[DATA]])</f>
        <v>2</v>
      </c>
    </row>
    <row r="130" spans="1:4" x14ac:dyDescent="0.35">
      <c r="A130" s="2">
        <v>46077</v>
      </c>
      <c r="B130" s="1" t="s">
        <v>22</v>
      </c>
      <c r="C130" s="1">
        <f>YEAR(Tabela14[[#This Row],[DATA]])</f>
        <v>2026</v>
      </c>
      <c r="D130" s="1">
        <f>MONTH(Tabela14[[#This Row],[DATA]])</f>
        <v>2</v>
      </c>
    </row>
    <row r="131" spans="1:4" x14ac:dyDescent="0.35">
      <c r="A131" s="2">
        <v>46077</v>
      </c>
      <c r="B131" s="1" t="s">
        <v>22</v>
      </c>
      <c r="C131" s="1">
        <f>YEAR(Tabela14[[#This Row],[DATA]])</f>
        <v>2026</v>
      </c>
      <c r="D131" s="1">
        <f>MONTH(Tabela14[[#This Row],[DATA]])</f>
        <v>2</v>
      </c>
    </row>
    <row r="132" spans="1:4" x14ac:dyDescent="0.35">
      <c r="A132" s="2">
        <v>46077</v>
      </c>
      <c r="B132" s="1" t="s">
        <v>22</v>
      </c>
      <c r="C132" s="1">
        <f>YEAR(Tabela14[[#This Row],[DATA]])</f>
        <v>2026</v>
      </c>
      <c r="D132" s="1">
        <f>MONTH(Tabela14[[#This Row],[DATA]])</f>
        <v>2</v>
      </c>
    </row>
    <row r="133" spans="1:4" x14ac:dyDescent="0.35">
      <c r="A133" s="2">
        <v>46077</v>
      </c>
      <c r="B133" s="1" t="s">
        <v>22</v>
      </c>
      <c r="C133" s="1">
        <f>YEAR(Tabela14[[#This Row],[DATA]])</f>
        <v>2026</v>
      </c>
      <c r="D133" s="1">
        <f>MONTH(Tabela14[[#This Row],[DATA]])</f>
        <v>2</v>
      </c>
    </row>
    <row r="134" spans="1:4" x14ac:dyDescent="0.35">
      <c r="A134" s="2">
        <v>46077</v>
      </c>
      <c r="B134" s="1" t="s">
        <v>22</v>
      </c>
      <c r="C134" s="1">
        <f>YEAR(Tabela14[[#This Row],[DATA]])</f>
        <v>2026</v>
      </c>
      <c r="D134" s="1">
        <f>MONTH(Tabela14[[#This Row],[DATA]])</f>
        <v>2</v>
      </c>
    </row>
    <row r="135" spans="1:4" x14ac:dyDescent="0.35">
      <c r="A135" s="2">
        <v>46077</v>
      </c>
      <c r="B135" s="1" t="s">
        <v>9</v>
      </c>
      <c r="C135" s="1">
        <f>YEAR(Tabela14[[#This Row],[DATA]])</f>
        <v>2026</v>
      </c>
      <c r="D135" s="1">
        <f>MONTH(Tabela14[[#This Row],[DATA]])</f>
        <v>2</v>
      </c>
    </row>
    <row r="136" spans="1:4" x14ac:dyDescent="0.35">
      <c r="A136" s="2">
        <v>46077</v>
      </c>
      <c r="B136" s="1" t="s">
        <v>9</v>
      </c>
      <c r="C136" s="1">
        <f>YEAR(Tabela14[[#This Row],[DATA]])</f>
        <v>2026</v>
      </c>
      <c r="D136" s="1">
        <f>MONTH(Tabela14[[#This Row],[DATA]])</f>
        <v>2</v>
      </c>
    </row>
    <row r="137" spans="1:4" x14ac:dyDescent="0.35">
      <c r="A137" s="2">
        <v>46077</v>
      </c>
      <c r="B137" s="1" t="s">
        <v>9</v>
      </c>
      <c r="C137" s="1">
        <f>YEAR(Tabela14[[#This Row],[DATA]])</f>
        <v>2026</v>
      </c>
      <c r="D137" s="1">
        <f>MONTH(Tabela14[[#This Row],[DATA]])</f>
        <v>2</v>
      </c>
    </row>
    <row r="138" spans="1:4" x14ac:dyDescent="0.35">
      <c r="A138" s="2">
        <v>46077</v>
      </c>
      <c r="B138" s="1" t="s">
        <v>22</v>
      </c>
      <c r="C138" s="1">
        <f>YEAR(Tabela14[[#This Row],[DATA]])</f>
        <v>2026</v>
      </c>
      <c r="D138" s="1">
        <f>MONTH(Tabela14[[#This Row],[DATA]])</f>
        <v>2</v>
      </c>
    </row>
    <row r="139" spans="1:4" x14ac:dyDescent="0.35">
      <c r="A139" s="2">
        <v>46077</v>
      </c>
      <c r="B139" s="1" t="s">
        <v>9</v>
      </c>
      <c r="C139" s="1">
        <f>YEAR(Tabela14[[#This Row],[DATA]])</f>
        <v>2026</v>
      </c>
      <c r="D139" s="1">
        <f>MONTH(Tabela14[[#This Row],[DATA]])</f>
        <v>2</v>
      </c>
    </row>
    <row r="140" spans="1:4" x14ac:dyDescent="0.35">
      <c r="A140" s="2">
        <v>46077</v>
      </c>
      <c r="B140" s="1" t="s">
        <v>34</v>
      </c>
      <c r="C140" s="1">
        <f>YEAR(Tabela14[[#This Row],[DATA]])</f>
        <v>2026</v>
      </c>
      <c r="D140" s="1">
        <f>MONTH(Tabela14[[#This Row],[DATA]])</f>
        <v>2</v>
      </c>
    </row>
    <row r="141" spans="1:4" x14ac:dyDescent="0.35">
      <c r="A141" s="2">
        <v>46077</v>
      </c>
      <c r="B141" s="1" t="s">
        <v>34</v>
      </c>
      <c r="C141" s="1">
        <f>YEAR(Tabela14[[#This Row],[DATA]])</f>
        <v>2026</v>
      </c>
      <c r="D141" s="1">
        <f>MONTH(Tabela14[[#This Row],[DATA]])</f>
        <v>2</v>
      </c>
    </row>
    <row r="142" spans="1:4" x14ac:dyDescent="0.35">
      <c r="A142" s="2">
        <v>46083</v>
      </c>
      <c r="B142" s="1" t="s">
        <v>9</v>
      </c>
      <c r="C142" s="1">
        <f>YEAR(Tabela14[[#This Row],[DATA]])</f>
        <v>2026</v>
      </c>
      <c r="D142" s="1">
        <f>MONTH(Tabela14[[#This Row],[DATA]])</f>
        <v>3</v>
      </c>
    </row>
    <row r="143" spans="1:4" x14ac:dyDescent="0.35">
      <c r="A143" s="2">
        <v>46083</v>
      </c>
      <c r="B143" s="1" t="s">
        <v>9</v>
      </c>
      <c r="C143" s="1">
        <f>YEAR(Tabela14[[#This Row],[DATA]])</f>
        <v>2026</v>
      </c>
      <c r="D143" s="1">
        <f>MONTH(Tabela14[[#This Row],[DATA]])</f>
        <v>3</v>
      </c>
    </row>
    <row r="144" spans="1:4" x14ac:dyDescent="0.35">
      <c r="A144" s="2">
        <v>46083</v>
      </c>
      <c r="B144" s="1" t="s">
        <v>9</v>
      </c>
      <c r="C144" s="1">
        <f>YEAR(Tabela14[[#This Row],[DATA]])</f>
        <v>2026</v>
      </c>
      <c r="D144" s="1">
        <f>MONTH(Tabela14[[#This Row],[DATA]])</f>
        <v>3</v>
      </c>
    </row>
    <row r="145" spans="1:4" x14ac:dyDescent="0.35">
      <c r="A145" s="2">
        <v>46083</v>
      </c>
      <c r="B145" s="1" t="s">
        <v>9</v>
      </c>
      <c r="C145" s="1">
        <f>YEAR(Tabela14[[#This Row],[DATA]])</f>
        <v>2026</v>
      </c>
      <c r="D145" s="1">
        <f>MONTH(Tabela14[[#This Row],[DATA]])</f>
        <v>3</v>
      </c>
    </row>
    <row r="146" spans="1:4" x14ac:dyDescent="0.35">
      <c r="A146" s="2">
        <v>46083</v>
      </c>
      <c r="B146" s="1" t="s">
        <v>33</v>
      </c>
      <c r="C146" s="1">
        <f>YEAR(Tabela14[[#This Row],[DATA]])</f>
        <v>2026</v>
      </c>
      <c r="D146" s="1">
        <f>MONTH(Tabela14[[#This Row],[DATA]])</f>
        <v>3</v>
      </c>
    </row>
    <row r="147" spans="1:4" x14ac:dyDescent="0.35">
      <c r="A147" s="2">
        <v>46083</v>
      </c>
      <c r="B147" s="1" t="s">
        <v>33</v>
      </c>
      <c r="C147" s="1">
        <f>YEAR(Tabela14[[#This Row],[DATA]])</f>
        <v>2026</v>
      </c>
      <c r="D147" s="1">
        <f>MONTH(Tabela14[[#This Row],[DATA]])</f>
        <v>3</v>
      </c>
    </row>
    <row r="148" spans="1:4" x14ac:dyDescent="0.35">
      <c r="A148" s="2">
        <v>46083</v>
      </c>
      <c r="B148" s="1" t="s">
        <v>33</v>
      </c>
      <c r="C148" s="1">
        <f>YEAR(Tabela14[[#This Row],[DATA]])</f>
        <v>2026</v>
      </c>
      <c r="D148" s="1">
        <f>MONTH(Tabela14[[#This Row],[DATA]])</f>
        <v>3</v>
      </c>
    </row>
    <row r="149" spans="1:4" x14ac:dyDescent="0.35">
      <c r="A149" s="2">
        <v>46083</v>
      </c>
      <c r="B149" s="1" t="s">
        <v>33</v>
      </c>
      <c r="C149" s="1">
        <f>YEAR(Tabela14[[#This Row],[DATA]])</f>
        <v>2026</v>
      </c>
      <c r="D149" s="1">
        <f>MONTH(Tabela14[[#This Row],[DATA]])</f>
        <v>3</v>
      </c>
    </row>
    <row r="150" spans="1:4" x14ac:dyDescent="0.35">
      <c r="A150" s="2">
        <v>46083</v>
      </c>
      <c r="B150" s="1" t="s">
        <v>33</v>
      </c>
      <c r="C150" s="1">
        <f>YEAR(Tabela14[[#This Row],[DATA]])</f>
        <v>2026</v>
      </c>
      <c r="D150" s="1">
        <f>MONTH(Tabela14[[#This Row],[DATA]])</f>
        <v>3</v>
      </c>
    </row>
    <row r="151" spans="1:4" x14ac:dyDescent="0.35">
      <c r="A151" s="2">
        <v>46083</v>
      </c>
      <c r="B151" s="1" t="s">
        <v>9</v>
      </c>
      <c r="C151" s="1">
        <f>YEAR(Tabela14[[#This Row],[DATA]])</f>
        <v>2026</v>
      </c>
      <c r="D151" s="1">
        <f>MONTH(Tabela14[[#This Row],[DATA]])</f>
        <v>3</v>
      </c>
    </row>
    <row r="152" spans="1:4" x14ac:dyDescent="0.35">
      <c r="A152" s="2">
        <v>46083</v>
      </c>
      <c r="B152" s="1" t="s">
        <v>9</v>
      </c>
      <c r="C152" s="1">
        <f>YEAR(Tabela14[[#This Row],[DATA]])</f>
        <v>2026</v>
      </c>
      <c r="D152" s="1">
        <f>MONTH(Tabela14[[#This Row],[DATA]])</f>
        <v>3</v>
      </c>
    </row>
    <row r="153" spans="1:4" x14ac:dyDescent="0.35">
      <c r="A153" s="2">
        <v>46084</v>
      </c>
      <c r="B153" s="1" t="s">
        <v>9</v>
      </c>
      <c r="C153" s="1">
        <f>YEAR(Tabela14[[#This Row],[DATA]])</f>
        <v>2026</v>
      </c>
      <c r="D153" s="1">
        <f>MONTH(Tabela14[[#This Row],[DATA]])</f>
        <v>3</v>
      </c>
    </row>
    <row r="154" spans="1:4" x14ac:dyDescent="0.35">
      <c r="A154" s="2">
        <v>46084</v>
      </c>
      <c r="B154" s="1" t="s">
        <v>9</v>
      </c>
      <c r="C154" s="1">
        <f>YEAR(Tabela14[[#This Row],[DATA]])</f>
        <v>2026</v>
      </c>
      <c r="D154" s="1">
        <f>MONTH(Tabela14[[#This Row],[DATA]])</f>
        <v>3</v>
      </c>
    </row>
    <row r="155" spans="1:4" x14ac:dyDescent="0.35">
      <c r="A155" s="2">
        <v>46084</v>
      </c>
      <c r="B155" s="1" t="s">
        <v>33</v>
      </c>
      <c r="C155" s="1">
        <f>YEAR(Tabela14[[#This Row],[DATA]])</f>
        <v>2026</v>
      </c>
      <c r="D155" s="1">
        <f>MONTH(Tabela14[[#This Row],[DATA]])</f>
        <v>3</v>
      </c>
    </row>
    <row r="156" spans="1:4" x14ac:dyDescent="0.35">
      <c r="A156" s="2">
        <v>46084</v>
      </c>
      <c r="B156" s="1" t="s">
        <v>33</v>
      </c>
      <c r="C156" s="1">
        <f>YEAR(Tabela14[[#This Row],[DATA]])</f>
        <v>2026</v>
      </c>
      <c r="D156" s="1">
        <f>MONTH(Tabela14[[#This Row],[DATA]])</f>
        <v>3</v>
      </c>
    </row>
    <row r="157" spans="1:4" x14ac:dyDescent="0.35">
      <c r="A157" s="2">
        <v>46085</v>
      </c>
      <c r="B157" s="1" t="s">
        <v>83</v>
      </c>
      <c r="C157" s="1">
        <f>YEAR(Tabela14[[#This Row],[DATA]])</f>
        <v>2026</v>
      </c>
      <c r="D157" s="1">
        <f>MONTH(Tabela14[[#This Row],[DATA]])</f>
        <v>3</v>
      </c>
    </row>
    <row r="158" spans="1:4" x14ac:dyDescent="0.35">
      <c r="A158" s="2">
        <v>46086</v>
      </c>
      <c r="B158" s="1" t="s">
        <v>9</v>
      </c>
      <c r="C158" s="1">
        <f>YEAR(Tabela14[[#This Row],[DATA]])</f>
        <v>2026</v>
      </c>
      <c r="D158" s="1">
        <f>MONTH(Tabela14[[#This Row],[DATA]])</f>
        <v>3</v>
      </c>
    </row>
    <row r="159" spans="1:4" x14ac:dyDescent="0.35">
      <c r="A159" s="2">
        <v>46086</v>
      </c>
      <c r="B159" s="1" t="s">
        <v>9</v>
      </c>
      <c r="C159" s="1">
        <f>YEAR(Tabela14[[#This Row],[DATA]])</f>
        <v>2026</v>
      </c>
      <c r="D159" s="1">
        <f>MONTH(Tabela14[[#This Row],[DATA]])</f>
        <v>3</v>
      </c>
    </row>
    <row r="160" spans="1:4" x14ac:dyDescent="0.35">
      <c r="A160" s="2">
        <v>46086</v>
      </c>
      <c r="B160" s="1" t="s">
        <v>9</v>
      </c>
      <c r="C160" s="1">
        <f>YEAR(Tabela14[[#This Row],[DATA]])</f>
        <v>2026</v>
      </c>
      <c r="D160" s="1">
        <f>MONTH(Tabela14[[#This Row],[DATA]])</f>
        <v>3</v>
      </c>
    </row>
    <row r="161" spans="1:4" x14ac:dyDescent="0.35">
      <c r="A161" s="2">
        <v>46086</v>
      </c>
      <c r="B161" s="1" t="s">
        <v>9</v>
      </c>
      <c r="C161" s="1">
        <f>YEAR(Tabela14[[#This Row],[DATA]])</f>
        <v>2026</v>
      </c>
      <c r="D161" s="1">
        <f>MONTH(Tabela14[[#This Row],[DATA]])</f>
        <v>3</v>
      </c>
    </row>
    <row r="162" spans="1:4" x14ac:dyDescent="0.35">
      <c r="A162" s="2">
        <v>46086</v>
      </c>
      <c r="B162" s="1" t="s">
        <v>33</v>
      </c>
      <c r="C162" s="1">
        <f>YEAR(Tabela14[[#This Row],[DATA]])</f>
        <v>2026</v>
      </c>
      <c r="D162" s="1">
        <f>MONTH(Tabela14[[#This Row],[DATA]])</f>
        <v>3</v>
      </c>
    </row>
    <row r="163" spans="1:4" x14ac:dyDescent="0.35">
      <c r="A163" s="2">
        <v>46086</v>
      </c>
      <c r="B163" s="1" t="s">
        <v>33</v>
      </c>
      <c r="C163" s="1">
        <f>YEAR(Tabela14[[#This Row],[DATA]])</f>
        <v>2026</v>
      </c>
      <c r="D163" s="1">
        <f>MONTH(Tabela14[[#This Row],[DATA]])</f>
        <v>3</v>
      </c>
    </row>
    <row r="164" spans="1:4" x14ac:dyDescent="0.35">
      <c r="A164" s="2">
        <v>46086</v>
      </c>
      <c r="B164" s="1" t="s">
        <v>33</v>
      </c>
      <c r="C164" s="1">
        <f>YEAR(Tabela14[[#This Row],[DATA]])</f>
        <v>2026</v>
      </c>
      <c r="D164" s="1">
        <f>MONTH(Tabela14[[#This Row],[DATA]])</f>
        <v>3</v>
      </c>
    </row>
    <row r="165" spans="1:4" x14ac:dyDescent="0.35">
      <c r="A165" s="2">
        <v>46086</v>
      </c>
      <c r="B165" s="1" t="s">
        <v>33</v>
      </c>
      <c r="C165" s="1">
        <f>YEAR(Tabela14[[#This Row],[DATA]])</f>
        <v>2026</v>
      </c>
      <c r="D165" s="1">
        <f>MONTH(Tabela14[[#This Row],[DATA]])</f>
        <v>3</v>
      </c>
    </row>
    <row r="166" spans="1:4" x14ac:dyDescent="0.35">
      <c r="A166" s="2">
        <v>46086</v>
      </c>
      <c r="B166" s="1" t="s">
        <v>9</v>
      </c>
      <c r="C166" s="1">
        <f>YEAR(Tabela14[[#This Row],[DATA]])</f>
        <v>2026</v>
      </c>
      <c r="D166" s="1">
        <f>MONTH(Tabela14[[#This Row],[DATA]])</f>
        <v>3</v>
      </c>
    </row>
    <row r="167" spans="1:4" x14ac:dyDescent="0.35">
      <c r="A167" s="2">
        <v>46086</v>
      </c>
      <c r="B167" s="1" t="s">
        <v>83</v>
      </c>
      <c r="C167" s="1">
        <f>YEAR(Tabela14[[#This Row],[DATA]])</f>
        <v>2026</v>
      </c>
      <c r="D167" s="1">
        <f>MONTH(Tabela14[[#This Row],[DATA]])</f>
        <v>3</v>
      </c>
    </row>
    <row r="168" spans="1:4" x14ac:dyDescent="0.35">
      <c r="A168" s="2">
        <v>46086</v>
      </c>
      <c r="B168" s="1" t="s">
        <v>22</v>
      </c>
      <c r="C168" s="1">
        <f>YEAR(Tabela14[[#This Row],[DATA]])</f>
        <v>2026</v>
      </c>
      <c r="D168" s="1">
        <f>MONTH(Tabela14[[#This Row],[DATA]])</f>
        <v>3</v>
      </c>
    </row>
    <row r="169" spans="1:4" x14ac:dyDescent="0.35">
      <c r="A169" s="2">
        <v>46086</v>
      </c>
      <c r="B169" s="1" t="s">
        <v>22</v>
      </c>
      <c r="C169" s="1">
        <f>YEAR(Tabela14[[#This Row],[DATA]])</f>
        <v>2026</v>
      </c>
      <c r="D169" s="1">
        <f>MONTH(Tabela14[[#This Row],[DATA]])</f>
        <v>3</v>
      </c>
    </row>
    <row r="170" spans="1:4" x14ac:dyDescent="0.35">
      <c r="A170" s="2">
        <v>46086</v>
      </c>
      <c r="B170" s="1" t="s">
        <v>22</v>
      </c>
      <c r="C170" s="1">
        <f>YEAR(Tabela14[[#This Row],[DATA]])</f>
        <v>2026</v>
      </c>
      <c r="D170" s="1">
        <f>MONTH(Tabela14[[#This Row],[DATA]])</f>
        <v>3</v>
      </c>
    </row>
    <row r="171" spans="1:4" x14ac:dyDescent="0.35">
      <c r="A171" s="2">
        <v>46086</v>
      </c>
      <c r="B171" s="1" t="s">
        <v>22</v>
      </c>
      <c r="C171" s="1">
        <f>YEAR(Tabela14[[#This Row],[DATA]])</f>
        <v>2026</v>
      </c>
      <c r="D171" s="1">
        <f>MONTH(Tabela14[[#This Row],[DATA]])</f>
        <v>3</v>
      </c>
    </row>
    <row r="172" spans="1:4" x14ac:dyDescent="0.35">
      <c r="A172" s="2">
        <v>46086</v>
      </c>
      <c r="B172" s="1" t="s">
        <v>83</v>
      </c>
      <c r="C172" s="1">
        <f>YEAR(Tabela14[[#This Row],[DATA]])</f>
        <v>2026</v>
      </c>
      <c r="D172" s="1">
        <f>MONTH(Tabela14[[#This Row],[DATA]])</f>
        <v>3</v>
      </c>
    </row>
    <row r="173" spans="1:4" x14ac:dyDescent="0.35">
      <c r="A173" s="2">
        <v>46086</v>
      </c>
      <c r="B173" s="1" t="s">
        <v>83</v>
      </c>
      <c r="C173" s="1">
        <f>YEAR(Tabela14[[#This Row],[DATA]])</f>
        <v>2026</v>
      </c>
      <c r="D173" s="1">
        <f>MONTH(Tabela14[[#This Row],[DATA]])</f>
        <v>3</v>
      </c>
    </row>
    <row r="174" spans="1:4" x14ac:dyDescent="0.35">
      <c r="A174" s="2">
        <v>46086</v>
      </c>
      <c r="B174" s="1" t="s">
        <v>83</v>
      </c>
      <c r="C174" s="1">
        <f>YEAR(Tabela14[[#This Row],[DATA]])</f>
        <v>2026</v>
      </c>
      <c r="D174" s="1">
        <f>MONTH(Tabela14[[#This Row],[DATA]])</f>
        <v>3</v>
      </c>
    </row>
    <row r="175" spans="1:4" x14ac:dyDescent="0.35">
      <c r="A175" s="2">
        <v>46086</v>
      </c>
      <c r="B175" s="1" t="s">
        <v>22</v>
      </c>
      <c r="C175" s="1">
        <f>YEAR(Tabela14[[#This Row],[DATA]])</f>
        <v>2026</v>
      </c>
      <c r="D175" s="1">
        <f>MONTH(Tabela14[[#This Row],[DATA]])</f>
        <v>3</v>
      </c>
    </row>
    <row r="176" spans="1:4" x14ac:dyDescent="0.35">
      <c r="A176" s="2">
        <v>46086</v>
      </c>
      <c r="B176" s="1" t="s">
        <v>22</v>
      </c>
      <c r="C176" s="1">
        <f>YEAR(Tabela14[[#This Row],[DATA]])</f>
        <v>2026</v>
      </c>
      <c r="D176" s="1">
        <f>MONTH(Tabela14[[#This Row],[DATA]])</f>
        <v>3</v>
      </c>
    </row>
    <row r="177" spans="1:4" x14ac:dyDescent="0.35">
      <c r="A177" s="2">
        <v>46086</v>
      </c>
      <c r="B177" s="1" t="s">
        <v>22</v>
      </c>
      <c r="C177" s="1">
        <f>YEAR(Tabela14[[#This Row],[DATA]])</f>
        <v>2026</v>
      </c>
      <c r="D177" s="1">
        <f>MONTH(Tabela14[[#This Row],[DATA]])</f>
        <v>3</v>
      </c>
    </row>
    <row r="178" spans="1:4" x14ac:dyDescent="0.35">
      <c r="A178" s="2">
        <v>46086</v>
      </c>
      <c r="B178" s="1" t="s">
        <v>24</v>
      </c>
      <c r="C178" s="1">
        <f>YEAR(Tabela14[[#This Row],[DATA]])</f>
        <v>2026</v>
      </c>
      <c r="D178" s="1">
        <f>MONTH(Tabela14[[#This Row],[DATA]])</f>
        <v>3</v>
      </c>
    </row>
    <row r="179" spans="1:4" x14ac:dyDescent="0.35">
      <c r="A179" s="2">
        <v>46087</v>
      </c>
      <c r="B179" s="1" t="s">
        <v>28</v>
      </c>
      <c r="C179" s="1">
        <f>YEAR(Tabela14[[#This Row],[DATA]])</f>
        <v>2026</v>
      </c>
      <c r="D179" s="1">
        <f>MONTH(Tabela14[[#This Row],[DATA]])</f>
        <v>3</v>
      </c>
    </row>
    <row r="180" spans="1:4" x14ac:dyDescent="0.35">
      <c r="A180" s="2">
        <v>46087</v>
      </c>
      <c r="B180" s="1" t="s">
        <v>28</v>
      </c>
      <c r="C180" s="1">
        <f>YEAR(Tabela14[[#This Row],[DATA]])</f>
        <v>2026</v>
      </c>
      <c r="D180" s="1">
        <f>MONTH(Tabela14[[#This Row],[DATA]])</f>
        <v>3</v>
      </c>
    </row>
    <row r="181" spans="1:4" x14ac:dyDescent="0.35">
      <c r="A181" s="2">
        <v>46087</v>
      </c>
      <c r="B181" s="1" t="s">
        <v>28</v>
      </c>
      <c r="C181" s="1">
        <f>YEAR(Tabela14[[#This Row],[DATA]])</f>
        <v>2026</v>
      </c>
      <c r="D181" s="1">
        <f>MONTH(Tabela14[[#This Row],[DATA]])</f>
        <v>3</v>
      </c>
    </row>
    <row r="182" spans="1:4" x14ac:dyDescent="0.35">
      <c r="A182" s="2">
        <v>46087</v>
      </c>
      <c r="B182" s="1" t="s">
        <v>5</v>
      </c>
      <c r="C182" s="1">
        <f>YEAR(Tabela14[[#This Row],[DATA]])</f>
        <v>2026</v>
      </c>
      <c r="D182" s="1">
        <f>MONTH(Tabela14[[#This Row],[DATA]])</f>
        <v>3</v>
      </c>
    </row>
    <row r="183" spans="1:4" x14ac:dyDescent="0.35">
      <c r="A183" s="2">
        <v>46091</v>
      </c>
      <c r="B183" s="1" t="s">
        <v>5</v>
      </c>
      <c r="C183" s="1">
        <f>YEAR(Tabela14[[#This Row],[DATA]])</f>
        <v>2026</v>
      </c>
      <c r="D183" s="1">
        <f>MONTH(Tabela14[[#This Row],[DATA]])</f>
        <v>3</v>
      </c>
    </row>
    <row r="184" spans="1:4" x14ac:dyDescent="0.35">
      <c r="A184" s="2">
        <v>46091</v>
      </c>
      <c r="B184" s="1" t="s">
        <v>5</v>
      </c>
      <c r="C184" s="1">
        <f>YEAR(Tabela14[[#This Row],[DATA]])</f>
        <v>2026</v>
      </c>
      <c r="D184" s="1">
        <f>MONTH(Tabela14[[#This Row],[DATA]])</f>
        <v>3</v>
      </c>
    </row>
    <row r="185" spans="1:4" x14ac:dyDescent="0.35">
      <c r="A185" s="2">
        <v>46091</v>
      </c>
      <c r="B185" s="1" t="s">
        <v>5</v>
      </c>
      <c r="C185" s="1">
        <f>YEAR(Tabela14[[#This Row],[DATA]])</f>
        <v>2026</v>
      </c>
      <c r="D185" s="1">
        <f>MONTH(Tabela14[[#This Row],[DATA]])</f>
        <v>3</v>
      </c>
    </row>
    <row r="186" spans="1:4" x14ac:dyDescent="0.35">
      <c r="A186" s="2">
        <v>46091</v>
      </c>
      <c r="B186" s="1" t="s">
        <v>5</v>
      </c>
      <c r="C186" s="1">
        <f>YEAR(Tabela14[[#This Row],[DATA]])</f>
        <v>2026</v>
      </c>
      <c r="D186" s="1">
        <f>MONTH(Tabela14[[#This Row],[DATA]])</f>
        <v>3</v>
      </c>
    </row>
    <row r="187" spans="1:4" x14ac:dyDescent="0.35">
      <c r="A187" s="2">
        <v>46092</v>
      </c>
      <c r="B187" s="1" t="s">
        <v>22</v>
      </c>
      <c r="C187" s="1">
        <f>YEAR(Tabela14[[#This Row],[DATA]])</f>
        <v>2026</v>
      </c>
      <c r="D187" s="1">
        <f>MONTH(Tabela14[[#This Row],[DATA]])</f>
        <v>3</v>
      </c>
    </row>
    <row r="188" spans="1:4" x14ac:dyDescent="0.35">
      <c r="A188" s="2">
        <v>46092</v>
      </c>
      <c r="B188" s="1" t="s">
        <v>22</v>
      </c>
      <c r="C188" s="1">
        <f>YEAR(Tabela14[[#This Row],[DATA]])</f>
        <v>2026</v>
      </c>
      <c r="D188" s="1">
        <f>MONTH(Tabela14[[#This Row],[DATA]])</f>
        <v>3</v>
      </c>
    </row>
    <row r="189" spans="1:4" x14ac:dyDescent="0.35">
      <c r="A189" s="2">
        <v>46092</v>
      </c>
      <c r="B189" s="1" t="s">
        <v>22</v>
      </c>
      <c r="C189" s="1">
        <f>YEAR(Tabela14[[#This Row],[DATA]])</f>
        <v>2026</v>
      </c>
      <c r="D189" s="1">
        <f>MONTH(Tabela14[[#This Row],[DATA]])</f>
        <v>3</v>
      </c>
    </row>
    <row r="190" spans="1:4" x14ac:dyDescent="0.35">
      <c r="A190" s="2">
        <v>46092</v>
      </c>
      <c r="B190" s="1" t="s">
        <v>22</v>
      </c>
      <c r="C190" s="1">
        <f>YEAR(Tabela14[[#This Row],[DATA]])</f>
        <v>2026</v>
      </c>
      <c r="D190" s="1">
        <f>MONTH(Tabela14[[#This Row],[DATA]])</f>
        <v>3</v>
      </c>
    </row>
    <row r="191" spans="1:4" x14ac:dyDescent="0.35">
      <c r="A191" s="2">
        <v>46092</v>
      </c>
      <c r="B191" s="1" t="s">
        <v>22</v>
      </c>
      <c r="C191" s="1">
        <f>YEAR(Tabela14[[#This Row],[DATA]])</f>
        <v>2026</v>
      </c>
      <c r="D191" s="1">
        <f>MONTH(Tabela14[[#This Row],[DATA]])</f>
        <v>3</v>
      </c>
    </row>
    <row r="192" spans="1:4" x14ac:dyDescent="0.35">
      <c r="A192" s="2">
        <v>46092</v>
      </c>
      <c r="B192" s="1" t="s">
        <v>22</v>
      </c>
      <c r="C192" s="1">
        <f>YEAR(Tabela14[[#This Row],[DATA]])</f>
        <v>2026</v>
      </c>
      <c r="D192" s="1">
        <f>MONTH(Tabela14[[#This Row],[DATA]])</f>
        <v>3</v>
      </c>
    </row>
    <row r="193" spans="1:4" x14ac:dyDescent="0.35">
      <c r="A193" s="2">
        <v>46092</v>
      </c>
      <c r="B193" s="1" t="s">
        <v>22</v>
      </c>
      <c r="C193" s="1">
        <f>YEAR(Tabela14[[#This Row],[DATA]])</f>
        <v>2026</v>
      </c>
      <c r="D193" s="1">
        <f>MONTH(Tabela14[[#This Row],[DATA]])</f>
        <v>3</v>
      </c>
    </row>
    <row r="194" spans="1:4" x14ac:dyDescent="0.35">
      <c r="A194" s="2">
        <v>46092</v>
      </c>
      <c r="B194" s="1" t="s">
        <v>22</v>
      </c>
      <c r="C194" s="1">
        <f>YEAR(Tabela14[[#This Row],[DATA]])</f>
        <v>2026</v>
      </c>
      <c r="D194" s="1">
        <f>MONTH(Tabela14[[#This Row],[DATA]])</f>
        <v>3</v>
      </c>
    </row>
    <row r="195" spans="1:4" x14ac:dyDescent="0.35">
      <c r="A195" s="2">
        <v>46092</v>
      </c>
      <c r="B195" s="1" t="s">
        <v>22</v>
      </c>
      <c r="C195" s="1">
        <f>YEAR(Tabela14[[#This Row],[DATA]])</f>
        <v>2026</v>
      </c>
      <c r="D195" s="1">
        <f>MONTH(Tabela14[[#This Row],[DATA]])</f>
        <v>3</v>
      </c>
    </row>
    <row r="196" spans="1:4" x14ac:dyDescent="0.35">
      <c r="A196" s="2">
        <v>46092</v>
      </c>
      <c r="B196" s="1" t="s">
        <v>22</v>
      </c>
      <c r="C196" s="1">
        <f>YEAR(Tabela14[[#This Row],[DATA]])</f>
        <v>2026</v>
      </c>
      <c r="D196" s="1">
        <f>MONTH(Tabela14[[#This Row],[DATA]])</f>
        <v>3</v>
      </c>
    </row>
    <row r="197" spans="1:4" x14ac:dyDescent="0.35">
      <c r="A197" s="2">
        <v>46092</v>
      </c>
      <c r="B197" s="1" t="s">
        <v>22</v>
      </c>
      <c r="C197" s="1">
        <f>YEAR(Tabela14[[#This Row],[DATA]])</f>
        <v>2026</v>
      </c>
      <c r="D197" s="1">
        <f>MONTH(Tabela14[[#This Row],[DATA]])</f>
        <v>3</v>
      </c>
    </row>
    <row r="198" spans="1:4" x14ac:dyDescent="0.35">
      <c r="A198" s="2">
        <v>46092</v>
      </c>
      <c r="B198" s="1" t="s">
        <v>22</v>
      </c>
      <c r="C198" s="1">
        <f>YEAR(Tabela14[[#This Row],[DATA]])</f>
        <v>2026</v>
      </c>
      <c r="D198" s="1">
        <f>MONTH(Tabela14[[#This Row],[DATA]])</f>
        <v>3</v>
      </c>
    </row>
    <row r="199" spans="1:4" x14ac:dyDescent="0.35">
      <c r="A199" s="2">
        <v>46092</v>
      </c>
      <c r="B199" s="1" t="s">
        <v>22</v>
      </c>
      <c r="C199" s="1">
        <f>YEAR(Tabela14[[#This Row],[DATA]])</f>
        <v>2026</v>
      </c>
      <c r="D199" s="1">
        <f>MONTH(Tabela14[[#This Row],[DATA]])</f>
        <v>3</v>
      </c>
    </row>
    <row r="200" spans="1:4" x14ac:dyDescent="0.35">
      <c r="A200" s="2">
        <v>46092</v>
      </c>
      <c r="B200" s="1" t="s">
        <v>22</v>
      </c>
      <c r="C200" s="1">
        <f>YEAR(Tabela14[[#This Row],[DATA]])</f>
        <v>2026</v>
      </c>
      <c r="D200" s="1">
        <f>MONTH(Tabela14[[#This Row],[DATA]])</f>
        <v>3</v>
      </c>
    </row>
    <row r="201" spans="1:4" x14ac:dyDescent="0.35">
      <c r="A201" s="2">
        <v>46092</v>
      </c>
      <c r="B201" s="1" t="s">
        <v>22</v>
      </c>
      <c r="C201" s="1">
        <f>YEAR(Tabela14[[#This Row],[DATA]])</f>
        <v>2026</v>
      </c>
      <c r="D201" s="1">
        <f>MONTH(Tabela14[[#This Row],[DATA]])</f>
        <v>3</v>
      </c>
    </row>
    <row r="202" spans="1:4" x14ac:dyDescent="0.35">
      <c r="A202" s="2">
        <v>46092</v>
      </c>
      <c r="B202" s="1" t="s">
        <v>22</v>
      </c>
      <c r="C202" s="1">
        <f>YEAR(Tabela14[[#This Row],[DATA]])</f>
        <v>2026</v>
      </c>
      <c r="D202" s="1">
        <f>MONTH(Tabela14[[#This Row],[DATA]])</f>
        <v>3</v>
      </c>
    </row>
    <row r="203" spans="1:4" x14ac:dyDescent="0.35">
      <c r="A203" s="2">
        <v>46092</v>
      </c>
      <c r="B203" s="1" t="s">
        <v>22</v>
      </c>
      <c r="C203" s="1">
        <f>YEAR(Tabela14[[#This Row],[DATA]])</f>
        <v>2026</v>
      </c>
      <c r="D203" s="1">
        <f>MONTH(Tabela14[[#This Row],[DATA]])</f>
        <v>3</v>
      </c>
    </row>
    <row r="204" spans="1:4" x14ac:dyDescent="0.35">
      <c r="A204" s="2">
        <v>46092</v>
      </c>
      <c r="B204" s="1" t="s">
        <v>33</v>
      </c>
      <c r="C204" s="1">
        <f>YEAR(Tabela14[[#This Row],[DATA]])</f>
        <v>2026</v>
      </c>
      <c r="D204" s="1">
        <f>MONTH(Tabela14[[#This Row],[DATA]])</f>
        <v>3</v>
      </c>
    </row>
    <row r="205" spans="1:4" x14ac:dyDescent="0.35">
      <c r="A205" s="2">
        <v>46092</v>
      </c>
      <c r="B205" s="1" t="s">
        <v>33</v>
      </c>
      <c r="C205" s="1">
        <f>YEAR(Tabela14[[#This Row],[DATA]])</f>
        <v>2026</v>
      </c>
      <c r="D205" s="1">
        <f>MONTH(Tabela14[[#This Row],[DATA]])</f>
        <v>3</v>
      </c>
    </row>
    <row r="206" spans="1:4" x14ac:dyDescent="0.35">
      <c r="A206" s="2">
        <v>46092</v>
      </c>
      <c r="B206" s="1" t="s">
        <v>33</v>
      </c>
      <c r="C206" s="1">
        <f>YEAR(Tabela14[[#This Row],[DATA]])</f>
        <v>2026</v>
      </c>
      <c r="D206" s="1">
        <f>MONTH(Tabela14[[#This Row],[DATA]])</f>
        <v>3</v>
      </c>
    </row>
    <row r="207" spans="1:4" x14ac:dyDescent="0.35">
      <c r="A207" s="2">
        <v>46093</v>
      </c>
      <c r="B207" s="1" t="s">
        <v>24</v>
      </c>
      <c r="C207" s="1">
        <f>YEAR(Tabela14[[#This Row],[DATA]])</f>
        <v>2026</v>
      </c>
      <c r="D207" s="1">
        <f>MONTH(Tabela14[[#This Row],[DATA]])</f>
        <v>3</v>
      </c>
    </row>
    <row r="208" spans="1:4" x14ac:dyDescent="0.35">
      <c r="A208" s="2">
        <v>46093</v>
      </c>
      <c r="B208" s="1" t="s">
        <v>24</v>
      </c>
      <c r="C208" s="1">
        <f>YEAR(Tabela14[[#This Row],[DATA]])</f>
        <v>2026</v>
      </c>
      <c r="D208" s="1">
        <f>MONTH(Tabela14[[#This Row],[DATA]])</f>
        <v>3</v>
      </c>
    </row>
    <row r="209" spans="1:4" x14ac:dyDescent="0.35">
      <c r="A209" s="2">
        <v>46093</v>
      </c>
      <c r="B209" s="1" t="s">
        <v>24</v>
      </c>
      <c r="C209" s="1">
        <f>YEAR(Tabela14[[#This Row],[DATA]])</f>
        <v>2026</v>
      </c>
      <c r="D209" s="1">
        <f>MONTH(Tabela14[[#This Row],[DATA]])</f>
        <v>3</v>
      </c>
    </row>
    <row r="210" spans="1:4" x14ac:dyDescent="0.35">
      <c r="A210" s="2">
        <v>46093</v>
      </c>
      <c r="B210" s="1" t="s">
        <v>24</v>
      </c>
      <c r="C210" s="1">
        <f>YEAR(Tabela14[[#This Row],[DATA]])</f>
        <v>2026</v>
      </c>
      <c r="D210" s="1">
        <f>MONTH(Tabela14[[#This Row],[DATA]])</f>
        <v>3</v>
      </c>
    </row>
    <row r="211" spans="1:4" x14ac:dyDescent="0.35">
      <c r="A211" s="2">
        <v>46093</v>
      </c>
      <c r="B211" s="1" t="s">
        <v>24</v>
      </c>
      <c r="C211" s="1">
        <f>YEAR(Tabela14[[#This Row],[DATA]])</f>
        <v>2026</v>
      </c>
      <c r="D211" s="1">
        <f>MONTH(Tabela14[[#This Row],[DATA]])</f>
        <v>3</v>
      </c>
    </row>
    <row r="212" spans="1:4" x14ac:dyDescent="0.35">
      <c r="A212" s="2">
        <v>46093</v>
      </c>
      <c r="B212" s="1" t="s">
        <v>24</v>
      </c>
      <c r="C212" s="1">
        <f>YEAR(Tabela14[[#This Row],[DATA]])</f>
        <v>2026</v>
      </c>
      <c r="D212" s="1">
        <f>MONTH(Tabela14[[#This Row],[DATA]])</f>
        <v>3</v>
      </c>
    </row>
    <row r="213" spans="1:4" x14ac:dyDescent="0.35">
      <c r="A213" s="2">
        <v>46093</v>
      </c>
      <c r="B213" s="1" t="s">
        <v>24</v>
      </c>
      <c r="C213" s="1">
        <f>YEAR(Tabela14[[#This Row],[DATA]])</f>
        <v>2026</v>
      </c>
      <c r="D213" s="1">
        <f>MONTH(Tabela14[[#This Row],[DATA]])</f>
        <v>3</v>
      </c>
    </row>
    <row r="214" spans="1:4" x14ac:dyDescent="0.35">
      <c r="A214" s="2">
        <v>46093</v>
      </c>
      <c r="B214" s="1" t="s">
        <v>24</v>
      </c>
      <c r="C214" s="1">
        <f>YEAR(Tabela14[[#This Row],[DATA]])</f>
        <v>2026</v>
      </c>
      <c r="D214" s="1">
        <f>MONTH(Tabela14[[#This Row],[DATA]])</f>
        <v>3</v>
      </c>
    </row>
    <row r="215" spans="1:4" x14ac:dyDescent="0.35">
      <c r="A215" s="2">
        <v>46093</v>
      </c>
      <c r="B215" s="1" t="s">
        <v>24</v>
      </c>
      <c r="C215" s="1">
        <f>YEAR(Tabela14[[#This Row],[DATA]])</f>
        <v>2026</v>
      </c>
      <c r="D215" s="1">
        <f>MONTH(Tabela14[[#This Row],[DATA]])</f>
        <v>3</v>
      </c>
    </row>
    <row r="216" spans="1:4" x14ac:dyDescent="0.35">
      <c r="A216" s="2">
        <v>46093</v>
      </c>
      <c r="B216" s="1" t="s">
        <v>24</v>
      </c>
      <c r="C216" s="1">
        <f>YEAR(Tabela14[[#This Row],[DATA]])</f>
        <v>2026</v>
      </c>
      <c r="D216" s="1">
        <f>MONTH(Tabela14[[#This Row],[DATA]])</f>
        <v>3</v>
      </c>
    </row>
    <row r="217" spans="1:4" x14ac:dyDescent="0.35">
      <c r="A217" s="2">
        <v>46093</v>
      </c>
      <c r="B217" s="1" t="s">
        <v>24</v>
      </c>
      <c r="C217" s="1">
        <f>YEAR(Tabela14[[#This Row],[DATA]])</f>
        <v>2026</v>
      </c>
      <c r="D217" s="1">
        <f>MONTH(Tabela14[[#This Row],[DATA]])</f>
        <v>3</v>
      </c>
    </row>
    <row r="218" spans="1:4" x14ac:dyDescent="0.35">
      <c r="A218" s="2">
        <v>46093</v>
      </c>
      <c r="B218" s="1" t="s">
        <v>24</v>
      </c>
      <c r="C218" s="1">
        <f>YEAR(Tabela14[[#This Row],[DATA]])</f>
        <v>2026</v>
      </c>
      <c r="D218" s="1">
        <f>MONTH(Tabela14[[#This Row],[DATA]])</f>
        <v>3</v>
      </c>
    </row>
    <row r="219" spans="1:4" x14ac:dyDescent="0.35">
      <c r="A219" s="2">
        <v>46093</v>
      </c>
      <c r="B219" s="1" t="s">
        <v>24</v>
      </c>
      <c r="C219" s="1">
        <f>YEAR(Tabela14[[#This Row],[DATA]])</f>
        <v>2026</v>
      </c>
      <c r="D219" s="1">
        <f>MONTH(Tabela14[[#This Row],[DATA]])</f>
        <v>3</v>
      </c>
    </row>
    <row r="220" spans="1:4" x14ac:dyDescent="0.35">
      <c r="A220" s="2">
        <v>46093</v>
      </c>
      <c r="B220" s="1" t="s">
        <v>24</v>
      </c>
      <c r="C220" s="1">
        <f>YEAR(Tabela14[[#This Row],[DATA]])</f>
        <v>2026</v>
      </c>
      <c r="D220" s="1">
        <f>MONTH(Tabela14[[#This Row],[DATA]])</f>
        <v>3</v>
      </c>
    </row>
    <row r="221" spans="1:4" x14ac:dyDescent="0.35">
      <c r="A221" s="2">
        <v>46093</v>
      </c>
      <c r="B221" s="1" t="s">
        <v>24</v>
      </c>
      <c r="C221" s="1">
        <f>YEAR(Tabela14[[#This Row],[DATA]])</f>
        <v>2026</v>
      </c>
      <c r="D221" s="1">
        <f>MONTH(Tabela14[[#This Row],[DATA]])</f>
        <v>3</v>
      </c>
    </row>
    <row r="222" spans="1:4" x14ac:dyDescent="0.35">
      <c r="A222" s="2">
        <v>46093</v>
      </c>
      <c r="B222" s="1" t="s">
        <v>24</v>
      </c>
      <c r="C222" s="1">
        <f>YEAR(Tabela14[[#This Row],[DATA]])</f>
        <v>2026</v>
      </c>
      <c r="D222" s="1">
        <f>MONTH(Tabela14[[#This Row],[DATA]])</f>
        <v>3</v>
      </c>
    </row>
    <row r="223" spans="1:4" x14ac:dyDescent="0.35">
      <c r="A223" s="2">
        <v>46093</v>
      </c>
      <c r="B223" s="1" t="s">
        <v>24</v>
      </c>
      <c r="C223" s="1">
        <f>YEAR(Tabela14[[#This Row],[DATA]])</f>
        <v>2026</v>
      </c>
      <c r="D223" s="1">
        <f>MONTH(Tabela14[[#This Row],[DATA]])</f>
        <v>3</v>
      </c>
    </row>
    <row r="224" spans="1:4" x14ac:dyDescent="0.35">
      <c r="A224" s="2">
        <v>46093</v>
      </c>
      <c r="B224" s="1" t="s">
        <v>24</v>
      </c>
      <c r="C224" s="1">
        <f>YEAR(Tabela14[[#This Row],[DATA]])</f>
        <v>2026</v>
      </c>
      <c r="D224" s="1">
        <f>MONTH(Tabela14[[#This Row],[DATA]])</f>
        <v>3</v>
      </c>
    </row>
    <row r="225" spans="1:4" x14ac:dyDescent="0.35">
      <c r="A225" s="2">
        <v>46093</v>
      </c>
      <c r="B225" s="1" t="s">
        <v>24</v>
      </c>
      <c r="C225" s="1">
        <f>YEAR(Tabela14[[#This Row],[DATA]])</f>
        <v>2026</v>
      </c>
      <c r="D225" s="1">
        <f>MONTH(Tabela14[[#This Row],[DATA]])</f>
        <v>3</v>
      </c>
    </row>
    <row r="226" spans="1:4" x14ac:dyDescent="0.35">
      <c r="A226" s="2">
        <v>46093</v>
      </c>
      <c r="B226" s="1" t="s">
        <v>24</v>
      </c>
      <c r="C226" s="1">
        <f>YEAR(Tabela14[[#This Row],[DATA]])</f>
        <v>2026</v>
      </c>
      <c r="D226" s="1">
        <f>MONTH(Tabela14[[#This Row],[DATA]])</f>
        <v>3</v>
      </c>
    </row>
    <row r="227" spans="1:4" x14ac:dyDescent="0.35">
      <c r="A227" s="2">
        <v>46093</v>
      </c>
      <c r="B227" s="1" t="s">
        <v>24</v>
      </c>
      <c r="C227" s="1">
        <f>YEAR(Tabela14[[#This Row],[DATA]])</f>
        <v>2026</v>
      </c>
      <c r="D227" s="1">
        <f>MONTH(Tabela14[[#This Row],[DATA]])</f>
        <v>3</v>
      </c>
    </row>
    <row r="228" spans="1:4" x14ac:dyDescent="0.35">
      <c r="A228" s="2">
        <v>46093</v>
      </c>
      <c r="B228" s="1" t="s">
        <v>9</v>
      </c>
      <c r="C228" s="1">
        <f>YEAR(Tabela14[[#This Row],[DATA]])</f>
        <v>2026</v>
      </c>
      <c r="D228" s="1">
        <f>MONTH(Tabela14[[#This Row],[DATA]])</f>
        <v>3</v>
      </c>
    </row>
    <row r="229" spans="1:4" x14ac:dyDescent="0.35">
      <c r="A229" s="2">
        <v>46093</v>
      </c>
      <c r="B229" s="1" t="s">
        <v>33</v>
      </c>
      <c r="C229" s="1">
        <f>YEAR(Tabela14[[#This Row],[DATA]])</f>
        <v>2026</v>
      </c>
      <c r="D229" s="1">
        <f>MONTH(Tabela14[[#This Row],[DATA]])</f>
        <v>3</v>
      </c>
    </row>
    <row r="230" spans="1:4" x14ac:dyDescent="0.35">
      <c r="A230" s="2">
        <v>46093</v>
      </c>
      <c r="B230" s="1" t="s">
        <v>28</v>
      </c>
      <c r="C230" s="1">
        <f>YEAR(Tabela14[[#This Row],[DATA]])</f>
        <v>2026</v>
      </c>
      <c r="D230" s="1">
        <f>MONTH(Tabela14[[#This Row],[DATA]])</f>
        <v>3</v>
      </c>
    </row>
    <row r="231" spans="1:4" x14ac:dyDescent="0.35">
      <c r="A231" s="2">
        <v>46093</v>
      </c>
      <c r="B231" s="1" t="s">
        <v>28</v>
      </c>
      <c r="C231" s="1">
        <f>YEAR(Tabela14[[#This Row],[DATA]])</f>
        <v>2026</v>
      </c>
      <c r="D231" s="1">
        <f>MONTH(Tabela14[[#This Row],[DATA]])</f>
        <v>3</v>
      </c>
    </row>
    <row r="232" spans="1:4" x14ac:dyDescent="0.35">
      <c r="A232" s="2">
        <v>46093</v>
      </c>
      <c r="B232" s="1" t="s">
        <v>83</v>
      </c>
      <c r="C232" s="1">
        <f>YEAR(Tabela14[[#This Row],[DATA]])</f>
        <v>2026</v>
      </c>
      <c r="D232" s="1">
        <f>MONTH(Tabela14[[#This Row],[DATA]])</f>
        <v>3</v>
      </c>
    </row>
    <row r="233" spans="1:4" x14ac:dyDescent="0.35">
      <c r="A233" s="2">
        <v>46093</v>
      </c>
      <c r="B233" s="1" t="s">
        <v>5</v>
      </c>
      <c r="C233" s="1">
        <f>YEAR(Tabela14[[#This Row],[DATA]])</f>
        <v>2026</v>
      </c>
      <c r="D233" s="1">
        <f>MONTH(Tabela14[[#This Row],[DATA]])</f>
        <v>3</v>
      </c>
    </row>
    <row r="234" spans="1:4" x14ac:dyDescent="0.35">
      <c r="A234" s="2">
        <v>46093</v>
      </c>
      <c r="B234" s="1" t="s">
        <v>9</v>
      </c>
      <c r="C234" s="1">
        <f>YEAR(Tabela14[[#This Row],[DATA]])</f>
        <v>2026</v>
      </c>
      <c r="D234" s="1">
        <f>MONTH(Tabela14[[#This Row],[DATA]])</f>
        <v>3</v>
      </c>
    </row>
    <row r="235" spans="1:4" x14ac:dyDescent="0.35">
      <c r="A235" s="2">
        <v>46094</v>
      </c>
      <c r="B235" s="1" t="s">
        <v>9</v>
      </c>
      <c r="C235" s="1">
        <f>YEAR(Tabela14[[#This Row],[DATA]])</f>
        <v>2026</v>
      </c>
      <c r="D235" s="1">
        <f>MONTH(Tabela14[[#This Row],[DATA]])</f>
        <v>3</v>
      </c>
    </row>
    <row r="236" spans="1:4" x14ac:dyDescent="0.35">
      <c r="A236" s="2">
        <v>46094</v>
      </c>
      <c r="B236" s="1" t="s">
        <v>9</v>
      </c>
      <c r="C236" s="1">
        <f>YEAR(Tabela14[[#This Row],[DATA]])</f>
        <v>2026</v>
      </c>
      <c r="D236" s="1">
        <f>MONTH(Tabela14[[#This Row],[DATA]])</f>
        <v>3</v>
      </c>
    </row>
    <row r="237" spans="1:4" x14ac:dyDescent="0.35">
      <c r="A237" s="2">
        <v>46094</v>
      </c>
      <c r="B237" s="1" t="s">
        <v>9</v>
      </c>
      <c r="C237" s="1">
        <f>YEAR(Tabela14[[#This Row],[DATA]])</f>
        <v>2026</v>
      </c>
      <c r="D237" s="1">
        <f>MONTH(Tabela14[[#This Row],[DATA]])</f>
        <v>3</v>
      </c>
    </row>
    <row r="238" spans="1:4" x14ac:dyDescent="0.35">
      <c r="A238" s="2">
        <v>46094</v>
      </c>
      <c r="B238" s="1" t="s">
        <v>9</v>
      </c>
      <c r="C238" s="1">
        <f>YEAR(Tabela14[[#This Row],[DATA]])</f>
        <v>2026</v>
      </c>
      <c r="D238" s="1">
        <f>MONTH(Tabela14[[#This Row],[DATA]])</f>
        <v>3</v>
      </c>
    </row>
    <row r="239" spans="1:4" x14ac:dyDescent="0.35">
      <c r="A239" s="2">
        <v>46094</v>
      </c>
      <c r="B239" s="1" t="s">
        <v>5</v>
      </c>
      <c r="C239" s="1">
        <f>YEAR(Tabela14[[#This Row],[DATA]])</f>
        <v>2026</v>
      </c>
      <c r="D239" s="1">
        <f>MONTH(Tabela14[[#This Row],[DATA]])</f>
        <v>3</v>
      </c>
    </row>
    <row r="240" spans="1:4" x14ac:dyDescent="0.35">
      <c r="A240" s="2">
        <v>46094</v>
      </c>
      <c r="B240" s="1" t="s">
        <v>5</v>
      </c>
      <c r="C240" s="1">
        <f>YEAR(Tabela14[[#This Row],[DATA]])</f>
        <v>2026</v>
      </c>
      <c r="D240" s="1">
        <f>MONTH(Tabela14[[#This Row],[DATA]])</f>
        <v>3</v>
      </c>
    </row>
    <row r="241" spans="1:4" x14ac:dyDescent="0.35">
      <c r="A241" s="2">
        <v>46094</v>
      </c>
      <c r="B241" s="1" t="s">
        <v>9</v>
      </c>
      <c r="C241" s="1">
        <f>YEAR(Tabela14[[#This Row],[DATA]])</f>
        <v>2026</v>
      </c>
      <c r="D241" s="1">
        <f>MONTH(Tabela14[[#This Row],[DATA]])</f>
        <v>3</v>
      </c>
    </row>
    <row r="242" spans="1:4" x14ac:dyDescent="0.35">
      <c r="A242" s="2">
        <v>46094</v>
      </c>
      <c r="B242" s="1" t="s">
        <v>33</v>
      </c>
      <c r="C242" s="1">
        <f>YEAR(Tabela14[[#This Row],[DATA]])</f>
        <v>2026</v>
      </c>
      <c r="D242" s="1">
        <f>MONTH(Tabela14[[#This Row],[DATA]])</f>
        <v>3</v>
      </c>
    </row>
    <row r="243" spans="1:4" x14ac:dyDescent="0.35">
      <c r="A243" s="2">
        <v>46094</v>
      </c>
      <c r="B243" s="1" t="s">
        <v>33</v>
      </c>
      <c r="C243" s="1">
        <f>YEAR(Tabela14[[#This Row],[DATA]])</f>
        <v>2026</v>
      </c>
      <c r="D243" s="1">
        <f>MONTH(Tabela14[[#This Row],[DATA]])</f>
        <v>3</v>
      </c>
    </row>
    <row r="244" spans="1:4" x14ac:dyDescent="0.35">
      <c r="A244" s="2">
        <v>46094</v>
      </c>
      <c r="B244" s="1" t="s">
        <v>33</v>
      </c>
      <c r="C244" s="1">
        <f>YEAR(Tabela14[[#This Row],[DATA]])</f>
        <v>2026</v>
      </c>
      <c r="D244" s="1">
        <f>MONTH(Tabela14[[#This Row],[DATA]])</f>
        <v>3</v>
      </c>
    </row>
    <row r="245" spans="1:4" x14ac:dyDescent="0.35">
      <c r="A245" s="2">
        <v>46094</v>
      </c>
      <c r="B245" s="1" t="s">
        <v>33</v>
      </c>
      <c r="C245" s="1">
        <f>YEAR(Tabela14[[#This Row],[DATA]])</f>
        <v>2026</v>
      </c>
      <c r="D245" s="1">
        <f>MONTH(Tabela14[[#This Row],[DATA]])</f>
        <v>3</v>
      </c>
    </row>
    <row r="246" spans="1:4" x14ac:dyDescent="0.35">
      <c r="A246" s="2">
        <v>46094</v>
      </c>
      <c r="B246" s="1" t="s">
        <v>33</v>
      </c>
      <c r="C246" s="1">
        <f>YEAR(Tabela14[[#This Row],[DATA]])</f>
        <v>2026</v>
      </c>
      <c r="D246" s="1">
        <f>MONTH(Tabela14[[#This Row],[DATA]])</f>
        <v>3</v>
      </c>
    </row>
    <row r="247" spans="1:4" x14ac:dyDescent="0.35">
      <c r="A247" s="2">
        <v>46094</v>
      </c>
      <c r="B247" s="1" t="s">
        <v>83</v>
      </c>
      <c r="C247" s="1">
        <f>YEAR(Tabela14[[#This Row],[DATA]])</f>
        <v>2026</v>
      </c>
      <c r="D247" s="1">
        <f>MONTH(Tabela14[[#This Row],[DATA]])</f>
        <v>3</v>
      </c>
    </row>
    <row r="248" spans="1:4" x14ac:dyDescent="0.35">
      <c r="A248" s="2">
        <v>46097</v>
      </c>
      <c r="B248" s="1" t="s">
        <v>5</v>
      </c>
      <c r="C248" s="1">
        <f>YEAR(Tabela14[[#This Row],[DATA]])</f>
        <v>2026</v>
      </c>
      <c r="D248" s="1">
        <f>MONTH(Tabela14[[#This Row],[DATA]])</f>
        <v>3</v>
      </c>
    </row>
    <row r="249" spans="1:4" x14ac:dyDescent="0.35">
      <c r="A249" s="2">
        <v>46097</v>
      </c>
      <c r="B249" s="1" t="s">
        <v>9</v>
      </c>
      <c r="C249" s="1">
        <f>YEAR(Tabela14[[#This Row],[DATA]])</f>
        <v>2026</v>
      </c>
      <c r="D249" s="1">
        <f>MONTH(Tabela14[[#This Row],[DATA]])</f>
        <v>3</v>
      </c>
    </row>
    <row r="250" spans="1:4" x14ac:dyDescent="0.35">
      <c r="A250" s="2">
        <v>46097</v>
      </c>
      <c r="B250" s="1" t="s">
        <v>9</v>
      </c>
      <c r="C250" s="1">
        <f>YEAR(Tabela14[[#This Row],[DATA]])</f>
        <v>2026</v>
      </c>
      <c r="D250" s="1">
        <f>MONTH(Tabela14[[#This Row],[DATA]])</f>
        <v>3</v>
      </c>
    </row>
    <row r="251" spans="1:4" x14ac:dyDescent="0.35">
      <c r="A251" s="2">
        <v>46097</v>
      </c>
      <c r="B251" s="1" t="s">
        <v>83</v>
      </c>
      <c r="C251" s="1">
        <f>YEAR(Tabela14[[#This Row],[DATA]])</f>
        <v>2026</v>
      </c>
      <c r="D251" s="1">
        <f>MONTH(Tabela14[[#This Row],[DATA]])</f>
        <v>3</v>
      </c>
    </row>
    <row r="252" spans="1:4" x14ac:dyDescent="0.35">
      <c r="A252" s="2">
        <v>46097</v>
      </c>
      <c r="B252" s="1" t="s">
        <v>9</v>
      </c>
      <c r="C252" s="1">
        <f>YEAR(Tabela14[[#This Row],[DATA]])</f>
        <v>2026</v>
      </c>
      <c r="D252" s="1">
        <f>MONTH(Tabela14[[#This Row],[DATA]])</f>
        <v>3</v>
      </c>
    </row>
    <row r="253" spans="1:4" x14ac:dyDescent="0.35">
      <c r="A253" s="2">
        <v>46097</v>
      </c>
      <c r="B253" s="1" t="s">
        <v>9</v>
      </c>
      <c r="C253" s="1">
        <f>YEAR(Tabela14[[#This Row],[DATA]])</f>
        <v>2026</v>
      </c>
      <c r="D253" s="1">
        <f>MONTH(Tabela14[[#This Row],[DATA]])</f>
        <v>3</v>
      </c>
    </row>
    <row r="254" spans="1:4" x14ac:dyDescent="0.35">
      <c r="A254" s="2">
        <v>46097</v>
      </c>
      <c r="B254" s="1" t="s">
        <v>83</v>
      </c>
      <c r="C254" s="1">
        <f>YEAR(Tabela14[[#This Row],[DATA]])</f>
        <v>2026</v>
      </c>
      <c r="D254" s="1">
        <f>MONTH(Tabela14[[#This Row],[DATA]])</f>
        <v>3</v>
      </c>
    </row>
    <row r="255" spans="1:4" x14ac:dyDescent="0.35">
      <c r="A255" s="2">
        <v>46097</v>
      </c>
      <c r="B255" s="1" t="s">
        <v>9</v>
      </c>
      <c r="C255" s="1">
        <f>YEAR(Tabela14[[#This Row],[DATA]])</f>
        <v>2026</v>
      </c>
      <c r="D255" s="1">
        <f>MONTH(Tabela14[[#This Row],[DATA]])</f>
        <v>3</v>
      </c>
    </row>
    <row r="256" spans="1:4" x14ac:dyDescent="0.35">
      <c r="A256" s="2">
        <v>46098</v>
      </c>
      <c r="B256" s="1" t="s">
        <v>5</v>
      </c>
      <c r="C256" s="1">
        <f>YEAR(Tabela14[[#This Row],[DATA]])</f>
        <v>2026</v>
      </c>
      <c r="D256" s="1">
        <f>MONTH(Tabela14[[#This Row],[DATA]])</f>
        <v>3</v>
      </c>
    </row>
    <row r="257" spans="1:4" x14ac:dyDescent="0.35">
      <c r="A257" s="2">
        <v>46098</v>
      </c>
      <c r="B257" s="1" t="s">
        <v>22</v>
      </c>
      <c r="C257" s="1">
        <f>YEAR(Tabela14[[#This Row],[DATA]])</f>
        <v>2026</v>
      </c>
      <c r="D257" s="1">
        <f>MONTH(Tabela14[[#This Row],[DATA]])</f>
        <v>3</v>
      </c>
    </row>
    <row r="258" spans="1:4" x14ac:dyDescent="0.35">
      <c r="A258" s="2">
        <v>46098</v>
      </c>
      <c r="B258" s="1" t="s">
        <v>22</v>
      </c>
      <c r="C258" s="1">
        <f>YEAR(Tabela14[[#This Row],[DATA]])</f>
        <v>2026</v>
      </c>
      <c r="D258" s="1">
        <f>MONTH(Tabela14[[#This Row],[DATA]])</f>
        <v>3</v>
      </c>
    </row>
    <row r="259" spans="1:4" x14ac:dyDescent="0.35">
      <c r="A259" s="2">
        <v>46098</v>
      </c>
      <c r="B259" s="1" t="s">
        <v>83</v>
      </c>
      <c r="C259" s="1">
        <f>YEAR(Tabela14[[#This Row],[DATA]])</f>
        <v>2026</v>
      </c>
      <c r="D259" s="1">
        <f>MONTH(Tabela14[[#This Row],[DATA]])</f>
        <v>3</v>
      </c>
    </row>
    <row r="260" spans="1:4" x14ac:dyDescent="0.35">
      <c r="A260" s="2">
        <v>46098</v>
      </c>
      <c r="B260" s="1" t="s">
        <v>83</v>
      </c>
      <c r="C260" s="1">
        <f>YEAR(Tabela14[[#This Row],[DATA]])</f>
        <v>2026</v>
      </c>
      <c r="D260" s="1">
        <f>MONTH(Tabela14[[#This Row],[DATA]])</f>
        <v>3</v>
      </c>
    </row>
    <row r="261" spans="1:4" x14ac:dyDescent="0.35">
      <c r="A261" s="2">
        <v>46098</v>
      </c>
      <c r="B261" s="1" t="s">
        <v>22</v>
      </c>
      <c r="C261" s="1">
        <f>YEAR(Tabela14[[#This Row],[DATA]])</f>
        <v>2026</v>
      </c>
      <c r="D261" s="1">
        <f>MONTH(Tabela14[[#This Row],[DATA]])</f>
        <v>3</v>
      </c>
    </row>
    <row r="262" spans="1:4" x14ac:dyDescent="0.35">
      <c r="A262" s="2">
        <v>46098</v>
      </c>
      <c r="B262" s="1" t="s">
        <v>22</v>
      </c>
      <c r="C262" s="1">
        <f>YEAR(Tabela14[[#This Row],[DATA]])</f>
        <v>2026</v>
      </c>
      <c r="D262" s="1">
        <f>MONTH(Tabela14[[#This Row],[DATA]])</f>
        <v>3</v>
      </c>
    </row>
    <row r="263" spans="1:4" x14ac:dyDescent="0.35">
      <c r="A263" s="2">
        <v>46098</v>
      </c>
      <c r="B263" s="1" t="s">
        <v>33</v>
      </c>
      <c r="C263" s="1">
        <f>YEAR(Tabela14[[#This Row],[DATA]])</f>
        <v>2026</v>
      </c>
      <c r="D263" s="1">
        <f>MONTH(Tabela14[[#This Row],[DATA]])</f>
        <v>3</v>
      </c>
    </row>
    <row r="264" spans="1:4" x14ac:dyDescent="0.35">
      <c r="A264" s="2">
        <v>46098</v>
      </c>
      <c r="B264" s="1" t="s">
        <v>33</v>
      </c>
      <c r="C264" s="1">
        <f>YEAR(Tabela14[[#This Row],[DATA]])</f>
        <v>2026</v>
      </c>
      <c r="D264" s="1">
        <f>MONTH(Tabela14[[#This Row],[DATA]])</f>
        <v>3</v>
      </c>
    </row>
    <row r="265" spans="1:4" x14ac:dyDescent="0.35">
      <c r="A265" s="2">
        <v>46098</v>
      </c>
      <c r="B265" s="1" t="s">
        <v>33</v>
      </c>
      <c r="C265" s="1">
        <f>YEAR(Tabela14[[#This Row],[DATA]])</f>
        <v>2026</v>
      </c>
      <c r="D265" s="1">
        <f>MONTH(Tabela14[[#This Row],[DATA]])</f>
        <v>3</v>
      </c>
    </row>
    <row r="266" spans="1:4" x14ac:dyDescent="0.35">
      <c r="A266" s="2">
        <v>46098</v>
      </c>
      <c r="B266" s="1" t="s">
        <v>33</v>
      </c>
      <c r="C266" s="1">
        <f>YEAR(Tabela14[[#This Row],[DATA]])</f>
        <v>2026</v>
      </c>
      <c r="D266" s="1">
        <f>MONTH(Tabela14[[#This Row],[DATA]])</f>
        <v>3</v>
      </c>
    </row>
    <row r="267" spans="1:4" x14ac:dyDescent="0.35">
      <c r="A267" s="2">
        <v>46098</v>
      </c>
      <c r="B267" s="1" t="s">
        <v>33</v>
      </c>
      <c r="C267" s="1">
        <f>YEAR(Tabela14[[#This Row],[DATA]])</f>
        <v>2026</v>
      </c>
      <c r="D267" s="1">
        <f>MONTH(Tabela14[[#This Row],[DATA]])</f>
        <v>3</v>
      </c>
    </row>
    <row r="268" spans="1:4" x14ac:dyDescent="0.35">
      <c r="A268" s="2">
        <v>46098</v>
      </c>
      <c r="B268" s="1" t="s">
        <v>9</v>
      </c>
      <c r="C268" s="1">
        <f>YEAR(Tabela14[[#This Row],[DATA]])</f>
        <v>2026</v>
      </c>
      <c r="D268" s="1">
        <f>MONTH(Tabela14[[#This Row],[DATA]])</f>
        <v>3</v>
      </c>
    </row>
    <row r="269" spans="1:4" x14ac:dyDescent="0.35">
      <c r="A269" s="2">
        <v>46098</v>
      </c>
      <c r="B269" s="1" t="s">
        <v>9</v>
      </c>
      <c r="C269" s="1">
        <f>YEAR(Tabela14[[#This Row],[DATA]])</f>
        <v>2026</v>
      </c>
      <c r="D269" s="1">
        <f>MONTH(Tabela14[[#This Row],[DATA]])</f>
        <v>3</v>
      </c>
    </row>
    <row r="270" spans="1:4" x14ac:dyDescent="0.35">
      <c r="A270" s="2">
        <v>46098</v>
      </c>
      <c r="B270" s="1" t="s">
        <v>83</v>
      </c>
      <c r="C270" s="1">
        <f>YEAR(Tabela14[[#This Row],[DATA]])</f>
        <v>2026</v>
      </c>
      <c r="D270" s="1">
        <f>MONTH(Tabela14[[#This Row],[DATA]])</f>
        <v>3</v>
      </c>
    </row>
    <row r="271" spans="1:4" x14ac:dyDescent="0.35">
      <c r="A271" s="2">
        <v>46098</v>
      </c>
      <c r="B271" s="1" t="s">
        <v>22</v>
      </c>
      <c r="C271" s="1">
        <f>YEAR(Tabela14[[#This Row],[DATA]])</f>
        <v>2026</v>
      </c>
      <c r="D271" s="1">
        <f>MONTH(Tabela14[[#This Row],[DATA]])</f>
        <v>3</v>
      </c>
    </row>
    <row r="272" spans="1:4" x14ac:dyDescent="0.35">
      <c r="A272" s="2">
        <v>46098</v>
      </c>
      <c r="B272" s="1" t="s">
        <v>22</v>
      </c>
      <c r="C272" s="1">
        <f>YEAR(Tabela14[[#This Row],[DATA]])</f>
        <v>2026</v>
      </c>
      <c r="D272" s="1">
        <f>MONTH(Tabela14[[#This Row],[DATA]])</f>
        <v>3</v>
      </c>
    </row>
    <row r="273" spans="1:4" x14ac:dyDescent="0.35">
      <c r="A273" s="2">
        <v>46098</v>
      </c>
      <c r="B273" s="1" t="s">
        <v>22</v>
      </c>
      <c r="C273" s="1">
        <f>YEAR(Tabela14[[#This Row],[DATA]])</f>
        <v>2026</v>
      </c>
      <c r="D273" s="1">
        <f>MONTH(Tabela14[[#This Row],[DATA]])</f>
        <v>3</v>
      </c>
    </row>
    <row r="274" spans="1:4" x14ac:dyDescent="0.35">
      <c r="A274" s="2">
        <v>46098</v>
      </c>
      <c r="B274" s="1" t="s">
        <v>22</v>
      </c>
      <c r="C274" s="1">
        <f>YEAR(Tabela14[[#This Row],[DATA]])</f>
        <v>2026</v>
      </c>
      <c r="D274" s="1">
        <f>MONTH(Tabela14[[#This Row],[DATA]])</f>
        <v>3</v>
      </c>
    </row>
    <row r="275" spans="1:4" x14ac:dyDescent="0.35">
      <c r="A275" s="2">
        <v>46098</v>
      </c>
      <c r="B275" s="1" t="s">
        <v>22</v>
      </c>
      <c r="C275" s="1">
        <f>YEAR(Tabela14[[#This Row],[DATA]])</f>
        <v>2026</v>
      </c>
      <c r="D275" s="1">
        <f>MONTH(Tabela14[[#This Row],[DATA]])</f>
        <v>3</v>
      </c>
    </row>
    <row r="276" spans="1:4" x14ac:dyDescent="0.35">
      <c r="A276" s="2">
        <v>46098</v>
      </c>
      <c r="B276" s="1" t="s">
        <v>5</v>
      </c>
      <c r="C276" s="1">
        <f>YEAR(Tabela14[[#This Row],[DATA]])</f>
        <v>2026</v>
      </c>
      <c r="D276" s="1">
        <f>MONTH(Tabela14[[#This Row],[DATA]])</f>
        <v>3</v>
      </c>
    </row>
    <row r="277" spans="1:4" x14ac:dyDescent="0.35">
      <c r="A277" s="2">
        <v>46098</v>
      </c>
      <c r="B277" s="1" t="s">
        <v>83</v>
      </c>
      <c r="C277" s="1">
        <f>YEAR(Tabela14[[#This Row],[DATA]])</f>
        <v>2026</v>
      </c>
      <c r="D277" s="1">
        <f>MONTH(Tabela14[[#This Row],[DATA]])</f>
        <v>3</v>
      </c>
    </row>
    <row r="278" spans="1:4" x14ac:dyDescent="0.35">
      <c r="A278" s="2">
        <v>46098</v>
      </c>
      <c r="B278" s="1" t="s">
        <v>83</v>
      </c>
      <c r="C278" s="1">
        <f>YEAR(Tabela14[[#This Row],[DATA]])</f>
        <v>2026</v>
      </c>
      <c r="D278" s="1">
        <f>MONTH(Tabela14[[#This Row],[DATA]])</f>
        <v>3</v>
      </c>
    </row>
    <row r="279" spans="1:4" x14ac:dyDescent="0.35">
      <c r="A279" s="2">
        <v>46098</v>
      </c>
      <c r="B279" s="1" t="s">
        <v>22</v>
      </c>
      <c r="C279" s="1">
        <f>YEAR(Tabela14[[#This Row],[DATA]])</f>
        <v>2026</v>
      </c>
      <c r="D279" s="1">
        <f>MONTH(Tabela14[[#This Row],[DATA]])</f>
        <v>3</v>
      </c>
    </row>
    <row r="280" spans="1:4" x14ac:dyDescent="0.35">
      <c r="A280" s="2">
        <v>46098</v>
      </c>
      <c r="B280" s="1" t="s">
        <v>22</v>
      </c>
      <c r="C280" s="1">
        <f>YEAR(Tabela14[[#This Row],[DATA]])</f>
        <v>2026</v>
      </c>
      <c r="D280" s="1">
        <f>MONTH(Tabela14[[#This Row],[DATA]])</f>
        <v>3</v>
      </c>
    </row>
    <row r="281" spans="1:4" x14ac:dyDescent="0.35">
      <c r="A281" s="2">
        <v>46098</v>
      </c>
      <c r="B281" s="1" t="s">
        <v>22</v>
      </c>
      <c r="C281" s="1">
        <f>YEAR(Tabela14[[#This Row],[DATA]])</f>
        <v>2026</v>
      </c>
      <c r="D281" s="1">
        <f>MONTH(Tabela14[[#This Row],[DATA]])</f>
        <v>3</v>
      </c>
    </row>
    <row r="282" spans="1:4" x14ac:dyDescent="0.35">
      <c r="A282" s="2">
        <v>46098</v>
      </c>
      <c r="B282" s="1" t="s">
        <v>22</v>
      </c>
      <c r="C282" s="1">
        <f>YEAR(Tabela14[[#This Row],[DATA]])</f>
        <v>2026</v>
      </c>
      <c r="D282" s="1">
        <f>MONTH(Tabela14[[#This Row],[DATA]])</f>
        <v>3</v>
      </c>
    </row>
    <row r="283" spans="1:4" x14ac:dyDescent="0.35">
      <c r="A283" s="2">
        <v>46098</v>
      </c>
      <c r="B283" s="1" t="s">
        <v>22</v>
      </c>
      <c r="C283" s="1">
        <f>YEAR(Tabela14[[#This Row],[DATA]])</f>
        <v>2026</v>
      </c>
      <c r="D283" s="1">
        <f>MONTH(Tabela14[[#This Row],[DATA]])</f>
        <v>3</v>
      </c>
    </row>
    <row r="284" spans="1:4" x14ac:dyDescent="0.35">
      <c r="A284" s="2">
        <v>46098</v>
      </c>
      <c r="B284" s="1" t="s">
        <v>22</v>
      </c>
      <c r="C284" s="1">
        <f>YEAR(Tabela14[[#This Row],[DATA]])</f>
        <v>2026</v>
      </c>
      <c r="D284" s="1">
        <f>MONTH(Tabela14[[#This Row],[DATA]])</f>
        <v>3</v>
      </c>
    </row>
    <row r="285" spans="1:4" x14ac:dyDescent="0.35">
      <c r="A285" s="2">
        <v>46099</v>
      </c>
      <c r="B285" s="1" t="s">
        <v>28</v>
      </c>
      <c r="C285" s="1">
        <f>YEAR(Tabela14[[#This Row],[DATA]])</f>
        <v>2026</v>
      </c>
      <c r="D285" s="1">
        <f>MONTH(Tabela14[[#This Row],[DATA]])</f>
        <v>3</v>
      </c>
    </row>
    <row r="286" spans="1:4" x14ac:dyDescent="0.35">
      <c r="A286" s="2">
        <v>46099</v>
      </c>
      <c r="B286" s="1" t="s">
        <v>28</v>
      </c>
      <c r="C286" s="1">
        <f>YEAR(Tabela14[[#This Row],[DATA]])</f>
        <v>2026</v>
      </c>
      <c r="D286" s="1">
        <f>MONTH(Tabela14[[#This Row],[DATA]])</f>
        <v>3</v>
      </c>
    </row>
    <row r="287" spans="1:4" x14ac:dyDescent="0.35">
      <c r="A287" s="2">
        <v>46099</v>
      </c>
      <c r="B287" s="1" t="s">
        <v>22</v>
      </c>
      <c r="C287" s="1">
        <f>YEAR(Tabela14[[#This Row],[DATA]])</f>
        <v>2026</v>
      </c>
      <c r="D287" s="1">
        <f>MONTH(Tabela14[[#This Row],[DATA]])</f>
        <v>3</v>
      </c>
    </row>
    <row r="288" spans="1:4" x14ac:dyDescent="0.35">
      <c r="A288" s="2">
        <v>46099</v>
      </c>
      <c r="B288" s="1" t="s">
        <v>28</v>
      </c>
      <c r="C288" s="1">
        <f>YEAR(Tabela14[[#This Row],[DATA]])</f>
        <v>2026</v>
      </c>
      <c r="D288" s="1">
        <f>MONTH(Tabela14[[#This Row],[DATA]])</f>
        <v>3</v>
      </c>
    </row>
    <row r="289" spans="1:4" x14ac:dyDescent="0.35">
      <c r="A289" s="2">
        <v>46099</v>
      </c>
      <c r="B289" s="1" t="s">
        <v>22</v>
      </c>
      <c r="C289" s="1">
        <f>YEAR(Tabela14[[#This Row],[DATA]])</f>
        <v>2026</v>
      </c>
      <c r="D289" s="1">
        <f>MONTH(Tabela14[[#This Row],[DATA]])</f>
        <v>3</v>
      </c>
    </row>
    <row r="290" spans="1:4" x14ac:dyDescent="0.35">
      <c r="A290" s="2">
        <v>46099</v>
      </c>
      <c r="B290" s="1" t="s">
        <v>28</v>
      </c>
      <c r="C290" s="1">
        <f>YEAR(Tabela14[[#This Row],[DATA]])</f>
        <v>2026</v>
      </c>
      <c r="D290" s="1">
        <f>MONTH(Tabela14[[#This Row],[DATA]])</f>
        <v>3</v>
      </c>
    </row>
    <row r="291" spans="1:4" x14ac:dyDescent="0.35">
      <c r="A291" s="2">
        <v>46099</v>
      </c>
      <c r="B291" s="1" t="s">
        <v>28</v>
      </c>
      <c r="C291" s="1">
        <f>YEAR(Tabela14[[#This Row],[DATA]])</f>
        <v>2026</v>
      </c>
      <c r="D291" s="1">
        <f>MONTH(Tabela14[[#This Row],[DATA]])</f>
        <v>3</v>
      </c>
    </row>
    <row r="292" spans="1:4" x14ac:dyDescent="0.35">
      <c r="A292" s="2">
        <v>46099</v>
      </c>
      <c r="B292" s="1" t="s">
        <v>28</v>
      </c>
      <c r="C292" s="1">
        <f>YEAR(Tabela14[[#This Row],[DATA]])</f>
        <v>2026</v>
      </c>
      <c r="D292" s="1">
        <f>MONTH(Tabela14[[#This Row],[DATA]])</f>
        <v>3</v>
      </c>
    </row>
    <row r="293" spans="1:4" x14ac:dyDescent="0.35">
      <c r="A293" s="2">
        <v>46099</v>
      </c>
      <c r="B293" s="1" t="s">
        <v>9</v>
      </c>
      <c r="C293" s="1">
        <f>YEAR(Tabela14[[#This Row],[DATA]])</f>
        <v>2026</v>
      </c>
      <c r="D293" s="1">
        <f>MONTH(Tabela14[[#This Row],[DATA]])</f>
        <v>3</v>
      </c>
    </row>
    <row r="294" spans="1:4" x14ac:dyDescent="0.35">
      <c r="A294" s="2">
        <v>46099</v>
      </c>
      <c r="B294" s="1" t="s">
        <v>9</v>
      </c>
      <c r="C294" s="1">
        <f>YEAR(Tabela14[[#This Row],[DATA]])</f>
        <v>2026</v>
      </c>
      <c r="D294" s="1">
        <f>MONTH(Tabela14[[#This Row],[DATA]])</f>
        <v>3</v>
      </c>
    </row>
    <row r="295" spans="1:4" x14ac:dyDescent="0.35">
      <c r="A295" s="2">
        <v>46100</v>
      </c>
      <c r="B295" s="1" t="s">
        <v>5</v>
      </c>
      <c r="C295" s="1">
        <f>YEAR(Tabela14[[#This Row],[DATA]])</f>
        <v>2026</v>
      </c>
      <c r="D295" s="1">
        <f>MONTH(Tabela14[[#This Row],[DATA]])</f>
        <v>3</v>
      </c>
    </row>
    <row r="296" spans="1:4" x14ac:dyDescent="0.35">
      <c r="A296" s="2">
        <v>46101</v>
      </c>
      <c r="B296" s="1" t="s">
        <v>9</v>
      </c>
      <c r="C296" s="1">
        <f>YEAR(Tabela14[[#This Row],[DATA]])</f>
        <v>2026</v>
      </c>
      <c r="D296" s="1">
        <f>MONTH(Tabela14[[#This Row],[DATA]])</f>
        <v>3</v>
      </c>
    </row>
    <row r="297" spans="1:4" x14ac:dyDescent="0.35">
      <c r="A297" s="2">
        <v>46101</v>
      </c>
      <c r="B297" s="1" t="s">
        <v>83</v>
      </c>
      <c r="C297" s="1">
        <f>YEAR(Tabela14[[#This Row],[DATA]])</f>
        <v>2026</v>
      </c>
      <c r="D297" s="1">
        <f>MONTH(Tabela14[[#This Row],[DATA]])</f>
        <v>3</v>
      </c>
    </row>
    <row r="298" spans="1:4" x14ac:dyDescent="0.35">
      <c r="A298" s="2">
        <v>46101</v>
      </c>
      <c r="B298" s="1" t="s">
        <v>83</v>
      </c>
      <c r="C298" s="1">
        <f>YEAR(Tabela14[[#This Row],[DATA]])</f>
        <v>2026</v>
      </c>
      <c r="D298" s="1">
        <f>MONTH(Tabela14[[#This Row],[DATA]])</f>
        <v>3</v>
      </c>
    </row>
    <row r="299" spans="1:4" x14ac:dyDescent="0.35">
      <c r="A299" s="2">
        <v>46101</v>
      </c>
      <c r="B299" s="1" t="s">
        <v>83</v>
      </c>
      <c r="C299" s="1">
        <f>YEAR(Tabela14[[#This Row],[DATA]])</f>
        <v>2026</v>
      </c>
      <c r="D299" s="1">
        <f>MONTH(Tabela14[[#This Row],[DATA]])</f>
        <v>3</v>
      </c>
    </row>
    <row r="300" spans="1:4" x14ac:dyDescent="0.35">
      <c r="A300" s="2">
        <v>46101</v>
      </c>
      <c r="B300" s="1" t="s">
        <v>83</v>
      </c>
      <c r="C300" s="1">
        <f>YEAR(Tabela14[[#This Row],[DATA]])</f>
        <v>2026</v>
      </c>
      <c r="D300" s="1">
        <f>MONTH(Tabela14[[#This Row],[DATA]])</f>
        <v>3</v>
      </c>
    </row>
    <row r="301" spans="1:4" x14ac:dyDescent="0.35">
      <c r="A301" s="2">
        <v>46101</v>
      </c>
      <c r="B301" s="1" t="s">
        <v>9</v>
      </c>
      <c r="C301" s="1">
        <f>YEAR(Tabela14[[#This Row],[DATA]])</f>
        <v>2026</v>
      </c>
      <c r="D301" s="1">
        <f>MONTH(Tabela14[[#This Row],[DATA]])</f>
        <v>3</v>
      </c>
    </row>
    <row r="302" spans="1:4" x14ac:dyDescent="0.35">
      <c r="A302" s="2">
        <v>46101</v>
      </c>
      <c r="B302" s="1" t="s">
        <v>9</v>
      </c>
      <c r="C302" s="1">
        <f>YEAR(Tabela14[[#This Row],[DATA]])</f>
        <v>2026</v>
      </c>
      <c r="D302" s="1">
        <f>MONTH(Tabela14[[#This Row],[DATA]])</f>
        <v>3</v>
      </c>
    </row>
    <row r="303" spans="1:4" x14ac:dyDescent="0.35">
      <c r="A303" s="2">
        <v>46101</v>
      </c>
      <c r="B303" s="1" t="s">
        <v>22</v>
      </c>
      <c r="C303" s="1">
        <f>YEAR(Tabela14[[#This Row],[DATA]])</f>
        <v>2026</v>
      </c>
      <c r="D303" s="1">
        <f>MONTH(Tabela14[[#This Row],[DATA]])</f>
        <v>3</v>
      </c>
    </row>
    <row r="304" spans="1:4" x14ac:dyDescent="0.35">
      <c r="A304" s="2">
        <v>46101</v>
      </c>
      <c r="B304" s="1" t="s">
        <v>22</v>
      </c>
      <c r="C304" s="1">
        <f>YEAR(Tabela14[[#This Row],[DATA]])</f>
        <v>2026</v>
      </c>
      <c r="D304" s="1">
        <f>MONTH(Tabela14[[#This Row],[DATA]])</f>
        <v>3</v>
      </c>
    </row>
    <row r="305" spans="1:4" x14ac:dyDescent="0.35">
      <c r="A305" s="2">
        <v>46104</v>
      </c>
      <c r="B305" s="1" t="s">
        <v>22</v>
      </c>
      <c r="C305" s="1">
        <f>YEAR(Tabela14[[#This Row],[DATA]])</f>
        <v>2026</v>
      </c>
      <c r="D305" s="1">
        <f>MONTH(Tabela14[[#This Row],[DATA]])</f>
        <v>3</v>
      </c>
    </row>
    <row r="306" spans="1:4" x14ac:dyDescent="0.35">
      <c r="A306" s="2">
        <v>46104</v>
      </c>
      <c r="B306" s="1" t="s">
        <v>22</v>
      </c>
      <c r="C306" s="1">
        <f>YEAR(Tabela14[[#This Row],[DATA]])</f>
        <v>2026</v>
      </c>
      <c r="D306" s="1">
        <f>MONTH(Tabela14[[#This Row],[DATA]])</f>
        <v>3</v>
      </c>
    </row>
    <row r="307" spans="1:4" x14ac:dyDescent="0.35">
      <c r="A307" s="2">
        <v>46104</v>
      </c>
      <c r="B307" s="1" t="s">
        <v>22</v>
      </c>
      <c r="C307" s="1">
        <f>YEAR(Tabela14[[#This Row],[DATA]])</f>
        <v>2026</v>
      </c>
      <c r="D307" s="1">
        <f>MONTH(Tabela14[[#This Row],[DATA]])</f>
        <v>3</v>
      </c>
    </row>
    <row r="308" spans="1:4" x14ac:dyDescent="0.35">
      <c r="A308" s="2">
        <v>46104</v>
      </c>
      <c r="B308" s="1" t="s">
        <v>33</v>
      </c>
      <c r="C308" s="1">
        <f>YEAR(Tabela14[[#This Row],[DATA]])</f>
        <v>2026</v>
      </c>
      <c r="D308" s="1">
        <f>MONTH(Tabela14[[#This Row],[DATA]])</f>
        <v>3</v>
      </c>
    </row>
    <row r="309" spans="1:4" x14ac:dyDescent="0.35">
      <c r="A309" s="2">
        <v>46104</v>
      </c>
      <c r="B309" s="1" t="s">
        <v>5</v>
      </c>
      <c r="C309" s="1">
        <f>YEAR(Tabela14[[#This Row],[DATA]])</f>
        <v>2026</v>
      </c>
      <c r="D309" s="1">
        <f>MONTH(Tabela14[[#This Row],[DATA]])</f>
        <v>3</v>
      </c>
    </row>
    <row r="310" spans="1:4" x14ac:dyDescent="0.35">
      <c r="A310" s="2">
        <v>46104</v>
      </c>
      <c r="B310" s="1" t="s">
        <v>5</v>
      </c>
      <c r="C310" s="1">
        <f>YEAR(Tabela14[[#This Row],[DATA]])</f>
        <v>2026</v>
      </c>
      <c r="D310" s="1">
        <f>MONTH(Tabela14[[#This Row],[DATA]])</f>
        <v>3</v>
      </c>
    </row>
    <row r="311" spans="1:4" x14ac:dyDescent="0.35">
      <c r="A311" s="2">
        <v>46104</v>
      </c>
      <c r="B311" s="1" t="s">
        <v>5</v>
      </c>
      <c r="C311" s="1">
        <f>YEAR(Tabela14[[#This Row],[DATA]])</f>
        <v>2026</v>
      </c>
      <c r="D311" s="1">
        <f>MONTH(Tabela14[[#This Row],[DATA]])</f>
        <v>3</v>
      </c>
    </row>
    <row r="312" spans="1:4" x14ac:dyDescent="0.35">
      <c r="A312" s="2">
        <v>46104</v>
      </c>
      <c r="B312" s="1" t="s">
        <v>22</v>
      </c>
      <c r="C312" s="1">
        <f>YEAR(Tabela14[[#This Row],[DATA]])</f>
        <v>2026</v>
      </c>
      <c r="D312" s="1">
        <f>MONTH(Tabela14[[#This Row],[DATA]])</f>
        <v>3</v>
      </c>
    </row>
    <row r="313" spans="1:4" x14ac:dyDescent="0.35">
      <c r="A313" s="2">
        <v>46104</v>
      </c>
      <c r="B313" s="1" t="s">
        <v>22</v>
      </c>
      <c r="C313" s="1">
        <f>YEAR(Tabela14[[#This Row],[DATA]])</f>
        <v>2026</v>
      </c>
      <c r="D313" s="1">
        <f>MONTH(Tabela14[[#This Row],[DATA]])</f>
        <v>3</v>
      </c>
    </row>
    <row r="314" spans="1:4" x14ac:dyDescent="0.35">
      <c r="A314" s="2">
        <v>46104</v>
      </c>
      <c r="B314" s="1" t="s">
        <v>22</v>
      </c>
      <c r="C314" s="1">
        <f>YEAR(Tabela14[[#This Row],[DATA]])</f>
        <v>2026</v>
      </c>
      <c r="D314" s="1">
        <f>MONTH(Tabela14[[#This Row],[DATA]])</f>
        <v>3</v>
      </c>
    </row>
    <row r="315" spans="1:4" x14ac:dyDescent="0.35">
      <c r="A315" s="2">
        <v>46104</v>
      </c>
      <c r="B315" s="1" t="s">
        <v>22</v>
      </c>
      <c r="C315" s="1">
        <f>YEAR(Tabela14[[#This Row],[DATA]])</f>
        <v>2026</v>
      </c>
      <c r="D315" s="1">
        <f>MONTH(Tabela14[[#This Row],[DATA]])</f>
        <v>3</v>
      </c>
    </row>
    <row r="316" spans="1:4" x14ac:dyDescent="0.35">
      <c r="A316" s="2">
        <v>46104</v>
      </c>
      <c r="B316" s="1" t="s">
        <v>22</v>
      </c>
      <c r="C316" s="1">
        <f>YEAR(Tabela14[[#This Row],[DATA]])</f>
        <v>2026</v>
      </c>
      <c r="D316" s="1">
        <f>MONTH(Tabela14[[#This Row],[DATA]])</f>
        <v>3</v>
      </c>
    </row>
    <row r="317" spans="1:4" x14ac:dyDescent="0.35">
      <c r="A317" s="2">
        <v>46104</v>
      </c>
      <c r="B317" s="1" t="s">
        <v>33</v>
      </c>
      <c r="C317" s="1">
        <f>YEAR(Tabela14[[#This Row],[DATA]])</f>
        <v>2026</v>
      </c>
      <c r="D317" s="1">
        <f>MONTH(Tabela14[[#This Row],[DATA]])</f>
        <v>3</v>
      </c>
    </row>
    <row r="318" spans="1:4" x14ac:dyDescent="0.35">
      <c r="A318" s="2">
        <v>46104</v>
      </c>
      <c r="B318" s="1" t="s">
        <v>22</v>
      </c>
      <c r="C318" s="1">
        <f>YEAR(Tabela14[[#This Row],[DATA]])</f>
        <v>2026</v>
      </c>
      <c r="D318" s="1">
        <f>MONTH(Tabela14[[#This Row],[DATA]])</f>
        <v>3</v>
      </c>
    </row>
    <row r="319" spans="1:4" x14ac:dyDescent="0.35">
      <c r="A319" s="2">
        <v>46104</v>
      </c>
      <c r="B319" s="1" t="s">
        <v>22</v>
      </c>
      <c r="C319" s="1">
        <f>YEAR(Tabela14[[#This Row],[DATA]])</f>
        <v>2026</v>
      </c>
      <c r="D319" s="1">
        <f>MONTH(Tabela14[[#This Row],[DATA]])</f>
        <v>3</v>
      </c>
    </row>
    <row r="320" spans="1:4" x14ac:dyDescent="0.35">
      <c r="A320" s="2">
        <v>46105</v>
      </c>
      <c r="B320" s="1" t="s">
        <v>9</v>
      </c>
      <c r="C320" s="1">
        <f>YEAR(Tabela14[[#This Row],[DATA]])</f>
        <v>2026</v>
      </c>
      <c r="D320" s="1">
        <f>MONTH(Tabela14[[#This Row],[DATA]])</f>
        <v>3</v>
      </c>
    </row>
    <row r="321" spans="1:4" x14ac:dyDescent="0.35">
      <c r="A321" s="2">
        <v>46105</v>
      </c>
      <c r="B321" s="1" t="s">
        <v>5</v>
      </c>
      <c r="C321" s="1">
        <f>YEAR(Tabela14[[#This Row],[DATA]])</f>
        <v>2026</v>
      </c>
      <c r="D321" s="1">
        <f>MONTH(Tabela14[[#This Row],[DATA]])</f>
        <v>3</v>
      </c>
    </row>
    <row r="322" spans="1:4" x14ac:dyDescent="0.35">
      <c r="A322" s="2">
        <v>46105</v>
      </c>
      <c r="B322" s="1" t="s">
        <v>33</v>
      </c>
      <c r="C322" s="1">
        <f>YEAR(Tabela14[[#This Row],[DATA]])</f>
        <v>2026</v>
      </c>
      <c r="D322" s="1">
        <f>MONTH(Tabela14[[#This Row],[DATA]])</f>
        <v>3</v>
      </c>
    </row>
    <row r="323" spans="1:4" x14ac:dyDescent="0.35">
      <c r="A323" s="2">
        <v>46105</v>
      </c>
      <c r="B323" s="1" t="s">
        <v>33</v>
      </c>
      <c r="C323" s="1">
        <f>YEAR(Tabela14[[#This Row],[DATA]])</f>
        <v>2026</v>
      </c>
      <c r="D323" s="1">
        <f>MONTH(Tabela14[[#This Row],[DATA]])</f>
        <v>3</v>
      </c>
    </row>
    <row r="324" spans="1:4" x14ac:dyDescent="0.35">
      <c r="A324" s="2">
        <v>46105</v>
      </c>
      <c r="B324" s="1" t="s">
        <v>33</v>
      </c>
      <c r="C324" s="1">
        <f>YEAR(Tabela14[[#This Row],[DATA]])</f>
        <v>2026</v>
      </c>
      <c r="D324" s="1">
        <f>MONTH(Tabela14[[#This Row],[DATA]])</f>
        <v>3</v>
      </c>
    </row>
    <row r="325" spans="1:4" x14ac:dyDescent="0.35">
      <c r="A325" s="2">
        <v>46105</v>
      </c>
      <c r="B325" s="1" t="s">
        <v>22</v>
      </c>
      <c r="C325" s="1">
        <f>YEAR(Tabela14[[#This Row],[DATA]])</f>
        <v>2026</v>
      </c>
      <c r="D325" s="1">
        <f>MONTH(Tabela14[[#This Row],[DATA]])</f>
        <v>3</v>
      </c>
    </row>
    <row r="326" spans="1:4" x14ac:dyDescent="0.35">
      <c r="A326" s="2">
        <v>46105</v>
      </c>
      <c r="B326" s="1" t="s">
        <v>22</v>
      </c>
      <c r="C326" s="1">
        <f>YEAR(Tabela14[[#This Row],[DATA]])</f>
        <v>2026</v>
      </c>
      <c r="D326" s="1">
        <f>MONTH(Tabela14[[#This Row],[DATA]])</f>
        <v>3</v>
      </c>
    </row>
    <row r="327" spans="1:4" x14ac:dyDescent="0.35">
      <c r="A327" s="2">
        <v>46105</v>
      </c>
      <c r="B327" s="1" t="s">
        <v>22</v>
      </c>
      <c r="C327" s="1">
        <f>YEAR(Tabela14[[#This Row],[DATA]])</f>
        <v>2026</v>
      </c>
      <c r="D327" s="1">
        <f>MONTH(Tabela14[[#This Row],[DATA]])</f>
        <v>3</v>
      </c>
    </row>
    <row r="328" spans="1:4" x14ac:dyDescent="0.35">
      <c r="A328" s="2">
        <v>46105</v>
      </c>
      <c r="B328" s="1" t="s">
        <v>22</v>
      </c>
      <c r="C328" s="1">
        <f>YEAR(Tabela14[[#This Row],[DATA]])</f>
        <v>2026</v>
      </c>
      <c r="D328" s="1">
        <f>MONTH(Tabela14[[#This Row],[DATA]])</f>
        <v>3</v>
      </c>
    </row>
    <row r="329" spans="1:4" x14ac:dyDescent="0.35">
      <c r="A329" s="2">
        <v>46105</v>
      </c>
      <c r="B329" s="1" t="s">
        <v>28</v>
      </c>
      <c r="C329" s="1">
        <f>YEAR(Tabela14[[#This Row],[DATA]])</f>
        <v>2026</v>
      </c>
      <c r="D329" s="1">
        <f>MONTH(Tabela14[[#This Row],[DATA]])</f>
        <v>3</v>
      </c>
    </row>
    <row r="330" spans="1:4" x14ac:dyDescent="0.35">
      <c r="A330" s="2">
        <v>46105</v>
      </c>
      <c r="B330" s="1" t="s">
        <v>22</v>
      </c>
      <c r="C330" s="1">
        <f>YEAR(Tabela14[[#This Row],[DATA]])</f>
        <v>2026</v>
      </c>
      <c r="D330" s="1">
        <f>MONTH(Tabela14[[#This Row],[DATA]])</f>
        <v>3</v>
      </c>
    </row>
    <row r="331" spans="1:4" x14ac:dyDescent="0.35">
      <c r="A331" s="2">
        <v>46105</v>
      </c>
      <c r="B331" s="1" t="s">
        <v>22</v>
      </c>
      <c r="C331" s="1">
        <f>YEAR(Tabela14[[#This Row],[DATA]])</f>
        <v>2026</v>
      </c>
      <c r="D331" s="1">
        <f>MONTH(Tabela14[[#This Row],[DATA]])</f>
        <v>3</v>
      </c>
    </row>
    <row r="332" spans="1:4" x14ac:dyDescent="0.35">
      <c r="A332" s="2">
        <v>46106</v>
      </c>
      <c r="B332" s="1" t="s">
        <v>5</v>
      </c>
      <c r="C332" s="1">
        <f>YEAR(Tabela14[[#This Row],[DATA]])</f>
        <v>2026</v>
      </c>
      <c r="D332" s="1">
        <f>MONTH(Tabela14[[#This Row],[DATA]])</f>
        <v>3</v>
      </c>
    </row>
    <row r="333" spans="1:4" x14ac:dyDescent="0.35">
      <c r="A333" s="2">
        <v>46106</v>
      </c>
      <c r="B333" s="1" t="s">
        <v>83</v>
      </c>
      <c r="C333" s="1">
        <f>YEAR(Tabela14[[#This Row],[DATA]])</f>
        <v>2026</v>
      </c>
      <c r="D333" s="1">
        <f>MONTH(Tabela14[[#This Row],[DATA]])</f>
        <v>3</v>
      </c>
    </row>
    <row r="334" spans="1:4" x14ac:dyDescent="0.35">
      <c r="A334" s="2">
        <v>46106</v>
      </c>
      <c r="B334" s="1" t="s">
        <v>83</v>
      </c>
      <c r="C334" s="1">
        <f>YEAR(Tabela14[[#This Row],[DATA]])</f>
        <v>2026</v>
      </c>
      <c r="D334" s="1">
        <f>MONTH(Tabela14[[#This Row],[DATA]])</f>
        <v>3</v>
      </c>
    </row>
    <row r="335" spans="1:4" x14ac:dyDescent="0.35">
      <c r="A335" s="2">
        <v>46106</v>
      </c>
      <c r="B335" s="1" t="s">
        <v>22</v>
      </c>
      <c r="C335" s="1">
        <f>YEAR(Tabela14[[#This Row],[DATA]])</f>
        <v>2026</v>
      </c>
      <c r="D335" s="1">
        <f>MONTH(Tabela14[[#This Row],[DATA]])</f>
        <v>3</v>
      </c>
    </row>
    <row r="336" spans="1:4" x14ac:dyDescent="0.35">
      <c r="A336" s="2">
        <v>46106</v>
      </c>
      <c r="B336" s="1" t="s">
        <v>22</v>
      </c>
      <c r="C336" s="1">
        <f>YEAR(Tabela14[[#This Row],[DATA]])</f>
        <v>2026</v>
      </c>
      <c r="D336" s="1">
        <f>MONTH(Tabela14[[#This Row],[DATA]])</f>
        <v>3</v>
      </c>
    </row>
    <row r="337" spans="1:4" x14ac:dyDescent="0.35">
      <c r="A337" s="2">
        <v>46106</v>
      </c>
      <c r="B337" s="1" t="s">
        <v>22</v>
      </c>
      <c r="C337" s="1">
        <f>YEAR(Tabela14[[#This Row],[DATA]])</f>
        <v>2026</v>
      </c>
      <c r="D337" s="1">
        <f>MONTH(Tabela14[[#This Row],[DATA]])</f>
        <v>3</v>
      </c>
    </row>
    <row r="338" spans="1:4" x14ac:dyDescent="0.35">
      <c r="A338" s="2">
        <v>46106</v>
      </c>
      <c r="B338" s="1" t="s">
        <v>22</v>
      </c>
      <c r="C338" s="1">
        <f>YEAR(Tabela14[[#This Row],[DATA]])</f>
        <v>2026</v>
      </c>
      <c r="D338" s="1">
        <f>MONTH(Tabela14[[#This Row],[DATA]])</f>
        <v>3</v>
      </c>
    </row>
    <row r="339" spans="1:4" x14ac:dyDescent="0.35">
      <c r="A339" s="2">
        <v>46106</v>
      </c>
      <c r="B339" s="1" t="s">
        <v>22</v>
      </c>
      <c r="C339" s="1">
        <f>YEAR(Tabela14[[#This Row],[DATA]])</f>
        <v>2026</v>
      </c>
      <c r="D339" s="1">
        <f>MONTH(Tabela14[[#This Row],[DATA]])</f>
        <v>3</v>
      </c>
    </row>
    <row r="340" spans="1:4" x14ac:dyDescent="0.35">
      <c r="A340" s="2">
        <v>46106</v>
      </c>
      <c r="B340" s="1" t="s">
        <v>22</v>
      </c>
      <c r="C340" s="1">
        <f>YEAR(Tabela14[[#This Row],[DATA]])</f>
        <v>2026</v>
      </c>
      <c r="D340" s="1">
        <f>MONTH(Tabela14[[#This Row],[DATA]])</f>
        <v>3</v>
      </c>
    </row>
    <row r="341" spans="1:4" x14ac:dyDescent="0.35">
      <c r="A341" s="2">
        <v>46106</v>
      </c>
      <c r="B341" s="1" t="s">
        <v>22</v>
      </c>
      <c r="C341" s="1">
        <f>YEAR(Tabela14[[#This Row],[DATA]])</f>
        <v>2026</v>
      </c>
      <c r="D341" s="1">
        <f>MONTH(Tabela14[[#This Row],[DATA]])</f>
        <v>3</v>
      </c>
    </row>
    <row r="342" spans="1:4" x14ac:dyDescent="0.35">
      <c r="A342" s="2">
        <v>46106</v>
      </c>
      <c r="B342" s="1" t="s">
        <v>22</v>
      </c>
      <c r="C342" s="1">
        <f>YEAR(Tabela14[[#This Row],[DATA]])</f>
        <v>2026</v>
      </c>
      <c r="D342" s="1">
        <f>MONTH(Tabela14[[#This Row],[DATA]])</f>
        <v>3</v>
      </c>
    </row>
    <row r="343" spans="1:4" x14ac:dyDescent="0.35">
      <c r="A343" s="2">
        <v>46108</v>
      </c>
      <c r="B343" s="1" t="s">
        <v>22</v>
      </c>
      <c r="C343" s="1">
        <f>YEAR(Tabela14[[#This Row],[DATA]])</f>
        <v>2026</v>
      </c>
      <c r="D343" s="1">
        <f>MONTH(Tabela14[[#This Row],[DATA]])</f>
        <v>3</v>
      </c>
    </row>
    <row r="344" spans="1:4" x14ac:dyDescent="0.35">
      <c r="A344" s="2">
        <v>46111</v>
      </c>
      <c r="B344" s="1" t="s">
        <v>28</v>
      </c>
      <c r="C344" s="1">
        <f>YEAR(Tabela14[[#This Row],[DATA]])</f>
        <v>2026</v>
      </c>
      <c r="D344" s="1">
        <f>MONTH(Tabela14[[#This Row],[DATA]])</f>
        <v>3</v>
      </c>
    </row>
    <row r="345" spans="1:4" x14ac:dyDescent="0.35">
      <c r="A345" s="2">
        <v>46111</v>
      </c>
      <c r="B345" s="1" t="s">
        <v>28</v>
      </c>
      <c r="C345" s="1">
        <f>YEAR(Tabela14[[#This Row],[DATA]])</f>
        <v>2026</v>
      </c>
      <c r="D345" s="1">
        <f>MONTH(Tabela14[[#This Row],[DATA]])</f>
        <v>3</v>
      </c>
    </row>
    <row r="346" spans="1:4" x14ac:dyDescent="0.35">
      <c r="A346" s="2">
        <v>46111</v>
      </c>
      <c r="B346" s="1" t="s">
        <v>22</v>
      </c>
      <c r="C346" s="1">
        <f>YEAR(Tabela14[[#This Row],[DATA]])</f>
        <v>2026</v>
      </c>
      <c r="D346" s="1">
        <f>MONTH(Tabela14[[#This Row],[DATA]])</f>
        <v>3</v>
      </c>
    </row>
    <row r="347" spans="1:4" x14ac:dyDescent="0.35">
      <c r="A347" s="2">
        <v>46111</v>
      </c>
      <c r="B347" s="1" t="s">
        <v>22</v>
      </c>
      <c r="C347" s="1">
        <f>YEAR(Tabela14[[#This Row],[DATA]])</f>
        <v>2026</v>
      </c>
      <c r="D347" s="1">
        <f>MONTH(Tabela14[[#This Row],[DATA]])</f>
        <v>3</v>
      </c>
    </row>
    <row r="348" spans="1:4" x14ac:dyDescent="0.35">
      <c r="A348" s="2">
        <v>46111</v>
      </c>
      <c r="B348" s="1" t="s">
        <v>22</v>
      </c>
      <c r="C348" s="1">
        <f>YEAR(Tabela14[[#This Row],[DATA]])</f>
        <v>2026</v>
      </c>
      <c r="D348" s="1">
        <f>MONTH(Tabela14[[#This Row],[DATA]])</f>
        <v>3</v>
      </c>
    </row>
    <row r="349" spans="1:4" x14ac:dyDescent="0.35">
      <c r="A349" s="2">
        <v>46111</v>
      </c>
      <c r="B349" s="1" t="s">
        <v>22</v>
      </c>
      <c r="C349" s="1">
        <f>YEAR(Tabela14[[#This Row],[DATA]])</f>
        <v>2026</v>
      </c>
      <c r="D349" s="1">
        <f>MONTH(Tabela14[[#This Row],[DATA]])</f>
        <v>3</v>
      </c>
    </row>
    <row r="350" spans="1:4" x14ac:dyDescent="0.35">
      <c r="A350" s="2">
        <v>46111</v>
      </c>
      <c r="B350" s="1" t="s">
        <v>22</v>
      </c>
      <c r="C350" s="1">
        <f>YEAR(Tabela14[[#This Row],[DATA]])</f>
        <v>2026</v>
      </c>
      <c r="D350" s="1">
        <f>MONTH(Tabela14[[#This Row],[DATA]])</f>
        <v>3</v>
      </c>
    </row>
    <row r="351" spans="1:4" x14ac:dyDescent="0.35">
      <c r="A351" s="2">
        <v>46111</v>
      </c>
      <c r="B351" s="1" t="s">
        <v>22</v>
      </c>
      <c r="C351" s="1">
        <f>YEAR(Tabela14[[#This Row],[DATA]])</f>
        <v>2026</v>
      </c>
      <c r="D351" s="1">
        <f>MONTH(Tabela14[[#This Row],[DATA]])</f>
        <v>3</v>
      </c>
    </row>
    <row r="352" spans="1:4" x14ac:dyDescent="0.35">
      <c r="A352" s="2">
        <v>46111</v>
      </c>
      <c r="B352" s="1" t="s">
        <v>83</v>
      </c>
      <c r="C352" s="1">
        <f>YEAR(Tabela14[[#This Row],[DATA]])</f>
        <v>2026</v>
      </c>
      <c r="D352" s="1">
        <f>MONTH(Tabela14[[#This Row],[DATA]])</f>
        <v>3</v>
      </c>
    </row>
    <row r="353" spans="1:4" x14ac:dyDescent="0.35">
      <c r="A353" s="2">
        <v>46111</v>
      </c>
      <c r="B353" s="1" t="s">
        <v>28</v>
      </c>
      <c r="C353" s="1">
        <f>YEAR(Tabela14[[#This Row],[DATA]])</f>
        <v>2026</v>
      </c>
      <c r="D353" s="1">
        <f>MONTH(Tabela14[[#This Row],[DATA]])</f>
        <v>3</v>
      </c>
    </row>
    <row r="354" spans="1:4" x14ac:dyDescent="0.35">
      <c r="A354" s="2">
        <v>46111</v>
      </c>
      <c r="B354" s="1" t="s">
        <v>9</v>
      </c>
      <c r="C354" s="1">
        <f>YEAR(Tabela14[[#This Row],[DATA]])</f>
        <v>2026</v>
      </c>
      <c r="D354" s="1">
        <f>MONTH(Tabela14[[#This Row],[DATA]])</f>
        <v>3</v>
      </c>
    </row>
    <row r="355" spans="1:4" x14ac:dyDescent="0.35">
      <c r="A355" s="2">
        <v>46111</v>
      </c>
      <c r="B355" s="1" t="s">
        <v>9</v>
      </c>
      <c r="C355" s="1">
        <f>YEAR(Tabela14[[#This Row],[DATA]])</f>
        <v>2026</v>
      </c>
      <c r="D355" s="1">
        <f>MONTH(Tabela14[[#This Row],[DATA]])</f>
        <v>3</v>
      </c>
    </row>
    <row r="356" spans="1:4" x14ac:dyDescent="0.35">
      <c r="A356" s="2">
        <v>46111</v>
      </c>
      <c r="B356" s="1" t="s">
        <v>9</v>
      </c>
      <c r="C356" s="1">
        <f>YEAR(Tabela14[[#This Row],[DATA]])</f>
        <v>2026</v>
      </c>
      <c r="D356" s="1">
        <f>MONTH(Tabela14[[#This Row],[DATA]])</f>
        <v>3</v>
      </c>
    </row>
    <row r="357" spans="1:4" x14ac:dyDescent="0.35">
      <c r="A357" s="2">
        <v>46111</v>
      </c>
      <c r="B357" s="1" t="s">
        <v>9</v>
      </c>
      <c r="C357" s="1">
        <f>YEAR(Tabela14[[#This Row],[DATA]])</f>
        <v>2026</v>
      </c>
      <c r="D357" s="1">
        <f>MONTH(Tabela14[[#This Row],[DATA]])</f>
        <v>3</v>
      </c>
    </row>
    <row r="358" spans="1:4" x14ac:dyDescent="0.35">
      <c r="A358" s="2">
        <v>46111</v>
      </c>
      <c r="B358" s="1" t="s">
        <v>83</v>
      </c>
      <c r="C358" s="1">
        <f>YEAR(Tabela14[[#This Row],[DATA]])</f>
        <v>2026</v>
      </c>
      <c r="D358" s="1">
        <f>MONTH(Tabela14[[#This Row],[DATA]])</f>
        <v>3</v>
      </c>
    </row>
    <row r="359" spans="1:4" x14ac:dyDescent="0.35">
      <c r="A359" s="2">
        <v>46111</v>
      </c>
      <c r="B359" s="1" t="s">
        <v>22</v>
      </c>
      <c r="C359" s="1">
        <f>YEAR(Tabela14[[#This Row],[DATA]])</f>
        <v>2026</v>
      </c>
      <c r="D359" s="1">
        <f>MONTH(Tabela14[[#This Row],[DATA]])</f>
        <v>3</v>
      </c>
    </row>
    <row r="360" spans="1:4" x14ac:dyDescent="0.35">
      <c r="A360" s="2">
        <v>46111</v>
      </c>
      <c r="B360" s="1" t="s">
        <v>22</v>
      </c>
      <c r="C360" s="1">
        <f>YEAR(Tabela14[[#This Row],[DATA]])</f>
        <v>2026</v>
      </c>
      <c r="D360" s="1">
        <f>MONTH(Tabela14[[#This Row],[DATA]])</f>
        <v>3</v>
      </c>
    </row>
    <row r="361" spans="1:4" x14ac:dyDescent="0.35">
      <c r="A361" s="2">
        <v>46111</v>
      </c>
      <c r="B361" s="1" t="s">
        <v>22</v>
      </c>
      <c r="C361" s="1">
        <f>YEAR(Tabela14[[#This Row],[DATA]])</f>
        <v>2026</v>
      </c>
      <c r="D361" s="1">
        <f>MONTH(Tabela14[[#This Row],[DATA]])</f>
        <v>3</v>
      </c>
    </row>
    <row r="362" spans="1:4" x14ac:dyDescent="0.35">
      <c r="A362" s="2">
        <v>46111</v>
      </c>
      <c r="B362" s="1" t="s">
        <v>22</v>
      </c>
      <c r="C362" s="1">
        <f>YEAR(Tabela14[[#This Row],[DATA]])</f>
        <v>2026</v>
      </c>
      <c r="D362" s="1">
        <f>MONTH(Tabela14[[#This Row],[DATA]])</f>
        <v>3</v>
      </c>
    </row>
    <row r="363" spans="1:4" x14ac:dyDescent="0.35">
      <c r="A363" s="2">
        <v>46111</v>
      </c>
      <c r="B363" s="1" t="s">
        <v>22</v>
      </c>
      <c r="C363" s="1">
        <f>YEAR(Tabela14[[#This Row],[DATA]])</f>
        <v>2026</v>
      </c>
      <c r="D363" s="1">
        <f>MONTH(Tabela14[[#This Row],[DATA]])</f>
        <v>3</v>
      </c>
    </row>
    <row r="364" spans="1:4" x14ac:dyDescent="0.35">
      <c r="A364" s="2">
        <v>46111</v>
      </c>
      <c r="B364" s="1" t="s">
        <v>22</v>
      </c>
      <c r="C364" s="1">
        <f>YEAR(Tabela14[[#This Row],[DATA]])</f>
        <v>2026</v>
      </c>
      <c r="D364" s="1">
        <f>MONTH(Tabela14[[#This Row],[DATA]])</f>
        <v>3</v>
      </c>
    </row>
    <row r="365" spans="1:4" x14ac:dyDescent="0.35">
      <c r="A365" s="2">
        <v>46112</v>
      </c>
      <c r="B365" s="1" t="s">
        <v>9</v>
      </c>
      <c r="C365" s="1">
        <f>YEAR(Tabela14[[#This Row],[DATA]])</f>
        <v>2026</v>
      </c>
      <c r="D365" s="1">
        <f>MONTH(Tabela14[[#This Row],[DATA]])</f>
        <v>3</v>
      </c>
    </row>
    <row r="366" spans="1:4" x14ac:dyDescent="0.35">
      <c r="A366" s="2">
        <v>46112</v>
      </c>
      <c r="B366" s="1" t="s">
        <v>9</v>
      </c>
      <c r="C366" s="1">
        <f>YEAR(Tabela14[[#This Row],[DATA]])</f>
        <v>2026</v>
      </c>
      <c r="D366" s="1">
        <f>MONTH(Tabela14[[#This Row],[DATA]])</f>
        <v>3</v>
      </c>
    </row>
    <row r="367" spans="1:4" x14ac:dyDescent="0.35">
      <c r="A367" s="2">
        <v>46112</v>
      </c>
      <c r="B367" s="1" t="s">
        <v>28</v>
      </c>
      <c r="C367" s="1">
        <f>YEAR(Tabela14[[#This Row],[DATA]])</f>
        <v>2026</v>
      </c>
      <c r="D367" s="1">
        <f>MONTH(Tabela14[[#This Row],[DATA]])</f>
        <v>3</v>
      </c>
    </row>
    <row r="368" spans="1:4" x14ac:dyDescent="0.35">
      <c r="A368" s="2">
        <v>46113</v>
      </c>
      <c r="B368" s="1" t="s">
        <v>28</v>
      </c>
      <c r="C368" s="1">
        <f>YEAR(Tabela14[[#This Row],[DATA]])</f>
        <v>2026</v>
      </c>
      <c r="D368" s="1">
        <f>MONTH(Tabela14[[#This Row],[DATA]])</f>
        <v>4</v>
      </c>
    </row>
    <row r="369" spans="1:4" x14ac:dyDescent="0.35">
      <c r="A369" s="2">
        <v>46113</v>
      </c>
      <c r="B369" s="1" t="s">
        <v>22</v>
      </c>
      <c r="C369" s="1">
        <f>YEAR(Tabela14[[#This Row],[DATA]])</f>
        <v>2026</v>
      </c>
      <c r="D369" s="1">
        <f>MONTH(Tabela14[[#This Row],[DATA]])</f>
        <v>4</v>
      </c>
    </row>
    <row r="370" spans="1:4" x14ac:dyDescent="0.35">
      <c r="A370" s="2">
        <v>46113</v>
      </c>
      <c r="B370" s="1" t="s">
        <v>22</v>
      </c>
      <c r="C370" s="1">
        <f>YEAR(Tabela14[[#This Row],[DATA]])</f>
        <v>2026</v>
      </c>
      <c r="D370" s="1">
        <f>MONTH(Tabela14[[#This Row],[DATA]])</f>
        <v>4</v>
      </c>
    </row>
    <row r="371" spans="1:4" x14ac:dyDescent="0.35">
      <c r="A371" s="2">
        <v>46113</v>
      </c>
      <c r="B371" s="1" t="s">
        <v>22</v>
      </c>
      <c r="C371" s="1">
        <f>YEAR(Tabela14[[#This Row],[DATA]])</f>
        <v>2026</v>
      </c>
      <c r="D371" s="1">
        <f>MONTH(Tabela14[[#This Row],[DATA]])</f>
        <v>4</v>
      </c>
    </row>
    <row r="372" spans="1:4" x14ac:dyDescent="0.35">
      <c r="A372" s="2">
        <v>46113</v>
      </c>
      <c r="B372" s="1" t="s">
        <v>22</v>
      </c>
      <c r="C372" s="1">
        <f>YEAR(Tabela14[[#This Row],[DATA]])</f>
        <v>2026</v>
      </c>
      <c r="D372" s="1">
        <f>MONTH(Tabela14[[#This Row],[DATA]])</f>
        <v>4</v>
      </c>
    </row>
    <row r="373" spans="1:4" x14ac:dyDescent="0.35">
      <c r="A373" s="2">
        <v>46113</v>
      </c>
      <c r="B373" s="1" t="s">
        <v>28</v>
      </c>
      <c r="C373" s="1">
        <f>YEAR(Tabela14[[#This Row],[DATA]])</f>
        <v>2026</v>
      </c>
      <c r="D373" s="1">
        <f>MONTH(Tabela14[[#This Row],[DATA]])</f>
        <v>4</v>
      </c>
    </row>
    <row r="374" spans="1:4" x14ac:dyDescent="0.35">
      <c r="A374" s="2">
        <v>46113</v>
      </c>
      <c r="B374" s="1" t="s">
        <v>34</v>
      </c>
      <c r="C374" s="1">
        <f>YEAR(Tabela14[[#This Row],[DATA]])</f>
        <v>2026</v>
      </c>
      <c r="D374" s="1">
        <f>MONTH(Tabela14[[#This Row],[DATA]])</f>
        <v>4</v>
      </c>
    </row>
    <row r="375" spans="1:4" x14ac:dyDescent="0.35">
      <c r="A375" s="2">
        <v>46113</v>
      </c>
      <c r="B375" s="1" t="s">
        <v>22</v>
      </c>
      <c r="C375" s="1">
        <f>YEAR(Tabela14[[#This Row],[DATA]])</f>
        <v>2026</v>
      </c>
      <c r="D375" s="1">
        <f>MONTH(Tabela14[[#This Row],[DATA]])</f>
        <v>4</v>
      </c>
    </row>
    <row r="376" spans="1:4" x14ac:dyDescent="0.35">
      <c r="A376" s="2">
        <v>46113</v>
      </c>
      <c r="B376" s="1" t="s">
        <v>83</v>
      </c>
      <c r="C376" s="1">
        <f>YEAR(Tabela14[[#This Row],[DATA]])</f>
        <v>2026</v>
      </c>
      <c r="D376" s="1">
        <f>MONTH(Tabela14[[#This Row],[DATA]])</f>
        <v>4</v>
      </c>
    </row>
    <row r="377" spans="1:4" x14ac:dyDescent="0.35">
      <c r="A377" s="2">
        <v>46113</v>
      </c>
      <c r="B377" s="1" t="s">
        <v>83</v>
      </c>
      <c r="C377" s="1">
        <f>YEAR(Tabela14[[#This Row],[DATA]])</f>
        <v>2026</v>
      </c>
      <c r="D377" s="1">
        <f>MONTH(Tabela14[[#This Row],[DATA]])</f>
        <v>4</v>
      </c>
    </row>
    <row r="378" spans="1:4" x14ac:dyDescent="0.35">
      <c r="A378" s="2">
        <v>46113</v>
      </c>
      <c r="B378" s="1" t="s">
        <v>83</v>
      </c>
      <c r="C378" s="1">
        <f>YEAR(Tabela14[[#This Row],[DATA]])</f>
        <v>2026</v>
      </c>
      <c r="D378" s="1">
        <f>MONTH(Tabela14[[#This Row],[DATA]])</f>
        <v>4</v>
      </c>
    </row>
    <row r="379" spans="1:4" x14ac:dyDescent="0.35">
      <c r="A379" s="2">
        <v>46113</v>
      </c>
      <c r="B379" s="1" t="s">
        <v>83</v>
      </c>
      <c r="C379" s="1">
        <f>YEAR(Tabela14[[#This Row],[DATA]])</f>
        <v>2026</v>
      </c>
      <c r="D379" s="1">
        <f>MONTH(Tabela14[[#This Row],[DATA]])</f>
        <v>4</v>
      </c>
    </row>
    <row r="380" spans="1:4" x14ac:dyDescent="0.35">
      <c r="A380" s="2">
        <v>46113</v>
      </c>
      <c r="B380" s="1" t="s">
        <v>83</v>
      </c>
      <c r="C380" s="1">
        <f>YEAR(Tabela14[[#This Row],[DATA]])</f>
        <v>2026</v>
      </c>
      <c r="D380" s="1">
        <f>MONTH(Tabela14[[#This Row],[DATA]])</f>
        <v>4</v>
      </c>
    </row>
    <row r="381" spans="1:4" x14ac:dyDescent="0.35">
      <c r="A381" s="2">
        <v>46118</v>
      </c>
      <c r="B381" s="1" t="s">
        <v>5</v>
      </c>
      <c r="C381" s="1">
        <f>YEAR(Tabela14[[#This Row],[DATA]])</f>
        <v>2026</v>
      </c>
      <c r="D381" s="1">
        <f>MONTH(Tabela14[[#This Row],[DATA]])</f>
        <v>4</v>
      </c>
    </row>
    <row r="382" spans="1:4" x14ac:dyDescent="0.35">
      <c r="A382" s="2">
        <v>46118</v>
      </c>
      <c r="B382" s="1" t="s">
        <v>83</v>
      </c>
      <c r="C382" s="1">
        <f>YEAR(Tabela14[[#This Row],[DATA]])</f>
        <v>2026</v>
      </c>
      <c r="D382" s="1">
        <f>MONTH(Tabela14[[#This Row],[DATA]])</f>
        <v>4</v>
      </c>
    </row>
    <row r="383" spans="1:4" x14ac:dyDescent="0.35">
      <c r="A383" s="2">
        <v>46118</v>
      </c>
      <c r="B383" s="1" t="s">
        <v>83</v>
      </c>
      <c r="C383" s="1">
        <f>YEAR(Tabela14[[#This Row],[DATA]])</f>
        <v>2026</v>
      </c>
      <c r="D383" s="1">
        <f>MONTH(Tabela14[[#This Row],[DATA]])</f>
        <v>4</v>
      </c>
    </row>
    <row r="384" spans="1:4" x14ac:dyDescent="0.35">
      <c r="A384" s="2">
        <v>46118</v>
      </c>
      <c r="B384" s="1" t="s">
        <v>83</v>
      </c>
      <c r="C384" s="1">
        <f>YEAR(Tabela14[[#This Row],[DATA]])</f>
        <v>2026</v>
      </c>
      <c r="D384" s="1">
        <f>MONTH(Tabela14[[#This Row],[DATA]])</f>
        <v>4</v>
      </c>
    </row>
    <row r="385" spans="1:4" x14ac:dyDescent="0.35">
      <c r="A385" s="2">
        <v>46119</v>
      </c>
      <c r="B385" s="1" t="s">
        <v>83</v>
      </c>
      <c r="C385" s="1">
        <f>YEAR(Tabela14[[#This Row],[DATA]])</f>
        <v>2026</v>
      </c>
      <c r="D385" s="1">
        <f>MONTH(Tabela14[[#This Row],[DATA]])</f>
        <v>4</v>
      </c>
    </row>
    <row r="386" spans="1:4" x14ac:dyDescent="0.35">
      <c r="A386" s="2">
        <v>46119</v>
      </c>
      <c r="B386" s="1" t="s">
        <v>83</v>
      </c>
      <c r="C386" s="1">
        <f>YEAR(Tabela14[[#This Row],[DATA]])</f>
        <v>2026</v>
      </c>
      <c r="D386" s="1">
        <f>MONTH(Tabela14[[#This Row],[DATA]])</f>
        <v>4</v>
      </c>
    </row>
    <row r="387" spans="1:4" x14ac:dyDescent="0.35">
      <c r="A387" s="2">
        <v>46119</v>
      </c>
      <c r="B387" s="1" t="s">
        <v>5</v>
      </c>
      <c r="C387" s="1">
        <f>YEAR(Tabela14[[#This Row],[DATA]])</f>
        <v>2026</v>
      </c>
      <c r="D387" s="1">
        <f>MONTH(Tabela14[[#This Row],[DATA]])</f>
        <v>4</v>
      </c>
    </row>
    <row r="388" spans="1:4" x14ac:dyDescent="0.35">
      <c r="A388" s="2">
        <v>46119</v>
      </c>
      <c r="B388" s="1" t="s">
        <v>5</v>
      </c>
      <c r="C388" s="1">
        <f>YEAR(Tabela14[[#This Row],[DATA]])</f>
        <v>2026</v>
      </c>
      <c r="D388" s="1">
        <f>MONTH(Tabela14[[#This Row],[DATA]])</f>
        <v>4</v>
      </c>
    </row>
    <row r="389" spans="1:4" x14ac:dyDescent="0.35">
      <c r="A389" s="2">
        <v>46119</v>
      </c>
      <c r="B389" s="1" t="s">
        <v>33</v>
      </c>
      <c r="C389" s="1">
        <f>YEAR(Tabela14[[#This Row],[DATA]])</f>
        <v>2026</v>
      </c>
      <c r="D389" s="1">
        <f>MONTH(Tabela14[[#This Row],[DATA]])</f>
        <v>4</v>
      </c>
    </row>
    <row r="390" spans="1:4" x14ac:dyDescent="0.35">
      <c r="A390" s="2">
        <v>46119</v>
      </c>
      <c r="B390" s="1" t="s">
        <v>33</v>
      </c>
      <c r="C390" s="1">
        <f>YEAR(Tabela14[[#This Row],[DATA]])</f>
        <v>2026</v>
      </c>
      <c r="D390" s="1">
        <f>MONTH(Tabela14[[#This Row],[DATA]])</f>
        <v>4</v>
      </c>
    </row>
    <row r="391" spans="1:4" x14ac:dyDescent="0.35">
      <c r="A391" s="2">
        <v>46119</v>
      </c>
      <c r="B391" s="1" t="s">
        <v>33</v>
      </c>
      <c r="C391" s="1">
        <f>YEAR(Tabela14[[#This Row],[DATA]])</f>
        <v>2026</v>
      </c>
      <c r="D391" s="1">
        <f>MONTH(Tabela14[[#This Row],[DATA]])</f>
        <v>4</v>
      </c>
    </row>
    <row r="392" spans="1:4" x14ac:dyDescent="0.35">
      <c r="A392" s="2">
        <v>46120</v>
      </c>
      <c r="B392" s="1" t="s">
        <v>5</v>
      </c>
      <c r="C392" s="1">
        <f>YEAR(Tabela14[[#This Row],[DATA]])</f>
        <v>2026</v>
      </c>
      <c r="D392" s="1">
        <f>MONTH(Tabela14[[#This Row],[DATA]])</f>
        <v>4</v>
      </c>
    </row>
    <row r="393" spans="1:4" x14ac:dyDescent="0.35">
      <c r="A393" s="2">
        <v>46120</v>
      </c>
      <c r="B393" s="1" t="s">
        <v>5</v>
      </c>
      <c r="C393" s="1">
        <f>YEAR(Tabela14[[#This Row],[DATA]])</f>
        <v>2026</v>
      </c>
      <c r="D393" s="1">
        <f>MONTH(Tabela14[[#This Row],[DATA]])</f>
        <v>4</v>
      </c>
    </row>
    <row r="394" spans="1:4" x14ac:dyDescent="0.35">
      <c r="A394" s="2">
        <v>46120</v>
      </c>
      <c r="B394" s="1" t="s">
        <v>33</v>
      </c>
      <c r="C394" s="1">
        <f>YEAR(Tabela14[[#This Row],[DATA]])</f>
        <v>2026</v>
      </c>
      <c r="D394" s="1">
        <f>MONTH(Tabela14[[#This Row],[DATA]])</f>
        <v>4</v>
      </c>
    </row>
    <row r="395" spans="1:4" x14ac:dyDescent="0.35">
      <c r="A395" s="2">
        <v>46120</v>
      </c>
      <c r="B395" s="1" t="s">
        <v>33</v>
      </c>
      <c r="C395" s="1">
        <f>YEAR(Tabela14[[#This Row],[DATA]])</f>
        <v>2026</v>
      </c>
      <c r="D395" s="1">
        <f>MONTH(Tabela14[[#This Row],[DATA]])</f>
        <v>4</v>
      </c>
    </row>
    <row r="396" spans="1:4" x14ac:dyDescent="0.35">
      <c r="A396" s="2">
        <v>46121</v>
      </c>
      <c r="B396" s="1" t="s">
        <v>83</v>
      </c>
      <c r="C396" s="1">
        <f>YEAR(Tabela14[[#This Row],[DATA]])</f>
        <v>2026</v>
      </c>
      <c r="D396" s="1">
        <f>MONTH(Tabela14[[#This Row],[DATA]])</f>
        <v>4</v>
      </c>
    </row>
    <row r="397" spans="1:4" x14ac:dyDescent="0.35">
      <c r="A397" s="2">
        <v>46121</v>
      </c>
      <c r="B397" s="1" t="s">
        <v>83</v>
      </c>
      <c r="C397" s="1">
        <f>YEAR(Tabela14[[#This Row],[DATA]])</f>
        <v>2026</v>
      </c>
      <c r="D397" s="1">
        <f>MONTH(Tabela14[[#This Row],[DATA]])</f>
        <v>4</v>
      </c>
    </row>
    <row r="398" spans="1:4" x14ac:dyDescent="0.35">
      <c r="A398" s="2">
        <v>46121</v>
      </c>
      <c r="B398" s="1" t="s">
        <v>33</v>
      </c>
      <c r="C398" s="1">
        <f>YEAR(Tabela14[[#This Row],[DATA]])</f>
        <v>2026</v>
      </c>
      <c r="D398" s="1">
        <f>MONTH(Tabela14[[#This Row],[DATA]])</f>
        <v>4</v>
      </c>
    </row>
    <row r="399" spans="1:4" x14ac:dyDescent="0.35">
      <c r="A399" s="2">
        <v>46121</v>
      </c>
      <c r="B399" s="1" t="s">
        <v>33</v>
      </c>
      <c r="C399" s="1">
        <f>YEAR(Tabela14[[#This Row],[DATA]])</f>
        <v>2026</v>
      </c>
      <c r="D399" s="1">
        <f>MONTH(Tabela14[[#This Row],[DATA]])</f>
        <v>4</v>
      </c>
    </row>
    <row r="400" spans="1:4" x14ac:dyDescent="0.35">
      <c r="A400" s="2">
        <v>46121</v>
      </c>
      <c r="B400" s="1" t="s">
        <v>33</v>
      </c>
      <c r="C400" s="1">
        <f>YEAR(Tabela14[[#This Row],[DATA]])</f>
        <v>2026</v>
      </c>
      <c r="D400" s="1">
        <f>MONTH(Tabela14[[#This Row],[DATA]])</f>
        <v>4</v>
      </c>
    </row>
    <row r="401" spans="1:4" x14ac:dyDescent="0.35">
      <c r="A401" s="2">
        <v>46121</v>
      </c>
      <c r="B401" s="1" t="s">
        <v>33</v>
      </c>
      <c r="C401" s="1">
        <f>YEAR(Tabela14[[#This Row],[DATA]])</f>
        <v>2026</v>
      </c>
      <c r="D401" s="1">
        <f>MONTH(Tabela14[[#This Row],[DATA]])</f>
        <v>4</v>
      </c>
    </row>
    <row r="402" spans="1:4" x14ac:dyDescent="0.35">
      <c r="A402" s="2">
        <v>46121</v>
      </c>
      <c r="B402" s="1" t="s">
        <v>83</v>
      </c>
      <c r="C402" s="1">
        <f>YEAR(Tabela14[[#This Row],[DATA]])</f>
        <v>2026</v>
      </c>
      <c r="D402" s="1">
        <f>MONTH(Tabela14[[#This Row],[DATA]])</f>
        <v>4</v>
      </c>
    </row>
    <row r="403" spans="1:4" x14ac:dyDescent="0.35">
      <c r="A403" s="2">
        <v>46121</v>
      </c>
      <c r="B403" s="1" t="s">
        <v>5</v>
      </c>
      <c r="C403" s="1">
        <f>YEAR(Tabela14[[#This Row],[DATA]])</f>
        <v>2026</v>
      </c>
      <c r="D403" s="1">
        <f>MONTH(Tabela14[[#This Row],[DATA]])</f>
        <v>4</v>
      </c>
    </row>
    <row r="404" spans="1:4" x14ac:dyDescent="0.35">
      <c r="A404" s="2">
        <v>46121</v>
      </c>
      <c r="B404" s="1" t="s">
        <v>5</v>
      </c>
      <c r="C404" s="1">
        <f>YEAR(Tabela14[[#This Row],[DATA]])</f>
        <v>2026</v>
      </c>
      <c r="D404" s="1">
        <f>MONTH(Tabela14[[#This Row],[DATA]])</f>
        <v>4</v>
      </c>
    </row>
    <row r="405" spans="1:4" x14ac:dyDescent="0.35">
      <c r="A405" s="2">
        <v>46121</v>
      </c>
      <c r="B405" s="1" t="s">
        <v>83</v>
      </c>
      <c r="C405" s="1">
        <f>YEAR(Tabela14[[#This Row],[DATA]])</f>
        <v>2026</v>
      </c>
      <c r="D405" s="1">
        <f>MONTH(Tabela14[[#This Row],[DATA]])</f>
        <v>4</v>
      </c>
    </row>
    <row r="406" spans="1:4" x14ac:dyDescent="0.35">
      <c r="A406" s="2">
        <v>46121</v>
      </c>
      <c r="B406" s="1" t="s">
        <v>83</v>
      </c>
      <c r="C406" s="1">
        <f>YEAR(Tabela14[[#This Row],[DATA]])</f>
        <v>2026</v>
      </c>
      <c r="D406" s="1">
        <f>MONTH(Tabela14[[#This Row],[DATA]])</f>
        <v>4</v>
      </c>
    </row>
    <row r="407" spans="1:4" x14ac:dyDescent="0.35">
      <c r="A407" s="2">
        <v>46122</v>
      </c>
      <c r="B407" s="1" t="s">
        <v>83</v>
      </c>
      <c r="C407" s="1">
        <f>YEAR(Tabela14[[#This Row],[DATA]])</f>
        <v>2026</v>
      </c>
      <c r="D407" s="1">
        <f>MONTH(Tabela14[[#This Row],[DATA]])</f>
        <v>4</v>
      </c>
    </row>
    <row r="408" spans="1:4" x14ac:dyDescent="0.35">
      <c r="A408" s="2">
        <v>46122</v>
      </c>
      <c r="B408" s="1" t="s">
        <v>83</v>
      </c>
      <c r="C408" s="1">
        <f>YEAR(Tabela14[[#This Row],[DATA]])</f>
        <v>2026</v>
      </c>
      <c r="D408" s="1">
        <f>MONTH(Tabela14[[#This Row],[DATA]])</f>
        <v>4</v>
      </c>
    </row>
    <row r="409" spans="1:4" x14ac:dyDescent="0.35">
      <c r="A409" s="2">
        <v>46122</v>
      </c>
      <c r="B409" s="1" t="s">
        <v>5</v>
      </c>
      <c r="C409" s="1">
        <f>YEAR(Tabela14[[#This Row],[DATA]])</f>
        <v>2026</v>
      </c>
      <c r="D409" s="1">
        <f>MONTH(Tabela14[[#This Row],[DATA]])</f>
        <v>4</v>
      </c>
    </row>
    <row r="410" spans="1:4" x14ac:dyDescent="0.35">
      <c r="A410" s="2">
        <v>46122</v>
      </c>
      <c r="B410" s="1" t="s">
        <v>83</v>
      </c>
      <c r="C410" s="1">
        <f>YEAR(Tabela14[[#This Row],[DATA]])</f>
        <v>2026</v>
      </c>
      <c r="D410" s="1">
        <f>MONTH(Tabela14[[#This Row],[DATA]])</f>
        <v>4</v>
      </c>
    </row>
    <row r="411" spans="1:4" x14ac:dyDescent="0.35">
      <c r="A411" s="2">
        <v>46125</v>
      </c>
      <c r="B411" s="1" t="s">
        <v>5</v>
      </c>
      <c r="C411" s="1">
        <f>YEAR(Tabela14[[#This Row],[DATA]])</f>
        <v>2026</v>
      </c>
      <c r="D411" s="1">
        <f>MONTH(Tabela14[[#This Row],[DATA]])</f>
        <v>4</v>
      </c>
    </row>
    <row r="412" spans="1:4" x14ac:dyDescent="0.35">
      <c r="A412" s="2">
        <v>46125</v>
      </c>
      <c r="B412" s="1" t="s">
        <v>5</v>
      </c>
      <c r="C412" s="1">
        <f>YEAR(Tabela14[[#This Row],[DATA]])</f>
        <v>2026</v>
      </c>
      <c r="D412" s="1">
        <f>MONTH(Tabela14[[#This Row],[DATA]])</f>
        <v>4</v>
      </c>
    </row>
    <row r="413" spans="1:4" x14ac:dyDescent="0.35">
      <c r="A413" s="2">
        <v>46125</v>
      </c>
      <c r="B413" s="1" t="s">
        <v>5</v>
      </c>
      <c r="C413" s="1">
        <f>YEAR(Tabela14[[#This Row],[DATA]])</f>
        <v>2026</v>
      </c>
      <c r="D413" s="1">
        <f>MONTH(Tabela14[[#This Row],[DATA]])</f>
        <v>4</v>
      </c>
    </row>
    <row r="414" spans="1:4" x14ac:dyDescent="0.35">
      <c r="A414" s="2">
        <v>46125</v>
      </c>
      <c r="B414" s="1" t="s">
        <v>22</v>
      </c>
      <c r="C414" s="1">
        <f>YEAR(Tabela14[[#This Row],[DATA]])</f>
        <v>2026</v>
      </c>
      <c r="D414" s="1">
        <f>MONTH(Tabela14[[#This Row],[DATA]])</f>
        <v>4</v>
      </c>
    </row>
    <row r="415" spans="1:4" x14ac:dyDescent="0.35">
      <c r="A415" s="2">
        <v>46125</v>
      </c>
      <c r="B415" s="1" t="s">
        <v>22</v>
      </c>
      <c r="C415" s="1">
        <f>YEAR(Tabela14[[#This Row],[DATA]])</f>
        <v>2026</v>
      </c>
      <c r="D415" s="1">
        <f>MONTH(Tabela14[[#This Row],[DATA]])</f>
        <v>4</v>
      </c>
    </row>
    <row r="416" spans="1:4" x14ac:dyDescent="0.35">
      <c r="A416" s="2">
        <v>46125</v>
      </c>
      <c r="B416" s="1" t="s">
        <v>83</v>
      </c>
      <c r="C416" s="1">
        <f>YEAR(Tabela14[[#This Row],[DATA]])</f>
        <v>2026</v>
      </c>
      <c r="D416" s="1">
        <f>MONTH(Tabela14[[#This Row],[DATA]])</f>
        <v>4</v>
      </c>
    </row>
    <row r="417" spans="1:4" x14ac:dyDescent="0.35">
      <c r="A417" s="2">
        <v>46125</v>
      </c>
      <c r="B417" s="1" t="s">
        <v>83</v>
      </c>
      <c r="C417" s="1">
        <f>YEAR(Tabela14[[#This Row],[DATA]])</f>
        <v>2026</v>
      </c>
      <c r="D417" s="1">
        <f>MONTH(Tabela14[[#This Row],[DATA]])</f>
        <v>4</v>
      </c>
    </row>
    <row r="418" spans="1:4" x14ac:dyDescent="0.35">
      <c r="A418" s="2">
        <v>46125</v>
      </c>
      <c r="B418" s="1" t="s">
        <v>83</v>
      </c>
      <c r="C418" s="1">
        <f>YEAR(Tabela14[[#This Row],[DATA]])</f>
        <v>2026</v>
      </c>
      <c r="D418" s="1">
        <f>MONTH(Tabela14[[#This Row],[DATA]])</f>
        <v>4</v>
      </c>
    </row>
    <row r="419" spans="1:4" x14ac:dyDescent="0.35">
      <c r="A419" s="2">
        <v>46125</v>
      </c>
      <c r="B419" s="1" t="s">
        <v>83</v>
      </c>
      <c r="C419" s="1">
        <f>YEAR(Tabela14[[#This Row],[DATA]])</f>
        <v>2026</v>
      </c>
      <c r="D419" s="1">
        <f>MONTH(Tabela14[[#This Row],[DATA]])</f>
        <v>4</v>
      </c>
    </row>
    <row r="420" spans="1:4" x14ac:dyDescent="0.35">
      <c r="A420" s="2">
        <v>46125</v>
      </c>
      <c r="B420" s="1" t="s">
        <v>83</v>
      </c>
      <c r="C420" s="1">
        <f>YEAR(Tabela14[[#This Row],[DATA]])</f>
        <v>2026</v>
      </c>
      <c r="D420" s="1">
        <f>MONTH(Tabela14[[#This Row],[DATA]])</f>
        <v>4</v>
      </c>
    </row>
    <row r="421" spans="1:4" x14ac:dyDescent="0.35">
      <c r="A421" s="2">
        <v>46126</v>
      </c>
      <c r="B421" s="1" t="s">
        <v>24</v>
      </c>
      <c r="C421" s="1">
        <f>YEAR(Tabela14[[#This Row],[DATA]])</f>
        <v>2026</v>
      </c>
      <c r="D421" s="1">
        <f>MONTH(Tabela14[[#This Row],[DATA]])</f>
        <v>4</v>
      </c>
    </row>
    <row r="422" spans="1:4" x14ac:dyDescent="0.35">
      <c r="A422" s="2">
        <v>46126</v>
      </c>
      <c r="B422" s="1" t="s">
        <v>24</v>
      </c>
      <c r="C422" s="1">
        <f>YEAR(Tabela14[[#This Row],[DATA]])</f>
        <v>2026</v>
      </c>
      <c r="D422" s="1">
        <f>MONTH(Tabela14[[#This Row],[DATA]])</f>
        <v>4</v>
      </c>
    </row>
    <row r="423" spans="1:4" x14ac:dyDescent="0.35">
      <c r="A423" s="2">
        <v>46126</v>
      </c>
      <c r="B423" s="1" t="s">
        <v>24</v>
      </c>
      <c r="C423" s="1">
        <f>YEAR(Tabela14[[#This Row],[DATA]])</f>
        <v>2026</v>
      </c>
      <c r="D423" s="1">
        <f>MONTH(Tabela14[[#This Row],[DATA]])</f>
        <v>4</v>
      </c>
    </row>
    <row r="424" spans="1:4" x14ac:dyDescent="0.35">
      <c r="A424" s="2">
        <v>46126</v>
      </c>
      <c r="B424" s="1" t="s">
        <v>24</v>
      </c>
      <c r="C424" s="1">
        <f>YEAR(Tabela14[[#This Row],[DATA]])</f>
        <v>2026</v>
      </c>
      <c r="D424" s="1">
        <f>MONTH(Tabela14[[#This Row],[DATA]])</f>
        <v>4</v>
      </c>
    </row>
    <row r="425" spans="1:4" x14ac:dyDescent="0.35">
      <c r="A425" s="2">
        <v>46126</v>
      </c>
      <c r="B425" s="1" t="s">
        <v>24</v>
      </c>
      <c r="C425" s="1">
        <f>YEAR(Tabela14[[#This Row],[DATA]])</f>
        <v>2026</v>
      </c>
      <c r="D425" s="1">
        <f>MONTH(Tabela14[[#This Row],[DATA]])</f>
        <v>4</v>
      </c>
    </row>
    <row r="426" spans="1:4" x14ac:dyDescent="0.35">
      <c r="A426" s="2">
        <v>46126</v>
      </c>
      <c r="B426" s="1" t="s">
        <v>24</v>
      </c>
      <c r="C426" s="1">
        <f>YEAR(Tabela14[[#This Row],[DATA]])</f>
        <v>2026</v>
      </c>
      <c r="D426" s="1">
        <f>MONTH(Tabela14[[#This Row],[DATA]])</f>
        <v>4</v>
      </c>
    </row>
    <row r="427" spans="1:4" x14ac:dyDescent="0.35">
      <c r="A427" s="2">
        <v>46126</v>
      </c>
      <c r="B427" s="1" t="s">
        <v>24</v>
      </c>
      <c r="C427" s="1">
        <f>YEAR(Tabela14[[#This Row],[DATA]])</f>
        <v>2026</v>
      </c>
      <c r="D427" s="1">
        <f>MONTH(Tabela14[[#This Row],[DATA]])</f>
        <v>4</v>
      </c>
    </row>
    <row r="428" spans="1:4" x14ac:dyDescent="0.35">
      <c r="A428" s="2">
        <v>46126</v>
      </c>
      <c r="B428" s="1" t="s">
        <v>83</v>
      </c>
      <c r="C428" s="1">
        <f>YEAR(Tabela14[[#This Row],[DATA]])</f>
        <v>2026</v>
      </c>
      <c r="D428" s="1">
        <f>MONTH(Tabela14[[#This Row],[DATA]])</f>
        <v>4</v>
      </c>
    </row>
    <row r="429" spans="1:4" x14ac:dyDescent="0.35">
      <c r="A429" s="2">
        <v>46126</v>
      </c>
      <c r="B429" s="1" t="s">
        <v>83</v>
      </c>
      <c r="C429" s="1">
        <f>YEAR(Tabela14[[#This Row],[DATA]])</f>
        <v>2026</v>
      </c>
      <c r="D429" s="1">
        <f>MONTH(Tabela14[[#This Row],[DATA]])</f>
        <v>4</v>
      </c>
    </row>
    <row r="430" spans="1:4" x14ac:dyDescent="0.35">
      <c r="A430" s="2">
        <v>46126</v>
      </c>
      <c r="B430" s="1" t="s">
        <v>33</v>
      </c>
      <c r="C430" s="1">
        <f>YEAR(Tabela14[[#This Row],[DATA]])</f>
        <v>2026</v>
      </c>
      <c r="D430" s="1">
        <f>MONTH(Tabela14[[#This Row],[DATA]])</f>
        <v>4</v>
      </c>
    </row>
    <row r="431" spans="1:4" x14ac:dyDescent="0.35">
      <c r="A431" s="2">
        <v>46126</v>
      </c>
      <c r="B431" s="1" t="s">
        <v>33</v>
      </c>
      <c r="C431" s="1">
        <f>YEAR(Tabela14[[#This Row],[DATA]])</f>
        <v>2026</v>
      </c>
      <c r="D431" s="1">
        <f>MONTH(Tabela14[[#This Row],[DATA]])</f>
        <v>4</v>
      </c>
    </row>
    <row r="432" spans="1:4" x14ac:dyDescent="0.35">
      <c r="A432" s="2">
        <v>46126</v>
      </c>
      <c r="B432" s="1" t="s">
        <v>33</v>
      </c>
      <c r="C432" s="1">
        <f>YEAR(Tabela14[[#This Row],[DATA]])</f>
        <v>2026</v>
      </c>
      <c r="D432" s="1">
        <f>MONTH(Tabela14[[#This Row],[DATA]])</f>
        <v>4</v>
      </c>
    </row>
    <row r="433" spans="1:4" x14ac:dyDescent="0.35">
      <c r="A433" s="2">
        <v>46126</v>
      </c>
      <c r="B433" s="1" t="s">
        <v>33</v>
      </c>
      <c r="C433" s="1">
        <f>YEAR(Tabela14[[#This Row],[DATA]])</f>
        <v>2026</v>
      </c>
      <c r="D433" s="1">
        <f>MONTH(Tabela14[[#This Row],[DATA]])</f>
        <v>4</v>
      </c>
    </row>
    <row r="434" spans="1:4" x14ac:dyDescent="0.35">
      <c r="A434" s="2">
        <v>46126</v>
      </c>
      <c r="B434" s="1" t="s">
        <v>83</v>
      </c>
      <c r="C434" s="1">
        <f>YEAR(Tabela14[[#This Row],[DATA]])</f>
        <v>2026</v>
      </c>
      <c r="D434" s="1">
        <f>MONTH(Tabela14[[#This Row],[DATA]])</f>
        <v>4</v>
      </c>
    </row>
    <row r="435" spans="1:4" x14ac:dyDescent="0.35">
      <c r="A435" s="2">
        <v>46126</v>
      </c>
      <c r="B435" s="1" t="s">
        <v>83</v>
      </c>
      <c r="C435" s="1">
        <f>YEAR(Tabela14[[#This Row],[DATA]])</f>
        <v>2026</v>
      </c>
      <c r="D435" s="1">
        <f>MONTH(Tabela14[[#This Row],[DATA]])</f>
        <v>4</v>
      </c>
    </row>
    <row r="436" spans="1:4" x14ac:dyDescent="0.35">
      <c r="A436" s="2">
        <v>46126</v>
      </c>
      <c r="B436" s="1" t="s">
        <v>83</v>
      </c>
      <c r="C436" s="1">
        <f>YEAR(Tabela14[[#This Row],[DATA]])</f>
        <v>2026</v>
      </c>
      <c r="D436" s="1">
        <f>MONTH(Tabela14[[#This Row],[DATA]])</f>
        <v>4</v>
      </c>
    </row>
    <row r="437" spans="1:4" x14ac:dyDescent="0.35">
      <c r="A437" s="2">
        <v>46126</v>
      </c>
      <c r="B437" s="1" t="s">
        <v>83</v>
      </c>
      <c r="C437" s="1">
        <f>YEAR(Tabela14[[#This Row],[DATA]])</f>
        <v>2026</v>
      </c>
      <c r="D437" s="1">
        <f>MONTH(Tabela14[[#This Row],[DATA]])</f>
        <v>4</v>
      </c>
    </row>
    <row r="438" spans="1:4" x14ac:dyDescent="0.35">
      <c r="A438" s="2">
        <v>46126</v>
      </c>
      <c r="B438" s="1" t="s">
        <v>83</v>
      </c>
      <c r="C438" s="1">
        <f>YEAR(Tabela14[[#This Row],[DATA]])</f>
        <v>2026</v>
      </c>
      <c r="D438" s="1">
        <f>MONTH(Tabela14[[#This Row],[DATA]])</f>
        <v>4</v>
      </c>
    </row>
    <row r="439" spans="1:4" x14ac:dyDescent="0.35">
      <c r="A439" s="2">
        <v>46126</v>
      </c>
      <c r="B439" s="1" t="s">
        <v>83</v>
      </c>
      <c r="C439" s="1">
        <f>YEAR(Tabela14[[#This Row],[DATA]])</f>
        <v>2026</v>
      </c>
      <c r="D439" s="1">
        <f>MONTH(Tabela14[[#This Row],[DATA]])</f>
        <v>4</v>
      </c>
    </row>
    <row r="440" spans="1:4" x14ac:dyDescent="0.35">
      <c r="A440" s="2">
        <v>46126</v>
      </c>
      <c r="B440" s="1" t="s">
        <v>83</v>
      </c>
      <c r="C440" s="1">
        <f>YEAR(Tabela14[[#This Row],[DATA]])</f>
        <v>2026</v>
      </c>
      <c r="D440" s="1">
        <f>MONTH(Tabela14[[#This Row],[DATA]])</f>
        <v>4</v>
      </c>
    </row>
    <row r="441" spans="1:4" x14ac:dyDescent="0.35">
      <c r="A441" s="2">
        <v>46126</v>
      </c>
      <c r="B441" s="1" t="s">
        <v>83</v>
      </c>
      <c r="C441" s="1">
        <f>YEAR(Tabela14[[#This Row],[DATA]])</f>
        <v>2026</v>
      </c>
      <c r="D441" s="1">
        <f>MONTH(Tabela14[[#This Row],[DATA]])</f>
        <v>4</v>
      </c>
    </row>
    <row r="442" spans="1:4" x14ac:dyDescent="0.35">
      <c r="A442" s="2">
        <v>46126</v>
      </c>
      <c r="B442" s="1" t="s">
        <v>83</v>
      </c>
      <c r="C442" s="1">
        <f>YEAR(Tabela14[[#This Row],[DATA]])</f>
        <v>2026</v>
      </c>
      <c r="D442" s="1">
        <f>MONTH(Tabela14[[#This Row],[DATA]])</f>
        <v>4</v>
      </c>
    </row>
    <row r="443" spans="1:4" x14ac:dyDescent="0.35">
      <c r="A443" s="2">
        <v>46126</v>
      </c>
      <c r="B443" s="1" t="s">
        <v>5</v>
      </c>
      <c r="C443" s="1">
        <f>YEAR(Tabela14[[#This Row],[DATA]])</f>
        <v>2026</v>
      </c>
      <c r="D443" s="1">
        <f>MONTH(Tabela14[[#This Row],[DATA]])</f>
        <v>4</v>
      </c>
    </row>
    <row r="444" spans="1:4" x14ac:dyDescent="0.35">
      <c r="A444" s="2">
        <v>46126</v>
      </c>
      <c r="B444" s="1" t="s">
        <v>83</v>
      </c>
      <c r="C444" s="1">
        <f>YEAR(Tabela14[[#This Row],[DATA]])</f>
        <v>2026</v>
      </c>
      <c r="D444" s="1">
        <f>MONTH(Tabela14[[#This Row],[DATA]])</f>
        <v>4</v>
      </c>
    </row>
    <row r="445" spans="1:4" x14ac:dyDescent="0.35">
      <c r="A445" s="2">
        <v>46127</v>
      </c>
      <c r="B445" s="1" t="s">
        <v>5</v>
      </c>
      <c r="C445" s="1">
        <f>YEAR(Tabela14[[#This Row],[DATA]])</f>
        <v>2026</v>
      </c>
      <c r="D445" s="1">
        <f>MONTH(Tabela14[[#This Row],[DATA]])</f>
        <v>4</v>
      </c>
    </row>
    <row r="446" spans="1:4" x14ac:dyDescent="0.35">
      <c r="A446" s="2">
        <v>46127</v>
      </c>
      <c r="B446" s="1" t="s">
        <v>5</v>
      </c>
      <c r="C446" s="1">
        <f>YEAR(Tabela14[[#This Row],[DATA]])</f>
        <v>2026</v>
      </c>
      <c r="D446" s="1">
        <f>MONTH(Tabela14[[#This Row],[DATA]])</f>
        <v>4</v>
      </c>
    </row>
    <row r="447" spans="1:4" x14ac:dyDescent="0.35">
      <c r="A447" s="2">
        <v>46127</v>
      </c>
      <c r="B447" s="1" t="s">
        <v>5</v>
      </c>
      <c r="C447" s="1">
        <f>YEAR(Tabela14[[#This Row],[DATA]])</f>
        <v>2026</v>
      </c>
      <c r="D447" s="1">
        <f>MONTH(Tabela14[[#This Row],[DATA]])</f>
        <v>4</v>
      </c>
    </row>
    <row r="448" spans="1:4" x14ac:dyDescent="0.35">
      <c r="A448" s="2">
        <v>46127</v>
      </c>
      <c r="B448" s="1" t="s">
        <v>83</v>
      </c>
      <c r="C448" s="1">
        <f>YEAR(Tabela14[[#This Row],[DATA]])</f>
        <v>2026</v>
      </c>
      <c r="D448" s="1">
        <f>MONTH(Tabela14[[#This Row],[DATA]])</f>
        <v>4</v>
      </c>
    </row>
    <row r="449" spans="1:4" x14ac:dyDescent="0.35">
      <c r="A449" s="2">
        <v>46127</v>
      </c>
      <c r="B449" s="1" t="s">
        <v>83</v>
      </c>
      <c r="C449" s="1">
        <f>YEAR(Tabela14[[#This Row],[DATA]])</f>
        <v>2026</v>
      </c>
      <c r="D449" s="1">
        <f>MONTH(Tabela14[[#This Row],[DATA]])</f>
        <v>4</v>
      </c>
    </row>
    <row r="450" spans="1:4" x14ac:dyDescent="0.35">
      <c r="A450" s="2">
        <v>46127</v>
      </c>
      <c r="B450" s="1" t="s">
        <v>5</v>
      </c>
      <c r="C450" s="1">
        <f>YEAR(Tabela14[[#This Row],[DATA]])</f>
        <v>2026</v>
      </c>
      <c r="D450" s="1">
        <f>MONTH(Tabela14[[#This Row],[DATA]])</f>
        <v>4</v>
      </c>
    </row>
    <row r="451" spans="1:4" x14ac:dyDescent="0.35">
      <c r="A451" s="2">
        <v>46128</v>
      </c>
      <c r="B451" s="1" t="s">
        <v>24</v>
      </c>
      <c r="C451" s="1">
        <f>YEAR(Tabela14[[#This Row],[DATA]])</f>
        <v>2026</v>
      </c>
      <c r="D451" s="1">
        <f>MONTH(Tabela14[[#This Row],[DATA]])</f>
        <v>4</v>
      </c>
    </row>
    <row r="452" spans="1:4" x14ac:dyDescent="0.35">
      <c r="A452" s="2">
        <v>46128</v>
      </c>
      <c r="B452" s="1" t="s">
        <v>24</v>
      </c>
      <c r="C452" s="1">
        <f>YEAR(Tabela14[[#This Row],[DATA]])</f>
        <v>2026</v>
      </c>
      <c r="D452" s="1">
        <f>MONTH(Tabela14[[#This Row],[DATA]])</f>
        <v>4</v>
      </c>
    </row>
    <row r="453" spans="1:4" x14ac:dyDescent="0.35">
      <c r="A453" s="2">
        <v>46128</v>
      </c>
      <c r="B453" s="1" t="s">
        <v>24</v>
      </c>
      <c r="C453" s="1">
        <f>YEAR(Tabela14[[#This Row],[DATA]])</f>
        <v>2026</v>
      </c>
      <c r="D453" s="1">
        <f>MONTH(Tabela14[[#This Row],[DATA]])</f>
        <v>4</v>
      </c>
    </row>
    <row r="454" spans="1:4" x14ac:dyDescent="0.35">
      <c r="A454" s="2">
        <v>46128</v>
      </c>
      <c r="B454" s="1" t="s">
        <v>24</v>
      </c>
      <c r="C454" s="1">
        <f>YEAR(Tabela14[[#This Row],[DATA]])</f>
        <v>2026</v>
      </c>
      <c r="D454" s="1">
        <f>MONTH(Tabela14[[#This Row],[DATA]])</f>
        <v>4</v>
      </c>
    </row>
    <row r="455" spans="1:4" x14ac:dyDescent="0.35">
      <c r="A455" s="2">
        <v>46128</v>
      </c>
      <c r="B455" s="1" t="s">
        <v>33</v>
      </c>
      <c r="C455" s="1">
        <f>YEAR(Tabela14[[#This Row],[DATA]])</f>
        <v>2026</v>
      </c>
      <c r="D455" s="1">
        <f>MONTH(Tabela14[[#This Row],[DATA]])</f>
        <v>4</v>
      </c>
    </row>
    <row r="456" spans="1:4" x14ac:dyDescent="0.35">
      <c r="A456" s="2">
        <v>46128</v>
      </c>
      <c r="B456" s="1" t="s">
        <v>33</v>
      </c>
      <c r="C456" s="1">
        <f>YEAR(Tabela14[[#This Row],[DATA]])</f>
        <v>2026</v>
      </c>
      <c r="D456" s="1">
        <f>MONTH(Tabela14[[#This Row],[DATA]])</f>
        <v>4</v>
      </c>
    </row>
    <row r="457" spans="1:4" x14ac:dyDescent="0.35">
      <c r="A457" s="2">
        <v>46128</v>
      </c>
      <c r="B457" s="1" t="s">
        <v>33</v>
      </c>
      <c r="C457" s="1">
        <f>YEAR(Tabela14[[#This Row],[DATA]])</f>
        <v>2026</v>
      </c>
      <c r="D457" s="1">
        <f>MONTH(Tabela14[[#This Row],[DATA]])</f>
        <v>4</v>
      </c>
    </row>
    <row r="458" spans="1:4" x14ac:dyDescent="0.35">
      <c r="A458" s="2">
        <v>46128</v>
      </c>
      <c r="B458" s="1" t="s">
        <v>83</v>
      </c>
      <c r="C458" s="1">
        <f>YEAR(Tabela14[[#This Row],[DATA]])</f>
        <v>2026</v>
      </c>
      <c r="D458" s="1">
        <f>MONTH(Tabela14[[#This Row],[DATA]])</f>
        <v>4</v>
      </c>
    </row>
    <row r="459" spans="1:4" x14ac:dyDescent="0.35">
      <c r="A459" s="2">
        <v>46128</v>
      </c>
      <c r="B459" s="1" t="s">
        <v>83</v>
      </c>
      <c r="C459" s="1">
        <f>YEAR(Tabela14[[#This Row],[DATA]])</f>
        <v>2026</v>
      </c>
      <c r="D459" s="1">
        <f>MONTH(Tabela14[[#This Row],[DATA]])</f>
        <v>4</v>
      </c>
    </row>
    <row r="460" spans="1:4" x14ac:dyDescent="0.35">
      <c r="A460" s="2">
        <v>46128</v>
      </c>
      <c r="B460" s="1" t="s">
        <v>5</v>
      </c>
      <c r="C460" s="1">
        <f>YEAR(Tabela14[[#This Row],[DATA]])</f>
        <v>2026</v>
      </c>
      <c r="D460" s="1">
        <f>MONTH(Tabela14[[#This Row],[DATA]])</f>
        <v>4</v>
      </c>
    </row>
    <row r="461" spans="1:4" x14ac:dyDescent="0.35">
      <c r="A461" s="2">
        <v>46128</v>
      </c>
      <c r="B461" s="1" t="s">
        <v>5</v>
      </c>
      <c r="C461" s="1">
        <f>YEAR(Tabela14[[#This Row],[DATA]])</f>
        <v>2026</v>
      </c>
      <c r="D461" s="1">
        <f>MONTH(Tabela14[[#This Row],[DATA]])</f>
        <v>4</v>
      </c>
    </row>
    <row r="462" spans="1:4" x14ac:dyDescent="0.35">
      <c r="A462" s="2">
        <v>46128</v>
      </c>
      <c r="B462" s="1" t="s">
        <v>33</v>
      </c>
      <c r="C462" s="1">
        <f>YEAR(Tabela14[[#This Row],[DATA]])</f>
        <v>2026</v>
      </c>
      <c r="D462" s="1">
        <f>MONTH(Tabela14[[#This Row],[DATA]])</f>
        <v>4</v>
      </c>
    </row>
    <row r="463" spans="1:4" x14ac:dyDescent="0.35">
      <c r="A463" s="2">
        <v>46128</v>
      </c>
      <c r="B463" s="1" t="s">
        <v>83</v>
      </c>
      <c r="C463" s="1">
        <f>YEAR(Tabela14[[#This Row],[DATA]])</f>
        <v>2026</v>
      </c>
      <c r="D463" s="1">
        <f>MONTH(Tabela14[[#This Row],[DATA]])</f>
        <v>4</v>
      </c>
    </row>
    <row r="464" spans="1:4" x14ac:dyDescent="0.35">
      <c r="A464" s="2">
        <v>46128</v>
      </c>
      <c r="B464" s="1" t="s">
        <v>83</v>
      </c>
      <c r="C464" s="1">
        <f>YEAR(Tabela14[[#This Row],[DATA]])</f>
        <v>2026</v>
      </c>
      <c r="D464" s="1">
        <f>MONTH(Tabela14[[#This Row],[DATA]])</f>
        <v>4</v>
      </c>
    </row>
    <row r="465" spans="1:4" x14ac:dyDescent="0.35">
      <c r="A465" s="2">
        <v>46128</v>
      </c>
      <c r="B465" s="1" t="s">
        <v>83</v>
      </c>
      <c r="C465" s="1">
        <f>YEAR(Tabela14[[#This Row],[DATA]])</f>
        <v>2026</v>
      </c>
      <c r="D465" s="1">
        <f>MONTH(Tabela14[[#This Row],[DATA]])</f>
        <v>4</v>
      </c>
    </row>
    <row r="466" spans="1:4" x14ac:dyDescent="0.35">
      <c r="A466" s="2">
        <v>46128</v>
      </c>
      <c r="B466" s="1" t="s">
        <v>83</v>
      </c>
      <c r="C466" s="1">
        <f>YEAR(Tabela14[[#This Row],[DATA]])</f>
        <v>2026</v>
      </c>
      <c r="D466" s="1">
        <f>MONTH(Tabela14[[#This Row],[DATA]])</f>
        <v>4</v>
      </c>
    </row>
    <row r="467" spans="1:4" x14ac:dyDescent="0.35">
      <c r="A467" s="2">
        <v>46128</v>
      </c>
      <c r="B467" s="1" t="s">
        <v>83</v>
      </c>
      <c r="C467" s="1">
        <f>YEAR(Tabela14[[#This Row],[DATA]])</f>
        <v>2026</v>
      </c>
      <c r="D467" s="1">
        <f>MONTH(Tabela14[[#This Row],[DATA]])</f>
        <v>4</v>
      </c>
    </row>
    <row r="468" spans="1:4" x14ac:dyDescent="0.35">
      <c r="A468" s="2">
        <v>46128</v>
      </c>
      <c r="B468" s="1" t="s">
        <v>83</v>
      </c>
      <c r="C468" s="1">
        <f>YEAR(Tabela14[[#This Row],[DATA]])</f>
        <v>2026</v>
      </c>
      <c r="D468" s="1">
        <f>MONTH(Tabela14[[#This Row],[DATA]])</f>
        <v>4</v>
      </c>
    </row>
    <row r="469" spans="1:4" x14ac:dyDescent="0.35">
      <c r="A469" s="2">
        <v>46128</v>
      </c>
      <c r="B469" s="1" t="s">
        <v>83</v>
      </c>
      <c r="C469" s="1">
        <f>YEAR(Tabela14[[#This Row],[DATA]])</f>
        <v>2026</v>
      </c>
      <c r="D469" s="1">
        <f>MONTH(Tabela14[[#This Row],[DATA]])</f>
        <v>4</v>
      </c>
    </row>
    <row r="470" spans="1:4" x14ac:dyDescent="0.35">
      <c r="A470" s="2">
        <v>46129</v>
      </c>
      <c r="B470" s="1" t="s">
        <v>83</v>
      </c>
      <c r="C470" s="1">
        <f>YEAR(Tabela14[[#This Row],[DATA]])</f>
        <v>2026</v>
      </c>
      <c r="D470" s="1">
        <f>MONTH(Tabela14[[#This Row],[DATA]])</f>
        <v>4</v>
      </c>
    </row>
    <row r="471" spans="1:4" x14ac:dyDescent="0.35">
      <c r="A471" s="2">
        <v>46129</v>
      </c>
      <c r="B471" s="1" t="s">
        <v>83</v>
      </c>
      <c r="C471" s="1">
        <f>YEAR(Tabela14[[#This Row],[DATA]])</f>
        <v>2026</v>
      </c>
      <c r="D471" s="1">
        <f>MONTH(Tabela14[[#This Row],[DATA]])</f>
        <v>4</v>
      </c>
    </row>
    <row r="472" spans="1:4" x14ac:dyDescent="0.35">
      <c r="A472" s="2">
        <v>46129</v>
      </c>
      <c r="B472" s="1" t="s">
        <v>22</v>
      </c>
      <c r="C472" s="1">
        <f>YEAR(Tabela14[[#This Row],[DATA]])</f>
        <v>2026</v>
      </c>
      <c r="D472" s="1">
        <f>MONTH(Tabela14[[#This Row],[DATA]])</f>
        <v>4</v>
      </c>
    </row>
    <row r="473" spans="1:4" x14ac:dyDescent="0.35">
      <c r="A473" s="2">
        <v>46129</v>
      </c>
      <c r="B473" s="1" t="s">
        <v>22</v>
      </c>
      <c r="C473" s="1">
        <f>YEAR(Tabela14[[#This Row],[DATA]])</f>
        <v>2026</v>
      </c>
      <c r="D473" s="1">
        <f>MONTH(Tabela14[[#This Row],[DATA]])</f>
        <v>4</v>
      </c>
    </row>
    <row r="474" spans="1:4" x14ac:dyDescent="0.35">
      <c r="A474" s="2">
        <v>46129</v>
      </c>
      <c r="B474" s="1" t="s">
        <v>22</v>
      </c>
      <c r="C474" s="1">
        <f>YEAR(Tabela14[[#This Row],[DATA]])</f>
        <v>2026</v>
      </c>
      <c r="D474" s="1">
        <f>MONTH(Tabela14[[#This Row],[DATA]])</f>
        <v>4</v>
      </c>
    </row>
    <row r="475" spans="1:4" x14ac:dyDescent="0.35">
      <c r="A475" s="2">
        <v>46129</v>
      </c>
      <c r="B475" s="1" t="s">
        <v>22</v>
      </c>
      <c r="C475" s="1">
        <f>YEAR(Tabela14[[#This Row],[DATA]])</f>
        <v>2026</v>
      </c>
      <c r="D475" s="1">
        <f>MONTH(Tabela14[[#This Row],[DATA]])</f>
        <v>4</v>
      </c>
    </row>
    <row r="476" spans="1:4" x14ac:dyDescent="0.35">
      <c r="A476" s="2">
        <v>46129</v>
      </c>
      <c r="B476" s="1" t="s">
        <v>22</v>
      </c>
      <c r="C476" s="1">
        <f>YEAR(Tabela14[[#This Row],[DATA]])</f>
        <v>2026</v>
      </c>
      <c r="D476" s="1">
        <f>MONTH(Tabela14[[#This Row],[DATA]])</f>
        <v>4</v>
      </c>
    </row>
    <row r="477" spans="1:4" x14ac:dyDescent="0.35">
      <c r="A477" s="2">
        <v>46129</v>
      </c>
      <c r="B477" s="1" t="s">
        <v>9</v>
      </c>
      <c r="C477" s="1">
        <f>YEAR(Tabela14[[#This Row],[DATA]])</f>
        <v>2026</v>
      </c>
      <c r="D477" s="1">
        <f>MONTH(Tabela14[[#This Row],[DATA]])</f>
        <v>4</v>
      </c>
    </row>
    <row r="478" spans="1:4" x14ac:dyDescent="0.35">
      <c r="A478" s="2">
        <v>46129</v>
      </c>
      <c r="B478" s="1" t="s">
        <v>9</v>
      </c>
      <c r="C478" s="1">
        <f>YEAR(Tabela14[[#This Row],[DATA]])</f>
        <v>2026</v>
      </c>
      <c r="D478" s="1">
        <f>MONTH(Tabela14[[#This Row],[DATA]])</f>
        <v>4</v>
      </c>
    </row>
    <row r="479" spans="1:4" x14ac:dyDescent="0.35">
      <c r="A479" s="2">
        <v>46129</v>
      </c>
      <c r="B479" s="1" t="s">
        <v>5</v>
      </c>
      <c r="C479" s="1">
        <f>YEAR(Tabela14[[#This Row],[DATA]])</f>
        <v>2026</v>
      </c>
      <c r="D479" s="1">
        <f>MONTH(Tabela14[[#This Row],[DATA]])</f>
        <v>4</v>
      </c>
    </row>
    <row r="480" spans="1:4" x14ac:dyDescent="0.35">
      <c r="A480" s="2">
        <v>46132</v>
      </c>
      <c r="B480" s="1" t="s">
        <v>5</v>
      </c>
      <c r="C480" s="1">
        <f>YEAR(Tabela14[[#This Row],[DATA]])</f>
        <v>2026</v>
      </c>
      <c r="D480" s="1">
        <f>MONTH(Tabela14[[#This Row],[DATA]])</f>
        <v>4</v>
      </c>
    </row>
    <row r="481" spans="1:4" x14ac:dyDescent="0.35">
      <c r="A481" s="2">
        <v>46132</v>
      </c>
      <c r="B481" s="1" t="s">
        <v>33</v>
      </c>
      <c r="C481" s="1">
        <f>YEAR(Tabela14[[#This Row],[DATA]])</f>
        <v>2026</v>
      </c>
      <c r="D481" s="1">
        <f>MONTH(Tabela14[[#This Row],[DATA]])</f>
        <v>4</v>
      </c>
    </row>
    <row r="482" spans="1:4" x14ac:dyDescent="0.35">
      <c r="A482" s="2">
        <v>46132</v>
      </c>
      <c r="B482" s="1" t="s">
        <v>5</v>
      </c>
      <c r="C482" s="1">
        <f>YEAR(Tabela14[[#This Row],[DATA]])</f>
        <v>2026</v>
      </c>
      <c r="D482" s="1">
        <f>MONTH(Tabela14[[#This Row],[DATA]])</f>
        <v>4</v>
      </c>
    </row>
    <row r="483" spans="1:4" x14ac:dyDescent="0.35">
      <c r="A483" s="2">
        <v>46132</v>
      </c>
      <c r="B483" s="1" t="s">
        <v>22</v>
      </c>
      <c r="C483" s="1">
        <f>YEAR(Tabela14[[#This Row],[DATA]])</f>
        <v>2026</v>
      </c>
      <c r="D483" s="1">
        <f>MONTH(Tabela14[[#This Row],[DATA]])</f>
        <v>4</v>
      </c>
    </row>
    <row r="484" spans="1:4" x14ac:dyDescent="0.35">
      <c r="A484" s="2">
        <v>46132</v>
      </c>
      <c r="B484" s="1" t="s">
        <v>22</v>
      </c>
      <c r="C484" s="1">
        <f>YEAR(Tabela14[[#This Row],[DATA]])</f>
        <v>2026</v>
      </c>
      <c r="D484" s="1">
        <f>MONTH(Tabela14[[#This Row],[DATA]])</f>
        <v>4</v>
      </c>
    </row>
    <row r="485" spans="1:4" x14ac:dyDescent="0.35">
      <c r="A485" s="2">
        <v>46132</v>
      </c>
      <c r="B485" s="1" t="s">
        <v>22</v>
      </c>
      <c r="C485" s="1">
        <f>YEAR(Tabela14[[#This Row],[DATA]])</f>
        <v>2026</v>
      </c>
      <c r="D485" s="1">
        <f>MONTH(Tabela14[[#This Row],[DATA]])</f>
        <v>4</v>
      </c>
    </row>
    <row r="486" spans="1:4" x14ac:dyDescent="0.35">
      <c r="A486" s="2">
        <v>46132</v>
      </c>
      <c r="B486" s="1" t="s">
        <v>5</v>
      </c>
      <c r="C486" s="1">
        <f>YEAR(Tabela14[[#This Row],[DATA]])</f>
        <v>2026</v>
      </c>
      <c r="D486" s="1">
        <f>MONTH(Tabela14[[#This Row],[DATA]])</f>
        <v>4</v>
      </c>
    </row>
    <row r="487" spans="1:4" x14ac:dyDescent="0.35">
      <c r="A487" s="2">
        <v>46134</v>
      </c>
      <c r="B487" s="1" t="s">
        <v>5</v>
      </c>
      <c r="C487" s="1">
        <f>YEAR(Tabela14[[#This Row],[DATA]])</f>
        <v>2026</v>
      </c>
      <c r="D487" s="1">
        <f>MONTH(Tabela14[[#This Row],[DATA]])</f>
        <v>4</v>
      </c>
    </row>
    <row r="488" spans="1:4" x14ac:dyDescent="0.35">
      <c r="A488" s="2">
        <v>46134</v>
      </c>
      <c r="B488" s="1" t="s">
        <v>83</v>
      </c>
      <c r="C488" s="1">
        <f>YEAR(Tabela14[[#This Row],[DATA]])</f>
        <v>2026</v>
      </c>
      <c r="D488" s="1">
        <f>MONTH(Tabela14[[#This Row],[DATA]])</f>
        <v>4</v>
      </c>
    </row>
    <row r="489" spans="1:4" x14ac:dyDescent="0.35">
      <c r="A489" s="2">
        <v>46134</v>
      </c>
      <c r="B489" s="1" t="s">
        <v>83</v>
      </c>
      <c r="C489" s="1">
        <f>YEAR(Tabela14[[#This Row],[DATA]])</f>
        <v>2026</v>
      </c>
      <c r="D489" s="1">
        <f>MONTH(Tabela14[[#This Row],[DATA]])</f>
        <v>4</v>
      </c>
    </row>
    <row r="490" spans="1:4" x14ac:dyDescent="0.35">
      <c r="A490" s="2">
        <v>46134</v>
      </c>
      <c r="B490" s="1" t="s">
        <v>5</v>
      </c>
      <c r="C490" s="1">
        <f>YEAR(Tabela14[[#This Row],[DATA]])</f>
        <v>2026</v>
      </c>
      <c r="D490" s="1">
        <f>MONTH(Tabela14[[#This Row],[DATA]])</f>
        <v>4</v>
      </c>
    </row>
    <row r="491" spans="1:4" x14ac:dyDescent="0.35">
      <c r="A491" s="2">
        <v>46134</v>
      </c>
      <c r="B491" s="1" t="s">
        <v>5</v>
      </c>
      <c r="C491" s="1">
        <f>YEAR(Tabela14[[#This Row],[DATA]])</f>
        <v>2026</v>
      </c>
      <c r="D491" s="1">
        <f>MONTH(Tabela14[[#This Row],[DATA]])</f>
        <v>4</v>
      </c>
    </row>
    <row r="492" spans="1:4" x14ac:dyDescent="0.35">
      <c r="A492" s="2">
        <v>46134</v>
      </c>
      <c r="B492" s="1" t="s">
        <v>83</v>
      </c>
      <c r="C492" s="1">
        <f>YEAR(Tabela14[[#This Row],[DATA]])</f>
        <v>2026</v>
      </c>
      <c r="D492" s="1">
        <f>MONTH(Tabela14[[#This Row],[DATA]])</f>
        <v>4</v>
      </c>
    </row>
    <row r="493" spans="1:4" x14ac:dyDescent="0.35">
      <c r="A493" s="2">
        <v>46134</v>
      </c>
      <c r="B493" s="1" t="s">
        <v>83</v>
      </c>
      <c r="C493" s="1">
        <f>YEAR(Tabela14[[#This Row],[DATA]])</f>
        <v>2026</v>
      </c>
      <c r="D493" s="1">
        <f>MONTH(Tabela14[[#This Row],[DATA]])</f>
        <v>4</v>
      </c>
    </row>
    <row r="494" spans="1:4" x14ac:dyDescent="0.35">
      <c r="A494" s="2">
        <v>46134</v>
      </c>
      <c r="B494" s="1" t="s">
        <v>83</v>
      </c>
      <c r="C494" s="1">
        <f>YEAR(Tabela14[[#This Row],[DATA]])</f>
        <v>2026</v>
      </c>
      <c r="D494" s="1">
        <f>MONTH(Tabela14[[#This Row],[DATA]])</f>
        <v>4</v>
      </c>
    </row>
    <row r="495" spans="1:4" x14ac:dyDescent="0.35">
      <c r="A495" s="2">
        <v>46134</v>
      </c>
      <c r="B495" s="1" t="s">
        <v>5</v>
      </c>
      <c r="C495" s="1">
        <f>YEAR(Tabela14[[#This Row],[DATA]])</f>
        <v>2026</v>
      </c>
      <c r="D495" s="1">
        <f>MONTH(Tabela14[[#This Row],[DATA]])</f>
        <v>4</v>
      </c>
    </row>
    <row r="496" spans="1:4" x14ac:dyDescent="0.35">
      <c r="A496" s="2">
        <v>46134</v>
      </c>
      <c r="B496" s="1" t="s">
        <v>83</v>
      </c>
      <c r="C496" s="1">
        <f>YEAR(Tabela14[[#This Row],[DATA]])</f>
        <v>2026</v>
      </c>
      <c r="D496" s="1">
        <f>MONTH(Tabela14[[#This Row],[DATA]])</f>
        <v>4</v>
      </c>
    </row>
    <row r="497" spans="1:4" x14ac:dyDescent="0.35">
      <c r="A497" s="2">
        <v>46134</v>
      </c>
      <c r="B497" s="1" t="s">
        <v>83</v>
      </c>
      <c r="C497" s="1">
        <f>YEAR(Tabela14[[#This Row],[DATA]])</f>
        <v>2026</v>
      </c>
      <c r="D497" s="1">
        <f>MONTH(Tabela14[[#This Row],[DATA]])</f>
        <v>4</v>
      </c>
    </row>
    <row r="498" spans="1:4" x14ac:dyDescent="0.35">
      <c r="A498" s="2">
        <v>46134</v>
      </c>
      <c r="B498" s="1" t="s">
        <v>83</v>
      </c>
      <c r="C498" s="1">
        <f>YEAR(Tabela14[[#This Row],[DATA]])</f>
        <v>2026</v>
      </c>
      <c r="D498" s="1">
        <f>MONTH(Tabela14[[#This Row],[DATA]])</f>
        <v>4</v>
      </c>
    </row>
    <row r="499" spans="1:4" x14ac:dyDescent="0.35">
      <c r="A499" s="2">
        <v>46134</v>
      </c>
      <c r="B499" s="1" t="s">
        <v>83</v>
      </c>
      <c r="C499" s="1">
        <f>YEAR(Tabela14[[#This Row],[DATA]])</f>
        <v>2026</v>
      </c>
      <c r="D499" s="1">
        <f>MONTH(Tabela14[[#This Row],[DATA]])</f>
        <v>4</v>
      </c>
    </row>
    <row r="500" spans="1:4" x14ac:dyDescent="0.35">
      <c r="A500" s="2">
        <v>46134</v>
      </c>
      <c r="B500" s="1" t="s">
        <v>83</v>
      </c>
      <c r="C500" s="1">
        <f>YEAR(Tabela14[[#This Row],[DATA]])</f>
        <v>2026</v>
      </c>
      <c r="D500" s="1">
        <f>MONTH(Tabela14[[#This Row],[DATA]])</f>
        <v>4</v>
      </c>
    </row>
    <row r="501" spans="1:4" x14ac:dyDescent="0.35">
      <c r="A501" s="2">
        <v>46135</v>
      </c>
      <c r="B501" s="1" t="s">
        <v>9</v>
      </c>
      <c r="C501" s="1">
        <f>YEAR(Tabela14[[#This Row],[DATA]])</f>
        <v>2026</v>
      </c>
      <c r="D501" s="1">
        <f>MONTH(Tabela14[[#This Row],[DATA]])</f>
        <v>4</v>
      </c>
    </row>
    <row r="502" spans="1:4" x14ac:dyDescent="0.35">
      <c r="A502" s="2">
        <v>46135</v>
      </c>
      <c r="B502" s="1" t="s">
        <v>9</v>
      </c>
      <c r="C502" s="1">
        <f>YEAR(Tabela14[[#This Row],[DATA]])</f>
        <v>2026</v>
      </c>
      <c r="D502" s="1">
        <f>MONTH(Tabela14[[#This Row],[DATA]])</f>
        <v>4</v>
      </c>
    </row>
    <row r="503" spans="1:4" x14ac:dyDescent="0.35">
      <c r="A503" s="2">
        <v>46135</v>
      </c>
      <c r="B503" s="1" t="s">
        <v>5</v>
      </c>
      <c r="C503" s="1">
        <f>YEAR(Tabela14[[#This Row],[DATA]])</f>
        <v>2026</v>
      </c>
      <c r="D503" s="1">
        <f>MONTH(Tabela14[[#This Row],[DATA]])</f>
        <v>4</v>
      </c>
    </row>
    <row r="504" spans="1:4" x14ac:dyDescent="0.35">
      <c r="A504" s="2">
        <v>46135</v>
      </c>
      <c r="B504" s="1" t="s">
        <v>5</v>
      </c>
      <c r="C504" s="1">
        <f>YEAR(Tabela14[[#This Row],[DATA]])</f>
        <v>2026</v>
      </c>
      <c r="D504" s="1">
        <f>MONTH(Tabela14[[#This Row],[DATA]])</f>
        <v>4</v>
      </c>
    </row>
    <row r="505" spans="1:4" x14ac:dyDescent="0.35">
      <c r="A505" s="2">
        <v>46135</v>
      </c>
      <c r="B505" s="1" t="s">
        <v>5</v>
      </c>
      <c r="C505" s="1">
        <f>YEAR(Tabela14[[#This Row],[DATA]])</f>
        <v>2026</v>
      </c>
      <c r="D505" s="1">
        <f>MONTH(Tabela14[[#This Row],[DATA]])</f>
        <v>4</v>
      </c>
    </row>
    <row r="506" spans="1:4" x14ac:dyDescent="0.35">
      <c r="A506" s="2">
        <v>46135</v>
      </c>
      <c r="B506" s="1" t="s">
        <v>5</v>
      </c>
      <c r="C506" s="1">
        <f>YEAR(Tabela14[[#This Row],[DATA]])</f>
        <v>2026</v>
      </c>
      <c r="D506" s="1">
        <f>MONTH(Tabela14[[#This Row],[DATA]])</f>
        <v>4</v>
      </c>
    </row>
    <row r="507" spans="1:4" x14ac:dyDescent="0.35">
      <c r="A507" s="2">
        <v>46135</v>
      </c>
      <c r="B507" s="1" t="s">
        <v>33</v>
      </c>
      <c r="C507" s="1">
        <f>YEAR(Tabela14[[#This Row],[DATA]])</f>
        <v>2026</v>
      </c>
      <c r="D507" s="1">
        <f>MONTH(Tabela14[[#This Row],[DATA]])</f>
        <v>4</v>
      </c>
    </row>
    <row r="508" spans="1:4" x14ac:dyDescent="0.35">
      <c r="A508" s="2">
        <v>46135</v>
      </c>
      <c r="B508" s="1" t="s">
        <v>83</v>
      </c>
      <c r="C508" s="1">
        <f>YEAR(Tabela14[[#This Row],[DATA]])</f>
        <v>2026</v>
      </c>
      <c r="D508" s="1">
        <f>MONTH(Tabela14[[#This Row],[DATA]])</f>
        <v>4</v>
      </c>
    </row>
    <row r="509" spans="1:4" x14ac:dyDescent="0.35">
      <c r="A509" s="2">
        <v>46135</v>
      </c>
      <c r="B509" s="1" t="s">
        <v>83</v>
      </c>
      <c r="C509" s="1">
        <f>YEAR(Tabela14[[#This Row],[DATA]])</f>
        <v>2026</v>
      </c>
      <c r="D509" s="1">
        <f>MONTH(Tabela14[[#This Row],[DATA]])</f>
        <v>4</v>
      </c>
    </row>
    <row r="510" spans="1:4" x14ac:dyDescent="0.35">
      <c r="A510" s="2">
        <v>46135</v>
      </c>
      <c r="B510" s="1" t="s">
        <v>83</v>
      </c>
      <c r="C510" s="1">
        <f>YEAR(Tabela14[[#This Row],[DATA]])</f>
        <v>2026</v>
      </c>
      <c r="D510" s="1">
        <f>MONTH(Tabela14[[#This Row],[DATA]])</f>
        <v>4</v>
      </c>
    </row>
    <row r="511" spans="1:4" x14ac:dyDescent="0.35">
      <c r="A511" s="2">
        <v>46135</v>
      </c>
      <c r="B511" s="1" t="s">
        <v>83</v>
      </c>
      <c r="C511" s="1">
        <f>YEAR(Tabela14[[#This Row],[DATA]])</f>
        <v>2026</v>
      </c>
      <c r="D511" s="1">
        <f>MONTH(Tabela14[[#This Row],[DATA]])</f>
        <v>4</v>
      </c>
    </row>
    <row r="512" spans="1:4" x14ac:dyDescent="0.35">
      <c r="A512" s="2">
        <v>46135</v>
      </c>
      <c r="B512" s="1" t="s">
        <v>83</v>
      </c>
      <c r="C512" s="1">
        <f>YEAR(Tabela14[[#This Row],[DATA]])</f>
        <v>2026</v>
      </c>
      <c r="D512" s="1">
        <f>MONTH(Tabela14[[#This Row],[DATA]])</f>
        <v>4</v>
      </c>
    </row>
    <row r="513" spans="1:4" x14ac:dyDescent="0.35">
      <c r="A513" s="2">
        <v>46136</v>
      </c>
      <c r="B513" s="1" t="s">
        <v>83</v>
      </c>
      <c r="C513" s="1">
        <f>YEAR(Tabela14[[#This Row],[DATA]])</f>
        <v>2026</v>
      </c>
      <c r="D513" s="1">
        <f>MONTH(Tabela14[[#This Row],[DATA]])</f>
        <v>4</v>
      </c>
    </row>
    <row r="514" spans="1:4" x14ac:dyDescent="0.35">
      <c r="A514" s="2">
        <v>46136</v>
      </c>
      <c r="B514" s="1" t="s">
        <v>83</v>
      </c>
      <c r="C514" s="1">
        <f>YEAR(Tabela14[[#This Row],[DATA]])</f>
        <v>2026</v>
      </c>
      <c r="D514" s="1">
        <f>MONTH(Tabela14[[#This Row],[DATA]])</f>
        <v>4</v>
      </c>
    </row>
    <row r="515" spans="1:4" x14ac:dyDescent="0.35">
      <c r="A515" s="2">
        <v>46136</v>
      </c>
      <c r="B515" s="1" t="s">
        <v>83</v>
      </c>
      <c r="C515" s="1">
        <f>YEAR(Tabela14[[#This Row],[DATA]])</f>
        <v>2026</v>
      </c>
      <c r="D515" s="1">
        <f>MONTH(Tabela14[[#This Row],[DATA]])</f>
        <v>4</v>
      </c>
    </row>
    <row r="516" spans="1:4" x14ac:dyDescent="0.35">
      <c r="A516" s="2">
        <v>46136</v>
      </c>
      <c r="B516" s="1" t="s">
        <v>83</v>
      </c>
      <c r="C516" s="1">
        <f>YEAR(Tabela14[[#This Row],[DATA]])</f>
        <v>2026</v>
      </c>
      <c r="D516" s="1">
        <f>MONTH(Tabela14[[#This Row],[DATA]])</f>
        <v>4</v>
      </c>
    </row>
    <row r="517" spans="1:4" x14ac:dyDescent="0.35">
      <c r="A517" s="2">
        <v>46136</v>
      </c>
      <c r="B517" s="1" t="s">
        <v>83</v>
      </c>
      <c r="C517" s="1">
        <f>YEAR(Tabela14[[#This Row],[DATA]])</f>
        <v>2026</v>
      </c>
      <c r="D517" s="1">
        <f>MONTH(Tabela14[[#This Row],[DATA]])</f>
        <v>4</v>
      </c>
    </row>
    <row r="518" spans="1:4" x14ac:dyDescent="0.35">
      <c r="A518" s="2">
        <v>46136</v>
      </c>
      <c r="B518" s="1" t="s">
        <v>83</v>
      </c>
      <c r="C518" s="1">
        <f>YEAR(Tabela14[[#This Row],[DATA]])</f>
        <v>2026</v>
      </c>
      <c r="D518" s="1">
        <f>MONTH(Tabela14[[#This Row],[DATA]])</f>
        <v>4</v>
      </c>
    </row>
    <row r="519" spans="1:4" x14ac:dyDescent="0.35">
      <c r="A519" s="2">
        <v>46136</v>
      </c>
      <c r="B519" s="1" t="s">
        <v>83</v>
      </c>
      <c r="C519" s="1">
        <f>YEAR(Tabela14[[#This Row],[DATA]])</f>
        <v>2026</v>
      </c>
      <c r="D519" s="1">
        <f>MONTH(Tabela14[[#This Row],[DATA]])</f>
        <v>4</v>
      </c>
    </row>
    <row r="520" spans="1:4" x14ac:dyDescent="0.35">
      <c r="A520" s="2">
        <v>46136</v>
      </c>
      <c r="B520" s="1" t="s">
        <v>5</v>
      </c>
      <c r="C520" s="1">
        <f>YEAR(Tabela14[[#This Row],[DATA]])</f>
        <v>2026</v>
      </c>
      <c r="D520" s="1">
        <f>MONTH(Tabela14[[#This Row],[DATA]])</f>
        <v>4</v>
      </c>
    </row>
    <row r="521" spans="1:4" x14ac:dyDescent="0.35">
      <c r="A521" s="2">
        <v>46136</v>
      </c>
      <c r="B521" s="1" t="s">
        <v>5</v>
      </c>
      <c r="C521" s="1">
        <f>YEAR(Tabela14[[#This Row],[DATA]])</f>
        <v>2026</v>
      </c>
      <c r="D521" s="1">
        <f>MONTH(Tabela14[[#This Row],[DATA]])</f>
        <v>4</v>
      </c>
    </row>
    <row r="522" spans="1:4" x14ac:dyDescent="0.35">
      <c r="A522" s="2">
        <v>46136</v>
      </c>
      <c r="B522" s="1" t="s">
        <v>83</v>
      </c>
      <c r="C522" s="1">
        <f>YEAR(Tabela14[[#This Row],[DATA]])</f>
        <v>2026</v>
      </c>
      <c r="D522" s="1">
        <f>MONTH(Tabela14[[#This Row],[DATA]])</f>
        <v>4</v>
      </c>
    </row>
    <row r="523" spans="1:4" x14ac:dyDescent="0.35">
      <c r="A523" s="2">
        <v>46136</v>
      </c>
      <c r="B523" s="1" t="s">
        <v>83</v>
      </c>
      <c r="C523" s="1">
        <f>YEAR(Tabela14[[#This Row],[DATA]])</f>
        <v>2026</v>
      </c>
      <c r="D523" s="1">
        <f>MONTH(Tabela14[[#This Row],[DATA]])</f>
        <v>4</v>
      </c>
    </row>
    <row r="524" spans="1:4" x14ac:dyDescent="0.35">
      <c r="A524" s="2">
        <v>46136</v>
      </c>
      <c r="B524" s="1" t="s">
        <v>83</v>
      </c>
      <c r="C524" s="1">
        <f>YEAR(Tabela14[[#This Row],[DATA]])</f>
        <v>2026</v>
      </c>
      <c r="D524" s="1">
        <f>MONTH(Tabela14[[#This Row],[DATA]])</f>
        <v>4</v>
      </c>
    </row>
    <row r="525" spans="1:4" x14ac:dyDescent="0.35">
      <c r="A525" s="2">
        <v>46136</v>
      </c>
      <c r="B525" s="1" t="s">
        <v>83</v>
      </c>
      <c r="C525" s="1">
        <f>YEAR(Tabela14[[#This Row],[DATA]])</f>
        <v>2026</v>
      </c>
      <c r="D525" s="1">
        <f>MONTH(Tabela14[[#This Row],[DATA]])</f>
        <v>4</v>
      </c>
    </row>
    <row r="526" spans="1:4" x14ac:dyDescent="0.35">
      <c r="A526" s="2">
        <v>46136</v>
      </c>
      <c r="B526" s="1" t="s">
        <v>83</v>
      </c>
      <c r="C526" s="1">
        <f>YEAR(Tabela14[[#This Row],[DATA]])</f>
        <v>2026</v>
      </c>
      <c r="D526" s="1">
        <f>MONTH(Tabela14[[#This Row],[DATA]])</f>
        <v>4</v>
      </c>
    </row>
    <row r="527" spans="1:4" x14ac:dyDescent="0.35">
      <c r="A527" s="2">
        <v>46136</v>
      </c>
      <c r="B527" s="1" t="s">
        <v>83</v>
      </c>
      <c r="C527" s="1">
        <f>YEAR(Tabela14[[#This Row],[DATA]])</f>
        <v>2026</v>
      </c>
      <c r="D527" s="1">
        <f>MONTH(Tabela14[[#This Row],[DATA]])</f>
        <v>4</v>
      </c>
    </row>
    <row r="528" spans="1:4" x14ac:dyDescent="0.35">
      <c r="A528" s="2">
        <v>46139</v>
      </c>
      <c r="B528" s="1" t="s">
        <v>83</v>
      </c>
      <c r="C528" s="1">
        <f>YEAR(Tabela14[[#This Row],[DATA]])</f>
        <v>2026</v>
      </c>
      <c r="D528" s="1">
        <f>MONTH(Tabela14[[#This Row],[DATA]])</f>
        <v>4</v>
      </c>
    </row>
    <row r="529" spans="1:4" x14ac:dyDescent="0.35">
      <c r="A529" s="2">
        <v>46139</v>
      </c>
      <c r="B529" s="1" t="s">
        <v>83</v>
      </c>
      <c r="C529" s="1">
        <f>YEAR(Tabela14[[#This Row],[DATA]])</f>
        <v>2026</v>
      </c>
      <c r="D529" s="1">
        <f>MONTH(Tabela14[[#This Row],[DATA]])</f>
        <v>4</v>
      </c>
    </row>
    <row r="530" spans="1:4" x14ac:dyDescent="0.35">
      <c r="A530" s="2">
        <v>46139</v>
      </c>
      <c r="B530" s="1" t="s">
        <v>83</v>
      </c>
      <c r="C530" s="1">
        <f>YEAR(Tabela14[[#This Row],[DATA]])</f>
        <v>2026</v>
      </c>
      <c r="D530" s="1">
        <f>MONTH(Tabela14[[#This Row],[DATA]])</f>
        <v>4</v>
      </c>
    </row>
    <row r="531" spans="1:4" x14ac:dyDescent="0.35">
      <c r="A531" s="2">
        <v>46139</v>
      </c>
      <c r="B531" s="1" t="s">
        <v>83</v>
      </c>
      <c r="C531" s="1">
        <f>YEAR(Tabela14[[#This Row],[DATA]])</f>
        <v>2026</v>
      </c>
      <c r="D531" s="1">
        <f>MONTH(Tabela14[[#This Row],[DATA]])</f>
        <v>4</v>
      </c>
    </row>
    <row r="532" spans="1:4" x14ac:dyDescent="0.35">
      <c r="A532" s="2">
        <v>46139</v>
      </c>
      <c r="B532" s="1" t="s">
        <v>83</v>
      </c>
      <c r="C532" s="1">
        <f>YEAR(Tabela14[[#This Row],[DATA]])</f>
        <v>2026</v>
      </c>
      <c r="D532" s="1">
        <f>MONTH(Tabela14[[#This Row],[DATA]])</f>
        <v>4</v>
      </c>
    </row>
    <row r="533" spans="1:4" x14ac:dyDescent="0.35">
      <c r="A533" s="2">
        <v>46139</v>
      </c>
      <c r="B533" s="1" t="s">
        <v>83</v>
      </c>
      <c r="C533" s="1">
        <f>YEAR(Tabela14[[#This Row],[DATA]])</f>
        <v>2026</v>
      </c>
      <c r="D533" s="1">
        <f>MONTH(Tabela14[[#This Row],[DATA]])</f>
        <v>4</v>
      </c>
    </row>
    <row r="534" spans="1:4" x14ac:dyDescent="0.35">
      <c r="A534" s="2">
        <v>46139</v>
      </c>
      <c r="B534" s="1" t="s">
        <v>83</v>
      </c>
      <c r="C534" s="1">
        <f>YEAR(Tabela14[[#This Row],[DATA]])</f>
        <v>2026</v>
      </c>
      <c r="D534" s="1">
        <f>MONTH(Tabela14[[#This Row],[DATA]])</f>
        <v>4</v>
      </c>
    </row>
    <row r="535" spans="1:4" x14ac:dyDescent="0.35">
      <c r="A535" s="2">
        <v>46139</v>
      </c>
      <c r="B535" s="1" t="s">
        <v>83</v>
      </c>
      <c r="C535" s="1">
        <f>YEAR(Tabela14[[#This Row],[DATA]])</f>
        <v>2026</v>
      </c>
      <c r="D535" s="1">
        <f>MONTH(Tabela14[[#This Row],[DATA]])</f>
        <v>4</v>
      </c>
    </row>
    <row r="536" spans="1:4" x14ac:dyDescent="0.35">
      <c r="A536" s="2">
        <v>46140</v>
      </c>
      <c r="B536" s="1" t="s">
        <v>9</v>
      </c>
      <c r="C536" s="1">
        <f>YEAR(Tabela14[[#This Row],[DATA]])</f>
        <v>2026</v>
      </c>
      <c r="D536" s="1">
        <f>MONTH(Tabela14[[#This Row],[DATA]])</f>
        <v>4</v>
      </c>
    </row>
    <row r="537" spans="1:4" x14ac:dyDescent="0.35">
      <c r="A537" s="2">
        <v>46140</v>
      </c>
      <c r="B537" s="1" t="s">
        <v>9</v>
      </c>
      <c r="C537" s="1">
        <f>YEAR(Tabela14[[#This Row],[DATA]])</f>
        <v>2026</v>
      </c>
      <c r="D537" s="1">
        <f>MONTH(Tabela14[[#This Row],[DATA]])</f>
        <v>4</v>
      </c>
    </row>
    <row r="538" spans="1:4" x14ac:dyDescent="0.35">
      <c r="A538" s="2">
        <v>46140</v>
      </c>
      <c r="B538" s="1" t="s">
        <v>33</v>
      </c>
      <c r="C538" s="1">
        <f>YEAR(Tabela14[[#This Row],[DATA]])</f>
        <v>2026</v>
      </c>
      <c r="D538" s="1">
        <f>MONTH(Tabela14[[#This Row],[DATA]])</f>
        <v>4</v>
      </c>
    </row>
    <row r="539" spans="1:4" x14ac:dyDescent="0.35">
      <c r="A539" s="2">
        <v>46140</v>
      </c>
      <c r="B539" s="1" t="s">
        <v>33</v>
      </c>
      <c r="C539" s="1">
        <f>YEAR(Tabela14[[#This Row],[DATA]])</f>
        <v>2026</v>
      </c>
      <c r="D539" s="1">
        <f>MONTH(Tabela14[[#This Row],[DATA]])</f>
        <v>4</v>
      </c>
    </row>
    <row r="540" spans="1:4" x14ac:dyDescent="0.35">
      <c r="A540" s="2">
        <v>46140</v>
      </c>
      <c r="B540" s="1" t="s">
        <v>33</v>
      </c>
      <c r="C540" s="1">
        <f>YEAR(Tabela14[[#This Row],[DATA]])</f>
        <v>2026</v>
      </c>
      <c r="D540" s="1">
        <f>MONTH(Tabela14[[#This Row],[DATA]])</f>
        <v>4</v>
      </c>
    </row>
    <row r="541" spans="1:4" x14ac:dyDescent="0.35">
      <c r="A541" s="2">
        <v>46140</v>
      </c>
      <c r="B541" s="1" t="s">
        <v>33</v>
      </c>
      <c r="C541" s="1">
        <f>YEAR(Tabela14[[#This Row],[DATA]])</f>
        <v>2026</v>
      </c>
      <c r="D541" s="1">
        <f>MONTH(Tabela14[[#This Row],[DATA]])</f>
        <v>4</v>
      </c>
    </row>
    <row r="542" spans="1:4" x14ac:dyDescent="0.35">
      <c r="A542" s="2">
        <v>46140</v>
      </c>
      <c r="B542" s="1" t="s">
        <v>33</v>
      </c>
      <c r="C542" s="1">
        <f>YEAR(Tabela14[[#This Row],[DATA]])</f>
        <v>2026</v>
      </c>
      <c r="D542" s="1">
        <f>MONTH(Tabela14[[#This Row],[DATA]])</f>
        <v>4</v>
      </c>
    </row>
    <row r="543" spans="1:4" x14ac:dyDescent="0.35">
      <c r="A543" s="2">
        <v>46140</v>
      </c>
      <c r="B543" s="1" t="s">
        <v>9</v>
      </c>
      <c r="C543" s="1">
        <f>YEAR(Tabela14[[#This Row],[DATA]])</f>
        <v>2026</v>
      </c>
      <c r="D543" s="1">
        <f>MONTH(Tabela14[[#This Row],[DATA]])</f>
        <v>4</v>
      </c>
    </row>
    <row r="544" spans="1:4" x14ac:dyDescent="0.35">
      <c r="A544" s="2">
        <v>46140</v>
      </c>
      <c r="B544" s="1" t="s">
        <v>9</v>
      </c>
      <c r="C544" s="1">
        <f>YEAR(Tabela14[[#This Row],[DATA]])</f>
        <v>2026</v>
      </c>
      <c r="D544" s="1">
        <f>MONTH(Tabela14[[#This Row],[DATA]])</f>
        <v>4</v>
      </c>
    </row>
    <row r="545" spans="1:4" x14ac:dyDescent="0.35">
      <c r="A545" s="2">
        <v>46141</v>
      </c>
      <c r="B545" s="1" t="s">
        <v>9</v>
      </c>
      <c r="C545" s="1">
        <f>YEAR(Tabela14[[#This Row],[DATA]])</f>
        <v>2026</v>
      </c>
      <c r="D545" s="1">
        <f>MONTH(Tabela14[[#This Row],[DATA]])</f>
        <v>4</v>
      </c>
    </row>
    <row r="546" spans="1:4" x14ac:dyDescent="0.35">
      <c r="A546" s="2">
        <v>46141</v>
      </c>
      <c r="B546" s="1" t="s">
        <v>9</v>
      </c>
      <c r="C546" s="1">
        <f>YEAR(Tabela14[[#This Row],[DATA]])</f>
        <v>2026</v>
      </c>
      <c r="D546" s="1">
        <f>MONTH(Tabela14[[#This Row],[DATA]])</f>
        <v>4</v>
      </c>
    </row>
    <row r="547" spans="1:4" x14ac:dyDescent="0.35">
      <c r="A547" s="2">
        <v>46146</v>
      </c>
      <c r="B547" s="1" t="s">
        <v>33</v>
      </c>
      <c r="C547" s="1">
        <f>YEAR(Tabela14[[#This Row],[DATA]])</f>
        <v>2026</v>
      </c>
      <c r="D547" s="1">
        <f>MONTH(Tabela14[[#This Row],[DATA]])</f>
        <v>5</v>
      </c>
    </row>
    <row r="548" spans="1:4" x14ac:dyDescent="0.35">
      <c r="A548" s="2">
        <v>46146</v>
      </c>
      <c r="B548" s="1" t="s">
        <v>33</v>
      </c>
      <c r="C548" s="1">
        <f>YEAR(Tabela14[[#This Row],[DATA]])</f>
        <v>2026</v>
      </c>
      <c r="D548" s="1">
        <f>MONTH(Tabela14[[#This Row],[DATA]])</f>
        <v>5</v>
      </c>
    </row>
    <row r="549" spans="1:4" x14ac:dyDescent="0.35">
      <c r="A549" s="2">
        <v>46146</v>
      </c>
      <c r="B549" s="1" t="s">
        <v>9</v>
      </c>
      <c r="C549" s="1">
        <f>YEAR(Tabela14[[#This Row],[DATA]])</f>
        <v>2026</v>
      </c>
      <c r="D549" s="1">
        <f>MONTH(Tabela14[[#This Row],[DATA]])</f>
        <v>5</v>
      </c>
    </row>
    <row r="550" spans="1:4" x14ac:dyDescent="0.35">
      <c r="A550" s="2">
        <v>46146</v>
      </c>
      <c r="B550" s="1" t="s">
        <v>9</v>
      </c>
      <c r="C550" s="1">
        <f>YEAR(Tabela14[[#This Row],[DATA]])</f>
        <v>2026</v>
      </c>
      <c r="D550" s="1">
        <f>MONTH(Tabela14[[#This Row],[DATA]])</f>
        <v>5</v>
      </c>
    </row>
    <row r="551" spans="1:4" x14ac:dyDescent="0.35">
      <c r="A551" s="2">
        <v>46146</v>
      </c>
      <c r="B551" s="1" t="s">
        <v>9</v>
      </c>
      <c r="C551" s="1">
        <f>YEAR(Tabela14[[#This Row],[DATA]])</f>
        <v>2026</v>
      </c>
      <c r="D551" s="1">
        <f>MONTH(Tabela14[[#This Row],[DATA]])</f>
        <v>5</v>
      </c>
    </row>
    <row r="552" spans="1:4" x14ac:dyDescent="0.35">
      <c r="A552" s="2">
        <v>46146</v>
      </c>
      <c r="B552" s="1" t="s">
        <v>9</v>
      </c>
      <c r="C552" s="1">
        <f>YEAR(Tabela14[[#This Row],[DATA]])</f>
        <v>2026</v>
      </c>
      <c r="D552" s="1">
        <f>MONTH(Tabela14[[#This Row],[DATA]])</f>
        <v>5</v>
      </c>
    </row>
    <row r="553" spans="1:4" x14ac:dyDescent="0.35">
      <c r="A553" s="2">
        <v>46146</v>
      </c>
      <c r="B553" s="1" t="s">
        <v>33</v>
      </c>
      <c r="C553" s="1">
        <f>YEAR(Tabela14[[#This Row],[DATA]])</f>
        <v>2026</v>
      </c>
      <c r="D553" s="1">
        <f>MONTH(Tabela14[[#This Row],[DATA]])</f>
        <v>5</v>
      </c>
    </row>
    <row r="554" spans="1:4" x14ac:dyDescent="0.35">
      <c r="A554" s="2">
        <v>46147</v>
      </c>
      <c r="B554" s="1" t="s">
        <v>33</v>
      </c>
      <c r="C554" s="1">
        <f>YEAR(Tabela14[[#This Row],[DATA]])</f>
        <v>2026</v>
      </c>
      <c r="D554" s="1">
        <f>MONTH(Tabela14[[#This Row],[DATA]])</f>
        <v>5</v>
      </c>
    </row>
    <row r="555" spans="1:4" x14ac:dyDescent="0.35">
      <c r="A555" s="2">
        <v>46147</v>
      </c>
      <c r="B555" s="1" t="s">
        <v>33</v>
      </c>
      <c r="C555" s="1">
        <f>YEAR(Tabela14[[#This Row],[DATA]])</f>
        <v>2026</v>
      </c>
      <c r="D555" s="1">
        <f>MONTH(Tabela14[[#This Row],[DATA]])</f>
        <v>5</v>
      </c>
    </row>
    <row r="556" spans="1:4" x14ac:dyDescent="0.35">
      <c r="A556" s="2">
        <v>46147</v>
      </c>
      <c r="B556" s="1" t="s">
        <v>33</v>
      </c>
      <c r="C556" s="1">
        <f>YEAR(Tabela14[[#This Row],[DATA]])</f>
        <v>2026</v>
      </c>
      <c r="D556" s="1">
        <f>MONTH(Tabela14[[#This Row],[DATA]])</f>
        <v>5</v>
      </c>
    </row>
    <row r="557" spans="1:4" x14ac:dyDescent="0.35">
      <c r="A557" s="2">
        <v>46147</v>
      </c>
      <c r="B557" s="1" t="s">
        <v>33</v>
      </c>
      <c r="C557" s="1">
        <f>YEAR(Tabela14[[#This Row],[DATA]])</f>
        <v>2026</v>
      </c>
      <c r="D557" s="1">
        <f>MONTH(Tabela14[[#This Row],[DATA]])</f>
        <v>5</v>
      </c>
    </row>
    <row r="558" spans="1:4" x14ac:dyDescent="0.35">
      <c r="A558" s="2">
        <v>46147</v>
      </c>
      <c r="B558" s="1" t="s">
        <v>33</v>
      </c>
      <c r="C558" s="1">
        <f>YEAR(Tabela14[[#This Row],[DATA]])</f>
        <v>2026</v>
      </c>
      <c r="D558" s="1">
        <f>MONTH(Tabela14[[#This Row],[DATA]])</f>
        <v>5</v>
      </c>
    </row>
    <row r="559" spans="1:4" x14ac:dyDescent="0.35">
      <c r="A559" s="2">
        <v>46148</v>
      </c>
      <c r="B559" s="1" t="s">
        <v>24</v>
      </c>
      <c r="C559" s="1">
        <f>YEAR(Tabela14[[#This Row],[DATA]])</f>
        <v>2026</v>
      </c>
      <c r="D559" s="1">
        <f>MONTH(Tabela14[[#This Row],[DATA]])</f>
        <v>5</v>
      </c>
    </row>
    <row r="560" spans="1:4" x14ac:dyDescent="0.35">
      <c r="A560" s="2">
        <v>46148</v>
      </c>
      <c r="B560" s="1" t="s">
        <v>24</v>
      </c>
      <c r="C560" s="1">
        <f>YEAR(Tabela14[[#This Row],[DATA]])</f>
        <v>2026</v>
      </c>
      <c r="D560" s="1">
        <f>MONTH(Tabela14[[#This Row],[DATA]])</f>
        <v>5</v>
      </c>
    </row>
    <row r="561" spans="1:4" x14ac:dyDescent="0.35">
      <c r="A561" s="2">
        <v>46148</v>
      </c>
      <c r="B561" s="1" t="s">
        <v>24</v>
      </c>
      <c r="C561" s="1">
        <f>YEAR(Tabela14[[#This Row],[DATA]])</f>
        <v>2026</v>
      </c>
      <c r="D561" s="1">
        <f>MONTH(Tabela14[[#This Row],[DATA]])</f>
        <v>5</v>
      </c>
    </row>
    <row r="562" spans="1:4" x14ac:dyDescent="0.35">
      <c r="A562" s="2">
        <v>46148</v>
      </c>
      <c r="B562" s="1" t="s">
        <v>24</v>
      </c>
      <c r="C562" s="1">
        <f>YEAR(Tabela14[[#This Row],[DATA]])</f>
        <v>2026</v>
      </c>
      <c r="D562" s="1">
        <f>MONTH(Tabela14[[#This Row],[DATA]])</f>
        <v>5</v>
      </c>
    </row>
    <row r="563" spans="1:4" x14ac:dyDescent="0.35">
      <c r="A563" s="2">
        <v>46148</v>
      </c>
      <c r="B563" s="1" t="s">
        <v>24</v>
      </c>
      <c r="C563" s="1">
        <f>YEAR(Tabela14[[#This Row],[DATA]])</f>
        <v>2026</v>
      </c>
      <c r="D563" s="1">
        <f>MONTH(Tabela14[[#This Row],[DATA]])</f>
        <v>5</v>
      </c>
    </row>
    <row r="564" spans="1:4" x14ac:dyDescent="0.35">
      <c r="A564" s="2">
        <v>46148</v>
      </c>
      <c r="B564" s="1" t="s">
        <v>24</v>
      </c>
      <c r="C564" s="1">
        <f>YEAR(Tabela14[[#This Row],[DATA]])</f>
        <v>2026</v>
      </c>
      <c r="D564" s="1">
        <f>MONTH(Tabela14[[#This Row],[DATA]])</f>
        <v>5</v>
      </c>
    </row>
    <row r="565" spans="1:4" x14ac:dyDescent="0.35">
      <c r="A565" s="2">
        <v>46148</v>
      </c>
      <c r="B565" s="1" t="s">
        <v>24</v>
      </c>
      <c r="C565" s="1">
        <f>YEAR(Tabela14[[#This Row],[DATA]])</f>
        <v>2026</v>
      </c>
      <c r="D565" s="1">
        <f>MONTH(Tabela14[[#This Row],[DATA]])</f>
        <v>5</v>
      </c>
    </row>
    <row r="566" spans="1:4" x14ac:dyDescent="0.35">
      <c r="A566" s="2">
        <v>46148</v>
      </c>
      <c r="B566" s="1" t="s">
        <v>24</v>
      </c>
      <c r="C566" s="1">
        <f>YEAR(Tabela14[[#This Row],[DATA]])</f>
        <v>2026</v>
      </c>
      <c r="D566" s="1">
        <f>MONTH(Tabela14[[#This Row],[DATA]])</f>
        <v>5</v>
      </c>
    </row>
    <row r="567" spans="1:4" x14ac:dyDescent="0.35">
      <c r="A567" s="2">
        <v>46148</v>
      </c>
      <c r="B567" s="1" t="s">
        <v>24</v>
      </c>
      <c r="C567" s="1">
        <f>YEAR(Tabela14[[#This Row],[DATA]])</f>
        <v>2026</v>
      </c>
      <c r="D567" s="1">
        <f>MONTH(Tabela14[[#This Row],[DATA]])</f>
        <v>5</v>
      </c>
    </row>
    <row r="568" spans="1:4" x14ac:dyDescent="0.35">
      <c r="A568" s="2">
        <v>46148</v>
      </c>
      <c r="B568" s="1" t="s">
        <v>24</v>
      </c>
      <c r="C568" s="1">
        <f>YEAR(Tabela14[[#This Row],[DATA]])</f>
        <v>2026</v>
      </c>
      <c r="D568" s="1">
        <f>MONTH(Tabela14[[#This Row],[DATA]])</f>
        <v>5</v>
      </c>
    </row>
    <row r="569" spans="1:4" x14ac:dyDescent="0.35">
      <c r="A569" s="2">
        <v>46148</v>
      </c>
      <c r="B569" s="1" t="s">
        <v>24</v>
      </c>
      <c r="C569" s="1">
        <f>YEAR(Tabela14[[#This Row],[DATA]])</f>
        <v>2026</v>
      </c>
      <c r="D569" s="1">
        <f>MONTH(Tabela14[[#This Row],[DATA]])</f>
        <v>5</v>
      </c>
    </row>
    <row r="570" spans="1:4" x14ac:dyDescent="0.35">
      <c r="A570" s="2">
        <v>46148</v>
      </c>
      <c r="B570" s="1" t="s">
        <v>9</v>
      </c>
      <c r="C570" s="1">
        <f>YEAR(Tabela14[[#This Row],[DATA]])</f>
        <v>2026</v>
      </c>
      <c r="D570" s="1">
        <f>MONTH(Tabela14[[#This Row],[DATA]])</f>
        <v>5</v>
      </c>
    </row>
    <row r="571" spans="1:4" x14ac:dyDescent="0.35">
      <c r="A571" s="2">
        <v>46148</v>
      </c>
      <c r="B571" s="1" t="s">
        <v>33</v>
      </c>
      <c r="C571" s="1">
        <f>YEAR(Tabela14[[#This Row],[DATA]])</f>
        <v>2026</v>
      </c>
      <c r="D571" s="1">
        <f>MONTH(Tabela14[[#This Row],[DATA]])</f>
        <v>5</v>
      </c>
    </row>
    <row r="572" spans="1:4" x14ac:dyDescent="0.35">
      <c r="A572" s="2">
        <v>46148</v>
      </c>
      <c r="B572" s="1" t="s">
        <v>9</v>
      </c>
      <c r="C572" s="1">
        <f>YEAR(Tabela14[[#This Row],[DATA]])</f>
        <v>2026</v>
      </c>
      <c r="D572" s="1">
        <f>MONTH(Tabela14[[#This Row],[DATA]])</f>
        <v>5</v>
      </c>
    </row>
    <row r="573" spans="1:4" x14ac:dyDescent="0.35">
      <c r="A573" s="2">
        <v>46148</v>
      </c>
      <c r="B573" s="1" t="s">
        <v>9</v>
      </c>
      <c r="C573" s="1">
        <f>YEAR(Tabela14[[#This Row],[DATA]])</f>
        <v>2026</v>
      </c>
      <c r="D573" s="1">
        <f>MONTH(Tabela14[[#This Row],[DATA]])</f>
        <v>5</v>
      </c>
    </row>
    <row r="574" spans="1:4" x14ac:dyDescent="0.35">
      <c r="A574" s="2">
        <v>46148</v>
      </c>
      <c r="B574" s="1" t="s">
        <v>28</v>
      </c>
      <c r="C574" s="1">
        <f>YEAR(Tabela14[[#This Row],[DATA]])</f>
        <v>2026</v>
      </c>
      <c r="D574" s="1">
        <f>MONTH(Tabela14[[#This Row],[DATA]])</f>
        <v>5</v>
      </c>
    </row>
    <row r="575" spans="1:4" x14ac:dyDescent="0.35">
      <c r="A575" s="2">
        <v>46148</v>
      </c>
      <c r="B575" s="1" t="s">
        <v>28</v>
      </c>
      <c r="C575" s="1">
        <f>YEAR(Tabela14[[#This Row],[DATA]])</f>
        <v>2026</v>
      </c>
      <c r="D575" s="1">
        <f>MONTH(Tabela14[[#This Row],[DATA]])</f>
        <v>5</v>
      </c>
    </row>
    <row r="576" spans="1:4" x14ac:dyDescent="0.35">
      <c r="A576" s="2">
        <v>46148</v>
      </c>
      <c r="B576" s="1" t="s">
        <v>33</v>
      </c>
      <c r="C576" s="1">
        <f>YEAR(Tabela14[[#This Row],[DATA]])</f>
        <v>2026</v>
      </c>
      <c r="D576" s="1">
        <f>MONTH(Tabela14[[#This Row],[DATA]])</f>
        <v>5</v>
      </c>
    </row>
    <row r="577" spans="1:4" x14ac:dyDescent="0.35">
      <c r="A577" s="2">
        <v>46148</v>
      </c>
      <c r="B577" s="1" t="s">
        <v>9</v>
      </c>
      <c r="C577" s="1">
        <f>YEAR(Tabela14[[#This Row],[DATA]])</f>
        <v>2026</v>
      </c>
      <c r="D577" s="1">
        <f>MONTH(Tabela14[[#This Row],[DATA]])</f>
        <v>5</v>
      </c>
    </row>
    <row r="578" spans="1:4" x14ac:dyDescent="0.35">
      <c r="A578" s="2">
        <v>46148</v>
      </c>
      <c r="B578" s="1" t="s">
        <v>33</v>
      </c>
      <c r="C578" s="1">
        <f>YEAR(Tabela14[[#This Row],[DATA]])</f>
        <v>2026</v>
      </c>
      <c r="D578" s="1">
        <f>MONTH(Tabela14[[#This Row],[DATA]])</f>
        <v>5</v>
      </c>
    </row>
    <row r="579" spans="1:4" x14ac:dyDescent="0.35">
      <c r="A579" s="2">
        <v>46148</v>
      </c>
      <c r="B579" s="1" t="s">
        <v>33</v>
      </c>
      <c r="C579" s="1">
        <f>YEAR(Tabela14[[#This Row],[DATA]])</f>
        <v>2026</v>
      </c>
      <c r="D579" s="1">
        <f>MONTH(Tabela14[[#This Row],[DATA]])</f>
        <v>5</v>
      </c>
    </row>
    <row r="580" spans="1:4" x14ac:dyDescent="0.35">
      <c r="A580" s="2">
        <v>46148</v>
      </c>
      <c r="B580" s="1" t="s">
        <v>9</v>
      </c>
      <c r="C580" s="1">
        <f>YEAR(Tabela14[[#This Row],[DATA]])</f>
        <v>2026</v>
      </c>
      <c r="D580" s="1">
        <f>MONTH(Tabela14[[#This Row],[DATA]])</f>
        <v>5</v>
      </c>
    </row>
    <row r="581" spans="1:4" x14ac:dyDescent="0.35">
      <c r="A581" s="2">
        <v>46148</v>
      </c>
      <c r="B581" s="1" t="s">
        <v>9</v>
      </c>
      <c r="C581" s="1">
        <f>YEAR(Tabela14[[#This Row],[DATA]])</f>
        <v>2026</v>
      </c>
      <c r="D581" s="1">
        <f>MONTH(Tabela14[[#This Row],[DATA]])</f>
        <v>5</v>
      </c>
    </row>
    <row r="582" spans="1:4" x14ac:dyDescent="0.35">
      <c r="A582" s="2">
        <v>46148</v>
      </c>
      <c r="B582" s="1" t="s">
        <v>28</v>
      </c>
      <c r="C582" s="1">
        <f>YEAR(Tabela14[[#This Row],[DATA]])</f>
        <v>2026</v>
      </c>
      <c r="D582" s="1">
        <f>MONTH(Tabela14[[#This Row],[DATA]])</f>
        <v>5</v>
      </c>
    </row>
    <row r="583" spans="1:4" x14ac:dyDescent="0.35">
      <c r="A583" s="2">
        <v>46148</v>
      </c>
      <c r="B583" s="1" t="s">
        <v>9</v>
      </c>
      <c r="C583" s="1">
        <f>YEAR(Tabela14[[#This Row],[DATA]])</f>
        <v>2026</v>
      </c>
      <c r="D583" s="1">
        <f>MONTH(Tabela14[[#This Row],[DATA]])</f>
        <v>5</v>
      </c>
    </row>
    <row r="584" spans="1:4" x14ac:dyDescent="0.35">
      <c r="A584" s="2">
        <v>46149</v>
      </c>
      <c r="B584" s="1" t="s">
        <v>24</v>
      </c>
      <c r="C584" s="1">
        <f>YEAR(Tabela14[[#This Row],[DATA]])</f>
        <v>2026</v>
      </c>
      <c r="D584" s="1">
        <f>MONTH(Tabela14[[#This Row],[DATA]])</f>
        <v>5</v>
      </c>
    </row>
    <row r="585" spans="1:4" x14ac:dyDescent="0.35">
      <c r="A585" s="2">
        <v>46149</v>
      </c>
      <c r="B585" s="1" t="s">
        <v>24</v>
      </c>
      <c r="C585" s="1">
        <f>YEAR(Tabela14[[#This Row],[DATA]])</f>
        <v>2026</v>
      </c>
      <c r="D585" s="1">
        <f>MONTH(Tabela14[[#This Row],[DATA]])</f>
        <v>5</v>
      </c>
    </row>
    <row r="586" spans="1:4" x14ac:dyDescent="0.35">
      <c r="A586" s="2">
        <v>46149</v>
      </c>
      <c r="B586" s="1" t="s">
        <v>24</v>
      </c>
      <c r="C586" s="1">
        <f>YEAR(Tabela14[[#This Row],[DATA]])</f>
        <v>2026</v>
      </c>
      <c r="D586" s="1">
        <f>MONTH(Tabela14[[#This Row],[DATA]])</f>
        <v>5</v>
      </c>
    </row>
    <row r="587" spans="1:4" x14ac:dyDescent="0.35">
      <c r="A587" s="2">
        <v>46149</v>
      </c>
      <c r="B587" s="1" t="s">
        <v>24</v>
      </c>
      <c r="C587" s="1">
        <f>YEAR(Tabela14[[#This Row],[DATA]])</f>
        <v>2026</v>
      </c>
      <c r="D587" s="1">
        <f>MONTH(Tabela14[[#This Row],[DATA]])</f>
        <v>5</v>
      </c>
    </row>
    <row r="588" spans="1:4" x14ac:dyDescent="0.35">
      <c r="A588" s="2">
        <v>46149</v>
      </c>
      <c r="B588" s="1" t="s">
        <v>24</v>
      </c>
      <c r="C588" s="1">
        <f>YEAR(Tabela14[[#This Row],[DATA]])</f>
        <v>2026</v>
      </c>
      <c r="D588" s="1">
        <f>MONTH(Tabela14[[#This Row],[DATA]])</f>
        <v>5</v>
      </c>
    </row>
    <row r="589" spans="1:4" x14ac:dyDescent="0.35">
      <c r="A589" s="2">
        <v>46149</v>
      </c>
      <c r="B589" s="1" t="s">
        <v>33</v>
      </c>
      <c r="C589" s="1">
        <f>YEAR(Tabela14[[#This Row],[DATA]])</f>
        <v>2026</v>
      </c>
      <c r="D589" s="1">
        <f>MONTH(Tabela14[[#This Row],[DATA]])</f>
        <v>5</v>
      </c>
    </row>
    <row r="590" spans="1:4" x14ac:dyDescent="0.35">
      <c r="A590" s="2">
        <v>46149</v>
      </c>
      <c r="B590" s="1" t="s">
        <v>33</v>
      </c>
      <c r="C590" s="1">
        <f>YEAR(Tabela14[[#This Row],[DATA]])</f>
        <v>2026</v>
      </c>
      <c r="D590" s="1">
        <f>MONTH(Tabela14[[#This Row],[DATA]])</f>
        <v>5</v>
      </c>
    </row>
    <row r="591" spans="1:4" x14ac:dyDescent="0.35">
      <c r="A591" s="2">
        <v>46149</v>
      </c>
      <c r="B591" s="1" t="s">
        <v>9</v>
      </c>
      <c r="C591" s="1">
        <f>YEAR(Tabela14[[#This Row],[DATA]])</f>
        <v>2026</v>
      </c>
      <c r="D591" s="1">
        <f>MONTH(Tabela14[[#This Row],[DATA]])</f>
        <v>5</v>
      </c>
    </row>
    <row r="592" spans="1:4" x14ac:dyDescent="0.35">
      <c r="A592" s="2">
        <v>46149</v>
      </c>
      <c r="B592" s="1" t="s">
        <v>33</v>
      </c>
      <c r="C592" s="1">
        <f>YEAR(Tabela14[[#This Row],[DATA]])</f>
        <v>2026</v>
      </c>
      <c r="D592" s="1">
        <f>MONTH(Tabela14[[#This Row],[DATA]])</f>
        <v>5</v>
      </c>
    </row>
    <row r="593" spans="1:4" x14ac:dyDescent="0.35">
      <c r="A593" s="2">
        <v>46149</v>
      </c>
      <c r="B593" s="1" t="s">
        <v>33</v>
      </c>
      <c r="C593" s="1">
        <f>YEAR(Tabela14[[#This Row],[DATA]])</f>
        <v>2026</v>
      </c>
      <c r="D593" s="1">
        <f>MONTH(Tabela14[[#This Row],[DATA]])</f>
        <v>5</v>
      </c>
    </row>
    <row r="594" spans="1:4" x14ac:dyDescent="0.35">
      <c r="A594" s="2">
        <v>46149</v>
      </c>
      <c r="B594" s="1" t="s">
        <v>5</v>
      </c>
      <c r="C594" s="1">
        <f>YEAR(Tabela14[[#This Row],[DATA]])</f>
        <v>2026</v>
      </c>
      <c r="D594" s="1">
        <f>MONTH(Tabela14[[#This Row],[DATA]])</f>
        <v>5</v>
      </c>
    </row>
    <row r="595" spans="1:4" x14ac:dyDescent="0.35">
      <c r="A595" s="2">
        <v>46150</v>
      </c>
      <c r="B595" s="1" t="s">
        <v>28</v>
      </c>
      <c r="C595" s="1">
        <f>YEAR(Tabela14[[#This Row],[DATA]])</f>
        <v>2026</v>
      </c>
      <c r="D595" s="1">
        <f>MONTH(Tabela14[[#This Row],[DATA]])</f>
        <v>5</v>
      </c>
    </row>
    <row r="596" spans="1:4" x14ac:dyDescent="0.35">
      <c r="A596" s="2">
        <v>46150</v>
      </c>
      <c r="B596" s="1" t="s">
        <v>9</v>
      </c>
      <c r="C596" s="1">
        <f>YEAR(Tabela14[[#This Row],[DATA]])</f>
        <v>2026</v>
      </c>
      <c r="D596" s="1">
        <f>MONTH(Tabela14[[#This Row],[DATA]])</f>
        <v>5</v>
      </c>
    </row>
    <row r="597" spans="1:4" x14ac:dyDescent="0.35">
      <c r="A597" s="2">
        <v>46150</v>
      </c>
      <c r="B597" s="1" t="s">
        <v>9</v>
      </c>
      <c r="C597" s="1">
        <f>YEAR(Tabela14[[#This Row],[DATA]])</f>
        <v>2026</v>
      </c>
      <c r="D597" s="1">
        <f>MONTH(Tabela14[[#This Row],[DATA]])</f>
        <v>5</v>
      </c>
    </row>
    <row r="598" spans="1:4" x14ac:dyDescent="0.35">
      <c r="A598" s="2">
        <v>46150</v>
      </c>
      <c r="B598" s="1" t="s">
        <v>9</v>
      </c>
      <c r="C598" s="1">
        <f>YEAR(Tabela14[[#This Row],[DATA]])</f>
        <v>2026</v>
      </c>
      <c r="D598" s="1">
        <f>MONTH(Tabela14[[#This Row],[DATA]])</f>
        <v>5</v>
      </c>
    </row>
    <row r="599" spans="1:4" x14ac:dyDescent="0.35">
      <c r="A599" s="2">
        <v>46150</v>
      </c>
      <c r="B599" s="1" t="s">
        <v>9</v>
      </c>
      <c r="C599" s="1">
        <f>YEAR(Tabela14[[#This Row],[DATA]])</f>
        <v>2026</v>
      </c>
      <c r="D599" s="1">
        <f>MONTH(Tabela14[[#This Row],[DATA]])</f>
        <v>5</v>
      </c>
    </row>
    <row r="600" spans="1:4" x14ac:dyDescent="0.35">
      <c r="A600" s="2">
        <v>46153</v>
      </c>
      <c r="B600" s="1" t="s">
        <v>9</v>
      </c>
      <c r="C600" s="1">
        <f>YEAR(Tabela14[[#This Row],[DATA]])</f>
        <v>2026</v>
      </c>
      <c r="D600" s="1">
        <f>MONTH(Tabela14[[#This Row],[DATA]])</f>
        <v>5</v>
      </c>
    </row>
    <row r="601" spans="1:4" x14ac:dyDescent="0.35">
      <c r="A601" s="2">
        <v>46153</v>
      </c>
      <c r="B601" s="1" t="s">
        <v>9</v>
      </c>
      <c r="C601" s="1">
        <f>YEAR(Tabela14[[#This Row],[DATA]])</f>
        <v>2026</v>
      </c>
      <c r="D601" s="1">
        <f>MONTH(Tabela14[[#This Row],[DATA]])</f>
        <v>5</v>
      </c>
    </row>
    <row r="602" spans="1:4" x14ac:dyDescent="0.35">
      <c r="A602" s="2">
        <v>46153</v>
      </c>
      <c r="B602" s="1" t="s">
        <v>9</v>
      </c>
      <c r="C602" s="1">
        <f>YEAR(Tabela14[[#This Row],[DATA]])</f>
        <v>2026</v>
      </c>
      <c r="D602" s="1">
        <f>MONTH(Tabela14[[#This Row],[DATA]])</f>
        <v>5</v>
      </c>
    </row>
    <row r="603" spans="1:4" x14ac:dyDescent="0.35">
      <c r="A603" s="2">
        <v>46153</v>
      </c>
      <c r="B603" s="1" t="s">
        <v>9</v>
      </c>
      <c r="C603" s="1">
        <f>YEAR(Tabela14[[#This Row],[DATA]])</f>
        <v>2026</v>
      </c>
      <c r="D603" s="1">
        <f>MONTH(Tabela14[[#This Row],[DATA]])</f>
        <v>5</v>
      </c>
    </row>
    <row r="604" spans="1:4" x14ac:dyDescent="0.35">
      <c r="A604" s="2">
        <v>46153</v>
      </c>
      <c r="B604" s="1" t="s">
        <v>9</v>
      </c>
      <c r="C604" s="1">
        <f>YEAR(Tabela14[[#This Row],[DATA]])</f>
        <v>2026</v>
      </c>
      <c r="D604" s="1">
        <f>MONTH(Tabela14[[#This Row],[DATA]])</f>
        <v>5</v>
      </c>
    </row>
    <row r="605" spans="1:4" x14ac:dyDescent="0.35">
      <c r="A605" s="2">
        <v>46153</v>
      </c>
      <c r="B605" s="1" t="s">
        <v>9</v>
      </c>
      <c r="C605" s="1">
        <f>YEAR(Tabela14[[#This Row],[DATA]])</f>
        <v>2026</v>
      </c>
      <c r="D605" s="1">
        <f>MONTH(Tabela14[[#This Row],[DATA]])</f>
        <v>5</v>
      </c>
    </row>
    <row r="606" spans="1:4" x14ac:dyDescent="0.35">
      <c r="A606" s="2">
        <v>46155</v>
      </c>
      <c r="B606" s="1" t="s">
        <v>9</v>
      </c>
      <c r="C606" s="1">
        <f>YEAR(Tabela14[[#This Row],[DATA]])</f>
        <v>2026</v>
      </c>
      <c r="D606" s="1">
        <f>MONTH(Tabela14[[#This Row],[DATA]])</f>
        <v>5</v>
      </c>
    </row>
    <row r="607" spans="1:4" x14ac:dyDescent="0.35">
      <c r="A607" s="2">
        <v>46155</v>
      </c>
      <c r="B607" s="1" t="s">
        <v>9</v>
      </c>
      <c r="C607" s="1">
        <f>YEAR(Tabela14[[#This Row],[DATA]])</f>
        <v>2026</v>
      </c>
      <c r="D607" s="1">
        <f>MONTH(Tabela14[[#This Row],[DATA]])</f>
        <v>5</v>
      </c>
    </row>
    <row r="608" spans="1:4" x14ac:dyDescent="0.35">
      <c r="A608" s="2">
        <v>46155</v>
      </c>
      <c r="B608" s="1" t="s">
        <v>9</v>
      </c>
      <c r="C608" s="1">
        <f>YEAR(Tabela14[[#This Row],[DATA]])</f>
        <v>2026</v>
      </c>
      <c r="D608" s="1">
        <f>MONTH(Tabela14[[#This Row],[DATA]])</f>
        <v>5</v>
      </c>
    </row>
    <row r="609" spans="1:4" x14ac:dyDescent="0.35">
      <c r="A609" s="2">
        <v>46155</v>
      </c>
      <c r="B609" s="1" t="s">
        <v>9</v>
      </c>
      <c r="C609" s="1">
        <f>YEAR(Tabela14[[#This Row],[DATA]])</f>
        <v>2026</v>
      </c>
      <c r="D609" s="1">
        <f>MONTH(Tabela14[[#This Row],[DATA]])</f>
        <v>5</v>
      </c>
    </row>
    <row r="610" spans="1:4" x14ac:dyDescent="0.35">
      <c r="A610" s="2">
        <v>46155</v>
      </c>
      <c r="B610" s="1" t="s">
        <v>9</v>
      </c>
      <c r="C610" s="1">
        <f>YEAR(Tabela14[[#This Row],[DATA]])</f>
        <v>2026</v>
      </c>
      <c r="D610" s="1">
        <f>MONTH(Tabela14[[#This Row],[DATA]])</f>
        <v>5</v>
      </c>
    </row>
    <row r="611" spans="1:4" x14ac:dyDescent="0.35">
      <c r="A611" s="2">
        <v>46155</v>
      </c>
      <c r="B611" s="1" t="s">
        <v>22</v>
      </c>
      <c r="C611" s="1">
        <f>YEAR(Tabela14[[#This Row],[DATA]])</f>
        <v>2026</v>
      </c>
      <c r="D611" s="1">
        <f>MONTH(Tabela14[[#This Row],[DATA]])</f>
        <v>5</v>
      </c>
    </row>
    <row r="612" spans="1:4" x14ac:dyDescent="0.35">
      <c r="A612" s="2">
        <v>46155</v>
      </c>
      <c r="B612" s="1" t="s">
        <v>22</v>
      </c>
      <c r="C612" s="1">
        <f>YEAR(Tabela14[[#This Row],[DATA]])</f>
        <v>2026</v>
      </c>
      <c r="D612" s="1">
        <f>MONTH(Tabela14[[#This Row],[DATA]])</f>
        <v>5</v>
      </c>
    </row>
    <row r="613" spans="1:4" x14ac:dyDescent="0.35">
      <c r="A613" s="2">
        <v>46155</v>
      </c>
      <c r="B613" s="1" t="s">
        <v>22</v>
      </c>
      <c r="C613" s="1">
        <f>YEAR(Tabela14[[#This Row],[DATA]])</f>
        <v>2026</v>
      </c>
      <c r="D613" s="1">
        <f>MONTH(Tabela14[[#This Row],[DATA]])</f>
        <v>5</v>
      </c>
    </row>
    <row r="614" spans="1:4" x14ac:dyDescent="0.35">
      <c r="A614" s="2">
        <v>46155</v>
      </c>
      <c r="B614" s="1" t="s">
        <v>22</v>
      </c>
      <c r="C614" s="1">
        <f>YEAR(Tabela14[[#This Row],[DATA]])</f>
        <v>2026</v>
      </c>
      <c r="D614" s="1">
        <f>MONTH(Tabela14[[#This Row],[DATA]])</f>
        <v>5</v>
      </c>
    </row>
    <row r="615" spans="1:4" x14ac:dyDescent="0.35">
      <c r="A615" s="2">
        <v>46155</v>
      </c>
      <c r="B615" s="1" t="s">
        <v>22</v>
      </c>
      <c r="C615" s="1">
        <f>YEAR(Tabela14[[#This Row],[DATA]])</f>
        <v>2026</v>
      </c>
      <c r="D615" s="1">
        <f>MONTH(Tabela14[[#This Row],[DATA]])</f>
        <v>5</v>
      </c>
    </row>
    <row r="616" spans="1:4" x14ac:dyDescent="0.35">
      <c r="A616" s="2">
        <v>46155</v>
      </c>
      <c r="B616" s="1" t="s">
        <v>22</v>
      </c>
      <c r="C616" s="1">
        <f>YEAR(Tabela14[[#This Row],[DATA]])</f>
        <v>2026</v>
      </c>
      <c r="D616" s="1">
        <f>MONTH(Tabela14[[#This Row],[DATA]])</f>
        <v>5</v>
      </c>
    </row>
    <row r="617" spans="1:4" x14ac:dyDescent="0.35">
      <c r="A617" s="2">
        <v>46155</v>
      </c>
      <c r="B617" s="1" t="s">
        <v>22</v>
      </c>
      <c r="C617" s="1">
        <f>YEAR(Tabela14[[#This Row],[DATA]])</f>
        <v>2026</v>
      </c>
      <c r="D617" s="1">
        <f>MONTH(Tabela14[[#This Row],[DATA]])</f>
        <v>5</v>
      </c>
    </row>
    <row r="618" spans="1:4" x14ac:dyDescent="0.35">
      <c r="A618" s="2">
        <v>46155</v>
      </c>
      <c r="B618" s="1" t="s">
        <v>22</v>
      </c>
      <c r="C618" s="1">
        <f>YEAR(Tabela14[[#This Row],[DATA]])</f>
        <v>2026</v>
      </c>
      <c r="D618" s="1">
        <f>MONTH(Tabela14[[#This Row],[DATA]])</f>
        <v>5</v>
      </c>
    </row>
    <row r="619" spans="1:4" x14ac:dyDescent="0.35">
      <c r="A619" s="2">
        <v>46155</v>
      </c>
      <c r="B619" s="1" t="s">
        <v>22</v>
      </c>
      <c r="C619" s="1">
        <f>YEAR(Tabela14[[#This Row],[DATA]])</f>
        <v>2026</v>
      </c>
      <c r="D619" s="1">
        <f>MONTH(Tabela14[[#This Row],[DATA]])</f>
        <v>5</v>
      </c>
    </row>
    <row r="620" spans="1:4" x14ac:dyDescent="0.35">
      <c r="A620" s="2">
        <v>46155</v>
      </c>
      <c r="B620" s="1" t="s">
        <v>22</v>
      </c>
      <c r="C620" s="1">
        <f>YEAR(Tabela14[[#This Row],[DATA]])</f>
        <v>2026</v>
      </c>
      <c r="D620" s="1">
        <f>MONTH(Tabela14[[#This Row],[DATA]])</f>
        <v>5</v>
      </c>
    </row>
    <row r="621" spans="1:4" x14ac:dyDescent="0.35">
      <c r="A621" s="2">
        <v>46157</v>
      </c>
      <c r="B621" s="1" t="s">
        <v>9</v>
      </c>
      <c r="C621" s="1">
        <f>YEAR(Tabela14[[#This Row],[DATA]])</f>
        <v>2026</v>
      </c>
      <c r="D621" s="1">
        <f>MONTH(Tabela14[[#This Row],[DATA]])</f>
        <v>5</v>
      </c>
    </row>
    <row r="622" spans="1:4" x14ac:dyDescent="0.35">
      <c r="A622" s="2">
        <v>46157</v>
      </c>
      <c r="B622" s="1" t="s">
        <v>9</v>
      </c>
      <c r="C622" s="1">
        <f>YEAR(Tabela14[[#This Row],[DATA]])</f>
        <v>2026</v>
      </c>
      <c r="D622" s="1">
        <f>MONTH(Tabela14[[#This Row],[DATA]])</f>
        <v>5</v>
      </c>
    </row>
    <row r="623" spans="1:4" x14ac:dyDescent="0.35">
      <c r="A623" s="2">
        <v>46157</v>
      </c>
      <c r="B623" s="1" t="s">
        <v>9</v>
      </c>
      <c r="C623" s="1">
        <f>YEAR(Tabela14[[#This Row],[DATA]])</f>
        <v>2026</v>
      </c>
      <c r="D623" s="1">
        <f>MONTH(Tabela14[[#This Row],[DATA]])</f>
        <v>5</v>
      </c>
    </row>
    <row r="624" spans="1:4" x14ac:dyDescent="0.35">
      <c r="A624" s="2">
        <v>46157</v>
      </c>
      <c r="B624" s="1" t="s">
        <v>9</v>
      </c>
      <c r="C624" s="1">
        <f>YEAR(Tabela14[[#This Row],[DATA]])</f>
        <v>2026</v>
      </c>
      <c r="D624" s="1">
        <f>MONTH(Tabela14[[#This Row],[DATA]])</f>
        <v>5</v>
      </c>
    </row>
    <row r="625" spans="1:4" x14ac:dyDescent="0.35">
      <c r="A625" s="2">
        <v>46157</v>
      </c>
      <c r="B625" s="1" t="s">
        <v>9</v>
      </c>
      <c r="C625" s="1">
        <f>YEAR(Tabela14[[#This Row],[DATA]])</f>
        <v>2026</v>
      </c>
      <c r="D625" s="1">
        <f>MONTH(Tabela14[[#This Row],[DATA]])</f>
        <v>5</v>
      </c>
    </row>
    <row r="626" spans="1:4" x14ac:dyDescent="0.35">
      <c r="A626" s="2">
        <v>46157</v>
      </c>
      <c r="B626" s="1" t="s">
        <v>9</v>
      </c>
      <c r="C626" s="1">
        <f>YEAR(Tabela14[[#This Row],[DATA]])</f>
        <v>2026</v>
      </c>
      <c r="D626" s="1">
        <f>MONTH(Tabela14[[#This Row],[DATA]])</f>
        <v>5</v>
      </c>
    </row>
    <row r="627" spans="1:4" x14ac:dyDescent="0.35">
      <c r="A627" s="2">
        <v>46157</v>
      </c>
      <c r="B627" s="1" t="s">
        <v>9</v>
      </c>
      <c r="C627" s="1">
        <f>YEAR(Tabela14[[#This Row],[DATA]])</f>
        <v>2026</v>
      </c>
      <c r="D627" s="1">
        <f>MONTH(Tabela14[[#This Row],[DATA]])</f>
        <v>5</v>
      </c>
    </row>
    <row r="628" spans="1:4" x14ac:dyDescent="0.35">
      <c r="A628" s="2">
        <v>46160</v>
      </c>
      <c r="B628" s="1" t="s">
        <v>9</v>
      </c>
      <c r="C628" s="1">
        <f>YEAR(Tabela14[[#This Row],[DATA]])</f>
        <v>2026</v>
      </c>
      <c r="D628" s="1">
        <f>MONTH(Tabela14[[#This Row],[DATA]])</f>
        <v>5</v>
      </c>
    </row>
    <row r="629" spans="1:4" x14ac:dyDescent="0.35">
      <c r="A629" s="2">
        <v>46160</v>
      </c>
      <c r="B629" s="1" t="s">
        <v>9</v>
      </c>
      <c r="C629" s="1">
        <f>YEAR(Tabela14[[#This Row],[DATA]])</f>
        <v>2026</v>
      </c>
      <c r="D629" s="1">
        <f>MONTH(Tabela14[[#This Row],[DATA]])</f>
        <v>5</v>
      </c>
    </row>
    <row r="630" spans="1:4" x14ac:dyDescent="0.35">
      <c r="A630" s="2">
        <v>46160</v>
      </c>
      <c r="B630" s="1" t="s">
        <v>9</v>
      </c>
      <c r="C630" s="1">
        <f>YEAR(Tabela14[[#This Row],[DATA]])</f>
        <v>2026</v>
      </c>
      <c r="D630" s="1">
        <f>MONTH(Tabela14[[#This Row],[DATA]])</f>
        <v>5</v>
      </c>
    </row>
    <row r="631" spans="1:4" x14ac:dyDescent="0.35">
      <c r="A631" s="2">
        <v>46160</v>
      </c>
      <c r="B631" s="1" t="s">
        <v>9</v>
      </c>
      <c r="C631" s="1">
        <f>YEAR(Tabela14[[#This Row],[DATA]])</f>
        <v>2026</v>
      </c>
      <c r="D631" s="1">
        <f>MONTH(Tabela14[[#This Row],[DATA]])</f>
        <v>5</v>
      </c>
    </row>
    <row r="632" spans="1:4" x14ac:dyDescent="0.35">
      <c r="A632" s="2">
        <v>46160</v>
      </c>
      <c r="B632" s="1" t="s">
        <v>9</v>
      </c>
      <c r="C632" s="1">
        <f>YEAR(Tabela14[[#This Row],[DATA]])</f>
        <v>2026</v>
      </c>
      <c r="D632" s="1">
        <f>MONTH(Tabela14[[#This Row],[DATA]])</f>
        <v>5</v>
      </c>
    </row>
    <row r="633" spans="1:4" x14ac:dyDescent="0.35">
      <c r="A633" s="2">
        <v>46160</v>
      </c>
      <c r="B633" s="1" t="s">
        <v>9</v>
      </c>
      <c r="C633" s="1">
        <f>YEAR(Tabela14[[#This Row],[DATA]])</f>
        <v>2026</v>
      </c>
      <c r="D633" s="1">
        <f>MONTH(Tabela14[[#This Row],[DATA]])</f>
        <v>5</v>
      </c>
    </row>
    <row r="634" spans="1:4" x14ac:dyDescent="0.35">
      <c r="A634" s="2">
        <v>46160</v>
      </c>
      <c r="B634" s="1" t="s">
        <v>9</v>
      </c>
      <c r="C634" s="1">
        <f>YEAR(Tabela14[[#This Row],[DATA]])</f>
        <v>2026</v>
      </c>
      <c r="D634" s="1">
        <f>MONTH(Tabela14[[#This Row],[DATA]])</f>
        <v>5</v>
      </c>
    </row>
    <row r="635" spans="1:4" x14ac:dyDescent="0.35">
      <c r="A635" s="2">
        <v>46160</v>
      </c>
      <c r="B635" s="1" t="s">
        <v>9</v>
      </c>
      <c r="C635" s="1">
        <f>YEAR(Tabela14[[#This Row],[DATA]])</f>
        <v>2026</v>
      </c>
      <c r="D635" s="1">
        <f>MONTH(Tabela14[[#This Row],[DATA]])</f>
        <v>5</v>
      </c>
    </row>
    <row r="636" spans="1:4" x14ac:dyDescent="0.35">
      <c r="A636" s="2">
        <v>46160</v>
      </c>
      <c r="B636" s="1" t="s">
        <v>28</v>
      </c>
      <c r="C636" s="1">
        <f>YEAR(Tabela14[[#This Row],[DATA]])</f>
        <v>2026</v>
      </c>
      <c r="D636" s="1">
        <f>MONTH(Tabela14[[#This Row],[DATA]])</f>
        <v>5</v>
      </c>
    </row>
    <row r="637" spans="1:4" x14ac:dyDescent="0.35">
      <c r="A637" s="2">
        <v>46160</v>
      </c>
      <c r="B637" s="1" t="s">
        <v>28</v>
      </c>
      <c r="C637" s="1">
        <f>YEAR(Tabela14[[#This Row],[DATA]])</f>
        <v>2026</v>
      </c>
      <c r="D637" s="1">
        <f>MONTH(Tabela14[[#This Row],[DATA]])</f>
        <v>5</v>
      </c>
    </row>
    <row r="638" spans="1:4" x14ac:dyDescent="0.35">
      <c r="A638" s="2">
        <v>46160</v>
      </c>
      <c r="B638" s="1" t="s">
        <v>24</v>
      </c>
      <c r="C638" s="1">
        <f>YEAR(Tabela14[[#This Row],[DATA]])</f>
        <v>2026</v>
      </c>
      <c r="D638" s="1">
        <f>MONTH(Tabela14[[#This Row],[DATA]])</f>
        <v>5</v>
      </c>
    </row>
    <row r="639" spans="1:4" x14ac:dyDescent="0.35">
      <c r="A639" s="2">
        <v>46160</v>
      </c>
      <c r="B639" s="1" t="s">
        <v>24</v>
      </c>
      <c r="C639" s="1">
        <f>YEAR(Tabela14[[#This Row],[DATA]])</f>
        <v>2026</v>
      </c>
      <c r="D639" s="1">
        <f>MONTH(Tabela14[[#This Row],[DATA]])</f>
        <v>5</v>
      </c>
    </row>
    <row r="640" spans="1:4" x14ac:dyDescent="0.35">
      <c r="A640" s="2">
        <v>46160</v>
      </c>
      <c r="B640" s="1" t="s">
        <v>24</v>
      </c>
      <c r="C640" s="1">
        <f>YEAR(Tabela14[[#This Row],[DATA]])</f>
        <v>2026</v>
      </c>
      <c r="D640" s="1">
        <f>MONTH(Tabela14[[#This Row],[DATA]])</f>
        <v>5</v>
      </c>
    </row>
    <row r="641" spans="1:4" x14ac:dyDescent="0.35">
      <c r="A641" s="2">
        <v>46160</v>
      </c>
      <c r="B641" s="1" t="s">
        <v>24</v>
      </c>
      <c r="C641" s="1">
        <f>YEAR(Tabela14[[#This Row],[DATA]])</f>
        <v>2026</v>
      </c>
      <c r="D641" s="1">
        <f>MONTH(Tabela14[[#This Row],[DATA]])</f>
        <v>5</v>
      </c>
    </row>
    <row r="642" spans="1:4" x14ac:dyDescent="0.35">
      <c r="A642" s="2">
        <v>46160</v>
      </c>
      <c r="B642" s="1" t="s">
        <v>24</v>
      </c>
      <c r="C642" s="1">
        <f>YEAR(Tabela14[[#This Row],[DATA]])</f>
        <v>2026</v>
      </c>
      <c r="D642" s="1">
        <f>MONTH(Tabela14[[#This Row],[DATA]])</f>
        <v>5</v>
      </c>
    </row>
    <row r="643" spans="1:4" x14ac:dyDescent="0.35">
      <c r="A643" s="2">
        <v>46160</v>
      </c>
      <c r="B643" s="1" t="s">
        <v>24</v>
      </c>
      <c r="C643" s="1">
        <f>YEAR(Tabela14[[#This Row],[DATA]])</f>
        <v>2026</v>
      </c>
      <c r="D643" s="1">
        <f>MONTH(Tabela14[[#This Row],[DATA]])</f>
        <v>5</v>
      </c>
    </row>
    <row r="644" spans="1:4" x14ac:dyDescent="0.35">
      <c r="A644" s="2">
        <v>46160</v>
      </c>
      <c r="B644" s="1" t="s">
        <v>24</v>
      </c>
      <c r="C644" s="1">
        <f>YEAR(Tabela14[[#This Row],[DATA]])</f>
        <v>2026</v>
      </c>
      <c r="D644" s="1">
        <f>MONTH(Tabela14[[#This Row],[DATA]])</f>
        <v>5</v>
      </c>
    </row>
    <row r="645" spans="1:4" x14ac:dyDescent="0.35">
      <c r="A645" s="2">
        <v>46160</v>
      </c>
      <c r="B645" s="1" t="s">
        <v>24</v>
      </c>
      <c r="C645" s="1">
        <f>YEAR(Tabela14[[#This Row],[DATA]])</f>
        <v>2026</v>
      </c>
      <c r="D645" s="1">
        <f>MONTH(Tabela14[[#This Row],[DATA]])</f>
        <v>5</v>
      </c>
    </row>
    <row r="646" spans="1:4" x14ac:dyDescent="0.35">
      <c r="A646" s="2">
        <v>46160</v>
      </c>
      <c r="B646" s="1" t="s">
        <v>24</v>
      </c>
      <c r="C646" s="1">
        <f>YEAR(Tabela14[[#This Row],[DATA]])</f>
        <v>2026</v>
      </c>
      <c r="D646" s="1">
        <f>MONTH(Tabela14[[#This Row],[DATA]])</f>
        <v>5</v>
      </c>
    </row>
    <row r="647" spans="1:4" x14ac:dyDescent="0.35">
      <c r="A647" s="2">
        <v>46160</v>
      </c>
      <c r="B647" s="1" t="s">
        <v>24</v>
      </c>
      <c r="C647" s="1">
        <f>YEAR(Tabela14[[#This Row],[DATA]])</f>
        <v>2026</v>
      </c>
      <c r="D647" s="1">
        <f>MONTH(Tabela14[[#This Row],[DATA]])</f>
        <v>5</v>
      </c>
    </row>
    <row r="648" spans="1:4" x14ac:dyDescent="0.35">
      <c r="A648" s="2">
        <v>46161</v>
      </c>
      <c r="B648" s="1" t="s">
        <v>9</v>
      </c>
      <c r="C648" s="1">
        <f>YEAR(Tabela14[[#This Row],[DATA]])</f>
        <v>2026</v>
      </c>
      <c r="D648" s="1">
        <f>MONTH(Tabela14[[#This Row],[DATA]])</f>
        <v>5</v>
      </c>
    </row>
    <row r="649" spans="1:4" x14ac:dyDescent="0.35">
      <c r="A649" s="2">
        <v>46161</v>
      </c>
      <c r="B649" s="1" t="s">
        <v>9</v>
      </c>
      <c r="C649" s="1">
        <f>YEAR(Tabela14[[#This Row],[DATA]])</f>
        <v>2026</v>
      </c>
      <c r="D649" s="1">
        <f>MONTH(Tabela14[[#This Row],[DATA]])</f>
        <v>5</v>
      </c>
    </row>
    <row r="650" spans="1:4" x14ac:dyDescent="0.35">
      <c r="A650" s="2">
        <v>46161</v>
      </c>
      <c r="B650" s="1" t="s">
        <v>24</v>
      </c>
      <c r="C650" s="1">
        <f>YEAR(Tabela14[[#This Row],[DATA]])</f>
        <v>2026</v>
      </c>
      <c r="D650" s="1">
        <f>MONTH(Tabela14[[#This Row],[DATA]])</f>
        <v>5</v>
      </c>
    </row>
    <row r="651" spans="1:4" x14ac:dyDescent="0.35">
      <c r="A651" s="2">
        <v>46161</v>
      </c>
      <c r="B651" s="1" t="s">
        <v>24</v>
      </c>
      <c r="C651" s="1">
        <f>YEAR(Tabela14[[#This Row],[DATA]])</f>
        <v>2026</v>
      </c>
      <c r="D651" s="1">
        <f>MONTH(Tabela14[[#This Row],[DATA]])</f>
        <v>5</v>
      </c>
    </row>
    <row r="652" spans="1:4" x14ac:dyDescent="0.35">
      <c r="A652" s="2">
        <v>46161</v>
      </c>
      <c r="B652" s="1" t="s">
        <v>9</v>
      </c>
      <c r="C652" s="1">
        <f>YEAR(Tabela14[[#This Row],[DATA]])</f>
        <v>2026</v>
      </c>
      <c r="D652" s="1">
        <f>MONTH(Tabela14[[#This Row],[DATA]])</f>
        <v>5</v>
      </c>
    </row>
    <row r="653" spans="1:4" x14ac:dyDescent="0.35">
      <c r="A653" s="2">
        <v>46161</v>
      </c>
      <c r="B653" s="1" t="s">
        <v>24</v>
      </c>
      <c r="C653" s="1">
        <f>YEAR(Tabela14[[#This Row],[DATA]])</f>
        <v>2026</v>
      </c>
      <c r="D653" s="1">
        <f>MONTH(Tabela14[[#This Row],[DATA]])</f>
        <v>5</v>
      </c>
    </row>
    <row r="654" spans="1:4" x14ac:dyDescent="0.35">
      <c r="A654" s="2">
        <v>46161</v>
      </c>
      <c r="B654" s="1" t="s">
        <v>24</v>
      </c>
      <c r="C654" s="1">
        <f>YEAR(Tabela14[[#This Row],[DATA]])</f>
        <v>2026</v>
      </c>
      <c r="D654" s="1">
        <f>MONTH(Tabela14[[#This Row],[DATA]])</f>
        <v>5</v>
      </c>
    </row>
    <row r="655" spans="1:4" x14ac:dyDescent="0.35">
      <c r="A655" s="2">
        <v>46161</v>
      </c>
      <c r="B655" s="1" t="s">
        <v>9</v>
      </c>
      <c r="C655" s="1">
        <f>YEAR(Tabela14[[#This Row],[DATA]])</f>
        <v>2026</v>
      </c>
      <c r="D655" s="1">
        <f>MONTH(Tabela14[[#This Row],[DATA]])</f>
        <v>5</v>
      </c>
    </row>
    <row r="656" spans="1:4" x14ac:dyDescent="0.35">
      <c r="A656" s="2">
        <v>46161</v>
      </c>
      <c r="B656" s="1" t="s">
        <v>24</v>
      </c>
      <c r="C656" s="1">
        <f>YEAR(Tabela14[[#This Row],[DATA]])</f>
        <v>2026</v>
      </c>
      <c r="D656" s="1">
        <f>MONTH(Tabela14[[#This Row],[DATA]])</f>
        <v>5</v>
      </c>
    </row>
    <row r="657" spans="1:4" x14ac:dyDescent="0.35">
      <c r="A657" s="2">
        <v>46162</v>
      </c>
      <c r="B657" s="1" t="s">
        <v>9</v>
      </c>
      <c r="C657" s="1">
        <f>YEAR(Tabela14[[#This Row],[DATA]])</f>
        <v>2026</v>
      </c>
      <c r="D657" s="1">
        <f>MONTH(Tabela14[[#This Row],[DATA]])</f>
        <v>5</v>
      </c>
    </row>
    <row r="658" spans="1:4" x14ac:dyDescent="0.35">
      <c r="A658" s="2">
        <v>46162</v>
      </c>
      <c r="B658" s="1" t="s">
        <v>24</v>
      </c>
      <c r="C658" s="1">
        <f>YEAR(Tabela14[[#This Row],[DATA]])</f>
        <v>2026</v>
      </c>
      <c r="D658" s="1">
        <f>MONTH(Tabela14[[#This Row],[DATA]])</f>
        <v>5</v>
      </c>
    </row>
    <row r="659" spans="1:4" x14ac:dyDescent="0.35">
      <c r="A659" s="2">
        <v>46162</v>
      </c>
      <c r="B659" s="1" t="s">
        <v>24</v>
      </c>
      <c r="C659" s="1">
        <f>YEAR(Tabela14[[#This Row],[DATA]])</f>
        <v>2026</v>
      </c>
      <c r="D659" s="1">
        <f>MONTH(Tabela14[[#This Row],[DATA]])</f>
        <v>5</v>
      </c>
    </row>
    <row r="660" spans="1:4" x14ac:dyDescent="0.35">
      <c r="A660" s="2">
        <v>46162</v>
      </c>
      <c r="B660" s="1" t="s">
        <v>24</v>
      </c>
      <c r="C660" s="1">
        <f>YEAR(Tabela14[[#This Row],[DATA]])</f>
        <v>2026</v>
      </c>
      <c r="D660" s="1">
        <f>MONTH(Tabela14[[#This Row],[DATA]])</f>
        <v>5</v>
      </c>
    </row>
    <row r="661" spans="1:4" x14ac:dyDescent="0.35">
      <c r="A661" s="2">
        <v>46164</v>
      </c>
      <c r="B661" s="1" t="s">
        <v>28</v>
      </c>
      <c r="C661" s="1">
        <f>YEAR(Tabela14[[#This Row],[DATA]])</f>
        <v>2026</v>
      </c>
      <c r="D661" s="1">
        <f>MONTH(Tabela14[[#This Row],[DATA]])</f>
        <v>5</v>
      </c>
    </row>
    <row r="662" spans="1:4" x14ac:dyDescent="0.35">
      <c r="A662" s="2">
        <v>46167</v>
      </c>
      <c r="B662" s="1" t="s">
        <v>28</v>
      </c>
      <c r="C662" s="1">
        <f>YEAR(Tabela14[[#This Row],[DATA]])</f>
        <v>2026</v>
      </c>
      <c r="D662" s="1">
        <f>MONTH(Tabela14[[#This Row],[DATA]])</f>
        <v>5</v>
      </c>
    </row>
    <row r="663" spans="1:4" x14ac:dyDescent="0.35">
      <c r="A663" s="2">
        <v>46167</v>
      </c>
      <c r="B663" s="1" t="s">
        <v>9</v>
      </c>
      <c r="C663" s="1">
        <f>YEAR(Tabela14[[#This Row],[DATA]])</f>
        <v>2026</v>
      </c>
      <c r="D663" s="1">
        <f>MONTH(Tabela14[[#This Row],[DATA]])</f>
        <v>5</v>
      </c>
    </row>
    <row r="664" spans="1:4" x14ac:dyDescent="0.35">
      <c r="A664" s="2">
        <v>46167</v>
      </c>
      <c r="B664" s="1" t="s">
        <v>9</v>
      </c>
      <c r="C664" s="1">
        <f>YEAR(Tabela14[[#This Row],[DATA]])</f>
        <v>2026</v>
      </c>
      <c r="D664" s="1">
        <f>MONTH(Tabela14[[#This Row],[DATA]])</f>
        <v>5</v>
      </c>
    </row>
    <row r="665" spans="1:4" x14ac:dyDescent="0.35">
      <c r="A665" s="2">
        <v>46167</v>
      </c>
      <c r="B665" s="1" t="s">
        <v>9</v>
      </c>
      <c r="C665" s="1">
        <f>YEAR(Tabela14[[#This Row],[DATA]])</f>
        <v>2026</v>
      </c>
      <c r="D665" s="1">
        <f>MONTH(Tabela14[[#This Row],[DATA]])</f>
        <v>5</v>
      </c>
    </row>
    <row r="666" spans="1:4" x14ac:dyDescent="0.35">
      <c r="A666" s="2">
        <v>46168</v>
      </c>
      <c r="B666" s="1" t="s">
        <v>9</v>
      </c>
      <c r="C666" s="1">
        <f>YEAR(Tabela14[[#This Row],[DATA]])</f>
        <v>2026</v>
      </c>
      <c r="D666" s="1">
        <f>MONTH(Tabela14[[#This Row],[DATA]])</f>
        <v>5</v>
      </c>
    </row>
    <row r="667" spans="1:4" x14ac:dyDescent="0.35">
      <c r="A667" s="2">
        <v>46168</v>
      </c>
      <c r="B667" s="1" t="s">
        <v>9</v>
      </c>
      <c r="C667" s="1">
        <f>YEAR(Tabela14[[#This Row],[DATA]])</f>
        <v>2026</v>
      </c>
      <c r="D667" s="1">
        <f>MONTH(Tabela14[[#This Row],[DATA]])</f>
        <v>5</v>
      </c>
    </row>
    <row r="668" spans="1:4" x14ac:dyDescent="0.35">
      <c r="A668" s="2">
        <v>46168</v>
      </c>
      <c r="B668" s="1" t="s">
        <v>9</v>
      </c>
      <c r="C668" s="1">
        <f>YEAR(Tabela14[[#This Row],[DATA]])</f>
        <v>2026</v>
      </c>
      <c r="D668" s="1">
        <f>MONTH(Tabela14[[#This Row],[DATA]])</f>
        <v>5</v>
      </c>
    </row>
    <row r="669" spans="1:4" x14ac:dyDescent="0.35">
      <c r="A669" s="2">
        <v>46168</v>
      </c>
      <c r="B669" s="1" t="s">
        <v>28</v>
      </c>
      <c r="C669" s="1">
        <f>YEAR(Tabela14[[#This Row],[DATA]])</f>
        <v>2026</v>
      </c>
      <c r="D669" s="1">
        <f>MONTH(Tabela14[[#This Row],[DATA]])</f>
        <v>5</v>
      </c>
    </row>
    <row r="670" spans="1:4" x14ac:dyDescent="0.35">
      <c r="A670" s="2">
        <v>46168</v>
      </c>
      <c r="B670" s="1" t="s">
        <v>28</v>
      </c>
      <c r="C670" s="1">
        <f>YEAR(Tabela14[[#This Row],[DATA]])</f>
        <v>2026</v>
      </c>
      <c r="D670" s="1">
        <f>MONTH(Tabela14[[#This Row],[DATA]])</f>
        <v>5</v>
      </c>
    </row>
    <row r="671" spans="1:4" x14ac:dyDescent="0.35">
      <c r="A671" s="2">
        <v>46168</v>
      </c>
      <c r="B671" s="1" t="s">
        <v>28</v>
      </c>
      <c r="C671" s="1">
        <f>YEAR(Tabela14[[#This Row],[DATA]])</f>
        <v>2026</v>
      </c>
      <c r="D671" s="1">
        <f>MONTH(Tabela14[[#This Row],[DATA]])</f>
        <v>5</v>
      </c>
    </row>
    <row r="672" spans="1:4" x14ac:dyDescent="0.35">
      <c r="A672" s="2">
        <v>46168</v>
      </c>
      <c r="B672" s="1" t="s">
        <v>28</v>
      </c>
      <c r="C672" s="1">
        <f>YEAR(Tabela14[[#This Row],[DATA]])</f>
        <v>2026</v>
      </c>
      <c r="D672" s="1">
        <f>MONTH(Tabela14[[#This Row],[DATA]])</f>
        <v>5</v>
      </c>
    </row>
    <row r="673" spans="1:4" x14ac:dyDescent="0.35">
      <c r="A673" s="2">
        <v>46169</v>
      </c>
      <c r="B673" s="1" t="s">
        <v>28</v>
      </c>
      <c r="C673" s="1">
        <f>YEAR(Tabela14[[#This Row],[DATA]])</f>
        <v>2026</v>
      </c>
      <c r="D673" s="1">
        <f>MONTH(Tabela14[[#This Row],[DATA]])</f>
        <v>5</v>
      </c>
    </row>
    <row r="674" spans="1:4" x14ac:dyDescent="0.35">
      <c r="A674" s="2">
        <v>46169</v>
      </c>
      <c r="B674" s="1" t="s">
        <v>28</v>
      </c>
      <c r="C674" s="1">
        <f>YEAR(Tabela14[[#This Row],[DATA]])</f>
        <v>2026</v>
      </c>
      <c r="D674" s="1">
        <f>MONTH(Tabela14[[#This Row],[DATA]])</f>
        <v>5</v>
      </c>
    </row>
    <row r="675" spans="1:4" x14ac:dyDescent="0.35">
      <c r="A675" s="2">
        <v>46170</v>
      </c>
      <c r="B675" s="1" t="s">
        <v>9</v>
      </c>
      <c r="C675" s="1">
        <f>YEAR(Tabela14[[#This Row],[DATA]])</f>
        <v>2026</v>
      </c>
      <c r="D675" s="1">
        <f>MONTH(Tabela14[[#This Row],[DATA]])</f>
        <v>5</v>
      </c>
    </row>
    <row r="676" spans="1:4" x14ac:dyDescent="0.35">
      <c r="A676" s="2">
        <v>46170</v>
      </c>
      <c r="B676" s="1" t="s">
        <v>9</v>
      </c>
      <c r="C676" s="1">
        <f>YEAR(Tabela14[[#This Row],[DATA]])</f>
        <v>2026</v>
      </c>
      <c r="D676" s="1">
        <f>MONTH(Tabela14[[#This Row],[DATA]])</f>
        <v>5</v>
      </c>
    </row>
    <row r="677" spans="1:4" x14ac:dyDescent="0.35">
      <c r="A677" s="2">
        <v>46170</v>
      </c>
      <c r="B677" s="1" t="s">
        <v>9</v>
      </c>
      <c r="C677" s="1">
        <f>YEAR(Tabela14[[#This Row],[DATA]])</f>
        <v>2026</v>
      </c>
      <c r="D677" s="1">
        <f>MONTH(Tabela14[[#This Row],[DATA]])</f>
        <v>5</v>
      </c>
    </row>
    <row r="678" spans="1:4" x14ac:dyDescent="0.35">
      <c r="A678" s="2">
        <v>46170</v>
      </c>
      <c r="B678" s="1" t="s">
        <v>9</v>
      </c>
      <c r="C678" s="1">
        <f>YEAR(Tabela14[[#This Row],[DATA]])</f>
        <v>2026</v>
      </c>
      <c r="D678" s="1">
        <f>MONTH(Tabela14[[#This Row],[DATA]])</f>
        <v>5</v>
      </c>
    </row>
    <row r="679" spans="1:4" x14ac:dyDescent="0.35">
      <c r="A679" s="2">
        <v>46170</v>
      </c>
      <c r="B679" s="1" t="s">
        <v>9</v>
      </c>
      <c r="C679" s="1">
        <f>YEAR(Tabela14[[#This Row],[DATA]])</f>
        <v>2026</v>
      </c>
      <c r="D679" s="1">
        <f>MONTH(Tabela14[[#This Row],[DATA]])</f>
        <v>5</v>
      </c>
    </row>
    <row r="680" spans="1:4" x14ac:dyDescent="0.35">
      <c r="A680" s="2">
        <v>46170</v>
      </c>
      <c r="B680" s="1" t="s">
        <v>9</v>
      </c>
      <c r="C680" s="1">
        <f>YEAR(Tabela14[[#This Row],[DATA]])</f>
        <v>2026</v>
      </c>
      <c r="D680" s="1">
        <f>MONTH(Tabela14[[#This Row],[DATA]])</f>
        <v>5</v>
      </c>
    </row>
    <row r="681" spans="1:4" x14ac:dyDescent="0.35">
      <c r="A681" s="2">
        <v>46171</v>
      </c>
      <c r="B681" s="1" t="s">
        <v>9</v>
      </c>
      <c r="C681" s="1">
        <f>YEAR(Tabela14[[#This Row],[DATA]])</f>
        <v>2026</v>
      </c>
      <c r="D681" s="1">
        <f>MONTH(Tabela14[[#This Row],[DATA]])</f>
        <v>5</v>
      </c>
    </row>
    <row r="682" spans="1:4" x14ac:dyDescent="0.35">
      <c r="A682" s="2">
        <v>46172</v>
      </c>
      <c r="B682" s="1" t="s">
        <v>5</v>
      </c>
      <c r="C682" s="1">
        <f>YEAR(Tabela14[[#This Row],[DATA]])</f>
        <v>2026</v>
      </c>
      <c r="D682" s="1">
        <f>MONTH(Tabela14[[#This Row],[DATA]])</f>
        <v>5</v>
      </c>
    </row>
    <row r="683" spans="1:4" x14ac:dyDescent="0.35">
      <c r="A683" s="2">
        <v>46172</v>
      </c>
      <c r="B683" s="1" t="s">
        <v>5</v>
      </c>
      <c r="C683" s="1">
        <f>YEAR(Tabela14[[#This Row],[DATA]])</f>
        <v>2026</v>
      </c>
      <c r="D683" s="1">
        <f>MONTH(Tabela14[[#This Row],[DATA]])</f>
        <v>5</v>
      </c>
    </row>
    <row r="684" spans="1:4" x14ac:dyDescent="0.35">
      <c r="A684" s="2">
        <v>46174</v>
      </c>
      <c r="B684" s="1" t="s">
        <v>5</v>
      </c>
      <c r="C684" s="1">
        <f>YEAR(Tabela14[[#This Row],[DATA]])</f>
        <v>2026</v>
      </c>
      <c r="D684" s="1">
        <f>MONTH(Tabela14[[#This Row],[DATA]])</f>
        <v>6</v>
      </c>
    </row>
    <row r="685" spans="1:4" x14ac:dyDescent="0.35">
      <c r="A685" s="2">
        <v>46174</v>
      </c>
      <c r="B685" s="1" t="s">
        <v>5</v>
      </c>
      <c r="C685" s="1">
        <f>YEAR(Tabela14[[#This Row],[DATA]])</f>
        <v>2026</v>
      </c>
      <c r="D685" s="1">
        <f>MONTH(Tabela14[[#This Row],[DATA]])</f>
        <v>6</v>
      </c>
    </row>
    <row r="686" spans="1:4" x14ac:dyDescent="0.35">
      <c r="A686" s="2">
        <v>46174</v>
      </c>
      <c r="B686" s="1" t="s">
        <v>9</v>
      </c>
      <c r="C686" s="1">
        <f>YEAR(Tabela14[[#This Row],[DATA]])</f>
        <v>2026</v>
      </c>
      <c r="D686" s="1">
        <f>MONTH(Tabela14[[#This Row],[DATA]])</f>
        <v>6</v>
      </c>
    </row>
    <row r="687" spans="1:4" x14ac:dyDescent="0.35">
      <c r="A687" s="2">
        <v>46174</v>
      </c>
      <c r="B687" s="1" t="s">
        <v>9</v>
      </c>
      <c r="C687" s="1">
        <f>YEAR(Tabela14[[#This Row],[DATA]])</f>
        <v>2026</v>
      </c>
      <c r="D687" s="1">
        <f>MONTH(Tabela14[[#This Row],[DATA]])</f>
        <v>6</v>
      </c>
    </row>
    <row r="688" spans="1:4" x14ac:dyDescent="0.35">
      <c r="A688" s="2">
        <v>46174</v>
      </c>
      <c r="B688" s="1" t="s">
        <v>9</v>
      </c>
      <c r="C688" s="1">
        <f>YEAR(Tabela14[[#This Row],[DATA]])</f>
        <v>2026</v>
      </c>
      <c r="D688" s="1">
        <f>MONTH(Tabela14[[#This Row],[DATA]])</f>
        <v>6</v>
      </c>
    </row>
    <row r="689" spans="1:4" x14ac:dyDescent="0.35">
      <c r="A689" s="2">
        <v>46174</v>
      </c>
      <c r="B689" s="1" t="s">
        <v>9</v>
      </c>
      <c r="C689" s="1">
        <f>YEAR(Tabela14[[#This Row],[DATA]])</f>
        <v>2026</v>
      </c>
      <c r="D689" s="1">
        <f>MONTH(Tabela14[[#This Row],[DATA]])</f>
        <v>6</v>
      </c>
    </row>
    <row r="690" spans="1:4" x14ac:dyDescent="0.35">
      <c r="A690" s="2">
        <v>46174</v>
      </c>
      <c r="B690" s="1" t="s">
        <v>9</v>
      </c>
      <c r="C690" s="1">
        <f>YEAR(Tabela14[[#This Row],[DATA]])</f>
        <v>2026</v>
      </c>
      <c r="D690" s="1">
        <f>MONTH(Tabela14[[#This Row],[DATA]])</f>
        <v>6</v>
      </c>
    </row>
    <row r="691" spans="1:4" x14ac:dyDescent="0.35">
      <c r="A691" s="2">
        <v>46175</v>
      </c>
      <c r="B691" s="1" t="s">
        <v>9</v>
      </c>
      <c r="C691" s="1">
        <f>YEAR(Tabela14[[#This Row],[DATA]])</f>
        <v>2026</v>
      </c>
      <c r="D691" s="1">
        <f>MONTH(Tabela14[[#This Row],[DATA]])</f>
        <v>6</v>
      </c>
    </row>
    <row r="692" spans="1:4" x14ac:dyDescent="0.35">
      <c r="A692" s="2">
        <v>46175</v>
      </c>
      <c r="B692" s="1" t="s">
        <v>9</v>
      </c>
      <c r="C692" s="1">
        <f>YEAR(Tabela14[[#This Row],[DATA]])</f>
        <v>2026</v>
      </c>
      <c r="D692" s="1">
        <f>MONTH(Tabela14[[#This Row],[DATA]])</f>
        <v>6</v>
      </c>
    </row>
    <row r="693" spans="1:4" x14ac:dyDescent="0.35">
      <c r="A693" s="2">
        <v>46175</v>
      </c>
      <c r="B693" s="1" t="s">
        <v>9</v>
      </c>
      <c r="C693" s="1">
        <f>YEAR(Tabela14[[#This Row],[DATA]])</f>
        <v>2026</v>
      </c>
      <c r="D693" s="1">
        <f>MONTH(Tabela14[[#This Row],[DATA]])</f>
        <v>6</v>
      </c>
    </row>
    <row r="694" spans="1:4" x14ac:dyDescent="0.35">
      <c r="A694" s="2">
        <v>46175</v>
      </c>
      <c r="B694" s="1" t="s">
        <v>24</v>
      </c>
      <c r="C694" s="1">
        <f>YEAR(Tabela14[[#This Row],[DATA]])</f>
        <v>2026</v>
      </c>
      <c r="D694" s="1">
        <f>MONTH(Tabela14[[#This Row],[DATA]])</f>
        <v>6</v>
      </c>
    </row>
    <row r="695" spans="1:4" x14ac:dyDescent="0.35">
      <c r="A695" s="2">
        <v>46175</v>
      </c>
      <c r="B695" s="1" t="s">
        <v>24</v>
      </c>
      <c r="C695" s="1">
        <f>YEAR(Tabela14[[#This Row],[DATA]])</f>
        <v>2026</v>
      </c>
      <c r="D695" s="1">
        <f>MONTH(Tabela14[[#This Row],[DATA]])</f>
        <v>6</v>
      </c>
    </row>
    <row r="696" spans="1:4" x14ac:dyDescent="0.35">
      <c r="A696" s="2">
        <v>46175</v>
      </c>
      <c r="B696" s="1" t="s">
        <v>5</v>
      </c>
      <c r="C696" s="1">
        <f>YEAR(Tabela14[[#This Row],[DATA]])</f>
        <v>2026</v>
      </c>
      <c r="D696" s="1">
        <f>MONTH(Tabela14[[#This Row],[DATA]])</f>
        <v>6</v>
      </c>
    </row>
    <row r="697" spans="1:4" x14ac:dyDescent="0.35">
      <c r="A697" s="2">
        <v>46175</v>
      </c>
      <c r="B697" s="1" t="s">
        <v>28</v>
      </c>
      <c r="C697" s="1">
        <f>YEAR(Tabela14[[#This Row],[DATA]])</f>
        <v>2026</v>
      </c>
      <c r="D697" s="1">
        <f>MONTH(Tabela14[[#This Row],[DATA]])</f>
        <v>6</v>
      </c>
    </row>
    <row r="698" spans="1:4" x14ac:dyDescent="0.35">
      <c r="A698" s="2">
        <v>46175</v>
      </c>
      <c r="B698" s="1" t="s">
        <v>28</v>
      </c>
      <c r="C698" s="1">
        <f>YEAR(Tabela14[[#This Row],[DATA]])</f>
        <v>2026</v>
      </c>
      <c r="D698" s="1">
        <f>MONTH(Tabela14[[#This Row],[DATA]])</f>
        <v>6</v>
      </c>
    </row>
    <row r="699" spans="1:4" x14ac:dyDescent="0.35">
      <c r="A699" s="2">
        <v>46175</v>
      </c>
      <c r="B699" s="1" t="s">
        <v>28</v>
      </c>
      <c r="C699" s="1">
        <f>YEAR(Tabela14[[#This Row],[DATA]])</f>
        <v>2026</v>
      </c>
      <c r="D699" s="1">
        <f>MONTH(Tabela14[[#This Row],[DATA]])</f>
        <v>6</v>
      </c>
    </row>
    <row r="700" spans="1:4" x14ac:dyDescent="0.35">
      <c r="A700" s="2">
        <v>46175</v>
      </c>
      <c r="B700" s="1" t="s">
        <v>28</v>
      </c>
      <c r="C700" s="1">
        <f>YEAR(Tabela14[[#This Row],[DATA]])</f>
        <v>2026</v>
      </c>
      <c r="D700" s="1">
        <f>MONTH(Tabela14[[#This Row],[DATA]])</f>
        <v>6</v>
      </c>
    </row>
    <row r="701" spans="1:4" x14ac:dyDescent="0.35">
      <c r="A701" s="2">
        <v>46178</v>
      </c>
      <c r="B701" s="1" t="s">
        <v>9</v>
      </c>
      <c r="C701" s="1">
        <f>YEAR(Tabela14[[#This Row],[DATA]])</f>
        <v>2026</v>
      </c>
      <c r="D701" s="1">
        <f>MONTH(Tabela14[[#This Row],[DATA]])</f>
        <v>6</v>
      </c>
    </row>
    <row r="702" spans="1:4" x14ac:dyDescent="0.35">
      <c r="A702" s="2">
        <v>46178</v>
      </c>
      <c r="B702" s="1" t="s">
        <v>9</v>
      </c>
      <c r="C702" s="1">
        <f>YEAR(Tabela14[[#This Row],[DATA]])</f>
        <v>2026</v>
      </c>
      <c r="D702" s="1">
        <f>MONTH(Tabela14[[#This Row],[DATA]])</f>
        <v>6</v>
      </c>
    </row>
    <row r="703" spans="1:4" x14ac:dyDescent="0.35">
      <c r="A703" s="2">
        <v>46178</v>
      </c>
      <c r="B703" s="1" t="s">
        <v>9</v>
      </c>
      <c r="C703" s="1">
        <f>YEAR(Tabela14[[#This Row],[DATA]])</f>
        <v>2026</v>
      </c>
      <c r="D703" s="1">
        <f>MONTH(Tabela14[[#This Row],[DATA]])</f>
        <v>6</v>
      </c>
    </row>
    <row r="704" spans="1:4" x14ac:dyDescent="0.35">
      <c r="A704" s="2">
        <v>46178</v>
      </c>
      <c r="B704" s="1" t="s">
        <v>9</v>
      </c>
      <c r="C704" s="1">
        <f>YEAR(Tabela14[[#This Row],[DATA]])</f>
        <v>2026</v>
      </c>
      <c r="D704" s="1">
        <f>MONTH(Tabela14[[#This Row],[DATA]])</f>
        <v>6</v>
      </c>
    </row>
    <row r="705" spans="1:4" x14ac:dyDescent="0.35">
      <c r="A705" s="2">
        <v>46178</v>
      </c>
      <c r="B705" s="1" t="s">
        <v>28</v>
      </c>
      <c r="C705" s="1">
        <f>YEAR(Tabela14[[#This Row],[DATA]])</f>
        <v>2026</v>
      </c>
      <c r="D705" s="1">
        <f>MONTH(Tabela14[[#This Row],[DATA]])</f>
        <v>6</v>
      </c>
    </row>
    <row r="706" spans="1:4" x14ac:dyDescent="0.35">
      <c r="A706" s="2">
        <v>46178</v>
      </c>
      <c r="B706" s="1" t="s">
        <v>28</v>
      </c>
      <c r="C706" s="1">
        <f>YEAR(Tabela14[[#This Row],[DATA]])</f>
        <v>2026</v>
      </c>
      <c r="D706" s="1">
        <f>MONTH(Tabela14[[#This Row],[DATA]])</f>
        <v>6</v>
      </c>
    </row>
    <row r="707" spans="1:4" x14ac:dyDescent="0.35">
      <c r="A707" s="2">
        <v>46178</v>
      </c>
      <c r="B707" s="1" t="s">
        <v>28</v>
      </c>
      <c r="C707" s="1">
        <f>YEAR(Tabela14[[#This Row],[DATA]])</f>
        <v>2026</v>
      </c>
      <c r="D707" s="1">
        <f>MONTH(Tabela14[[#This Row],[DATA]])</f>
        <v>6</v>
      </c>
    </row>
    <row r="708" spans="1:4" x14ac:dyDescent="0.35">
      <c r="A708" s="2">
        <v>46178</v>
      </c>
      <c r="B708" s="1" t="s">
        <v>28</v>
      </c>
      <c r="C708" s="1">
        <f>YEAR(Tabela14[[#This Row],[DATA]])</f>
        <v>2026</v>
      </c>
      <c r="D708" s="1">
        <f>MONTH(Tabela14[[#This Row],[DATA]])</f>
        <v>6</v>
      </c>
    </row>
    <row r="709" spans="1:4" x14ac:dyDescent="0.35">
      <c r="A709" s="2">
        <v>46178</v>
      </c>
      <c r="B709" s="1" t="s">
        <v>28</v>
      </c>
      <c r="C709" s="1">
        <f>YEAR(Tabela14[[#This Row],[DATA]])</f>
        <v>2026</v>
      </c>
      <c r="D709" s="1">
        <f>MONTH(Tabela14[[#This Row],[DATA]])</f>
        <v>6</v>
      </c>
    </row>
    <row r="710" spans="1:4" x14ac:dyDescent="0.35">
      <c r="A710" s="2">
        <v>46181</v>
      </c>
      <c r="B710" s="1" t="s">
        <v>24</v>
      </c>
      <c r="C710" s="1">
        <f>YEAR(Tabela14[[#This Row],[DATA]])</f>
        <v>2026</v>
      </c>
      <c r="D710" s="1">
        <f>MONTH(Tabela14[[#This Row],[DATA]])</f>
        <v>6</v>
      </c>
    </row>
    <row r="711" spans="1:4" x14ac:dyDescent="0.35">
      <c r="A711" s="2">
        <v>46181</v>
      </c>
      <c r="B711" s="1" t="s">
        <v>22</v>
      </c>
      <c r="C711" s="1">
        <f>YEAR(Tabela14[[#This Row],[DATA]])</f>
        <v>2026</v>
      </c>
      <c r="D711" s="1">
        <f>MONTH(Tabela14[[#This Row],[DATA]])</f>
        <v>6</v>
      </c>
    </row>
    <row r="712" spans="1:4" x14ac:dyDescent="0.35">
      <c r="A712" s="2">
        <v>46181</v>
      </c>
      <c r="B712" s="1" t="s">
        <v>24</v>
      </c>
      <c r="C712" s="1">
        <f>YEAR(Tabela14[[#This Row],[DATA]])</f>
        <v>2026</v>
      </c>
      <c r="D712" s="1">
        <f>MONTH(Tabela14[[#This Row],[DATA]])</f>
        <v>6</v>
      </c>
    </row>
    <row r="713" spans="1:4" x14ac:dyDescent="0.35">
      <c r="A713" s="2">
        <v>46181</v>
      </c>
      <c r="B713" s="1" t="s">
        <v>9</v>
      </c>
      <c r="C713" s="1">
        <f>YEAR(Tabela14[[#This Row],[DATA]])</f>
        <v>2026</v>
      </c>
      <c r="D713" s="1">
        <f>MONTH(Tabela14[[#This Row],[DATA]])</f>
        <v>6</v>
      </c>
    </row>
    <row r="714" spans="1:4" x14ac:dyDescent="0.35">
      <c r="A714" s="2">
        <v>46181</v>
      </c>
      <c r="B714" s="1" t="s">
        <v>9</v>
      </c>
      <c r="C714" s="1">
        <f>YEAR(Tabela14[[#This Row],[DATA]])</f>
        <v>2026</v>
      </c>
      <c r="D714" s="1">
        <f>MONTH(Tabela14[[#This Row],[DATA]])</f>
        <v>6</v>
      </c>
    </row>
    <row r="715" spans="1:4" x14ac:dyDescent="0.35">
      <c r="A715" s="2">
        <v>46181</v>
      </c>
      <c r="B715" s="1" t="s">
        <v>9</v>
      </c>
      <c r="C715" s="1">
        <f>YEAR(Tabela14[[#This Row],[DATA]])</f>
        <v>2026</v>
      </c>
      <c r="D715" s="1">
        <f>MONTH(Tabela14[[#This Row],[DATA]])</f>
        <v>6</v>
      </c>
    </row>
    <row r="716" spans="1:4" x14ac:dyDescent="0.35">
      <c r="A716" s="2">
        <v>46181</v>
      </c>
      <c r="B716" s="1" t="s">
        <v>9</v>
      </c>
      <c r="C716" s="1">
        <f>YEAR(Tabela14[[#This Row],[DATA]])</f>
        <v>2026</v>
      </c>
      <c r="D716" s="1">
        <f>MONTH(Tabela14[[#This Row],[DATA]])</f>
        <v>6</v>
      </c>
    </row>
    <row r="717" spans="1:4" x14ac:dyDescent="0.35">
      <c r="A717" s="2">
        <v>46181</v>
      </c>
      <c r="B717" s="1" t="s">
        <v>9</v>
      </c>
      <c r="C717" s="1">
        <f>YEAR(Tabela14[[#This Row],[DATA]])</f>
        <v>2026</v>
      </c>
      <c r="D717" s="1">
        <f>MONTH(Tabela14[[#This Row],[DATA]])</f>
        <v>6</v>
      </c>
    </row>
    <row r="718" spans="1:4" x14ac:dyDescent="0.35">
      <c r="A718" s="2">
        <v>46182</v>
      </c>
      <c r="B718" s="1" t="s">
        <v>9</v>
      </c>
      <c r="C718" s="1">
        <f>YEAR(Tabela14[[#This Row],[DATA]])</f>
        <v>2026</v>
      </c>
      <c r="D718" s="1">
        <f>MONTH(Tabela14[[#This Row],[DATA]])</f>
        <v>6</v>
      </c>
    </row>
    <row r="719" spans="1:4" x14ac:dyDescent="0.35">
      <c r="A719" s="2">
        <v>46182</v>
      </c>
      <c r="B719" s="1" t="s">
        <v>9</v>
      </c>
      <c r="C719" s="1">
        <f>YEAR(Tabela14[[#This Row],[DATA]])</f>
        <v>2026</v>
      </c>
      <c r="D719" s="1">
        <f>MONTH(Tabela14[[#This Row],[DATA]])</f>
        <v>6</v>
      </c>
    </row>
    <row r="720" spans="1:4" x14ac:dyDescent="0.35">
      <c r="A720" s="2">
        <v>46182</v>
      </c>
      <c r="B720" s="1" t="s">
        <v>9</v>
      </c>
      <c r="C720" s="1">
        <f>YEAR(Tabela14[[#This Row],[DATA]])</f>
        <v>2026</v>
      </c>
      <c r="D720" s="1">
        <f>MONTH(Tabela14[[#This Row],[DATA]])</f>
        <v>6</v>
      </c>
    </row>
    <row r="721" spans="1:4" x14ac:dyDescent="0.35">
      <c r="A721" s="2">
        <v>46182</v>
      </c>
      <c r="B721" s="1" t="s">
        <v>9</v>
      </c>
      <c r="C721" s="1">
        <f>YEAR(Tabela14[[#This Row],[DATA]])</f>
        <v>2026</v>
      </c>
      <c r="D721" s="1">
        <f>MONTH(Tabela14[[#This Row],[DATA]])</f>
        <v>6</v>
      </c>
    </row>
    <row r="722" spans="1:4" x14ac:dyDescent="0.35">
      <c r="A722" s="2">
        <v>46182</v>
      </c>
      <c r="B722" s="1" t="s">
        <v>24</v>
      </c>
      <c r="C722" s="1">
        <f>YEAR(Tabela14[[#This Row],[DATA]])</f>
        <v>2026</v>
      </c>
      <c r="D722" s="1">
        <f>MONTH(Tabela14[[#This Row],[DATA]])</f>
        <v>6</v>
      </c>
    </row>
    <row r="723" spans="1:4" x14ac:dyDescent="0.35">
      <c r="A723" s="2">
        <v>46182</v>
      </c>
      <c r="B723" s="1" t="s">
        <v>24</v>
      </c>
      <c r="C723" s="1">
        <f>YEAR(Tabela14[[#This Row],[DATA]])</f>
        <v>2026</v>
      </c>
      <c r="D723" s="1">
        <f>MONTH(Tabela14[[#This Row],[DATA]])</f>
        <v>6</v>
      </c>
    </row>
    <row r="724" spans="1:4" x14ac:dyDescent="0.35">
      <c r="A724" s="2">
        <v>46182</v>
      </c>
      <c r="B724" s="1" t="s">
        <v>24</v>
      </c>
      <c r="C724" s="1">
        <f>YEAR(Tabela14[[#This Row],[DATA]])</f>
        <v>2026</v>
      </c>
      <c r="D724" s="1">
        <f>MONTH(Tabela14[[#This Row],[DATA]])</f>
        <v>6</v>
      </c>
    </row>
    <row r="725" spans="1:4" x14ac:dyDescent="0.35">
      <c r="A725" s="2">
        <v>46182</v>
      </c>
      <c r="B725" s="1" t="s">
        <v>24</v>
      </c>
      <c r="C725" s="1">
        <f>YEAR(Tabela14[[#This Row],[DATA]])</f>
        <v>2026</v>
      </c>
      <c r="D725" s="1">
        <f>MONTH(Tabela14[[#This Row],[DATA]])</f>
        <v>6</v>
      </c>
    </row>
    <row r="726" spans="1:4" x14ac:dyDescent="0.35">
      <c r="A726" s="2">
        <v>46182</v>
      </c>
      <c r="B726" s="1" t="s">
        <v>9</v>
      </c>
      <c r="C726" s="1">
        <f>YEAR(Tabela14[[#This Row],[DATA]])</f>
        <v>2026</v>
      </c>
      <c r="D726" s="1">
        <f>MONTH(Tabela14[[#This Row],[DATA]])</f>
        <v>6</v>
      </c>
    </row>
    <row r="727" spans="1:4" x14ac:dyDescent="0.35">
      <c r="A727" s="2">
        <v>46182</v>
      </c>
      <c r="B727" s="1" t="s">
        <v>9</v>
      </c>
      <c r="C727" s="1">
        <f>YEAR(Tabela14[[#This Row],[DATA]])</f>
        <v>2026</v>
      </c>
      <c r="D727" s="1">
        <f>MONTH(Tabela14[[#This Row],[DATA]])</f>
        <v>6</v>
      </c>
    </row>
    <row r="728" spans="1:4" x14ac:dyDescent="0.35">
      <c r="A728" s="2">
        <v>46183</v>
      </c>
      <c r="B728" s="1" t="s">
        <v>9</v>
      </c>
      <c r="C728" s="1">
        <f>YEAR(Tabela14[[#This Row],[DATA]])</f>
        <v>2026</v>
      </c>
      <c r="D728" s="1">
        <f>MONTH(Tabela14[[#This Row],[DATA]])</f>
        <v>6</v>
      </c>
    </row>
    <row r="729" spans="1:4" x14ac:dyDescent="0.35">
      <c r="A729" s="2">
        <v>46183</v>
      </c>
      <c r="B729" s="1" t="s">
        <v>9</v>
      </c>
      <c r="C729" s="1">
        <f>YEAR(Tabela14[[#This Row],[DATA]])</f>
        <v>2026</v>
      </c>
      <c r="D729" s="1">
        <f>MONTH(Tabela14[[#This Row],[DATA]])</f>
        <v>6</v>
      </c>
    </row>
    <row r="730" spans="1:4" x14ac:dyDescent="0.35">
      <c r="A730" s="2">
        <v>46183</v>
      </c>
      <c r="B730" s="1" t="s">
        <v>9</v>
      </c>
      <c r="C730" s="1">
        <f>YEAR(Tabela14[[#This Row],[DATA]])</f>
        <v>2026</v>
      </c>
      <c r="D730" s="1">
        <f>MONTH(Tabela14[[#This Row],[DATA]])</f>
        <v>6</v>
      </c>
    </row>
    <row r="731" spans="1:4" x14ac:dyDescent="0.35">
      <c r="A731" s="2">
        <v>46183</v>
      </c>
      <c r="B731" s="1" t="s">
        <v>9</v>
      </c>
      <c r="C731" s="1">
        <f>YEAR(Tabela14[[#This Row],[DATA]])</f>
        <v>2026</v>
      </c>
      <c r="D731" s="1">
        <f>MONTH(Tabela14[[#This Row],[DATA]])</f>
        <v>6</v>
      </c>
    </row>
    <row r="732" spans="1:4" x14ac:dyDescent="0.35">
      <c r="A732" s="2">
        <v>46183</v>
      </c>
      <c r="B732" s="1" t="s">
        <v>9</v>
      </c>
      <c r="C732" s="1">
        <f>YEAR(Tabela14[[#This Row],[DATA]])</f>
        <v>2026</v>
      </c>
      <c r="D732" s="1">
        <f>MONTH(Tabela14[[#This Row],[DATA]])</f>
        <v>6</v>
      </c>
    </row>
    <row r="733" spans="1:4" x14ac:dyDescent="0.35">
      <c r="A733" s="2">
        <v>46183</v>
      </c>
      <c r="B733" s="1" t="s">
        <v>9</v>
      </c>
      <c r="C733" s="1">
        <f>YEAR(Tabela14[[#This Row],[DATA]])</f>
        <v>2026</v>
      </c>
      <c r="D733" s="1">
        <f>MONTH(Tabela14[[#This Row],[DATA]])</f>
        <v>6</v>
      </c>
    </row>
    <row r="734" spans="1:4" x14ac:dyDescent="0.35">
      <c r="A734" s="2">
        <v>46184</v>
      </c>
      <c r="B734" s="1" t="s">
        <v>5</v>
      </c>
      <c r="C734" s="1">
        <f>YEAR(Tabela14[[#This Row],[DATA]])</f>
        <v>2026</v>
      </c>
      <c r="D734" s="1">
        <f>MONTH(Tabela14[[#This Row],[DATA]])</f>
        <v>6</v>
      </c>
    </row>
    <row r="735" spans="1:4" x14ac:dyDescent="0.35">
      <c r="A735" s="2">
        <v>46184</v>
      </c>
      <c r="B735" s="1" t="s">
        <v>5</v>
      </c>
      <c r="C735" s="1">
        <f>YEAR(Tabela14[[#This Row],[DATA]])</f>
        <v>2026</v>
      </c>
      <c r="D735" s="1">
        <f>MONTH(Tabela14[[#This Row],[DATA]])</f>
        <v>6</v>
      </c>
    </row>
    <row r="736" spans="1:4" x14ac:dyDescent="0.35">
      <c r="A736" s="2">
        <v>46184</v>
      </c>
      <c r="B736" s="1" t="s">
        <v>9</v>
      </c>
      <c r="C736" s="1">
        <f>YEAR(Tabela14[[#This Row],[DATA]])</f>
        <v>2026</v>
      </c>
      <c r="D736" s="1">
        <f>MONTH(Tabela14[[#This Row],[DATA]])</f>
        <v>6</v>
      </c>
    </row>
    <row r="737" spans="1:4" x14ac:dyDescent="0.35">
      <c r="A737" s="2">
        <v>46184</v>
      </c>
      <c r="B737" s="1" t="s">
        <v>9</v>
      </c>
      <c r="C737" s="1">
        <f>YEAR(Tabela14[[#This Row],[DATA]])</f>
        <v>2026</v>
      </c>
      <c r="D737" s="1">
        <f>MONTH(Tabela14[[#This Row],[DATA]])</f>
        <v>6</v>
      </c>
    </row>
    <row r="738" spans="1:4" x14ac:dyDescent="0.35">
      <c r="A738" s="2">
        <v>46188</v>
      </c>
      <c r="B738" s="1" t="s">
        <v>9</v>
      </c>
      <c r="C738" s="1">
        <f>YEAR(Tabela14[[#This Row],[DATA]])</f>
        <v>2026</v>
      </c>
      <c r="D738" s="1">
        <f>MONTH(Tabela14[[#This Row],[DATA]])</f>
        <v>6</v>
      </c>
    </row>
    <row r="739" spans="1:4" x14ac:dyDescent="0.35">
      <c r="A739" s="2">
        <v>46188</v>
      </c>
      <c r="B739" s="1" t="s">
        <v>9</v>
      </c>
      <c r="C739" s="1">
        <f>YEAR(Tabela14[[#This Row],[DATA]])</f>
        <v>2026</v>
      </c>
      <c r="D739" s="1">
        <f>MONTH(Tabela14[[#This Row],[DATA]])</f>
        <v>6</v>
      </c>
    </row>
    <row r="740" spans="1:4" x14ac:dyDescent="0.35">
      <c r="A740" s="2">
        <v>46188</v>
      </c>
      <c r="B740" s="1" t="s">
        <v>9</v>
      </c>
      <c r="C740" s="1">
        <f>YEAR(Tabela14[[#This Row],[DATA]])</f>
        <v>2026</v>
      </c>
      <c r="D740" s="1">
        <f>MONTH(Tabela14[[#This Row],[DATA]])</f>
        <v>6</v>
      </c>
    </row>
    <row r="741" spans="1:4" x14ac:dyDescent="0.35">
      <c r="A741" s="2">
        <v>46188</v>
      </c>
      <c r="B741" s="1" t="s">
        <v>9</v>
      </c>
      <c r="C741" s="1">
        <f>YEAR(Tabela14[[#This Row],[DATA]])</f>
        <v>2026</v>
      </c>
      <c r="D741" s="1">
        <f>MONTH(Tabela14[[#This Row],[DATA]])</f>
        <v>6</v>
      </c>
    </row>
    <row r="742" spans="1:4" x14ac:dyDescent="0.35">
      <c r="A742" s="2">
        <v>46188</v>
      </c>
      <c r="B742" s="1" t="s">
        <v>9</v>
      </c>
      <c r="C742" s="1">
        <f>YEAR(Tabela14[[#This Row],[DATA]])</f>
        <v>2026</v>
      </c>
      <c r="D742" s="1">
        <f>MONTH(Tabela14[[#This Row],[DATA]])</f>
        <v>6</v>
      </c>
    </row>
    <row r="743" spans="1:4" x14ac:dyDescent="0.35">
      <c r="A743" s="2">
        <v>46188</v>
      </c>
      <c r="B743" s="1" t="s">
        <v>9</v>
      </c>
      <c r="C743" s="1">
        <f>YEAR(Tabela14[[#This Row],[DATA]])</f>
        <v>2026</v>
      </c>
      <c r="D743" s="1">
        <f>MONTH(Tabela14[[#This Row],[DATA]])</f>
        <v>6</v>
      </c>
    </row>
    <row r="744" spans="1:4" x14ac:dyDescent="0.35">
      <c r="A744" s="2">
        <v>46188</v>
      </c>
      <c r="B744" s="1" t="s">
        <v>9</v>
      </c>
      <c r="C744" s="1">
        <f>YEAR(Tabela14[[#This Row],[DATA]])</f>
        <v>2026</v>
      </c>
      <c r="D744" s="1">
        <f>MONTH(Tabela14[[#This Row],[DATA]])</f>
        <v>6</v>
      </c>
    </row>
    <row r="745" spans="1:4" x14ac:dyDescent="0.35">
      <c r="A745" s="2">
        <v>46188</v>
      </c>
      <c r="B745" s="1" t="s">
        <v>24</v>
      </c>
      <c r="C745" s="1">
        <f>YEAR(Tabela14[[#This Row],[DATA]])</f>
        <v>2026</v>
      </c>
      <c r="D745" s="1">
        <f>MONTH(Tabela14[[#This Row],[DATA]])</f>
        <v>6</v>
      </c>
    </row>
    <row r="746" spans="1:4" x14ac:dyDescent="0.35">
      <c r="A746" s="2">
        <v>46188</v>
      </c>
      <c r="B746" s="1" t="s">
        <v>5</v>
      </c>
      <c r="C746" s="1">
        <f>YEAR(Tabela14[[#This Row],[DATA]])</f>
        <v>2026</v>
      </c>
      <c r="D746" s="1">
        <f>MONTH(Tabela14[[#This Row],[DATA]])</f>
        <v>6</v>
      </c>
    </row>
    <row r="747" spans="1:4" x14ac:dyDescent="0.35">
      <c r="A747" s="2">
        <v>46189</v>
      </c>
      <c r="B747" s="1" t="s">
        <v>32</v>
      </c>
      <c r="C747" s="1">
        <f>YEAR(Tabela14[[#This Row],[DATA]])</f>
        <v>2026</v>
      </c>
      <c r="D747" s="1">
        <f>MONTH(Tabela14[[#This Row],[DATA]])</f>
        <v>6</v>
      </c>
    </row>
    <row r="748" spans="1:4" x14ac:dyDescent="0.35">
      <c r="A748" s="2">
        <v>46189</v>
      </c>
      <c r="B748" s="1" t="s">
        <v>9</v>
      </c>
      <c r="C748" s="1">
        <f>YEAR(Tabela14[[#This Row],[DATA]])</f>
        <v>2026</v>
      </c>
      <c r="D748" s="1">
        <f>MONTH(Tabela14[[#This Row],[DATA]])</f>
        <v>6</v>
      </c>
    </row>
    <row r="749" spans="1:4" x14ac:dyDescent="0.35">
      <c r="A749" s="2">
        <v>46189</v>
      </c>
      <c r="B749" s="1" t="s">
        <v>9</v>
      </c>
      <c r="C749" s="1">
        <f>YEAR(Tabela14[[#This Row],[DATA]])</f>
        <v>2026</v>
      </c>
      <c r="D749" s="1">
        <f>MONTH(Tabela14[[#This Row],[DATA]])</f>
        <v>6</v>
      </c>
    </row>
    <row r="750" spans="1:4" x14ac:dyDescent="0.35">
      <c r="A750" s="2">
        <v>46189</v>
      </c>
      <c r="B750" s="1" t="s">
        <v>9</v>
      </c>
      <c r="C750" s="1">
        <f>YEAR(Tabela14[[#This Row],[DATA]])</f>
        <v>2026</v>
      </c>
      <c r="D750" s="1">
        <f>MONTH(Tabela14[[#This Row],[DATA]])</f>
        <v>6</v>
      </c>
    </row>
    <row r="751" spans="1:4" x14ac:dyDescent="0.35">
      <c r="A751" s="2">
        <v>46191</v>
      </c>
      <c r="B751" s="1" t="s">
        <v>5</v>
      </c>
      <c r="C751" s="1">
        <f>YEAR(Tabela14[[#This Row],[DATA]])</f>
        <v>2026</v>
      </c>
      <c r="D751" s="1">
        <f>MONTH(Tabela14[[#This Row],[DATA]])</f>
        <v>6</v>
      </c>
    </row>
    <row r="752" spans="1:4" x14ac:dyDescent="0.35">
      <c r="A752" s="2">
        <v>46191</v>
      </c>
      <c r="B752" s="1" t="s">
        <v>9</v>
      </c>
      <c r="C752" s="1">
        <f>YEAR(Tabela14[[#This Row],[DATA]])</f>
        <v>2026</v>
      </c>
      <c r="D752" s="1">
        <f>MONTH(Tabela14[[#This Row],[DATA]])</f>
        <v>6</v>
      </c>
    </row>
    <row r="753" spans="1:4" x14ac:dyDescent="0.35">
      <c r="A753" s="2">
        <v>46191</v>
      </c>
      <c r="B753" s="1" t="s">
        <v>9</v>
      </c>
      <c r="C753" s="1">
        <f>YEAR(Tabela14[[#This Row],[DATA]])</f>
        <v>2026</v>
      </c>
      <c r="D753" s="1">
        <f>MONTH(Tabela14[[#This Row],[DATA]])</f>
        <v>6</v>
      </c>
    </row>
    <row r="754" spans="1:4" x14ac:dyDescent="0.35">
      <c r="A754" s="2">
        <v>46191</v>
      </c>
      <c r="B754" s="1" t="s">
        <v>9</v>
      </c>
      <c r="C754" s="1">
        <f>YEAR(Tabela14[[#This Row],[DATA]])</f>
        <v>2026</v>
      </c>
      <c r="D754" s="1">
        <f>MONTH(Tabela14[[#This Row],[DATA]])</f>
        <v>6</v>
      </c>
    </row>
    <row r="755" spans="1:4" x14ac:dyDescent="0.35">
      <c r="A755" s="2">
        <v>46191</v>
      </c>
      <c r="B755" s="1" t="s">
        <v>9</v>
      </c>
      <c r="C755" s="1">
        <f>YEAR(Tabela14[[#This Row],[DATA]])</f>
        <v>2026</v>
      </c>
      <c r="D755" s="1">
        <f>MONTH(Tabela14[[#This Row],[DATA]])</f>
        <v>6</v>
      </c>
    </row>
    <row r="756" spans="1:4" x14ac:dyDescent="0.35">
      <c r="A756" s="2">
        <v>46191</v>
      </c>
      <c r="B756" s="1" t="s">
        <v>9</v>
      </c>
      <c r="C756" s="1">
        <f>YEAR(Tabela14[[#This Row],[DATA]])</f>
        <v>2026</v>
      </c>
      <c r="D756" s="1">
        <f>MONTH(Tabela14[[#This Row],[DATA]])</f>
        <v>6</v>
      </c>
    </row>
    <row r="757" spans="1:4" x14ac:dyDescent="0.35">
      <c r="A757" s="2">
        <v>46192</v>
      </c>
      <c r="B757" s="1" t="s">
        <v>9</v>
      </c>
      <c r="C757" s="1">
        <f>YEAR(Tabela14[[#This Row],[DATA]])</f>
        <v>2026</v>
      </c>
      <c r="D757" s="1">
        <f>MONTH(Tabela14[[#This Row],[DATA]])</f>
        <v>6</v>
      </c>
    </row>
    <row r="758" spans="1:4" x14ac:dyDescent="0.35">
      <c r="A758" s="2">
        <v>46192</v>
      </c>
      <c r="B758" s="1" t="s">
        <v>9</v>
      </c>
      <c r="C758" s="1">
        <f>YEAR(Tabela14[[#This Row],[DATA]])</f>
        <v>2026</v>
      </c>
      <c r="D758" s="1">
        <f>MONTH(Tabela14[[#This Row],[DATA]])</f>
        <v>6</v>
      </c>
    </row>
    <row r="759" spans="1:4" x14ac:dyDescent="0.35">
      <c r="A759" s="2">
        <v>46192</v>
      </c>
      <c r="B759" s="1" t="s">
        <v>9</v>
      </c>
      <c r="C759" s="1">
        <f>YEAR(Tabela14[[#This Row],[DATA]])</f>
        <v>2026</v>
      </c>
      <c r="D759" s="1">
        <f>MONTH(Tabela14[[#This Row],[DATA]])</f>
        <v>6</v>
      </c>
    </row>
    <row r="760" spans="1:4" x14ac:dyDescent="0.35">
      <c r="A760" s="2">
        <v>46195</v>
      </c>
      <c r="B760" s="1" t="s">
        <v>9</v>
      </c>
      <c r="C760" s="1">
        <f>YEAR(Tabela14[[#This Row],[DATA]])</f>
        <v>2026</v>
      </c>
      <c r="D760" s="1">
        <f>MONTH(Tabela14[[#This Row],[DATA]])</f>
        <v>6</v>
      </c>
    </row>
    <row r="761" spans="1:4" x14ac:dyDescent="0.35">
      <c r="A761" s="2">
        <v>46195</v>
      </c>
      <c r="B761" s="1" t="s">
        <v>9</v>
      </c>
      <c r="C761" s="1">
        <f>YEAR(Tabela14[[#This Row],[DATA]])</f>
        <v>2026</v>
      </c>
      <c r="D761" s="1">
        <f>MONTH(Tabela14[[#This Row],[DATA]])</f>
        <v>6</v>
      </c>
    </row>
    <row r="762" spans="1:4" x14ac:dyDescent="0.35">
      <c r="A762" s="2">
        <v>46195</v>
      </c>
      <c r="B762" s="1" t="s">
        <v>9</v>
      </c>
      <c r="C762" s="1">
        <f>YEAR(Tabela14[[#This Row],[DATA]])</f>
        <v>2026</v>
      </c>
      <c r="D762" s="1">
        <f>MONTH(Tabela14[[#This Row],[DATA]])</f>
        <v>6</v>
      </c>
    </row>
    <row r="763" spans="1:4" x14ac:dyDescent="0.35">
      <c r="A763" s="2">
        <v>46195</v>
      </c>
      <c r="B763" s="1" t="s">
        <v>9</v>
      </c>
      <c r="C763" s="1">
        <f>YEAR(Tabela14[[#This Row],[DATA]])</f>
        <v>2026</v>
      </c>
      <c r="D763" s="1">
        <f>MONTH(Tabela14[[#This Row],[DATA]])</f>
        <v>6</v>
      </c>
    </row>
    <row r="764" spans="1:4" x14ac:dyDescent="0.35">
      <c r="A764" s="2">
        <v>46196</v>
      </c>
      <c r="B764" s="1" t="s">
        <v>9</v>
      </c>
      <c r="C764" s="1">
        <f>YEAR(Tabela14[[#This Row],[DATA]])</f>
        <v>2026</v>
      </c>
      <c r="D764" s="1">
        <f>MONTH(Tabela14[[#This Row],[DATA]])</f>
        <v>6</v>
      </c>
    </row>
    <row r="765" spans="1:4" x14ac:dyDescent="0.35">
      <c r="A765" s="2">
        <v>46196</v>
      </c>
      <c r="B765" s="1" t="s">
        <v>9</v>
      </c>
      <c r="C765" s="1">
        <f>YEAR(Tabela14[[#This Row],[DATA]])</f>
        <v>2026</v>
      </c>
      <c r="D765" s="1">
        <f>MONTH(Tabela14[[#This Row],[DATA]])</f>
        <v>6</v>
      </c>
    </row>
    <row r="766" spans="1:4" x14ac:dyDescent="0.35">
      <c r="A766" s="2">
        <v>46196</v>
      </c>
      <c r="B766" s="1" t="s">
        <v>9</v>
      </c>
      <c r="C766" s="1">
        <f>YEAR(Tabela14[[#This Row],[DATA]])</f>
        <v>2026</v>
      </c>
      <c r="D766" s="1">
        <f>MONTH(Tabela14[[#This Row],[DATA]])</f>
        <v>6</v>
      </c>
    </row>
    <row r="767" spans="1:4" x14ac:dyDescent="0.35">
      <c r="A767" s="2">
        <v>46196</v>
      </c>
      <c r="B767" s="1" t="s">
        <v>9</v>
      </c>
      <c r="C767" s="1">
        <f>YEAR(Tabela14[[#This Row],[DATA]])</f>
        <v>2026</v>
      </c>
      <c r="D767" s="1">
        <f>MONTH(Tabela14[[#This Row],[DATA]])</f>
        <v>6</v>
      </c>
    </row>
    <row r="768" spans="1:4" x14ac:dyDescent="0.35">
      <c r="A768" s="2">
        <v>46202</v>
      </c>
      <c r="B768" s="1" t="s">
        <v>9</v>
      </c>
      <c r="C768" s="1">
        <f>YEAR(Tabela14[[#This Row],[DATA]])</f>
        <v>2026</v>
      </c>
      <c r="D768" s="1">
        <f>MONTH(Tabela14[[#This Row],[DATA]])</f>
        <v>6</v>
      </c>
    </row>
    <row r="769" spans="1:4" x14ac:dyDescent="0.35">
      <c r="A769" s="2">
        <v>46202</v>
      </c>
      <c r="B769" s="1" t="s">
        <v>9</v>
      </c>
      <c r="C769" s="1">
        <f>YEAR(Tabela14[[#This Row],[DATA]])</f>
        <v>2026</v>
      </c>
      <c r="D769" s="1">
        <f>MONTH(Tabela14[[#This Row],[DATA]])</f>
        <v>6</v>
      </c>
    </row>
    <row r="770" spans="1:4" x14ac:dyDescent="0.35">
      <c r="A770" s="2">
        <v>46202</v>
      </c>
      <c r="B770" s="1" t="s">
        <v>9</v>
      </c>
      <c r="C770" s="1">
        <f>YEAR(Tabela14[[#This Row],[DATA]])</f>
        <v>2026</v>
      </c>
      <c r="D770" s="1">
        <f>MONTH(Tabela14[[#This Row],[DATA]])</f>
        <v>6</v>
      </c>
    </row>
    <row r="771" spans="1:4" x14ac:dyDescent="0.35">
      <c r="A771" s="2">
        <v>46202</v>
      </c>
      <c r="B771" s="1" t="s">
        <v>9</v>
      </c>
      <c r="C771" s="1">
        <f>YEAR(Tabela14[[#This Row],[DATA]])</f>
        <v>2026</v>
      </c>
      <c r="D771" s="1">
        <f>MONTH(Tabela14[[#This Row],[DATA]])</f>
        <v>6</v>
      </c>
    </row>
    <row r="772" spans="1:4" x14ac:dyDescent="0.35">
      <c r="A772" s="2">
        <v>46203</v>
      </c>
      <c r="B772" s="1" t="s">
        <v>9</v>
      </c>
      <c r="C772" s="1">
        <f>YEAR(Tabela14[[#This Row],[DATA]])</f>
        <v>2026</v>
      </c>
      <c r="D772" s="1">
        <f>MONTH(Tabela14[[#This Row],[DATA]])</f>
        <v>6</v>
      </c>
    </row>
    <row r="773" spans="1:4" x14ac:dyDescent="0.35">
      <c r="A773" s="2">
        <v>46203</v>
      </c>
      <c r="B773" s="1" t="s">
        <v>9</v>
      </c>
      <c r="C773" s="1">
        <f>YEAR(Tabela14[[#This Row],[DATA]])</f>
        <v>2026</v>
      </c>
      <c r="D773" s="1">
        <f>MONTH(Tabela14[[#This Row],[DATA]])</f>
        <v>6</v>
      </c>
    </row>
    <row r="774" spans="1:4" x14ac:dyDescent="0.35">
      <c r="A774" s="2">
        <v>46203</v>
      </c>
      <c r="B774" s="1" t="s">
        <v>9</v>
      </c>
      <c r="C774" s="1">
        <f>YEAR(Tabela14[[#This Row],[DATA]])</f>
        <v>2026</v>
      </c>
      <c r="D774" s="1">
        <f>MONTH(Tabela14[[#This Row],[DATA]])</f>
        <v>6</v>
      </c>
    </row>
    <row r="775" spans="1:4" x14ac:dyDescent="0.35">
      <c r="A775" s="2">
        <v>46203</v>
      </c>
      <c r="B775" s="1" t="s">
        <v>9</v>
      </c>
      <c r="C775" s="1">
        <f>YEAR(Tabela14[[#This Row],[DATA]])</f>
        <v>2026</v>
      </c>
      <c r="D775" s="1">
        <f>MONTH(Tabela14[[#This Row],[DATA]])</f>
        <v>6</v>
      </c>
    </row>
    <row r="776" spans="1:4" x14ac:dyDescent="0.35">
      <c r="A776" s="2">
        <v>46204</v>
      </c>
      <c r="B776" s="1" t="s">
        <v>9</v>
      </c>
      <c r="C776" s="1">
        <f>YEAR(Tabela14[[#This Row],[DATA]])</f>
        <v>2026</v>
      </c>
      <c r="D776" s="1">
        <f>MONTH(Tabela14[[#This Row],[DATA]])</f>
        <v>7</v>
      </c>
    </row>
    <row r="777" spans="1:4" x14ac:dyDescent="0.35">
      <c r="A777" s="2">
        <v>46205</v>
      </c>
      <c r="B777" s="1" t="s">
        <v>9</v>
      </c>
      <c r="C777" s="1">
        <f>YEAR(Tabela14[[#This Row],[DATA]])</f>
        <v>2026</v>
      </c>
      <c r="D777" s="1">
        <f>MONTH(Tabela14[[#This Row],[DATA]])</f>
        <v>7</v>
      </c>
    </row>
    <row r="778" spans="1:4" x14ac:dyDescent="0.35">
      <c r="A778" s="2">
        <v>46205</v>
      </c>
      <c r="B778" s="1" t="s">
        <v>9</v>
      </c>
      <c r="C778" s="1">
        <f>YEAR(Tabela14[[#This Row],[DATA]])</f>
        <v>2026</v>
      </c>
      <c r="D778" s="1">
        <f>MONTH(Tabela14[[#This Row],[DATA]])</f>
        <v>7</v>
      </c>
    </row>
    <row r="779" spans="1:4" x14ac:dyDescent="0.35">
      <c r="A779" s="2">
        <v>46205</v>
      </c>
      <c r="B779" s="1" t="s">
        <v>9</v>
      </c>
      <c r="C779" s="1">
        <f>YEAR(Tabela14[[#This Row],[DATA]])</f>
        <v>2026</v>
      </c>
      <c r="D779" s="1">
        <f>MONTH(Tabela14[[#This Row],[DATA]])</f>
        <v>7</v>
      </c>
    </row>
    <row r="780" spans="1:4" x14ac:dyDescent="0.35">
      <c r="A780" s="2">
        <v>46205</v>
      </c>
      <c r="B780" s="1" t="s">
        <v>9</v>
      </c>
      <c r="C780" s="1">
        <f>YEAR(Tabela14[[#This Row],[DATA]])</f>
        <v>2026</v>
      </c>
      <c r="D780" s="1">
        <f>MONTH(Tabela14[[#This Row],[DATA]])</f>
        <v>7</v>
      </c>
    </row>
    <row r="781" spans="1:4" x14ac:dyDescent="0.35">
      <c r="A781" s="2">
        <v>46205</v>
      </c>
      <c r="B781" s="1" t="s">
        <v>9</v>
      </c>
      <c r="C781" s="1">
        <f>YEAR(Tabela14[[#This Row],[DATA]])</f>
        <v>2026</v>
      </c>
      <c r="D781" s="1">
        <f>MONTH(Tabela14[[#This Row],[DATA]])</f>
        <v>7</v>
      </c>
    </row>
    <row r="782" spans="1:4" x14ac:dyDescent="0.35">
      <c r="A782" s="2">
        <v>46206</v>
      </c>
      <c r="B782" s="1" t="s">
        <v>9</v>
      </c>
      <c r="C782" s="1">
        <f>YEAR(Tabela14[[#This Row],[DATA]])</f>
        <v>2026</v>
      </c>
      <c r="D782" s="1">
        <f>MONTH(Tabela14[[#This Row],[DATA]])</f>
        <v>7</v>
      </c>
    </row>
    <row r="783" spans="1:4" x14ac:dyDescent="0.35">
      <c r="A783" s="2">
        <v>46206</v>
      </c>
      <c r="B783" s="1" t="s">
        <v>9</v>
      </c>
      <c r="C783" s="1">
        <f>YEAR(Tabela14[[#This Row],[DATA]])</f>
        <v>2026</v>
      </c>
      <c r="D783" s="1">
        <f>MONTH(Tabela14[[#This Row],[DATA]])</f>
        <v>7</v>
      </c>
    </row>
    <row r="784" spans="1:4" x14ac:dyDescent="0.35">
      <c r="A784" s="2">
        <v>46206</v>
      </c>
      <c r="B784" s="1" t="s">
        <v>9</v>
      </c>
      <c r="C784" s="1">
        <f>YEAR(Tabela14[[#This Row],[DATA]])</f>
        <v>2026</v>
      </c>
      <c r="D784" s="1">
        <f>MONTH(Tabela14[[#This Row],[DATA]])</f>
        <v>7</v>
      </c>
    </row>
    <row r="785" spans="1:4" x14ac:dyDescent="0.35">
      <c r="A785" s="2">
        <v>46206</v>
      </c>
      <c r="B785" s="1" t="s">
        <v>9</v>
      </c>
      <c r="C785" s="1">
        <f>YEAR(Tabela14[[#This Row],[DATA]])</f>
        <v>2026</v>
      </c>
      <c r="D785" s="1">
        <f>MONTH(Tabela14[[#This Row],[DATA]])</f>
        <v>7</v>
      </c>
    </row>
    <row r="786" spans="1:4" x14ac:dyDescent="0.35">
      <c r="A786" s="2">
        <v>46206</v>
      </c>
      <c r="B786" s="1" t="s">
        <v>9</v>
      </c>
      <c r="C786" s="1">
        <f>YEAR(Tabela14[[#This Row],[DATA]])</f>
        <v>2026</v>
      </c>
      <c r="D786" s="1">
        <f>MONTH(Tabela14[[#This Row],[DATA]])</f>
        <v>7</v>
      </c>
    </row>
    <row r="787" spans="1:4" x14ac:dyDescent="0.35">
      <c r="A787" s="2">
        <v>46206</v>
      </c>
      <c r="B787" s="1" t="s">
        <v>5</v>
      </c>
      <c r="C787" s="1">
        <f>YEAR(Tabela14[[#This Row],[DATA]])</f>
        <v>2026</v>
      </c>
      <c r="D787" s="1">
        <f>MONTH(Tabela14[[#This Row],[DATA]])</f>
        <v>7</v>
      </c>
    </row>
    <row r="788" spans="1:4" x14ac:dyDescent="0.35">
      <c r="A788" s="2">
        <v>46206</v>
      </c>
      <c r="B788" s="1" t="s">
        <v>5</v>
      </c>
      <c r="C788" s="1">
        <f>YEAR(Tabela14[[#This Row],[DATA]])</f>
        <v>2026</v>
      </c>
      <c r="D788" s="1">
        <f>MONTH(Tabela14[[#This Row],[DATA]])</f>
        <v>7</v>
      </c>
    </row>
    <row r="789" spans="1:4" x14ac:dyDescent="0.35">
      <c r="A789" s="2">
        <v>46206</v>
      </c>
      <c r="B789" s="1" t="s">
        <v>5</v>
      </c>
      <c r="C789" s="1">
        <f>YEAR(Tabela14[[#This Row],[DATA]])</f>
        <v>2026</v>
      </c>
      <c r="D789" s="1">
        <f>MONTH(Tabela14[[#This Row],[DATA]])</f>
        <v>7</v>
      </c>
    </row>
    <row r="790" spans="1:4" x14ac:dyDescent="0.35">
      <c r="A790" s="2">
        <v>46209</v>
      </c>
      <c r="B790" s="1" t="s">
        <v>9</v>
      </c>
      <c r="C790" s="1">
        <f>YEAR(Tabela14[[#This Row],[DATA]])</f>
        <v>2026</v>
      </c>
      <c r="D790" s="1">
        <f>MONTH(Tabela14[[#This Row],[DATA]])</f>
        <v>7</v>
      </c>
    </row>
    <row r="791" spans="1:4" x14ac:dyDescent="0.35">
      <c r="A791" s="2">
        <v>46209</v>
      </c>
      <c r="B791" s="1" t="s">
        <v>9</v>
      </c>
      <c r="C791" s="1">
        <f>YEAR(Tabela14[[#This Row],[DATA]])</f>
        <v>2026</v>
      </c>
      <c r="D791" s="1">
        <f>MONTH(Tabela14[[#This Row],[DATA]])</f>
        <v>7</v>
      </c>
    </row>
    <row r="792" spans="1:4" x14ac:dyDescent="0.35">
      <c r="A792" s="2">
        <v>46209</v>
      </c>
      <c r="B792" s="1" t="s">
        <v>9</v>
      </c>
      <c r="C792" s="1">
        <f>YEAR(Tabela14[[#This Row],[DATA]])</f>
        <v>2026</v>
      </c>
      <c r="D792" s="1">
        <f>MONTH(Tabela14[[#This Row],[DATA]])</f>
        <v>7</v>
      </c>
    </row>
    <row r="793" spans="1:4" x14ac:dyDescent="0.35">
      <c r="A793" s="2">
        <v>46209</v>
      </c>
      <c r="B793" s="1" t="s">
        <v>9</v>
      </c>
      <c r="C793" s="1">
        <f>YEAR(Tabela14[[#This Row],[DATA]])</f>
        <v>2026</v>
      </c>
      <c r="D793" s="1">
        <f>MONTH(Tabela14[[#This Row],[DATA]])</f>
        <v>7</v>
      </c>
    </row>
    <row r="794" spans="1:4" x14ac:dyDescent="0.35">
      <c r="A794" s="2">
        <v>46210</v>
      </c>
      <c r="B794" s="1" t="s">
        <v>9</v>
      </c>
      <c r="C794" s="1">
        <f>YEAR(Tabela14[[#This Row],[DATA]])</f>
        <v>2026</v>
      </c>
      <c r="D794" s="1">
        <f>MONTH(Tabela14[[#This Row],[DATA]])</f>
        <v>7</v>
      </c>
    </row>
    <row r="795" spans="1:4" x14ac:dyDescent="0.35">
      <c r="A795" s="2">
        <v>46210</v>
      </c>
      <c r="B795" s="1" t="s">
        <v>9</v>
      </c>
      <c r="C795" s="1">
        <f>YEAR(Tabela14[[#This Row],[DATA]])</f>
        <v>2026</v>
      </c>
      <c r="D795" s="1">
        <f>MONTH(Tabela14[[#This Row],[DATA]])</f>
        <v>7</v>
      </c>
    </row>
    <row r="796" spans="1:4" x14ac:dyDescent="0.35">
      <c r="A796" s="2">
        <v>46210</v>
      </c>
      <c r="B796" s="1" t="s">
        <v>9</v>
      </c>
      <c r="C796" s="1">
        <f>YEAR(Tabela14[[#This Row],[DATA]])</f>
        <v>2026</v>
      </c>
      <c r="D796" s="1">
        <f>MONTH(Tabela14[[#This Row],[DATA]])</f>
        <v>7</v>
      </c>
    </row>
    <row r="797" spans="1:4" x14ac:dyDescent="0.35">
      <c r="A797" s="2">
        <v>46210</v>
      </c>
      <c r="B797" s="1" t="s">
        <v>9</v>
      </c>
      <c r="C797" s="1">
        <f>YEAR(Tabela14[[#This Row],[DATA]])</f>
        <v>2026</v>
      </c>
      <c r="D797" s="1">
        <f>MONTH(Tabela14[[#This Row],[DATA]])</f>
        <v>7</v>
      </c>
    </row>
    <row r="798" spans="1:4" x14ac:dyDescent="0.35">
      <c r="A798" s="2">
        <v>46210</v>
      </c>
      <c r="B798" s="1" t="s">
        <v>9</v>
      </c>
      <c r="C798" s="1">
        <f>YEAR(Tabela14[[#This Row],[DATA]])</f>
        <v>2026</v>
      </c>
      <c r="D798" s="1">
        <f>MONTH(Tabela14[[#This Row],[DATA]])</f>
        <v>7</v>
      </c>
    </row>
    <row r="799" spans="1:4" x14ac:dyDescent="0.35">
      <c r="A799" s="2">
        <v>46211</v>
      </c>
      <c r="B799" s="1" t="s">
        <v>9</v>
      </c>
      <c r="C799" s="1">
        <f>YEAR(Tabela14[[#This Row],[DATA]])</f>
        <v>2026</v>
      </c>
      <c r="D799" s="1">
        <f>MONTH(Tabela14[[#This Row],[DATA]])</f>
        <v>7</v>
      </c>
    </row>
    <row r="800" spans="1:4" x14ac:dyDescent="0.35">
      <c r="A800" s="2">
        <v>46211</v>
      </c>
      <c r="B800" s="1" t="s">
        <v>9</v>
      </c>
      <c r="C800" s="1">
        <f>YEAR(Tabela14[[#This Row],[DATA]])</f>
        <v>2026</v>
      </c>
      <c r="D800" s="1">
        <f>MONTH(Tabela14[[#This Row],[DATA]])</f>
        <v>7</v>
      </c>
    </row>
    <row r="801" spans="1:4" x14ac:dyDescent="0.35">
      <c r="A801" s="2">
        <v>46211</v>
      </c>
      <c r="B801" s="1" t="s">
        <v>9</v>
      </c>
      <c r="C801" s="1">
        <f>YEAR(Tabela14[[#This Row],[DATA]])</f>
        <v>2026</v>
      </c>
      <c r="D801" s="1">
        <f>MONTH(Tabela14[[#This Row],[DATA]])</f>
        <v>7</v>
      </c>
    </row>
    <row r="802" spans="1:4" x14ac:dyDescent="0.35">
      <c r="A802" s="2">
        <v>46211</v>
      </c>
      <c r="B802" s="1" t="s">
        <v>9</v>
      </c>
      <c r="C802" s="1">
        <f>YEAR(Tabela14[[#This Row],[DATA]])</f>
        <v>2026</v>
      </c>
      <c r="D802" s="1">
        <f>MONTH(Tabela14[[#This Row],[DATA]])</f>
        <v>7</v>
      </c>
    </row>
    <row r="803" spans="1:4" x14ac:dyDescent="0.35">
      <c r="A803" s="2">
        <v>46217</v>
      </c>
      <c r="B803" s="1" t="s">
        <v>9</v>
      </c>
      <c r="C803" s="1">
        <f>YEAR(Tabela14[[#This Row],[DATA]])</f>
        <v>2026</v>
      </c>
      <c r="D803" s="1">
        <f>MONTH(Tabela14[[#This Row],[DATA]])</f>
        <v>7</v>
      </c>
    </row>
    <row r="804" spans="1:4" x14ac:dyDescent="0.35">
      <c r="A804" s="2">
        <v>46217</v>
      </c>
      <c r="B804" s="1" t="s">
        <v>9</v>
      </c>
      <c r="C804" s="1">
        <f>YEAR(Tabela14[[#This Row],[DATA]])</f>
        <v>2026</v>
      </c>
      <c r="D804" s="1">
        <f>MONTH(Tabela14[[#This Row],[DATA]])</f>
        <v>7</v>
      </c>
    </row>
    <row r="805" spans="1:4" x14ac:dyDescent="0.35">
      <c r="A805" s="2">
        <v>46217</v>
      </c>
      <c r="B805" s="1" t="s">
        <v>9</v>
      </c>
      <c r="C805" s="1">
        <f>YEAR(Tabela14[[#This Row],[DATA]])</f>
        <v>2026</v>
      </c>
      <c r="D805" s="1">
        <f>MONTH(Tabela14[[#This Row],[DATA]])</f>
        <v>7</v>
      </c>
    </row>
    <row r="806" spans="1:4" x14ac:dyDescent="0.35">
      <c r="A806" s="2">
        <v>46217</v>
      </c>
      <c r="B806" s="1" t="s">
        <v>9</v>
      </c>
      <c r="C806" s="1">
        <f>YEAR(Tabela14[[#This Row],[DATA]])</f>
        <v>2026</v>
      </c>
      <c r="D806" s="1">
        <f>MONTH(Tabela14[[#This Row],[DATA]])</f>
        <v>7</v>
      </c>
    </row>
    <row r="807" spans="1:4" x14ac:dyDescent="0.35">
      <c r="A807" s="2">
        <v>46217</v>
      </c>
      <c r="B807" s="1" t="s">
        <v>9</v>
      </c>
      <c r="C807" s="1">
        <f>YEAR(Tabela14[[#This Row],[DATA]])</f>
        <v>2026</v>
      </c>
      <c r="D807" s="1">
        <f>MONTH(Tabela14[[#This Row],[DATA]])</f>
        <v>7</v>
      </c>
    </row>
    <row r="808" spans="1:4" x14ac:dyDescent="0.35">
      <c r="A808" s="2">
        <v>46217</v>
      </c>
      <c r="B808" s="1" t="s">
        <v>9</v>
      </c>
      <c r="C808" s="1">
        <f>YEAR(Tabela14[[#This Row],[DATA]])</f>
        <v>2026</v>
      </c>
      <c r="D808" s="1">
        <f>MONTH(Tabela14[[#This Row],[DATA]])</f>
        <v>7</v>
      </c>
    </row>
    <row r="809" spans="1:4" x14ac:dyDescent="0.35">
      <c r="A809" s="2">
        <v>46217</v>
      </c>
      <c r="B809" s="1" t="s">
        <v>9</v>
      </c>
      <c r="C809" s="1">
        <f>YEAR(Tabela14[[#This Row],[DATA]])</f>
        <v>2026</v>
      </c>
      <c r="D809" s="1">
        <f>MONTH(Tabela14[[#This Row],[DATA]])</f>
        <v>7</v>
      </c>
    </row>
    <row r="810" spans="1:4" x14ac:dyDescent="0.35">
      <c r="A810" s="2">
        <v>46217</v>
      </c>
      <c r="B810" s="1" t="s">
        <v>9</v>
      </c>
      <c r="C810" s="1">
        <f>YEAR(Tabela14[[#This Row],[DATA]])</f>
        <v>2026</v>
      </c>
      <c r="D810" s="1">
        <f>MONTH(Tabela14[[#This Row],[DATA]])</f>
        <v>7</v>
      </c>
    </row>
    <row r="811" spans="1:4" x14ac:dyDescent="0.35">
      <c r="A811" s="2">
        <v>46217</v>
      </c>
      <c r="B811" s="1" t="s">
        <v>9</v>
      </c>
      <c r="C811" s="1">
        <f>YEAR(Tabela14[[#This Row],[DATA]])</f>
        <v>2026</v>
      </c>
      <c r="D811" s="1">
        <f>MONTH(Tabela14[[#This Row],[DATA]])</f>
        <v>7</v>
      </c>
    </row>
    <row r="812" spans="1:4" x14ac:dyDescent="0.35">
      <c r="A812" s="2">
        <v>46217</v>
      </c>
      <c r="B812" s="1" t="s">
        <v>9</v>
      </c>
      <c r="C812" s="1">
        <f>YEAR(Tabela14[[#This Row],[DATA]])</f>
        <v>2026</v>
      </c>
      <c r="D812" s="1">
        <f>MONTH(Tabela14[[#This Row],[DATA]])</f>
        <v>7</v>
      </c>
    </row>
    <row r="813" spans="1:4" x14ac:dyDescent="0.35">
      <c r="A813" s="2">
        <v>46217</v>
      </c>
      <c r="B813" s="1" t="s">
        <v>9</v>
      </c>
      <c r="C813" s="1">
        <f>YEAR(Tabela14[[#This Row],[DATA]])</f>
        <v>2026</v>
      </c>
      <c r="D813" s="1">
        <f>MONTH(Tabela14[[#This Row],[DATA]])</f>
        <v>7</v>
      </c>
    </row>
    <row r="814" spans="1:4" x14ac:dyDescent="0.35">
      <c r="A814" s="2">
        <v>46217</v>
      </c>
      <c r="B814" s="1" t="s">
        <v>19</v>
      </c>
      <c r="C814" s="1">
        <f>YEAR(Tabela14[[#This Row],[DATA]])</f>
        <v>2026</v>
      </c>
      <c r="D814" s="1">
        <f>MONTH(Tabela14[[#This Row],[DATA]])</f>
        <v>7</v>
      </c>
    </row>
    <row r="815" spans="1:4" x14ac:dyDescent="0.35">
      <c r="A815" s="2">
        <v>46217</v>
      </c>
      <c r="B815" s="1" t="s">
        <v>9</v>
      </c>
      <c r="C815" s="1">
        <f>YEAR(Tabela14[[#This Row],[DATA]])</f>
        <v>2026</v>
      </c>
      <c r="D815" s="1">
        <f>MONTH(Tabela14[[#This Row],[DATA]])</f>
        <v>7</v>
      </c>
    </row>
    <row r="816" spans="1:4" x14ac:dyDescent="0.35">
      <c r="A816" s="2">
        <v>46217</v>
      </c>
      <c r="B816" s="1" t="s">
        <v>83</v>
      </c>
      <c r="C816" s="1">
        <f>YEAR(Tabela14[[#This Row],[DATA]])</f>
        <v>2026</v>
      </c>
      <c r="D816" s="1">
        <f>MONTH(Tabela14[[#This Row],[DATA]])</f>
        <v>7</v>
      </c>
    </row>
    <row r="817" spans="1:4" x14ac:dyDescent="0.35">
      <c r="A817" s="2">
        <v>46218</v>
      </c>
      <c r="B817" s="1" t="s">
        <v>19</v>
      </c>
      <c r="C817" s="1">
        <f>YEAR(Tabela14[[#This Row],[DATA]])</f>
        <v>2026</v>
      </c>
      <c r="D817" s="1">
        <f>MONTH(Tabela14[[#This Row],[DATA]])</f>
        <v>7</v>
      </c>
    </row>
    <row r="818" spans="1:4" x14ac:dyDescent="0.35">
      <c r="A818" s="2">
        <v>46218</v>
      </c>
      <c r="B818" s="1" t="s">
        <v>19</v>
      </c>
      <c r="C818" s="1">
        <f>YEAR(Tabela14[[#This Row],[DATA]])</f>
        <v>2026</v>
      </c>
      <c r="D818" s="1">
        <f>MONTH(Tabela14[[#This Row],[DATA]])</f>
        <v>7</v>
      </c>
    </row>
    <row r="819" spans="1:4" x14ac:dyDescent="0.35">
      <c r="A819" s="2">
        <v>46218</v>
      </c>
      <c r="B819" s="1" t="s">
        <v>19</v>
      </c>
      <c r="C819" s="1">
        <f>YEAR(Tabela14[[#This Row],[DATA]])</f>
        <v>2026</v>
      </c>
      <c r="D819" s="1">
        <f>MONTH(Tabela14[[#This Row],[DATA]])</f>
        <v>7</v>
      </c>
    </row>
    <row r="820" spans="1:4" x14ac:dyDescent="0.35">
      <c r="A820" s="2">
        <v>46218</v>
      </c>
      <c r="B820" s="1" t="s">
        <v>19</v>
      </c>
      <c r="C820" s="1">
        <f>YEAR(Tabela14[[#This Row],[DATA]])</f>
        <v>2026</v>
      </c>
      <c r="D820" s="1">
        <f>MONTH(Tabela14[[#This Row],[DATA]])</f>
        <v>7</v>
      </c>
    </row>
    <row r="821" spans="1:4" x14ac:dyDescent="0.35">
      <c r="A821" s="2">
        <v>46220</v>
      </c>
      <c r="B821" s="1" t="s">
        <v>19</v>
      </c>
      <c r="C821" s="1">
        <f>YEAR(Tabela14[[#This Row],[DATA]])</f>
        <v>2026</v>
      </c>
      <c r="D821" s="1">
        <f>MONTH(Tabela14[[#This Row],[DATA]])</f>
        <v>7</v>
      </c>
    </row>
    <row r="822" spans="1:4" x14ac:dyDescent="0.35">
      <c r="A822" s="2">
        <v>46223</v>
      </c>
      <c r="B822" s="1" t="s">
        <v>9</v>
      </c>
      <c r="C822" s="1">
        <f>YEAR(Tabela14[[#This Row],[DATA]])</f>
        <v>2026</v>
      </c>
      <c r="D822" s="1">
        <f>MONTH(Tabela14[[#This Row],[DATA]])</f>
        <v>7</v>
      </c>
    </row>
    <row r="823" spans="1:4" x14ac:dyDescent="0.35">
      <c r="A823" s="2">
        <v>46223</v>
      </c>
      <c r="B823" s="1" t="s">
        <v>9</v>
      </c>
      <c r="C823" s="1">
        <f>YEAR(Tabela14[[#This Row],[DATA]])</f>
        <v>2026</v>
      </c>
      <c r="D823" s="1">
        <f>MONTH(Tabela14[[#This Row],[DATA]])</f>
        <v>7</v>
      </c>
    </row>
    <row r="824" spans="1:4" x14ac:dyDescent="0.35">
      <c r="A824" s="2">
        <v>46223</v>
      </c>
      <c r="B824" s="1" t="s">
        <v>9</v>
      </c>
      <c r="C824" s="1">
        <f>YEAR(Tabela14[[#This Row],[DATA]])</f>
        <v>2026</v>
      </c>
      <c r="D824" s="1">
        <f>MONTH(Tabela14[[#This Row],[DATA]])</f>
        <v>7</v>
      </c>
    </row>
    <row r="825" spans="1:4" x14ac:dyDescent="0.35">
      <c r="A825" s="2">
        <v>46223</v>
      </c>
      <c r="B825" s="1" t="s">
        <v>9</v>
      </c>
      <c r="C825" s="1">
        <f>YEAR(Tabela14[[#This Row],[DATA]])</f>
        <v>2026</v>
      </c>
      <c r="D825" s="1">
        <f>MONTH(Tabela14[[#This Row],[DATA]])</f>
        <v>7</v>
      </c>
    </row>
    <row r="826" spans="1:4" x14ac:dyDescent="0.35">
      <c r="A826" s="2">
        <v>46223</v>
      </c>
      <c r="B826" s="1" t="s">
        <v>9</v>
      </c>
      <c r="C826" s="1">
        <f>YEAR(Tabela14[[#This Row],[DATA]])</f>
        <v>2026</v>
      </c>
      <c r="D826" s="1">
        <f>MONTH(Tabela14[[#This Row],[DATA]])</f>
        <v>7</v>
      </c>
    </row>
    <row r="827" spans="1:4" x14ac:dyDescent="0.35">
      <c r="A827" s="2">
        <v>46223</v>
      </c>
      <c r="B827" s="1" t="s">
        <v>9</v>
      </c>
      <c r="C827" s="1">
        <f>YEAR(Tabela14[[#This Row],[DATA]])</f>
        <v>2026</v>
      </c>
      <c r="D827" s="1">
        <f>MONTH(Tabela14[[#This Row],[DATA]])</f>
        <v>7</v>
      </c>
    </row>
    <row r="828" spans="1:4" x14ac:dyDescent="0.35">
      <c r="A828" s="2">
        <v>46223</v>
      </c>
      <c r="B828" s="1" t="s">
        <v>9</v>
      </c>
      <c r="C828" s="1">
        <f>YEAR(Tabela14[[#This Row],[DATA]])</f>
        <v>2026</v>
      </c>
      <c r="D828" s="1">
        <f>MONTH(Tabela14[[#This Row],[DATA]])</f>
        <v>7</v>
      </c>
    </row>
    <row r="829" spans="1:4" x14ac:dyDescent="0.35">
      <c r="A829" s="2">
        <v>46224</v>
      </c>
      <c r="B829" s="1" t="s">
        <v>9</v>
      </c>
      <c r="C829" s="1">
        <f>YEAR(Tabela14[[#This Row],[DATA]])</f>
        <v>2026</v>
      </c>
      <c r="D829" s="1">
        <f>MONTH(Tabela14[[#This Row],[DATA]])</f>
        <v>7</v>
      </c>
    </row>
    <row r="830" spans="1:4" x14ac:dyDescent="0.35">
      <c r="A830" s="2">
        <v>46224</v>
      </c>
      <c r="B830" s="1" t="s">
        <v>9</v>
      </c>
      <c r="C830" s="1">
        <f>YEAR(Tabela14[[#This Row],[DATA]])</f>
        <v>2026</v>
      </c>
      <c r="D830" s="1">
        <f>MONTH(Tabela14[[#This Row],[DATA]])</f>
        <v>7</v>
      </c>
    </row>
    <row r="831" spans="1:4" x14ac:dyDescent="0.35">
      <c r="A831" s="2">
        <v>46224</v>
      </c>
      <c r="B831" s="1" t="s">
        <v>9</v>
      </c>
      <c r="C831" s="1">
        <f>YEAR(Tabela14[[#This Row],[DATA]])</f>
        <v>2026</v>
      </c>
      <c r="D831" s="1">
        <f>MONTH(Tabela14[[#This Row],[DATA]])</f>
        <v>7</v>
      </c>
    </row>
    <row r="832" spans="1:4" x14ac:dyDescent="0.35">
      <c r="A832" s="2">
        <v>46224</v>
      </c>
      <c r="B832" s="1" t="s">
        <v>9</v>
      </c>
      <c r="C832" s="1">
        <f>YEAR(Tabela14[[#This Row],[DATA]])</f>
        <v>2026</v>
      </c>
      <c r="D832" s="1">
        <f>MONTH(Tabela14[[#This Row],[DATA]])</f>
        <v>7</v>
      </c>
    </row>
    <row r="833" spans="1:4" x14ac:dyDescent="0.35">
      <c r="A833" s="2">
        <v>46224</v>
      </c>
      <c r="B833" s="1" t="s">
        <v>9</v>
      </c>
      <c r="C833" s="1">
        <f>YEAR(Tabela14[[#This Row],[DATA]])</f>
        <v>2026</v>
      </c>
      <c r="D833" s="1">
        <f>MONTH(Tabela14[[#This Row],[DATA]])</f>
        <v>7</v>
      </c>
    </row>
    <row r="834" spans="1:4" x14ac:dyDescent="0.35">
      <c r="A834" s="2">
        <v>46224</v>
      </c>
      <c r="B834" s="1" t="s">
        <v>9</v>
      </c>
      <c r="C834" s="1">
        <f>YEAR(Tabela14[[#This Row],[DATA]])</f>
        <v>2026</v>
      </c>
      <c r="D834" s="1">
        <f>MONTH(Tabela14[[#This Row],[DATA]])</f>
        <v>7</v>
      </c>
    </row>
    <row r="835" spans="1:4" x14ac:dyDescent="0.35">
      <c r="A835" s="2">
        <v>46224</v>
      </c>
      <c r="B835" s="1" t="s">
        <v>9</v>
      </c>
      <c r="C835" s="1">
        <f>YEAR(Tabela14[[#This Row],[DATA]])</f>
        <v>2026</v>
      </c>
      <c r="D835" s="1">
        <f>MONTH(Tabela14[[#This Row],[DATA]])</f>
        <v>7</v>
      </c>
    </row>
    <row r="836" spans="1:4" x14ac:dyDescent="0.35">
      <c r="A836" s="2">
        <v>46224</v>
      </c>
      <c r="B836" s="1" t="s">
        <v>9</v>
      </c>
      <c r="C836" s="1">
        <f>YEAR(Tabela14[[#This Row],[DATA]])</f>
        <v>2026</v>
      </c>
      <c r="D836" s="1">
        <f>MONTH(Tabela14[[#This Row],[DATA]])</f>
        <v>7</v>
      </c>
    </row>
    <row r="837" spans="1:4" x14ac:dyDescent="0.35">
      <c r="A837" s="2">
        <v>46224</v>
      </c>
      <c r="B837" s="1" t="s">
        <v>19</v>
      </c>
      <c r="C837" s="1">
        <f>YEAR(Tabela14[[#This Row],[DATA]])</f>
        <v>2026</v>
      </c>
      <c r="D837" s="1">
        <f>MONTH(Tabela14[[#This Row],[DATA]])</f>
        <v>7</v>
      </c>
    </row>
    <row r="838" spans="1:4" x14ac:dyDescent="0.35">
      <c r="A838" s="2">
        <v>46224</v>
      </c>
      <c r="B838" s="1" t="s">
        <v>19</v>
      </c>
      <c r="C838" s="1">
        <f>YEAR(Tabela14[[#This Row],[DATA]])</f>
        <v>2026</v>
      </c>
      <c r="D838" s="1">
        <f>MONTH(Tabela14[[#This Row],[DATA]])</f>
        <v>7</v>
      </c>
    </row>
    <row r="839" spans="1:4" x14ac:dyDescent="0.35">
      <c r="A839" s="2">
        <v>46225</v>
      </c>
      <c r="B839" s="1" t="s">
        <v>19</v>
      </c>
      <c r="C839" s="1">
        <f>YEAR(Tabela14[[#This Row],[DATA]])</f>
        <v>2026</v>
      </c>
      <c r="D839" s="1">
        <f>MONTH(Tabela14[[#This Row],[DATA]])</f>
        <v>7</v>
      </c>
    </row>
    <row r="840" spans="1:4" x14ac:dyDescent="0.35">
      <c r="A840" s="2">
        <v>46225</v>
      </c>
      <c r="B840" s="1" t="s">
        <v>19</v>
      </c>
      <c r="C840" s="1">
        <f>YEAR(Tabela14[[#This Row],[DATA]])</f>
        <v>2026</v>
      </c>
      <c r="D840" s="1">
        <f>MONTH(Tabela14[[#This Row],[DATA]])</f>
        <v>7</v>
      </c>
    </row>
    <row r="841" spans="1:4" x14ac:dyDescent="0.35">
      <c r="A841" s="2">
        <v>46225</v>
      </c>
      <c r="B841" s="1" t="s">
        <v>19</v>
      </c>
      <c r="C841" s="1">
        <f>YEAR(Tabela14[[#This Row],[DATA]])</f>
        <v>2026</v>
      </c>
      <c r="D841" s="1">
        <f>MONTH(Tabela14[[#This Row],[DATA]])</f>
        <v>7</v>
      </c>
    </row>
    <row r="842" spans="1:4" x14ac:dyDescent="0.35">
      <c r="A842" s="2">
        <v>46225</v>
      </c>
      <c r="B842" s="1" t="s">
        <v>19</v>
      </c>
      <c r="C842" s="1">
        <f>YEAR(Tabela14[[#This Row],[DATA]])</f>
        <v>2026</v>
      </c>
      <c r="D842" s="1">
        <f>MONTH(Tabela14[[#This Row],[DATA]])</f>
        <v>7</v>
      </c>
    </row>
    <row r="843" spans="1:4" x14ac:dyDescent="0.35">
      <c r="A843" s="2">
        <v>46226</v>
      </c>
      <c r="B843" s="1" t="s">
        <v>9</v>
      </c>
      <c r="C843" s="1">
        <f>YEAR(Tabela14[[#This Row],[DATA]])</f>
        <v>2026</v>
      </c>
      <c r="D843" s="1">
        <f>MONTH(Tabela14[[#This Row],[DATA]])</f>
        <v>7</v>
      </c>
    </row>
    <row r="844" spans="1:4" x14ac:dyDescent="0.35">
      <c r="A844" s="2">
        <v>46226</v>
      </c>
      <c r="B844" s="1" t="s">
        <v>9</v>
      </c>
      <c r="C844" s="1">
        <f>YEAR(Tabela14[[#This Row],[DATA]])</f>
        <v>2026</v>
      </c>
      <c r="D844" s="1">
        <f>MONTH(Tabela14[[#This Row],[DATA]])</f>
        <v>7</v>
      </c>
    </row>
    <row r="845" spans="1:4" x14ac:dyDescent="0.35">
      <c r="A845" s="2">
        <v>46226</v>
      </c>
      <c r="B845" s="1" t="s">
        <v>19</v>
      </c>
      <c r="C845" s="1">
        <f>YEAR(Tabela14[[#This Row],[DATA]])</f>
        <v>2026</v>
      </c>
      <c r="D845" s="1">
        <f>MONTH(Tabela14[[#This Row],[DATA]])</f>
        <v>7</v>
      </c>
    </row>
    <row r="846" spans="1:4" x14ac:dyDescent="0.35">
      <c r="A846" s="2">
        <v>46226</v>
      </c>
      <c r="B846" s="1" t="s">
        <v>19</v>
      </c>
      <c r="C846" s="1">
        <f>YEAR(Tabela14[[#This Row],[DATA]])</f>
        <v>2026</v>
      </c>
      <c r="D846" s="1">
        <f>MONTH(Tabela14[[#This Row],[DATA]])</f>
        <v>7</v>
      </c>
    </row>
    <row r="847" spans="1:4" x14ac:dyDescent="0.35">
      <c r="A847" s="2">
        <v>46226</v>
      </c>
      <c r="B847" s="1" t="s">
        <v>19</v>
      </c>
      <c r="C847" s="1">
        <f>YEAR(Tabela14[[#This Row],[DATA]])</f>
        <v>2026</v>
      </c>
      <c r="D847" s="1">
        <f>MONTH(Tabela14[[#This Row],[DATA]])</f>
        <v>7</v>
      </c>
    </row>
    <row r="848" spans="1:4" x14ac:dyDescent="0.35">
      <c r="A848" s="2">
        <v>46226</v>
      </c>
      <c r="B848" s="1" t="s">
        <v>19</v>
      </c>
      <c r="C848" s="1">
        <f>YEAR(Tabela14[[#This Row],[DATA]])</f>
        <v>2026</v>
      </c>
      <c r="D848" s="1">
        <f>MONTH(Tabela14[[#This Row],[DATA]])</f>
        <v>7</v>
      </c>
    </row>
    <row r="849" spans="1:4" x14ac:dyDescent="0.35">
      <c r="A849" s="2">
        <v>46226</v>
      </c>
      <c r="B849" s="1" t="s">
        <v>19</v>
      </c>
      <c r="C849" s="1">
        <f>YEAR(Tabela14[[#This Row],[DATA]])</f>
        <v>2026</v>
      </c>
      <c r="D849" s="1">
        <f>MONTH(Tabela14[[#This Row],[DATA]])</f>
        <v>7</v>
      </c>
    </row>
    <row r="850" spans="1:4" x14ac:dyDescent="0.35">
      <c r="A850" s="2">
        <v>46227</v>
      </c>
      <c r="B850" s="1" t="s">
        <v>9</v>
      </c>
      <c r="C850" s="1">
        <f>YEAR(Tabela14[[#This Row],[DATA]])</f>
        <v>2026</v>
      </c>
      <c r="D850" s="1">
        <f>MONTH(Tabela14[[#This Row],[DATA]])</f>
        <v>7</v>
      </c>
    </row>
    <row r="851" spans="1:4" x14ac:dyDescent="0.35">
      <c r="A851" s="2">
        <v>46227</v>
      </c>
      <c r="B851" s="1" t="s">
        <v>9</v>
      </c>
      <c r="C851" s="1">
        <f>YEAR(Tabela14[[#This Row],[DATA]])</f>
        <v>2026</v>
      </c>
      <c r="D851" s="1">
        <f>MONTH(Tabela14[[#This Row],[DATA]])</f>
        <v>7</v>
      </c>
    </row>
    <row r="852" spans="1:4" x14ac:dyDescent="0.35">
      <c r="A852" s="2">
        <v>46227</v>
      </c>
      <c r="B852" s="1" t="s">
        <v>9</v>
      </c>
      <c r="C852" s="1">
        <f>YEAR(Tabela14[[#This Row],[DATA]])</f>
        <v>2026</v>
      </c>
      <c r="D852" s="1">
        <f>MONTH(Tabela14[[#This Row],[DATA]])</f>
        <v>7</v>
      </c>
    </row>
    <row r="853" spans="1:4" x14ac:dyDescent="0.35">
      <c r="A853" s="2">
        <v>46227</v>
      </c>
      <c r="B853" s="1" t="s">
        <v>19</v>
      </c>
      <c r="C853" s="1">
        <f>YEAR(Tabela14[[#This Row],[DATA]])</f>
        <v>2026</v>
      </c>
      <c r="D853" s="1">
        <f>MONTH(Tabela14[[#This Row],[DATA]])</f>
        <v>7</v>
      </c>
    </row>
    <row r="854" spans="1:4" x14ac:dyDescent="0.35">
      <c r="A854" s="2">
        <v>46227</v>
      </c>
      <c r="B854" s="1" t="s">
        <v>19</v>
      </c>
      <c r="C854" s="1">
        <f>YEAR(Tabela14[[#This Row],[DATA]])</f>
        <v>2026</v>
      </c>
      <c r="D854" s="1">
        <f>MONTH(Tabela14[[#This Row],[DATA]])</f>
        <v>7</v>
      </c>
    </row>
    <row r="855" spans="1:4" x14ac:dyDescent="0.35">
      <c r="A855" s="2">
        <v>46227</v>
      </c>
      <c r="B855" s="1" t="s">
        <v>19</v>
      </c>
      <c r="C855" s="1">
        <f>YEAR(Tabela14[[#This Row],[DATA]])</f>
        <v>2026</v>
      </c>
      <c r="D855" s="1">
        <f>MONTH(Tabela14[[#This Row],[DATA]])</f>
        <v>7</v>
      </c>
    </row>
    <row r="856" spans="1:4" x14ac:dyDescent="0.35">
      <c r="A856" s="2">
        <v>46227</v>
      </c>
      <c r="B856" s="1" t="s">
        <v>19</v>
      </c>
      <c r="C856" s="1">
        <f>YEAR(Tabela14[[#This Row],[DATA]])</f>
        <v>2026</v>
      </c>
      <c r="D856" s="1">
        <f>MONTH(Tabela14[[#This Row],[DATA]])</f>
        <v>7</v>
      </c>
    </row>
    <row r="857" spans="1:4" x14ac:dyDescent="0.35">
      <c r="A857" s="2">
        <v>46227</v>
      </c>
      <c r="B857" s="1" t="s">
        <v>19</v>
      </c>
      <c r="C857" s="1">
        <f>YEAR(Tabela14[[#This Row],[DATA]])</f>
        <v>2026</v>
      </c>
      <c r="D857" s="1">
        <f>MONTH(Tabela14[[#This Row],[DATA]])</f>
        <v>7</v>
      </c>
    </row>
    <row r="858" spans="1:4" x14ac:dyDescent="0.35">
      <c r="A858" s="2">
        <v>46227</v>
      </c>
      <c r="B858" s="1" t="s">
        <v>19</v>
      </c>
      <c r="C858" s="1">
        <f>YEAR(Tabela14[[#This Row],[DATA]])</f>
        <v>2026</v>
      </c>
      <c r="D858" s="1">
        <f>MONTH(Tabela14[[#This Row],[DATA]])</f>
        <v>7</v>
      </c>
    </row>
    <row r="859" spans="1:4" x14ac:dyDescent="0.35">
      <c r="A859" s="2">
        <v>46227</v>
      </c>
      <c r="B859" s="1" t="s">
        <v>19</v>
      </c>
      <c r="C859" s="1">
        <f>YEAR(Tabela14[[#This Row],[DATA]])</f>
        <v>2026</v>
      </c>
      <c r="D859" s="1">
        <f>MONTH(Tabela14[[#This Row],[DATA]])</f>
        <v>7</v>
      </c>
    </row>
    <row r="860" spans="1:4" x14ac:dyDescent="0.35">
      <c r="A860" s="2">
        <v>46227</v>
      </c>
      <c r="B860" s="1" t="s">
        <v>19</v>
      </c>
      <c r="C860" s="1">
        <f>YEAR(Tabela14[[#This Row],[DATA]])</f>
        <v>2026</v>
      </c>
      <c r="D860" s="1">
        <f>MONTH(Tabela14[[#This Row],[DATA]])</f>
        <v>7</v>
      </c>
    </row>
    <row r="861" spans="1:4" x14ac:dyDescent="0.35">
      <c r="A861" s="2">
        <v>46227</v>
      </c>
      <c r="B861" s="1" t="s">
        <v>19</v>
      </c>
      <c r="C861" s="1">
        <f>YEAR(Tabela14[[#This Row],[DATA]])</f>
        <v>2026</v>
      </c>
      <c r="D861" s="1">
        <f>MONTH(Tabela14[[#This Row],[DATA]])</f>
        <v>7</v>
      </c>
    </row>
    <row r="862" spans="1:4" x14ac:dyDescent="0.35">
      <c r="A862" s="2">
        <v>46227</v>
      </c>
      <c r="B862" s="1" t="s">
        <v>19</v>
      </c>
      <c r="C862" s="1">
        <f>YEAR(Tabela14[[#This Row],[DATA]])</f>
        <v>2026</v>
      </c>
      <c r="D862" s="1">
        <f>MONTH(Tabela14[[#This Row],[DATA]])</f>
        <v>7</v>
      </c>
    </row>
    <row r="863" spans="1:4" x14ac:dyDescent="0.35">
      <c r="A863" s="2">
        <v>46227</v>
      </c>
      <c r="B863" s="1" t="s">
        <v>19</v>
      </c>
      <c r="C863" s="1">
        <f>YEAR(Tabela14[[#This Row],[DATA]])</f>
        <v>2026</v>
      </c>
      <c r="D863" s="1">
        <f>MONTH(Tabela14[[#This Row],[DATA]])</f>
        <v>7</v>
      </c>
    </row>
    <row r="864" spans="1:4" x14ac:dyDescent="0.35">
      <c r="A864" s="2">
        <v>46227</v>
      </c>
      <c r="B864" s="1" t="s">
        <v>19</v>
      </c>
      <c r="C864" s="1">
        <f>YEAR(Tabela14[[#This Row],[DATA]])</f>
        <v>2026</v>
      </c>
      <c r="D864" s="1">
        <f>MONTH(Tabela14[[#This Row],[DATA]])</f>
        <v>7</v>
      </c>
    </row>
    <row r="865" spans="1:4" x14ac:dyDescent="0.35">
      <c r="A865" s="2">
        <v>46227</v>
      </c>
      <c r="B865" s="1" t="s">
        <v>19</v>
      </c>
      <c r="C865" s="1">
        <f>YEAR(Tabela14[[#This Row],[DATA]])</f>
        <v>2026</v>
      </c>
      <c r="D865" s="1">
        <f>MONTH(Tabela14[[#This Row],[DATA]])</f>
        <v>7</v>
      </c>
    </row>
    <row r="866" spans="1:4" x14ac:dyDescent="0.35">
      <c r="A866" s="2">
        <v>46227</v>
      </c>
      <c r="B866" s="1" t="s">
        <v>19</v>
      </c>
      <c r="C866" s="1">
        <f>YEAR(Tabela14[[#This Row],[DATA]])</f>
        <v>2026</v>
      </c>
      <c r="D866" s="1">
        <f>MONTH(Tabela14[[#This Row],[DATA]])</f>
        <v>7</v>
      </c>
    </row>
    <row r="867" spans="1:4" x14ac:dyDescent="0.35">
      <c r="A867" s="2">
        <v>46227</v>
      </c>
      <c r="B867" s="1" t="s">
        <v>19</v>
      </c>
      <c r="C867" s="1">
        <f>YEAR(Tabela14[[#This Row],[DATA]])</f>
        <v>2026</v>
      </c>
      <c r="D867" s="1">
        <f>MONTH(Tabela14[[#This Row],[DATA]])</f>
        <v>7</v>
      </c>
    </row>
    <row r="868" spans="1:4" x14ac:dyDescent="0.35">
      <c r="A868" s="2">
        <v>46227</v>
      </c>
      <c r="B868" s="1" t="s">
        <v>19</v>
      </c>
      <c r="C868" s="1">
        <f>YEAR(Tabela14[[#This Row],[DATA]])</f>
        <v>2026</v>
      </c>
      <c r="D868" s="1">
        <f>MONTH(Tabela14[[#This Row],[DATA]])</f>
        <v>7</v>
      </c>
    </row>
    <row r="869" spans="1:4" x14ac:dyDescent="0.35">
      <c r="A869" s="2">
        <v>46230</v>
      </c>
      <c r="B869" s="1" t="s">
        <v>19</v>
      </c>
      <c r="C869" s="1">
        <f>YEAR(Tabela14[[#This Row],[DATA]])</f>
        <v>2026</v>
      </c>
      <c r="D869" s="1">
        <f>MONTH(Tabela14[[#This Row],[DATA]])</f>
        <v>7</v>
      </c>
    </row>
    <row r="870" spans="1:4" x14ac:dyDescent="0.35">
      <c r="A870" s="2">
        <v>46230</v>
      </c>
      <c r="B870" s="1" t="s">
        <v>19</v>
      </c>
      <c r="C870" s="1">
        <f>YEAR(Tabela14[[#This Row],[DATA]])</f>
        <v>2026</v>
      </c>
      <c r="D870" s="1">
        <f>MONTH(Tabela14[[#This Row],[DATA]])</f>
        <v>7</v>
      </c>
    </row>
    <row r="871" spans="1:4" x14ac:dyDescent="0.35">
      <c r="A871" s="2">
        <v>46230</v>
      </c>
      <c r="B871" s="1" t="s">
        <v>19</v>
      </c>
      <c r="C871" s="1">
        <f>YEAR(Tabela14[[#This Row],[DATA]])</f>
        <v>2026</v>
      </c>
      <c r="D871" s="1">
        <f>MONTH(Tabela14[[#This Row],[DATA]])</f>
        <v>7</v>
      </c>
    </row>
    <row r="872" spans="1:4" x14ac:dyDescent="0.35">
      <c r="A872" s="2">
        <v>46230</v>
      </c>
      <c r="B872" s="1" t="s">
        <v>9</v>
      </c>
      <c r="C872" s="1">
        <f>YEAR(Tabela14[[#This Row],[DATA]])</f>
        <v>2026</v>
      </c>
      <c r="D872" s="1">
        <f>MONTH(Tabela14[[#This Row],[DATA]])</f>
        <v>7</v>
      </c>
    </row>
    <row r="873" spans="1:4" x14ac:dyDescent="0.35">
      <c r="A873" s="2">
        <v>46230</v>
      </c>
      <c r="B873" s="1" t="s">
        <v>9</v>
      </c>
      <c r="C873" s="1">
        <f>YEAR(Tabela14[[#This Row],[DATA]])</f>
        <v>2026</v>
      </c>
      <c r="D873" s="1">
        <f>MONTH(Tabela14[[#This Row],[DATA]])</f>
        <v>7</v>
      </c>
    </row>
    <row r="874" spans="1:4" x14ac:dyDescent="0.35">
      <c r="A874" s="2">
        <v>46230</v>
      </c>
      <c r="B874" s="1" t="s">
        <v>9</v>
      </c>
      <c r="C874" s="1">
        <f>YEAR(Tabela14[[#This Row],[DATA]])</f>
        <v>2026</v>
      </c>
      <c r="D874" s="1">
        <f>MONTH(Tabela14[[#This Row],[DATA]])</f>
        <v>7</v>
      </c>
    </row>
    <row r="875" spans="1:4" x14ac:dyDescent="0.35">
      <c r="A875" s="2">
        <v>46231</v>
      </c>
      <c r="B875" s="1" t="s">
        <v>19</v>
      </c>
      <c r="C875" s="1">
        <f>YEAR(Tabela14[[#This Row],[DATA]])</f>
        <v>2026</v>
      </c>
      <c r="D875" s="1">
        <f>MONTH(Tabela14[[#This Row],[DATA]])</f>
        <v>7</v>
      </c>
    </row>
    <row r="876" spans="1:4" x14ac:dyDescent="0.35">
      <c r="A876" s="2">
        <v>46231</v>
      </c>
      <c r="B876" s="1" t="s">
        <v>19</v>
      </c>
      <c r="C876" s="1">
        <f>YEAR(Tabela14[[#This Row],[DATA]])</f>
        <v>2026</v>
      </c>
      <c r="D876" s="1">
        <f>MONTH(Tabela14[[#This Row],[DATA]])</f>
        <v>7</v>
      </c>
    </row>
    <row r="877" spans="1:4" x14ac:dyDescent="0.35">
      <c r="A877" s="2">
        <v>46231</v>
      </c>
      <c r="B877" s="1" t="s">
        <v>19</v>
      </c>
      <c r="C877" s="1">
        <f>YEAR(Tabela14[[#This Row],[DATA]])</f>
        <v>2026</v>
      </c>
      <c r="D877" s="1">
        <f>MONTH(Tabela14[[#This Row],[DATA]])</f>
        <v>7</v>
      </c>
    </row>
    <row r="878" spans="1:4" x14ac:dyDescent="0.35">
      <c r="A878" s="2">
        <v>46231</v>
      </c>
      <c r="B878" s="1" t="s">
        <v>19</v>
      </c>
      <c r="C878" s="1">
        <f>YEAR(Tabela14[[#This Row],[DATA]])</f>
        <v>2026</v>
      </c>
      <c r="D878" s="1">
        <f>MONTH(Tabela14[[#This Row],[DATA]])</f>
        <v>7</v>
      </c>
    </row>
    <row r="879" spans="1:4" x14ac:dyDescent="0.35">
      <c r="A879" s="2">
        <v>46231</v>
      </c>
      <c r="B879" s="1" t="s">
        <v>19</v>
      </c>
      <c r="C879" s="1">
        <f>YEAR(Tabela14[[#This Row],[DATA]])</f>
        <v>2026</v>
      </c>
      <c r="D879" s="1">
        <f>MONTH(Tabela14[[#This Row],[DATA]])</f>
        <v>7</v>
      </c>
    </row>
    <row r="880" spans="1:4" x14ac:dyDescent="0.35">
      <c r="A880" s="2">
        <v>46231</v>
      </c>
      <c r="B880" s="1" t="s">
        <v>19</v>
      </c>
      <c r="C880" s="1">
        <f>YEAR(Tabela14[[#This Row],[DATA]])</f>
        <v>2026</v>
      </c>
      <c r="D880" s="1">
        <f>MONTH(Tabela14[[#This Row],[DATA]])</f>
        <v>7</v>
      </c>
    </row>
    <row r="881" spans="1:4" x14ac:dyDescent="0.35">
      <c r="A881" s="2">
        <v>46231</v>
      </c>
      <c r="B881" s="1" t="s">
        <v>19</v>
      </c>
      <c r="C881" s="1">
        <f>YEAR(Tabela14[[#This Row],[DATA]])</f>
        <v>2026</v>
      </c>
      <c r="D881" s="1">
        <f>MONTH(Tabela14[[#This Row],[DATA]])</f>
        <v>7</v>
      </c>
    </row>
    <row r="882" spans="1:4" x14ac:dyDescent="0.35">
      <c r="A882" s="2">
        <v>46231</v>
      </c>
      <c r="B882" s="1" t="s">
        <v>9</v>
      </c>
      <c r="C882" s="1">
        <f>YEAR(Tabela14[[#This Row],[DATA]])</f>
        <v>2026</v>
      </c>
      <c r="D882" s="1">
        <f>MONTH(Tabela14[[#This Row],[DATA]])</f>
        <v>7</v>
      </c>
    </row>
    <row r="883" spans="1:4" x14ac:dyDescent="0.35">
      <c r="A883" s="2">
        <v>46231</v>
      </c>
      <c r="B883" s="1" t="s">
        <v>9</v>
      </c>
      <c r="C883" s="1">
        <f>YEAR(Tabela14[[#This Row],[DATA]])</f>
        <v>2026</v>
      </c>
      <c r="D883" s="1">
        <f>MONTH(Tabela14[[#This Row],[DATA]])</f>
        <v>7</v>
      </c>
    </row>
    <row r="884" spans="1:4" x14ac:dyDescent="0.35">
      <c r="A884" s="2">
        <v>46232</v>
      </c>
      <c r="B884" s="1" t="s">
        <v>9</v>
      </c>
      <c r="C884" s="1">
        <f>YEAR(Tabela14[[#This Row],[DATA]])</f>
        <v>2026</v>
      </c>
      <c r="D884" s="1">
        <f>MONTH(Tabela14[[#This Row],[DATA]])</f>
        <v>7</v>
      </c>
    </row>
    <row r="885" spans="1:4" x14ac:dyDescent="0.35">
      <c r="A885" s="2">
        <v>46232</v>
      </c>
      <c r="B885" s="1" t="s">
        <v>9</v>
      </c>
      <c r="C885" s="1">
        <f>YEAR(Tabela14[[#This Row],[DATA]])</f>
        <v>2026</v>
      </c>
      <c r="D885" s="1">
        <f>MONTH(Tabela14[[#This Row],[DATA]])</f>
        <v>7</v>
      </c>
    </row>
    <row r="886" spans="1:4" x14ac:dyDescent="0.35">
      <c r="A886" s="2">
        <v>46232</v>
      </c>
      <c r="B886" s="1" t="s">
        <v>9</v>
      </c>
      <c r="C886" s="1">
        <f>YEAR(Tabela14[[#This Row],[DATA]])</f>
        <v>2026</v>
      </c>
      <c r="D886" s="1">
        <f>MONTH(Tabela14[[#This Row],[DATA]])</f>
        <v>7</v>
      </c>
    </row>
    <row r="887" spans="1:4" x14ac:dyDescent="0.35">
      <c r="A887" s="2">
        <v>46232</v>
      </c>
      <c r="B887" s="1" t="s">
        <v>9</v>
      </c>
      <c r="C887" s="1">
        <f>YEAR(Tabela14[[#This Row],[DATA]])</f>
        <v>2026</v>
      </c>
      <c r="D887" s="1">
        <f>MONTH(Tabela14[[#This Row],[DATA]])</f>
        <v>7</v>
      </c>
    </row>
    <row r="888" spans="1:4" x14ac:dyDescent="0.35">
      <c r="A888" s="2">
        <v>46232</v>
      </c>
      <c r="B888" s="1" t="s">
        <v>9</v>
      </c>
      <c r="C888" s="1">
        <f>YEAR(Tabela14[[#This Row],[DATA]])</f>
        <v>2026</v>
      </c>
      <c r="D888" s="1">
        <f>MONTH(Tabela14[[#This Row],[DATA]])</f>
        <v>7</v>
      </c>
    </row>
    <row r="889" spans="1:4" x14ac:dyDescent="0.35">
      <c r="A889" s="2">
        <v>46232</v>
      </c>
      <c r="B889" s="1" t="s">
        <v>9</v>
      </c>
      <c r="C889" s="1">
        <f>YEAR(Tabela14[[#This Row],[DATA]])</f>
        <v>2026</v>
      </c>
      <c r="D889" s="1">
        <f>MONTH(Tabela14[[#This Row],[DATA]])</f>
        <v>7</v>
      </c>
    </row>
    <row r="890" spans="1:4" x14ac:dyDescent="0.35">
      <c r="A890" s="2">
        <v>46232</v>
      </c>
      <c r="B890" s="1" t="s">
        <v>9</v>
      </c>
      <c r="C890" s="1">
        <f>YEAR(Tabela14[[#This Row],[DATA]])</f>
        <v>2026</v>
      </c>
      <c r="D890" s="1">
        <f>MONTH(Tabela14[[#This Row],[DATA]])</f>
        <v>7</v>
      </c>
    </row>
    <row r="891" spans="1:4" x14ac:dyDescent="0.35">
      <c r="A891" s="2">
        <v>46232</v>
      </c>
      <c r="B891" s="1" t="s">
        <v>9</v>
      </c>
      <c r="C891" s="1">
        <f>YEAR(Tabela14[[#This Row],[DATA]])</f>
        <v>2026</v>
      </c>
      <c r="D891" s="1">
        <f>MONTH(Tabela14[[#This Row],[DATA]])</f>
        <v>7</v>
      </c>
    </row>
    <row r="892" spans="1:4" x14ac:dyDescent="0.35">
      <c r="A892" s="2">
        <v>46233</v>
      </c>
      <c r="B892" s="1" t="s">
        <v>19</v>
      </c>
      <c r="C892" s="1">
        <f>YEAR(Tabela14[[#This Row],[DATA]])</f>
        <v>2026</v>
      </c>
      <c r="D892" s="1">
        <f>MONTH(Tabela14[[#This Row],[DATA]])</f>
        <v>7</v>
      </c>
    </row>
    <row r="893" spans="1:4" x14ac:dyDescent="0.35">
      <c r="A893" s="2">
        <v>46233</v>
      </c>
      <c r="B893" s="1" t="s">
        <v>19</v>
      </c>
      <c r="C893" s="1">
        <f>YEAR(Tabela14[[#This Row],[DATA]])</f>
        <v>2026</v>
      </c>
      <c r="D893" s="1">
        <f>MONTH(Tabela14[[#This Row],[DATA]])</f>
        <v>7</v>
      </c>
    </row>
    <row r="894" spans="1:4" x14ac:dyDescent="0.35">
      <c r="A894" s="2">
        <v>46233</v>
      </c>
      <c r="B894" s="1" t="s">
        <v>19</v>
      </c>
      <c r="C894" s="1">
        <f>YEAR(Tabela14[[#This Row],[DATA]])</f>
        <v>2026</v>
      </c>
      <c r="D894" s="1">
        <f>MONTH(Tabela14[[#This Row],[DATA]])</f>
        <v>7</v>
      </c>
    </row>
    <row r="895" spans="1:4" x14ac:dyDescent="0.35">
      <c r="A895" s="2">
        <v>46233</v>
      </c>
      <c r="B895" s="1" t="s">
        <v>19</v>
      </c>
      <c r="C895" s="1">
        <f>YEAR(Tabela14[[#This Row],[DATA]])</f>
        <v>2026</v>
      </c>
      <c r="D895" s="1">
        <f>MONTH(Tabela14[[#This Row],[DATA]])</f>
        <v>7</v>
      </c>
    </row>
    <row r="896" spans="1:4" x14ac:dyDescent="0.35">
      <c r="A896" s="2">
        <v>46233</v>
      </c>
      <c r="B896" s="1" t="s">
        <v>19</v>
      </c>
      <c r="C896" s="1">
        <f>YEAR(Tabela14[[#This Row],[DATA]])</f>
        <v>2026</v>
      </c>
      <c r="D896" s="1">
        <f>MONTH(Tabela14[[#This Row],[DATA]])</f>
        <v>7</v>
      </c>
    </row>
    <row r="897" spans="1:4" x14ac:dyDescent="0.35">
      <c r="A897" s="2">
        <v>46233</v>
      </c>
      <c r="B897" s="1" t="s">
        <v>19</v>
      </c>
      <c r="C897" s="1">
        <f>YEAR(Tabela14[[#This Row],[DATA]])</f>
        <v>2026</v>
      </c>
      <c r="D897" s="1">
        <f>MONTH(Tabela14[[#This Row],[DATA]])</f>
        <v>7</v>
      </c>
    </row>
    <row r="898" spans="1:4" x14ac:dyDescent="0.35">
      <c r="A898" s="2">
        <v>46233</v>
      </c>
      <c r="B898" s="1" t="s">
        <v>19</v>
      </c>
      <c r="C898" s="1">
        <f>YEAR(Tabela14[[#This Row],[DATA]])</f>
        <v>2026</v>
      </c>
      <c r="D898" s="1">
        <f>MONTH(Tabela14[[#This Row],[DATA]])</f>
        <v>7</v>
      </c>
    </row>
    <row r="899" spans="1:4" x14ac:dyDescent="0.35">
      <c r="A899" s="2">
        <v>46237</v>
      </c>
      <c r="B899" s="1" t="s">
        <v>84</v>
      </c>
      <c r="C899" s="1">
        <f>YEAR(Tabela14[[#This Row],[DATA]])</f>
        <v>2026</v>
      </c>
      <c r="D899" s="1">
        <f>MONTH(Tabela14[[#This Row],[DATA]])</f>
        <v>8</v>
      </c>
    </row>
    <row r="900" spans="1:4" x14ac:dyDescent="0.35">
      <c r="A900" s="2">
        <v>46237</v>
      </c>
      <c r="B900" s="1" t="s">
        <v>84</v>
      </c>
      <c r="C900" s="1">
        <f>YEAR(Tabela14[[#This Row],[DATA]])</f>
        <v>2026</v>
      </c>
      <c r="D900" s="1">
        <f>MONTH(Tabela14[[#This Row],[DATA]])</f>
        <v>8</v>
      </c>
    </row>
    <row r="901" spans="1:4" x14ac:dyDescent="0.35">
      <c r="A901" s="2">
        <v>46238</v>
      </c>
      <c r="B901" s="1" t="s">
        <v>84</v>
      </c>
      <c r="C901" s="1">
        <f>YEAR(Tabela14[[#This Row],[DATA]])</f>
        <v>2026</v>
      </c>
      <c r="D901" s="1">
        <f>MONTH(Tabela14[[#This Row],[DATA]])</f>
        <v>8</v>
      </c>
    </row>
    <row r="902" spans="1:4" x14ac:dyDescent="0.35">
      <c r="A902" s="2">
        <v>46238</v>
      </c>
      <c r="B902" s="1" t="s">
        <v>84</v>
      </c>
      <c r="C902" s="1">
        <f>YEAR(Tabela14[[#This Row],[DATA]])</f>
        <v>2026</v>
      </c>
      <c r="D902" s="1">
        <f>MONTH(Tabela14[[#This Row],[DATA]])</f>
        <v>8</v>
      </c>
    </row>
    <row r="903" spans="1:4" x14ac:dyDescent="0.35">
      <c r="A903" s="2">
        <v>46238</v>
      </c>
      <c r="B903" s="1" t="s">
        <v>19</v>
      </c>
      <c r="C903" s="1">
        <f>YEAR(Tabela14[[#This Row],[DATA]])</f>
        <v>2026</v>
      </c>
      <c r="D903" s="1">
        <f>MONTH(Tabela14[[#This Row],[DATA]])</f>
        <v>8</v>
      </c>
    </row>
    <row r="904" spans="1:4" x14ac:dyDescent="0.35">
      <c r="A904" s="2">
        <v>46238</v>
      </c>
      <c r="B904" s="1" t="s">
        <v>19</v>
      </c>
      <c r="C904" s="1">
        <f>YEAR(Tabela14[[#This Row],[DATA]])</f>
        <v>2026</v>
      </c>
      <c r="D904" s="1">
        <f>MONTH(Tabela14[[#This Row],[DATA]])</f>
        <v>8</v>
      </c>
    </row>
    <row r="905" spans="1:4" x14ac:dyDescent="0.35">
      <c r="A905" s="2">
        <v>46238</v>
      </c>
      <c r="B905" s="1" t="s">
        <v>19</v>
      </c>
      <c r="C905" s="1">
        <f>YEAR(Tabela14[[#This Row],[DATA]])</f>
        <v>2026</v>
      </c>
      <c r="D905" s="1">
        <f>MONTH(Tabela14[[#This Row],[DATA]])</f>
        <v>8</v>
      </c>
    </row>
    <row r="906" spans="1:4" x14ac:dyDescent="0.35">
      <c r="A906" s="2">
        <v>46238</v>
      </c>
      <c r="B906" s="1" t="s">
        <v>84</v>
      </c>
      <c r="C906" s="1">
        <f>YEAR(Tabela14[[#This Row],[DATA]])</f>
        <v>2026</v>
      </c>
      <c r="D906" s="1">
        <f>MONTH(Tabela14[[#This Row],[DATA]])</f>
        <v>8</v>
      </c>
    </row>
    <row r="907" spans="1:4" x14ac:dyDescent="0.35">
      <c r="A907" s="2">
        <v>46239</v>
      </c>
      <c r="B907" s="1" t="s">
        <v>84</v>
      </c>
      <c r="C907" s="1">
        <f>YEAR(Tabela14[[#This Row],[DATA]])</f>
        <v>2026</v>
      </c>
      <c r="D907" s="1">
        <f>MONTH(Tabela14[[#This Row],[DATA]])</f>
        <v>8</v>
      </c>
    </row>
    <row r="908" spans="1:4" x14ac:dyDescent="0.35">
      <c r="A908" s="2">
        <v>46239</v>
      </c>
      <c r="B908" s="1" t="s">
        <v>19</v>
      </c>
      <c r="C908" s="1">
        <f>YEAR(Tabela14[[#This Row],[DATA]])</f>
        <v>2026</v>
      </c>
      <c r="D908" s="1">
        <f>MONTH(Tabela14[[#This Row],[DATA]])</f>
        <v>8</v>
      </c>
    </row>
    <row r="909" spans="1:4" x14ac:dyDescent="0.35">
      <c r="A909" s="2">
        <v>46239</v>
      </c>
      <c r="B909" s="1" t="s">
        <v>19</v>
      </c>
      <c r="C909" s="1">
        <f>YEAR(Tabela14[[#This Row],[DATA]])</f>
        <v>2026</v>
      </c>
      <c r="D909" s="1">
        <f>MONTH(Tabela14[[#This Row],[DATA]])</f>
        <v>8</v>
      </c>
    </row>
    <row r="910" spans="1:4" x14ac:dyDescent="0.35">
      <c r="A910" s="2">
        <v>46239</v>
      </c>
      <c r="B910" s="1" t="s">
        <v>84</v>
      </c>
      <c r="C910" s="1">
        <f>YEAR(Tabela14[[#This Row],[DATA]])</f>
        <v>2026</v>
      </c>
      <c r="D910" s="1">
        <f>MONTH(Tabela14[[#This Row],[DATA]])</f>
        <v>8</v>
      </c>
    </row>
    <row r="911" spans="1:4" x14ac:dyDescent="0.35">
      <c r="A911" s="2">
        <v>46239</v>
      </c>
      <c r="B911" s="1" t="s">
        <v>84</v>
      </c>
      <c r="C911" s="1">
        <f>YEAR(Tabela14[[#This Row],[DATA]])</f>
        <v>2026</v>
      </c>
      <c r="D911" s="1">
        <f>MONTH(Tabela14[[#This Row],[DATA]])</f>
        <v>8</v>
      </c>
    </row>
    <row r="912" spans="1:4" x14ac:dyDescent="0.35">
      <c r="A912" s="2">
        <v>46239</v>
      </c>
      <c r="B912" s="1" t="s">
        <v>84</v>
      </c>
      <c r="C912" s="1">
        <f>YEAR(Tabela14[[#This Row],[DATA]])</f>
        <v>2026</v>
      </c>
      <c r="D912" s="1">
        <f>MONTH(Tabela14[[#This Row],[DATA]])</f>
        <v>8</v>
      </c>
    </row>
    <row r="913" spans="1:4" x14ac:dyDescent="0.35">
      <c r="A913" s="2">
        <v>46241</v>
      </c>
      <c r="B913" s="1" t="s">
        <v>19</v>
      </c>
      <c r="C913" s="1">
        <f>YEAR(Tabela14[[#This Row],[DATA]])</f>
        <v>2026</v>
      </c>
      <c r="D913" s="1">
        <f>MONTH(Tabela14[[#This Row],[DATA]])</f>
        <v>8</v>
      </c>
    </row>
    <row r="914" spans="1:4" x14ac:dyDescent="0.35">
      <c r="A914" s="2">
        <v>46241</v>
      </c>
      <c r="B914" s="1" t="s">
        <v>84</v>
      </c>
      <c r="C914" s="1">
        <f>YEAR(Tabela14[[#This Row],[DATA]])</f>
        <v>2026</v>
      </c>
      <c r="D914" s="1">
        <f>MONTH(Tabela14[[#This Row],[DATA]])</f>
        <v>8</v>
      </c>
    </row>
    <row r="915" spans="1:4" x14ac:dyDescent="0.35">
      <c r="A915" s="2">
        <v>46241</v>
      </c>
      <c r="B915" s="1" t="s">
        <v>84</v>
      </c>
      <c r="C915" s="1">
        <f>YEAR(Tabela14[[#This Row],[DATA]])</f>
        <v>2026</v>
      </c>
      <c r="D915" s="1">
        <f>MONTH(Tabela14[[#This Row],[DATA]])</f>
        <v>8</v>
      </c>
    </row>
    <row r="916" spans="1:4" x14ac:dyDescent="0.35">
      <c r="A916" s="2">
        <v>46241</v>
      </c>
      <c r="B916" s="1" t="s">
        <v>84</v>
      </c>
      <c r="C916" s="1">
        <f>YEAR(Tabela14[[#This Row],[DATA]])</f>
        <v>2026</v>
      </c>
      <c r="D916" s="1">
        <f>MONTH(Tabela14[[#This Row],[DATA]])</f>
        <v>8</v>
      </c>
    </row>
    <row r="917" spans="1:4" x14ac:dyDescent="0.35">
      <c r="A917" s="2">
        <v>46244</v>
      </c>
      <c r="B917" s="1" t="s">
        <v>84</v>
      </c>
      <c r="C917" s="1">
        <f>YEAR(Tabela14[[#This Row],[DATA]])</f>
        <v>2026</v>
      </c>
      <c r="D917" s="1">
        <f>MONTH(Tabela14[[#This Row],[DATA]])</f>
        <v>8</v>
      </c>
    </row>
    <row r="918" spans="1:4" x14ac:dyDescent="0.35">
      <c r="A918" s="2">
        <v>46244</v>
      </c>
      <c r="B918" s="1" t="s">
        <v>84</v>
      </c>
      <c r="C918" s="1">
        <f>YEAR(Tabela14[[#This Row],[DATA]])</f>
        <v>2026</v>
      </c>
      <c r="D918" s="1">
        <f>MONTH(Tabela14[[#This Row],[DATA]])</f>
        <v>8</v>
      </c>
    </row>
    <row r="919" spans="1:4" x14ac:dyDescent="0.35">
      <c r="A919" s="2">
        <v>46244</v>
      </c>
      <c r="B919" s="1" t="s">
        <v>22</v>
      </c>
      <c r="C919" s="1">
        <f>YEAR(Tabela14[[#This Row],[DATA]])</f>
        <v>2026</v>
      </c>
      <c r="D919" s="1">
        <f>MONTH(Tabela14[[#This Row],[DATA]])</f>
        <v>8</v>
      </c>
    </row>
    <row r="920" spans="1:4" x14ac:dyDescent="0.35">
      <c r="A920" s="2">
        <v>46244</v>
      </c>
      <c r="B920" s="1" t="s">
        <v>9</v>
      </c>
      <c r="C920" s="1">
        <f>YEAR(Tabela14[[#This Row],[DATA]])</f>
        <v>2026</v>
      </c>
      <c r="D920" s="1">
        <f>MONTH(Tabela14[[#This Row],[DATA]])</f>
        <v>8</v>
      </c>
    </row>
    <row r="921" spans="1:4" x14ac:dyDescent="0.35">
      <c r="A921" s="2">
        <v>46244</v>
      </c>
      <c r="B921" s="1" t="s">
        <v>9</v>
      </c>
      <c r="C921" s="1">
        <f>YEAR(Tabela14[[#This Row],[DATA]])</f>
        <v>2026</v>
      </c>
      <c r="D921" s="1">
        <f>MONTH(Tabela14[[#This Row],[DATA]])</f>
        <v>8</v>
      </c>
    </row>
    <row r="922" spans="1:4" x14ac:dyDescent="0.35">
      <c r="A922" s="2">
        <v>46244</v>
      </c>
      <c r="B922" s="1" t="s">
        <v>9</v>
      </c>
      <c r="C922" s="1">
        <f>YEAR(Tabela14[[#This Row],[DATA]])</f>
        <v>2026</v>
      </c>
      <c r="D922" s="1">
        <f>MONTH(Tabela14[[#This Row],[DATA]])</f>
        <v>8</v>
      </c>
    </row>
    <row r="923" spans="1:4" x14ac:dyDescent="0.35">
      <c r="A923" s="2">
        <v>46244</v>
      </c>
      <c r="B923" s="1" t="s">
        <v>9</v>
      </c>
      <c r="C923" s="1">
        <f>YEAR(Tabela14[[#This Row],[DATA]])</f>
        <v>2026</v>
      </c>
      <c r="D923" s="1">
        <f>MONTH(Tabela14[[#This Row],[DATA]])</f>
        <v>8</v>
      </c>
    </row>
    <row r="924" spans="1:4" x14ac:dyDescent="0.35">
      <c r="A924" s="2">
        <v>46244</v>
      </c>
      <c r="B924" s="1" t="s">
        <v>9</v>
      </c>
      <c r="C924" s="1">
        <f>YEAR(Tabela14[[#This Row],[DATA]])</f>
        <v>2026</v>
      </c>
      <c r="D924" s="1">
        <f>MONTH(Tabela14[[#This Row],[DATA]])</f>
        <v>8</v>
      </c>
    </row>
    <row r="925" spans="1:4" x14ac:dyDescent="0.35">
      <c r="A925" s="2">
        <v>46245</v>
      </c>
      <c r="B925" s="1" t="s">
        <v>9</v>
      </c>
      <c r="C925" s="1">
        <f>YEAR(Tabela14[[#This Row],[DATA]])</f>
        <v>2026</v>
      </c>
      <c r="D925" s="1">
        <f>MONTH(Tabela14[[#This Row],[DATA]])</f>
        <v>8</v>
      </c>
    </row>
    <row r="926" spans="1:4" x14ac:dyDescent="0.35">
      <c r="A926" s="2">
        <v>46245</v>
      </c>
      <c r="B926" s="1" t="s">
        <v>9</v>
      </c>
      <c r="C926" s="1">
        <f>YEAR(Tabela14[[#This Row],[DATA]])</f>
        <v>2026</v>
      </c>
      <c r="D926" s="1">
        <f>MONTH(Tabela14[[#This Row],[DATA]])</f>
        <v>8</v>
      </c>
    </row>
    <row r="927" spans="1:4" x14ac:dyDescent="0.35">
      <c r="A927" s="2">
        <v>46245</v>
      </c>
      <c r="B927" s="1" t="s">
        <v>9</v>
      </c>
      <c r="C927" s="1">
        <f>YEAR(Tabela14[[#This Row],[DATA]])</f>
        <v>2026</v>
      </c>
      <c r="D927" s="1">
        <f>MONTH(Tabela14[[#This Row],[DATA]])</f>
        <v>8</v>
      </c>
    </row>
    <row r="928" spans="1:4" x14ac:dyDescent="0.35">
      <c r="A928" s="2">
        <v>46245</v>
      </c>
      <c r="B928" s="1" t="s">
        <v>9</v>
      </c>
      <c r="C928" s="1">
        <f>YEAR(Tabela14[[#This Row],[DATA]])</f>
        <v>2026</v>
      </c>
      <c r="D928" s="1">
        <f>MONTH(Tabela14[[#This Row],[DATA]])</f>
        <v>8</v>
      </c>
    </row>
    <row r="929" spans="1:4" x14ac:dyDescent="0.35">
      <c r="A929" s="2">
        <v>46245</v>
      </c>
      <c r="B929" s="1" t="s">
        <v>9</v>
      </c>
      <c r="C929" s="1">
        <f>YEAR(Tabela14[[#This Row],[DATA]])</f>
        <v>2026</v>
      </c>
      <c r="D929" s="1">
        <f>MONTH(Tabela14[[#This Row],[DATA]])</f>
        <v>8</v>
      </c>
    </row>
    <row r="930" spans="1:4" x14ac:dyDescent="0.35">
      <c r="A930" s="2">
        <v>46246</v>
      </c>
      <c r="B930" s="1" t="s">
        <v>9</v>
      </c>
      <c r="C930" s="1">
        <f>YEAR(Tabela14[[#This Row],[DATA]])</f>
        <v>2026</v>
      </c>
      <c r="D930" s="1">
        <f>MONTH(Tabela14[[#This Row],[DATA]])</f>
        <v>8</v>
      </c>
    </row>
    <row r="931" spans="1:4" x14ac:dyDescent="0.35">
      <c r="A931" s="2">
        <v>46246</v>
      </c>
      <c r="B931" s="1" t="s">
        <v>9</v>
      </c>
      <c r="C931" s="1">
        <f>YEAR(Tabela14[[#This Row],[DATA]])</f>
        <v>2026</v>
      </c>
      <c r="D931" s="1">
        <f>MONTH(Tabela14[[#This Row],[DATA]])</f>
        <v>8</v>
      </c>
    </row>
    <row r="932" spans="1:4" x14ac:dyDescent="0.35">
      <c r="A932" s="2">
        <v>46246</v>
      </c>
      <c r="B932" s="1" t="s">
        <v>9</v>
      </c>
      <c r="C932" s="1">
        <f>YEAR(Tabela14[[#This Row],[DATA]])</f>
        <v>2026</v>
      </c>
      <c r="D932" s="1">
        <f>MONTH(Tabela14[[#This Row],[DATA]])</f>
        <v>8</v>
      </c>
    </row>
    <row r="933" spans="1:4" x14ac:dyDescent="0.35">
      <c r="A933" s="2">
        <v>46246</v>
      </c>
      <c r="B933" s="1" t="s">
        <v>9</v>
      </c>
      <c r="C933" s="1">
        <f>YEAR(Tabela14[[#This Row],[DATA]])</f>
        <v>2026</v>
      </c>
      <c r="D933" s="1">
        <f>MONTH(Tabela14[[#This Row],[DATA]])</f>
        <v>8</v>
      </c>
    </row>
    <row r="934" spans="1:4" x14ac:dyDescent="0.35">
      <c r="A934" s="2">
        <v>46246</v>
      </c>
      <c r="B934" s="1" t="s">
        <v>9</v>
      </c>
      <c r="C934" s="1">
        <f>YEAR(Tabela14[[#This Row],[DATA]])</f>
        <v>2026</v>
      </c>
      <c r="D934" s="1">
        <f>MONTH(Tabela14[[#This Row],[DATA]])</f>
        <v>8</v>
      </c>
    </row>
    <row r="935" spans="1:4" x14ac:dyDescent="0.35">
      <c r="A935" s="2">
        <v>46247</v>
      </c>
      <c r="B935" s="1" t="s">
        <v>22</v>
      </c>
      <c r="C935" s="1">
        <f>YEAR(Tabela14[[#This Row],[DATA]])</f>
        <v>2026</v>
      </c>
      <c r="D935" s="1">
        <f>MONTH(Tabela14[[#This Row],[DATA]])</f>
        <v>8</v>
      </c>
    </row>
    <row r="936" spans="1:4" x14ac:dyDescent="0.35">
      <c r="A936" s="2">
        <v>46247</v>
      </c>
      <c r="B936" s="1" t="s">
        <v>22</v>
      </c>
      <c r="C936" s="1">
        <f>YEAR(Tabela14[[#This Row],[DATA]])</f>
        <v>2026</v>
      </c>
      <c r="D936" s="1">
        <f>MONTH(Tabela14[[#This Row],[DATA]])</f>
        <v>8</v>
      </c>
    </row>
    <row r="937" spans="1:4" x14ac:dyDescent="0.35">
      <c r="A937" s="2">
        <v>46247</v>
      </c>
      <c r="B937" s="1" t="s">
        <v>22</v>
      </c>
      <c r="C937" s="1">
        <f>YEAR(Tabela14[[#This Row],[DATA]])</f>
        <v>2026</v>
      </c>
      <c r="D937" s="1">
        <f>MONTH(Tabela14[[#This Row],[DATA]])</f>
        <v>8</v>
      </c>
    </row>
    <row r="938" spans="1:4" x14ac:dyDescent="0.35">
      <c r="A938" s="2">
        <v>46247</v>
      </c>
      <c r="B938" s="1" t="s">
        <v>22</v>
      </c>
      <c r="C938" s="1">
        <f>YEAR(Tabela14[[#This Row],[DATA]])</f>
        <v>2026</v>
      </c>
      <c r="D938" s="1">
        <f>MONTH(Tabela14[[#This Row],[DATA]])</f>
        <v>8</v>
      </c>
    </row>
    <row r="939" spans="1:4" x14ac:dyDescent="0.35">
      <c r="A939" s="2">
        <v>46247</v>
      </c>
      <c r="B939" s="1" t="s">
        <v>22</v>
      </c>
      <c r="C939" s="1">
        <f>YEAR(Tabela14[[#This Row],[DATA]])</f>
        <v>2026</v>
      </c>
      <c r="D939" s="1">
        <f>MONTH(Tabela14[[#This Row],[DATA]])</f>
        <v>8</v>
      </c>
    </row>
    <row r="940" spans="1:4" x14ac:dyDescent="0.35">
      <c r="A940" s="2">
        <v>46247</v>
      </c>
      <c r="B940" s="1" t="s">
        <v>22</v>
      </c>
      <c r="C940" s="1">
        <f>YEAR(Tabela14[[#This Row],[DATA]])</f>
        <v>2026</v>
      </c>
      <c r="D940" s="1">
        <f>MONTH(Tabela14[[#This Row],[DATA]])</f>
        <v>8</v>
      </c>
    </row>
    <row r="941" spans="1:4" x14ac:dyDescent="0.35">
      <c r="A941" s="2">
        <v>46247</v>
      </c>
      <c r="B941" s="1" t="s">
        <v>22</v>
      </c>
      <c r="C941" s="1">
        <f>YEAR(Tabela14[[#This Row],[DATA]])</f>
        <v>2026</v>
      </c>
      <c r="D941" s="1">
        <f>MONTH(Tabela14[[#This Row],[DATA]])</f>
        <v>8</v>
      </c>
    </row>
    <row r="942" spans="1:4" x14ac:dyDescent="0.35">
      <c r="A942" s="2">
        <v>46247</v>
      </c>
      <c r="B942" s="1" t="s">
        <v>22</v>
      </c>
      <c r="C942" s="1">
        <f>YEAR(Tabela14[[#This Row],[DATA]])</f>
        <v>2026</v>
      </c>
      <c r="D942" s="1">
        <f>MONTH(Tabela14[[#This Row],[DATA]])</f>
        <v>8</v>
      </c>
    </row>
    <row r="943" spans="1:4" x14ac:dyDescent="0.35">
      <c r="A943" s="2">
        <v>46247</v>
      </c>
      <c r="B943" s="1" t="s">
        <v>22</v>
      </c>
      <c r="C943" s="1">
        <f>YEAR(Tabela14[[#This Row],[DATA]])</f>
        <v>2026</v>
      </c>
      <c r="D943" s="1">
        <f>MONTH(Tabela14[[#This Row],[DATA]])</f>
        <v>8</v>
      </c>
    </row>
    <row r="944" spans="1:4" x14ac:dyDescent="0.35">
      <c r="A944" s="2">
        <v>46247</v>
      </c>
      <c r="B944" s="1" t="s">
        <v>22</v>
      </c>
      <c r="C944" s="1">
        <f>YEAR(Tabela14[[#This Row],[DATA]])</f>
        <v>2026</v>
      </c>
      <c r="D944" s="1">
        <f>MONTH(Tabela14[[#This Row],[DATA]])</f>
        <v>8</v>
      </c>
    </row>
    <row r="945" spans="1:4" x14ac:dyDescent="0.35">
      <c r="A945" s="2">
        <v>46247</v>
      </c>
      <c r="B945" s="1" t="s">
        <v>22</v>
      </c>
      <c r="C945" s="1">
        <f>YEAR(Tabela14[[#This Row],[DATA]])</f>
        <v>2026</v>
      </c>
      <c r="D945" s="1">
        <f>MONTH(Tabela14[[#This Row],[DATA]])</f>
        <v>8</v>
      </c>
    </row>
    <row r="946" spans="1:4" x14ac:dyDescent="0.35">
      <c r="A946" s="2">
        <v>46247</v>
      </c>
      <c r="B946" s="1" t="s">
        <v>22</v>
      </c>
      <c r="C946" s="1">
        <f>YEAR(Tabela14[[#This Row],[DATA]])</f>
        <v>2026</v>
      </c>
      <c r="D946" s="1">
        <f>MONTH(Tabela14[[#This Row],[DATA]])</f>
        <v>8</v>
      </c>
    </row>
    <row r="947" spans="1:4" x14ac:dyDescent="0.35">
      <c r="A947" s="2">
        <v>46247</v>
      </c>
      <c r="B947" s="1" t="s">
        <v>22</v>
      </c>
      <c r="C947" s="1">
        <f>YEAR(Tabela14[[#This Row],[DATA]])</f>
        <v>2026</v>
      </c>
      <c r="D947" s="1">
        <f>MONTH(Tabela14[[#This Row],[DATA]])</f>
        <v>8</v>
      </c>
    </row>
    <row r="948" spans="1:4" x14ac:dyDescent="0.35">
      <c r="A948" s="2">
        <v>46247</v>
      </c>
      <c r="B948" s="1" t="s">
        <v>22</v>
      </c>
      <c r="C948" s="1">
        <f>YEAR(Tabela14[[#This Row],[DATA]])</f>
        <v>2026</v>
      </c>
      <c r="D948" s="1">
        <f>MONTH(Tabela14[[#This Row],[DATA]])</f>
        <v>8</v>
      </c>
    </row>
    <row r="949" spans="1:4" x14ac:dyDescent="0.35">
      <c r="A949" s="2">
        <v>46247</v>
      </c>
      <c r="B949" s="1" t="s">
        <v>22</v>
      </c>
      <c r="C949" s="1">
        <f>YEAR(Tabela14[[#This Row],[DATA]])</f>
        <v>2026</v>
      </c>
      <c r="D949" s="1">
        <f>MONTH(Tabela14[[#This Row],[DATA]])</f>
        <v>8</v>
      </c>
    </row>
    <row r="950" spans="1:4" x14ac:dyDescent="0.35">
      <c r="A950" s="2">
        <v>46247</v>
      </c>
      <c r="B950" s="1" t="s">
        <v>22</v>
      </c>
      <c r="C950" s="1">
        <f>YEAR(Tabela14[[#This Row],[DATA]])</f>
        <v>2026</v>
      </c>
      <c r="D950" s="1">
        <f>MONTH(Tabela14[[#This Row],[DATA]])</f>
        <v>8</v>
      </c>
    </row>
    <row r="951" spans="1:4" x14ac:dyDescent="0.35">
      <c r="A951" s="2">
        <v>46247</v>
      </c>
      <c r="B951" s="1" t="s">
        <v>22</v>
      </c>
      <c r="C951" s="1">
        <f>YEAR(Tabela14[[#This Row],[DATA]])</f>
        <v>2026</v>
      </c>
      <c r="D951" s="1">
        <f>MONTH(Tabela14[[#This Row],[DATA]])</f>
        <v>8</v>
      </c>
    </row>
    <row r="952" spans="1:4" x14ac:dyDescent="0.35">
      <c r="A952" s="2">
        <v>46247</v>
      </c>
      <c r="B952" s="1" t="s">
        <v>22</v>
      </c>
      <c r="C952" s="1">
        <f>YEAR(Tabela14[[#This Row],[DATA]])</f>
        <v>2026</v>
      </c>
      <c r="D952" s="1">
        <f>MONTH(Tabela14[[#This Row],[DATA]])</f>
        <v>8</v>
      </c>
    </row>
    <row r="953" spans="1:4" x14ac:dyDescent="0.35">
      <c r="A953" s="2">
        <v>46247</v>
      </c>
      <c r="B953" s="1" t="s">
        <v>22</v>
      </c>
      <c r="C953" s="1">
        <f>YEAR(Tabela14[[#This Row],[DATA]])</f>
        <v>2026</v>
      </c>
      <c r="D953" s="1">
        <f>MONTH(Tabela14[[#This Row],[DATA]])</f>
        <v>8</v>
      </c>
    </row>
    <row r="954" spans="1:4" x14ac:dyDescent="0.35">
      <c r="A954" s="2">
        <v>46247</v>
      </c>
      <c r="B954" s="1" t="s">
        <v>22</v>
      </c>
      <c r="C954" s="1">
        <f>YEAR(Tabela14[[#This Row],[DATA]])</f>
        <v>2026</v>
      </c>
      <c r="D954" s="1">
        <f>MONTH(Tabela14[[#This Row],[DATA]])</f>
        <v>8</v>
      </c>
    </row>
    <row r="955" spans="1:4" x14ac:dyDescent="0.35">
      <c r="A955" s="2">
        <v>46247</v>
      </c>
      <c r="B955" s="1" t="s">
        <v>22</v>
      </c>
      <c r="C955" s="1">
        <f>YEAR(Tabela14[[#This Row],[DATA]])</f>
        <v>2026</v>
      </c>
      <c r="D955" s="1">
        <f>MONTH(Tabela14[[#This Row],[DATA]])</f>
        <v>8</v>
      </c>
    </row>
    <row r="956" spans="1:4" x14ac:dyDescent="0.35">
      <c r="A956" s="2">
        <v>46247</v>
      </c>
      <c r="B956" s="1" t="s">
        <v>22</v>
      </c>
      <c r="C956" s="1">
        <f>YEAR(Tabela14[[#This Row],[DATA]])</f>
        <v>2026</v>
      </c>
      <c r="D956" s="1">
        <f>MONTH(Tabela14[[#This Row],[DATA]])</f>
        <v>8</v>
      </c>
    </row>
    <row r="957" spans="1:4" x14ac:dyDescent="0.35">
      <c r="A957" s="2">
        <v>46247</v>
      </c>
      <c r="B957" s="1" t="s">
        <v>22</v>
      </c>
      <c r="C957" s="1">
        <f>YEAR(Tabela14[[#This Row],[DATA]])</f>
        <v>2026</v>
      </c>
      <c r="D957" s="1">
        <f>MONTH(Tabela14[[#This Row],[DATA]])</f>
        <v>8</v>
      </c>
    </row>
    <row r="958" spans="1:4" x14ac:dyDescent="0.35">
      <c r="A958" s="2">
        <v>46247</v>
      </c>
      <c r="B958" s="1" t="s">
        <v>22</v>
      </c>
      <c r="C958" s="1">
        <f>YEAR(Tabela14[[#This Row],[DATA]])</f>
        <v>2026</v>
      </c>
      <c r="D958" s="1">
        <f>MONTH(Tabela14[[#This Row],[DATA]])</f>
        <v>8</v>
      </c>
    </row>
    <row r="959" spans="1:4" x14ac:dyDescent="0.35">
      <c r="A959" s="2">
        <v>46247</v>
      </c>
      <c r="B959" s="1" t="s">
        <v>22</v>
      </c>
      <c r="C959" s="1">
        <f>YEAR(Tabela14[[#This Row],[DATA]])</f>
        <v>2026</v>
      </c>
      <c r="D959" s="1">
        <f>MONTH(Tabela14[[#This Row],[DATA]])</f>
        <v>8</v>
      </c>
    </row>
    <row r="960" spans="1:4" x14ac:dyDescent="0.35">
      <c r="A960" s="2">
        <v>46247</v>
      </c>
      <c r="B960" s="1" t="s">
        <v>22</v>
      </c>
      <c r="C960" s="1">
        <f>YEAR(Tabela14[[#This Row],[DATA]])</f>
        <v>2026</v>
      </c>
      <c r="D960" s="1">
        <f>MONTH(Tabela14[[#This Row],[DATA]])</f>
        <v>8</v>
      </c>
    </row>
    <row r="961" spans="1:4" x14ac:dyDescent="0.35">
      <c r="A961" s="2">
        <v>46247</v>
      </c>
      <c r="B961" s="1" t="s">
        <v>22</v>
      </c>
      <c r="C961" s="1">
        <f>YEAR(Tabela14[[#This Row],[DATA]])</f>
        <v>2026</v>
      </c>
      <c r="D961" s="1">
        <f>MONTH(Tabela14[[#This Row],[DATA]])</f>
        <v>8</v>
      </c>
    </row>
    <row r="962" spans="1:4" x14ac:dyDescent="0.35">
      <c r="A962" s="2">
        <v>46247</v>
      </c>
      <c r="B962" s="1" t="s">
        <v>22</v>
      </c>
      <c r="C962" s="1">
        <f>YEAR(Tabela14[[#This Row],[DATA]])</f>
        <v>2026</v>
      </c>
      <c r="D962" s="1">
        <f>MONTH(Tabela14[[#This Row],[DATA]])</f>
        <v>8</v>
      </c>
    </row>
    <row r="963" spans="1:4" x14ac:dyDescent="0.35">
      <c r="A963" s="2">
        <v>46247</v>
      </c>
      <c r="B963" s="1" t="s">
        <v>22</v>
      </c>
      <c r="C963" s="1">
        <f>YEAR(Tabela14[[#This Row],[DATA]])</f>
        <v>2026</v>
      </c>
      <c r="D963" s="1">
        <f>MONTH(Tabela14[[#This Row],[DATA]])</f>
        <v>8</v>
      </c>
    </row>
    <row r="964" spans="1:4" x14ac:dyDescent="0.35">
      <c r="A964" s="2">
        <v>46247</v>
      </c>
      <c r="B964" s="1" t="s">
        <v>22</v>
      </c>
      <c r="C964" s="1">
        <f>YEAR(Tabela14[[#This Row],[DATA]])</f>
        <v>2026</v>
      </c>
      <c r="D964" s="1">
        <f>MONTH(Tabela14[[#This Row],[DATA]])</f>
        <v>8</v>
      </c>
    </row>
    <row r="965" spans="1:4" x14ac:dyDescent="0.35">
      <c r="A965" s="2">
        <v>46247</v>
      </c>
      <c r="B965" s="1" t="s">
        <v>22</v>
      </c>
      <c r="C965" s="1">
        <f>YEAR(Tabela14[[#This Row],[DATA]])</f>
        <v>2026</v>
      </c>
      <c r="D965" s="1">
        <f>MONTH(Tabela14[[#This Row],[DATA]])</f>
        <v>8</v>
      </c>
    </row>
    <row r="966" spans="1:4" x14ac:dyDescent="0.35">
      <c r="A966" s="2">
        <v>46247</v>
      </c>
      <c r="B966" s="1" t="s">
        <v>9</v>
      </c>
      <c r="C966" s="1">
        <f>YEAR(Tabela14[[#This Row],[DATA]])</f>
        <v>2026</v>
      </c>
      <c r="D966" s="1">
        <f>MONTH(Tabela14[[#This Row],[DATA]])</f>
        <v>8</v>
      </c>
    </row>
    <row r="967" spans="1:4" x14ac:dyDescent="0.35">
      <c r="A967" s="2">
        <v>46247</v>
      </c>
      <c r="B967" s="1" t="s">
        <v>9</v>
      </c>
      <c r="C967" s="1">
        <f>YEAR(Tabela14[[#This Row],[DATA]])</f>
        <v>2026</v>
      </c>
      <c r="D967" s="1">
        <f>MONTH(Tabela14[[#This Row],[DATA]])</f>
        <v>8</v>
      </c>
    </row>
    <row r="968" spans="1:4" x14ac:dyDescent="0.35">
      <c r="A968" s="2">
        <v>46247</v>
      </c>
      <c r="B968" s="1" t="s">
        <v>9</v>
      </c>
      <c r="C968" s="1">
        <f>YEAR(Tabela14[[#This Row],[DATA]])</f>
        <v>2026</v>
      </c>
      <c r="D968" s="1">
        <f>MONTH(Tabela14[[#This Row],[DATA]])</f>
        <v>8</v>
      </c>
    </row>
    <row r="969" spans="1:4" x14ac:dyDescent="0.35">
      <c r="A969" s="2">
        <v>46247</v>
      </c>
      <c r="B969" s="1" t="s">
        <v>9</v>
      </c>
      <c r="C969" s="1">
        <f>YEAR(Tabela14[[#This Row],[DATA]])</f>
        <v>2026</v>
      </c>
      <c r="D969" s="1">
        <f>MONTH(Tabela14[[#This Row],[DATA]])</f>
        <v>8</v>
      </c>
    </row>
    <row r="970" spans="1:4" x14ac:dyDescent="0.35">
      <c r="A970" s="2">
        <v>46247</v>
      </c>
      <c r="B970" s="1" t="s">
        <v>9</v>
      </c>
      <c r="C970" s="1">
        <f>YEAR(Tabela14[[#This Row],[DATA]])</f>
        <v>2026</v>
      </c>
      <c r="D970" s="1">
        <f>MONTH(Tabela14[[#This Row],[DATA]])</f>
        <v>8</v>
      </c>
    </row>
    <row r="971" spans="1:4" x14ac:dyDescent="0.35">
      <c r="A971" s="2">
        <v>46247</v>
      </c>
      <c r="B971" s="1" t="s">
        <v>84</v>
      </c>
      <c r="C971" s="1">
        <f>YEAR(Tabela14[[#This Row],[DATA]])</f>
        <v>2026</v>
      </c>
      <c r="D971" s="1">
        <f>MONTH(Tabela14[[#This Row],[DATA]])</f>
        <v>8</v>
      </c>
    </row>
    <row r="972" spans="1:4" x14ac:dyDescent="0.35">
      <c r="A972" s="2">
        <v>46247</v>
      </c>
      <c r="B972" s="1" t="s">
        <v>84</v>
      </c>
      <c r="C972" s="1">
        <f>YEAR(Tabela14[[#This Row],[DATA]])</f>
        <v>2026</v>
      </c>
      <c r="D972" s="1">
        <f>MONTH(Tabela14[[#This Row],[DATA]])</f>
        <v>8</v>
      </c>
    </row>
    <row r="973" spans="1:4" x14ac:dyDescent="0.35">
      <c r="A973" s="2">
        <v>46247</v>
      </c>
      <c r="B973" s="1" t="s">
        <v>84</v>
      </c>
      <c r="C973" s="1">
        <f>YEAR(Tabela14[[#This Row],[DATA]])</f>
        <v>2026</v>
      </c>
      <c r="D973" s="1">
        <f>MONTH(Tabela14[[#This Row],[DATA]])</f>
        <v>8</v>
      </c>
    </row>
    <row r="974" spans="1:4" x14ac:dyDescent="0.35">
      <c r="A974" s="2">
        <v>46247</v>
      </c>
      <c r="B974" s="1" t="s">
        <v>84</v>
      </c>
      <c r="C974" s="1">
        <f>YEAR(Tabela14[[#This Row],[DATA]])</f>
        <v>2026</v>
      </c>
      <c r="D974" s="1">
        <f>MONTH(Tabela14[[#This Row],[DATA]])</f>
        <v>8</v>
      </c>
    </row>
    <row r="975" spans="1:4" x14ac:dyDescent="0.35">
      <c r="A975" s="2">
        <v>46247</v>
      </c>
      <c r="B975" s="1" t="s">
        <v>84</v>
      </c>
      <c r="C975" s="1">
        <f>YEAR(Tabela14[[#This Row],[DATA]])</f>
        <v>2026</v>
      </c>
      <c r="D975" s="1">
        <f>MONTH(Tabela14[[#This Row],[DATA]])</f>
        <v>8</v>
      </c>
    </row>
    <row r="976" spans="1:4" x14ac:dyDescent="0.35">
      <c r="A976" s="2">
        <v>46247</v>
      </c>
      <c r="B976" s="1" t="s">
        <v>84</v>
      </c>
      <c r="C976" s="1">
        <f>YEAR(Tabela14[[#This Row],[DATA]])</f>
        <v>2026</v>
      </c>
      <c r="D976" s="1">
        <f>MONTH(Tabela14[[#This Row],[DATA]])</f>
        <v>8</v>
      </c>
    </row>
    <row r="977" spans="1:4" x14ac:dyDescent="0.35">
      <c r="A977" s="2">
        <v>46247</v>
      </c>
      <c r="B977" s="1" t="s">
        <v>84</v>
      </c>
      <c r="C977" s="1">
        <f>YEAR(Tabela14[[#This Row],[DATA]])</f>
        <v>2026</v>
      </c>
      <c r="D977" s="1">
        <f>MONTH(Tabela14[[#This Row],[DATA]])</f>
        <v>8</v>
      </c>
    </row>
    <row r="978" spans="1:4" x14ac:dyDescent="0.35">
      <c r="A978" s="2">
        <v>46247</v>
      </c>
      <c r="B978" s="1" t="s">
        <v>84</v>
      </c>
      <c r="C978" s="1">
        <f>YEAR(Tabela14[[#This Row],[DATA]])</f>
        <v>2026</v>
      </c>
      <c r="D978" s="1">
        <f>MONTH(Tabela14[[#This Row],[DATA]])</f>
        <v>8</v>
      </c>
    </row>
    <row r="979" spans="1:4" x14ac:dyDescent="0.35">
      <c r="A979" s="2">
        <v>46247</v>
      </c>
      <c r="B979" s="1" t="s">
        <v>84</v>
      </c>
      <c r="C979" s="1">
        <f>YEAR(Tabela14[[#This Row],[DATA]])</f>
        <v>2026</v>
      </c>
      <c r="D979" s="1">
        <f>MONTH(Tabela14[[#This Row],[DATA]])</f>
        <v>8</v>
      </c>
    </row>
    <row r="980" spans="1:4" x14ac:dyDescent="0.35">
      <c r="A980" s="2">
        <v>46247</v>
      </c>
      <c r="B980" s="1" t="s">
        <v>19</v>
      </c>
      <c r="C980" s="1">
        <f>YEAR(Tabela14[[#This Row],[DATA]])</f>
        <v>2026</v>
      </c>
      <c r="D980" s="1">
        <f>MONTH(Tabela14[[#This Row],[DATA]])</f>
        <v>8</v>
      </c>
    </row>
    <row r="981" spans="1:4" x14ac:dyDescent="0.35">
      <c r="A981" s="2">
        <v>46247</v>
      </c>
      <c r="B981" s="1" t="s">
        <v>19</v>
      </c>
      <c r="C981" s="1">
        <f>YEAR(Tabela14[[#This Row],[DATA]])</f>
        <v>2026</v>
      </c>
      <c r="D981" s="1">
        <f>MONTH(Tabela14[[#This Row],[DATA]])</f>
        <v>8</v>
      </c>
    </row>
    <row r="982" spans="1:4" x14ac:dyDescent="0.35">
      <c r="A982" s="2">
        <v>46247</v>
      </c>
      <c r="B982" s="1" t="s">
        <v>19</v>
      </c>
      <c r="C982" s="1">
        <f>YEAR(Tabela14[[#This Row],[DATA]])</f>
        <v>2026</v>
      </c>
      <c r="D982" s="1">
        <f>MONTH(Tabela14[[#This Row],[DATA]])</f>
        <v>8</v>
      </c>
    </row>
    <row r="983" spans="1:4" x14ac:dyDescent="0.35">
      <c r="A983" s="2">
        <v>46247</v>
      </c>
      <c r="B983" s="1" t="s">
        <v>19</v>
      </c>
      <c r="C983" s="1">
        <f>YEAR(Tabela14[[#This Row],[DATA]])</f>
        <v>2026</v>
      </c>
      <c r="D983" s="1">
        <f>MONTH(Tabela14[[#This Row],[DATA]])</f>
        <v>8</v>
      </c>
    </row>
    <row r="984" spans="1:4" x14ac:dyDescent="0.35">
      <c r="A984" s="2">
        <v>46247</v>
      </c>
      <c r="B984" s="1" t="s">
        <v>19</v>
      </c>
      <c r="C984" s="1">
        <f>YEAR(Tabela14[[#This Row],[DATA]])</f>
        <v>2026</v>
      </c>
      <c r="D984" s="1">
        <f>MONTH(Tabela14[[#This Row],[DATA]])</f>
        <v>8</v>
      </c>
    </row>
    <row r="985" spans="1:4" x14ac:dyDescent="0.35">
      <c r="A985" s="2">
        <v>46247</v>
      </c>
      <c r="B985" s="1" t="s">
        <v>9</v>
      </c>
      <c r="C985" s="1">
        <f>YEAR(Tabela14[[#This Row],[DATA]])</f>
        <v>2026</v>
      </c>
      <c r="D985" s="1">
        <f>MONTH(Tabela14[[#This Row],[DATA]])</f>
        <v>8</v>
      </c>
    </row>
    <row r="986" spans="1:4" x14ac:dyDescent="0.35">
      <c r="A986" s="2">
        <v>46248</v>
      </c>
      <c r="B986" s="1" t="s">
        <v>9</v>
      </c>
      <c r="C986" s="1">
        <f>YEAR(Tabela14[[#This Row],[DATA]])</f>
        <v>2026</v>
      </c>
      <c r="D986" s="1">
        <f>MONTH(Tabela14[[#This Row],[DATA]])</f>
        <v>8</v>
      </c>
    </row>
    <row r="987" spans="1:4" x14ac:dyDescent="0.35">
      <c r="A987" s="2">
        <v>46248</v>
      </c>
      <c r="B987" s="1" t="s">
        <v>9</v>
      </c>
      <c r="C987" s="1">
        <f>YEAR(Tabela14[[#This Row],[DATA]])</f>
        <v>2026</v>
      </c>
      <c r="D987" s="1">
        <f>MONTH(Tabela14[[#This Row],[DATA]])</f>
        <v>8</v>
      </c>
    </row>
    <row r="988" spans="1:4" x14ac:dyDescent="0.35">
      <c r="A988" s="2">
        <v>46248</v>
      </c>
      <c r="B988" s="1" t="s">
        <v>9</v>
      </c>
      <c r="C988" s="1">
        <f>YEAR(Tabela14[[#This Row],[DATA]])</f>
        <v>2026</v>
      </c>
      <c r="D988" s="1">
        <f>MONTH(Tabela14[[#This Row],[DATA]])</f>
        <v>8</v>
      </c>
    </row>
    <row r="989" spans="1:4" x14ac:dyDescent="0.35">
      <c r="A989" s="2">
        <v>46248</v>
      </c>
      <c r="B989" s="1" t="s">
        <v>9</v>
      </c>
      <c r="C989" s="1">
        <f>YEAR(Tabela14[[#This Row],[DATA]])</f>
        <v>2026</v>
      </c>
      <c r="D989" s="1">
        <f>MONTH(Tabela14[[#This Row],[DATA]])</f>
        <v>8</v>
      </c>
    </row>
    <row r="990" spans="1:4" x14ac:dyDescent="0.35">
      <c r="A990" s="2">
        <v>46248</v>
      </c>
      <c r="B990" s="1" t="s">
        <v>9</v>
      </c>
      <c r="C990" s="1">
        <f>YEAR(Tabela14[[#This Row],[DATA]])</f>
        <v>2026</v>
      </c>
      <c r="D990" s="1">
        <f>MONTH(Tabela14[[#This Row],[DATA]])</f>
        <v>8</v>
      </c>
    </row>
    <row r="991" spans="1:4" x14ac:dyDescent="0.35">
      <c r="A991" s="2">
        <v>46248</v>
      </c>
      <c r="B991" s="1" t="s">
        <v>9</v>
      </c>
      <c r="C991" s="1">
        <f>YEAR(Tabela14[[#This Row],[DATA]])</f>
        <v>2026</v>
      </c>
      <c r="D991" s="1">
        <f>MONTH(Tabela14[[#This Row],[DATA]])</f>
        <v>8</v>
      </c>
    </row>
    <row r="992" spans="1:4" x14ac:dyDescent="0.35">
      <c r="A992" s="2">
        <v>46248</v>
      </c>
      <c r="B992" s="1" t="s">
        <v>9</v>
      </c>
      <c r="C992" s="1">
        <f>YEAR(Tabela14[[#This Row],[DATA]])</f>
        <v>2026</v>
      </c>
      <c r="D992" s="1">
        <f>MONTH(Tabela14[[#This Row],[DATA]])</f>
        <v>8</v>
      </c>
    </row>
    <row r="993" spans="1:4" x14ac:dyDescent="0.35">
      <c r="A993" s="2">
        <v>46248</v>
      </c>
      <c r="B993" s="1" t="s">
        <v>83</v>
      </c>
      <c r="C993" s="1">
        <f>YEAR(Tabela14[[#This Row],[DATA]])</f>
        <v>2026</v>
      </c>
      <c r="D993" s="1">
        <f>MONTH(Tabela14[[#This Row],[DATA]])</f>
        <v>8</v>
      </c>
    </row>
    <row r="994" spans="1:4" x14ac:dyDescent="0.35">
      <c r="A994" s="2">
        <v>46248</v>
      </c>
      <c r="B994" s="1" t="s">
        <v>83</v>
      </c>
      <c r="C994" s="1">
        <f>YEAR(Tabela14[[#This Row],[DATA]])</f>
        <v>2026</v>
      </c>
      <c r="D994" s="1">
        <f>MONTH(Tabela14[[#This Row],[DATA]])</f>
        <v>8</v>
      </c>
    </row>
    <row r="995" spans="1:4" x14ac:dyDescent="0.35">
      <c r="A995" s="2">
        <v>46248</v>
      </c>
      <c r="B995" s="1" t="s">
        <v>84</v>
      </c>
      <c r="C995" s="1">
        <f>YEAR(Tabela14[[#This Row],[DATA]])</f>
        <v>2026</v>
      </c>
      <c r="D995" s="1">
        <f>MONTH(Tabela14[[#This Row],[DATA]])</f>
        <v>8</v>
      </c>
    </row>
    <row r="996" spans="1:4" x14ac:dyDescent="0.35">
      <c r="A996" s="2">
        <v>46248</v>
      </c>
      <c r="B996" s="1" t="s">
        <v>84</v>
      </c>
      <c r="C996" s="1">
        <f>YEAR(Tabela14[[#This Row],[DATA]])</f>
        <v>2026</v>
      </c>
      <c r="D996" s="1">
        <f>MONTH(Tabela14[[#This Row],[DATA]])</f>
        <v>8</v>
      </c>
    </row>
    <row r="997" spans="1:4" x14ac:dyDescent="0.35">
      <c r="A997" s="2">
        <v>46251</v>
      </c>
      <c r="B997" s="1" t="s">
        <v>84</v>
      </c>
      <c r="C997" s="1">
        <f>YEAR(Tabela14[[#This Row],[DATA]])</f>
        <v>2026</v>
      </c>
      <c r="D997" s="1">
        <f>MONTH(Tabela14[[#This Row],[DATA]])</f>
        <v>8</v>
      </c>
    </row>
    <row r="998" spans="1:4" x14ac:dyDescent="0.35">
      <c r="A998" s="2">
        <v>46251</v>
      </c>
      <c r="B998" s="1" t="s">
        <v>5</v>
      </c>
      <c r="C998" s="1">
        <f>YEAR(Tabela14[[#This Row],[DATA]])</f>
        <v>2026</v>
      </c>
      <c r="D998" s="1">
        <f>MONTH(Tabela14[[#This Row],[DATA]])</f>
        <v>8</v>
      </c>
    </row>
    <row r="999" spans="1:4" x14ac:dyDescent="0.35">
      <c r="A999" s="2">
        <v>46251</v>
      </c>
      <c r="B999" s="1" t="s">
        <v>9</v>
      </c>
      <c r="C999" s="1">
        <f>YEAR(Tabela14[[#This Row],[DATA]])</f>
        <v>2026</v>
      </c>
      <c r="D999" s="1">
        <f>MONTH(Tabela14[[#This Row],[DATA]])</f>
        <v>8</v>
      </c>
    </row>
    <row r="1000" spans="1:4" x14ac:dyDescent="0.35">
      <c r="A1000" s="2">
        <v>46253</v>
      </c>
      <c r="B1000" s="1" t="s">
        <v>9</v>
      </c>
      <c r="C1000" s="1">
        <f>YEAR(Tabela14[[#This Row],[DATA]])</f>
        <v>2026</v>
      </c>
      <c r="D1000" s="1">
        <f>MONTH(Tabela14[[#This Row],[DATA]])</f>
        <v>8</v>
      </c>
    </row>
    <row r="1001" spans="1:4" x14ac:dyDescent="0.35">
      <c r="A1001" s="2">
        <v>46253</v>
      </c>
      <c r="B1001" s="1" t="s">
        <v>9</v>
      </c>
      <c r="C1001" s="1">
        <f>YEAR(Tabela14[[#This Row],[DATA]])</f>
        <v>2026</v>
      </c>
      <c r="D1001" s="1">
        <f>MONTH(Tabela14[[#This Row],[DATA]])</f>
        <v>8</v>
      </c>
    </row>
    <row r="1002" spans="1:4" x14ac:dyDescent="0.35">
      <c r="A1002" s="2">
        <v>46254</v>
      </c>
      <c r="B1002" s="1" t="s">
        <v>84</v>
      </c>
      <c r="C1002" s="1">
        <f>YEAR(Tabela14[[#This Row],[DATA]])</f>
        <v>2026</v>
      </c>
      <c r="D1002" s="1">
        <f>MONTH(Tabela14[[#This Row],[DATA]])</f>
        <v>8</v>
      </c>
    </row>
    <row r="1003" spans="1:4" x14ac:dyDescent="0.35">
      <c r="A1003" s="2">
        <v>46255</v>
      </c>
      <c r="B1003" s="1" t="s">
        <v>9</v>
      </c>
      <c r="C1003" s="1">
        <f>YEAR(Tabela14[[#This Row],[DATA]])</f>
        <v>2026</v>
      </c>
      <c r="D1003" s="1">
        <f>MONTH(Tabela14[[#This Row],[DATA]])</f>
        <v>8</v>
      </c>
    </row>
    <row r="1004" spans="1:4" x14ac:dyDescent="0.35">
      <c r="A1004" s="2">
        <v>46255</v>
      </c>
      <c r="B1004" s="1" t="s">
        <v>9</v>
      </c>
      <c r="C1004" s="1">
        <f>YEAR(Tabela14[[#This Row],[DATA]])</f>
        <v>2026</v>
      </c>
      <c r="D1004" s="1">
        <f>MONTH(Tabela14[[#This Row],[DATA]])</f>
        <v>8</v>
      </c>
    </row>
    <row r="1005" spans="1:4" x14ac:dyDescent="0.35">
      <c r="A1005" s="2">
        <v>46255</v>
      </c>
      <c r="B1005" s="1" t="s">
        <v>9</v>
      </c>
      <c r="C1005" s="1">
        <f>YEAR(Tabela14[[#This Row],[DATA]])</f>
        <v>2026</v>
      </c>
      <c r="D1005" s="1">
        <f>MONTH(Tabela14[[#This Row],[DATA]])</f>
        <v>8</v>
      </c>
    </row>
    <row r="1006" spans="1:4" x14ac:dyDescent="0.35">
      <c r="A1006" s="2">
        <v>46255</v>
      </c>
      <c r="B1006" s="1" t="s">
        <v>9</v>
      </c>
      <c r="C1006" s="1">
        <f>YEAR(Tabela14[[#This Row],[DATA]])</f>
        <v>2026</v>
      </c>
      <c r="D1006" s="1">
        <f>MONTH(Tabela14[[#This Row],[DATA]])</f>
        <v>8</v>
      </c>
    </row>
    <row r="1007" spans="1:4" x14ac:dyDescent="0.35">
      <c r="A1007" s="2">
        <v>46255</v>
      </c>
      <c r="B1007" s="1" t="s">
        <v>9</v>
      </c>
      <c r="C1007" s="1">
        <f>YEAR(Tabela14[[#This Row],[DATA]])</f>
        <v>2026</v>
      </c>
      <c r="D1007" s="1">
        <f>MONTH(Tabela14[[#This Row],[DATA]])</f>
        <v>8</v>
      </c>
    </row>
    <row r="1008" spans="1:4" x14ac:dyDescent="0.35">
      <c r="A1008" s="2">
        <v>46255</v>
      </c>
      <c r="B1008" s="1" t="s">
        <v>9</v>
      </c>
      <c r="C1008" s="1">
        <f>YEAR(Tabela14[[#This Row],[DATA]])</f>
        <v>2026</v>
      </c>
      <c r="D1008" s="1">
        <f>MONTH(Tabela14[[#This Row],[DATA]])</f>
        <v>8</v>
      </c>
    </row>
    <row r="1009" spans="1:4" x14ac:dyDescent="0.35">
      <c r="A1009" s="2">
        <v>46255</v>
      </c>
      <c r="B1009" s="1" t="s">
        <v>9</v>
      </c>
      <c r="C1009" s="1">
        <f>YEAR(Tabela14[[#This Row],[DATA]])</f>
        <v>2026</v>
      </c>
      <c r="D1009" s="1">
        <f>MONTH(Tabela14[[#This Row],[DATA]])</f>
        <v>8</v>
      </c>
    </row>
    <row r="1010" spans="1:4" x14ac:dyDescent="0.35">
      <c r="A1010" s="2">
        <v>46259</v>
      </c>
      <c r="B1010" s="1" t="s">
        <v>9</v>
      </c>
      <c r="C1010" s="1">
        <f>YEAR(Tabela14[[#This Row],[DATA]])</f>
        <v>2026</v>
      </c>
      <c r="D1010" s="1">
        <f>MONTH(Tabela14[[#This Row],[DATA]])</f>
        <v>8</v>
      </c>
    </row>
    <row r="1011" spans="1:4" x14ac:dyDescent="0.35">
      <c r="A1011" s="2">
        <v>46259</v>
      </c>
      <c r="B1011" s="1" t="s">
        <v>9</v>
      </c>
      <c r="C1011" s="1">
        <f>YEAR(Tabela14[[#This Row],[DATA]])</f>
        <v>2026</v>
      </c>
      <c r="D1011" s="1">
        <f>MONTH(Tabela14[[#This Row],[DATA]])</f>
        <v>8</v>
      </c>
    </row>
    <row r="1012" spans="1:4" x14ac:dyDescent="0.35">
      <c r="A1012" s="2">
        <v>46259</v>
      </c>
      <c r="B1012" s="1" t="s">
        <v>9</v>
      </c>
      <c r="C1012" s="1">
        <f>YEAR(Tabela14[[#This Row],[DATA]])</f>
        <v>2026</v>
      </c>
      <c r="D1012" s="1">
        <f>MONTH(Tabela14[[#This Row],[DATA]])</f>
        <v>8</v>
      </c>
    </row>
    <row r="1013" spans="1:4" x14ac:dyDescent="0.35">
      <c r="A1013" s="2">
        <v>46259</v>
      </c>
      <c r="B1013" s="1" t="s">
        <v>9</v>
      </c>
      <c r="C1013" s="1">
        <f>YEAR(Tabela14[[#This Row],[DATA]])</f>
        <v>2026</v>
      </c>
      <c r="D1013" s="1">
        <f>MONTH(Tabela14[[#This Row],[DATA]])</f>
        <v>8</v>
      </c>
    </row>
    <row r="1014" spans="1:4" x14ac:dyDescent="0.35">
      <c r="A1014" s="2">
        <v>46259</v>
      </c>
      <c r="B1014" s="1" t="s">
        <v>19</v>
      </c>
      <c r="C1014" s="1">
        <f>YEAR(Tabela14[[#This Row],[DATA]])</f>
        <v>2026</v>
      </c>
      <c r="D1014" s="1">
        <f>MONTH(Tabela14[[#This Row],[DATA]])</f>
        <v>8</v>
      </c>
    </row>
    <row r="1015" spans="1:4" x14ac:dyDescent="0.35">
      <c r="A1015" s="2">
        <v>46259</v>
      </c>
      <c r="B1015" s="1" t="s">
        <v>19</v>
      </c>
      <c r="C1015" s="1">
        <f>YEAR(Tabela14[[#This Row],[DATA]])</f>
        <v>2026</v>
      </c>
      <c r="D1015" s="1">
        <f>MONTH(Tabela14[[#This Row],[DATA]])</f>
        <v>8</v>
      </c>
    </row>
    <row r="1016" spans="1:4" x14ac:dyDescent="0.35">
      <c r="A1016" s="2">
        <v>46259</v>
      </c>
      <c r="B1016" s="1" t="s">
        <v>19</v>
      </c>
      <c r="C1016" s="1">
        <f>YEAR(Tabela14[[#This Row],[DATA]])</f>
        <v>2026</v>
      </c>
      <c r="D1016" s="1">
        <f>MONTH(Tabela14[[#This Row],[DATA]])</f>
        <v>8</v>
      </c>
    </row>
    <row r="1017" spans="1:4" x14ac:dyDescent="0.35">
      <c r="A1017" s="2">
        <v>46259</v>
      </c>
      <c r="B1017" s="1" t="s">
        <v>84</v>
      </c>
      <c r="C1017" s="1">
        <f>YEAR(Tabela14[[#This Row],[DATA]])</f>
        <v>2026</v>
      </c>
      <c r="D1017" s="1">
        <f>MONTH(Tabela14[[#This Row],[DATA]])</f>
        <v>8</v>
      </c>
    </row>
    <row r="1018" spans="1:4" x14ac:dyDescent="0.35">
      <c r="A1018" s="2">
        <v>46259</v>
      </c>
      <c r="B1018" s="1" t="s">
        <v>84</v>
      </c>
      <c r="C1018" s="1">
        <f>YEAR(Tabela14[[#This Row],[DATA]])</f>
        <v>2026</v>
      </c>
      <c r="D1018" s="1">
        <f>MONTH(Tabela14[[#This Row],[DATA]])</f>
        <v>8</v>
      </c>
    </row>
    <row r="1019" spans="1:4" x14ac:dyDescent="0.35">
      <c r="A1019" s="2">
        <v>46259</v>
      </c>
      <c r="B1019" s="1" t="s">
        <v>84</v>
      </c>
      <c r="C1019" s="1">
        <f>YEAR(Tabela14[[#This Row],[DATA]])</f>
        <v>2026</v>
      </c>
      <c r="D1019" s="1">
        <f>MONTH(Tabela14[[#This Row],[DATA]])</f>
        <v>8</v>
      </c>
    </row>
    <row r="1020" spans="1:4" x14ac:dyDescent="0.35">
      <c r="A1020" s="2">
        <v>46261</v>
      </c>
      <c r="B1020" s="1" t="s">
        <v>84</v>
      </c>
      <c r="C1020" s="1">
        <f>YEAR(Tabela14[[#This Row],[DATA]])</f>
        <v>2026</v>
      </c>
      <c r="D1020" s="1">
        <f>MONTH(Tabela14[[#This Row],[DATA]])</f>
        <v>8</v>
      </c>
    </row>
    <row r="1021" spans="1:4" x14ac:dyDescent="0.35">
      <c r="A1021" s="2">
        <v>46261</v>
      </c>
      <c r="B1021" s="1" t="s">
        <v>84</v>
      </c>
      <c r="C1021" s="1">
        <f>YEAR(Tabela14[[#This Row],[DATA]])</f>
        <v>2026</v>
      </c>
      <c r="D1021" s="1">
        <f>MONTH(Tabela14[[#This Row],[DATA]])</f>
        <v>8</v>
      </c>
    </row>
    <row r="1022" spans="1:4" x14ac:dyDescent="0.35">
      <c r="A1022" s="2">
        <v>46261</v>
      </c>
      <c r="B1022" s="1" t="s">
        <v>84</v>
      </c>
      <c r="C1022" s="1">
        <f>YEAR(Tabela14[[#This Row],[DATA]])</f>
        <v>2026</v>
      </c>
      <c r="D1022" s="1">
        <f>MONTH(Tabela14[[#This Row],[DATA]])</f>
        <v>8</v>
      </c>
    </row>
    <row r="1023" spans="1:4" x14ac:dyDescent="0.35">
      <c r="A1023" s="2">
        <v>46261</v>
      </c>
      <c r="B1023" s="1" t="s">
        <v>84</v>
      </c>
      <c r="C1023" s="1">
        <f>YEAR(Tabela14[[#This Row],[DATA]])</f>
        <v>2026</v>
      </c>
      <c r="D1023" s="1">
        <f>MONTH(Tabela14[[#This Row],[DATA]])</f>
        <v>8</v>
      </c>
    </row>
    <row r="1024" spans="1:4" x14ac:dyDescent="0.35">
      <c r="A1024" s="2">
        <v>46261</v>
      </c>
      <c r="B1024" s="1" t="s">
        <v>84</v>
      </c>
      <c r="C1024" s="1">
        <f>YEAR(Tabela14[[#This Row],[DATA]])</f>
        <v>2026</v>
      </c>
      <c r="D1024" s="1">
        <f>MONTH(Tabela14[[#This Row],[DATA]])</f>
        <v>8</v>
      </c>
    </row>
    <row r="1025" spans="1:4" x14ac:dyDescent="0.35">
      <c r="A1025" s="2">
        <v>46261</v>
      </c>
      <c r="B1025" s="1" t="s">
        <v>24</v>
      </c>
      <c r="C1025" s="1">
        <f>YEAR(Tabela14[[#This Row],[DATA]])</f>
        <v>2026</v>
      </c>
      <c r="D1025" s="1">
        <f>MONTH(Tabela14[[#This Row],[DATA]])</f>
        <v>8</v>
      </c>
    </row>
    <row r="1026" spans="1:4" x14ac:dyDescent="0.35">
      <c r="A1026" s="2">
        <v>46261</v>
      </c>
      <c r="B1026" s="1" t="s">
        <v>24</v>
      </c>
      <c r="C1026" s="1">
        <f>YEAR(Tabela14[[#This Row],[DATA]])</f>
        <v>2026</v>
      </c>
      <c r="D1026" s="1">
        <f>MONTH(Tabela14[[#This Row],[DATA]])</f>
        <v>8</v>
      </c>
    </row>
    <row r="1027" spans="1:4" x14ac:dyDescent="0.35">
      <c r="A1027" s="2">
        <v>46261</v>
      </c>
      <c r="B1027" s="1" t="s">
        <v>24</v>
      </c>
      <c r="C1027" s="1">
        <f>YEAR(Tabela14[[#This Row],[DATA]])</f>
        <v>2026</v>
      </c>
      <c r="D1027" s="1">
        <f>MONTH(Tabela14[[#This Row],[DATA]])</f>
        <v>8</v>
      </c>
    </row>
    <row r="1028" spans="1:4" x14ac:dyDescent="0.35">
      <c r="A1028" s="2">
        <v>46261</v>
      </c>
      <c r="B1028" s="1" t="s">
        <v>24</v>
      </c>
      <c r="C1028" s="1">
        <f>YEAR(Tabela14[[#This Row],[DATA]])</f>
        <v>2026</v>
      </c>
      <c r="D1028" s="1">
        <f>MONTH(Tabela14[[#This Row],[DATA]])</f>
        <v>8</v>
      </c>
    </row>
    <row r="1029" spans="1:4" x14ac:dyDescent="0.35">
      <c r="A1029" s="2">
        <v>46261</v>
      </c>
      <c r="B1029" s="1" t="s">
        <v>24</v>
      </c>
      <c r="C1029" s="1">
        <f>YEAR(Tabela14[[#This Row],[DATA]])</f>
        <v>2026</v>
      </c>
      <c r="D1029" s="1">
        <f>MONTH(Tabela14[[#This Row],[DATA]])</f>
        <v>8</v>
      </c>
    </row>
    <row r="1030" spans="1:4" x14ac:dyDescent="0.35">
      <c r="A1030" s="2">
        <v>46261</v>
      </c>
      <c r="B1030" s="1" t="s">
        <v>24</v>
      </c>
      <c r="C1030" s="1">
        <f>YEAR(Tabela14[[#This Row],[DATA]])</f>
        <v>2026</v>
      </c>
      <c r="D1030" s="1">
        <f>MONTH(Tabela14[[#This Row],[DATA]])</f>
        <v>8</v>
      </c>
    </row>
    <row r="1031" spans="1:4" x14ac:dyDescent="0.35">
      <c r="A1031" s="2">
        <v>46261</v>
      </c>
      <c r="B1031" s="1" t="s">
        <v>24</v>
      </c>
      <c r="C1031" s="1">
        <f>YEAR(Tabela14[[#This Row],[DATA]])</f>
        <v>2026</v>
      </c>
      <c r="D1031" s="1">
        <f>MONTH(Tabela14[[#This Row],[DATA]])</f>
        <v>8</v>
      </c>
    </row>
    <row r="1032" spans="1:4" x14ac:dyDescent="0.35">
      <c r="A1032" s="2">
        <v>46261</v>
      </c>
      <c r="B1032" s="1" t="s">
        <v>24</v>
      </c>
      <c r="C1032" s="1">
        <f>YEAR(Tabela14[[#This Row],[DATA]])</f>
        <v>2026</v>
      </c>
      <c r="D1032" s="1">
        <f>MONTH(Tabela14[[#This Row],[DATA]])</f>
        <v>8</v>
      </c>
    </row>
    <row r="1033" spans="1:4" x14ac:dyDescent="0.35">
      <c r="A1033" s="2">
        <v>46261</v>
      </c>
      <c r="B1033" s="1" t="s">
        <v>24</v>
      </c>
      <c r="C1033" s="1">
        <f>YEAR(Tabela14[[#This Row],[DATA]])</f>
        <v>2026</v>
      </c>
      <c r="D1033" s="1">
        <f>MONTH(Tabela14[[#This Row],[DATA]])</f>
        <v>8</v>
      </c>
    </row>
    <row r="1034" spans="1:4" x14ac:dyDescent="0.35">
      <c r="A1034" s="2">
        <v>46261</v>
      </c>
      <c r="B1034" s="1" t="s">
        <v>24</v>
      </c>
      <c r="C1034" s="1">
        <f>YEAR(Tabela14[[#This Row],[DATA]])</f>
        <v>2026</v>
      </c>
      <c r="D1034" s="1">
        <f>MONTH(Tabela14[[#This Row],[DATA]])</f>
        <v>8</v>
      </c>
    </row>
    <row r="1035" spans="1:4" x14ac:dyDescent="0.35">
      <c r="A1035" s="2">
        <v>46261</v>
      </c>
      <c r="B1035" s="1" t="s">
        <v>24</v>
      </c>
      <c r="C1035" s="1">
        <f>YEAR(Tabela14[[#This Row],[DATA]])</f>
        <v>2026</v>
      </c>
      <c r="D1035" s="1">
        <f>MONTH(Tabela14[[#This Row],[DATA]])</f>
        <v>8</v>
      </c>
    </row>
    <row r="1036" spans="1:4" x14ac:dyDescent="0.35">
      <c r="A1036" s="2">
        <v>46261</v>
      </c>
      <c r="B1036" s="1" t="s">
        <v>24</v>
      </c>
      <c r="C1036" s="1">
        <f>YEAR(Tabela14[[#This Row],[DATA]])</f>
        <v>2026</v>
      </c>
      <c r="D1036" s="1">
        <f>MONTH(Tabela14[[#This Row],[DATA]])</f>
        <v>8</v>
      </c>
    </row>
    <row r="1037" spans="1:4" x14ac:dyDescent="0.35">
      <c r="A1037" s="2">
        <v>46261</v>
      </c>
      <c r="B1037" s="1" t="s">
        <v>24</v>
      </c>
      <c r="C1037" s="1">
        <f>YEAR(Tabela14[[#This Row],[DATA]])</f>
        <v>2026</v>
      </c>
      <c r="D1037" s="1">
        <f>MONTH(Tabela14[[#This Row],[DATA]])</f>
        <v>8</v>
      </c>
    </row>
    <row r="1038" spans="1:4" x14ac:dyDescent="0.35">
      <c r="A1038" s="2">
        <v>46261</v>
      </c>
      <c r="B1038" s="1" t="s">
        <v>24</v>
      </c>
      <c r="C1038" s="1">
        <f>YEAR(Tabela14[[#This Row],[DATA]])</f>
        <v>2026</v>
      </c>
      <c r="D1038" s="1">
        <f>MONTH(Tabela14[[#This Row],[DATA]])</f>
        <v>8</v>
      </c>
    </row>
    <row r="1039" spans="1:4" x14ac:dyDescent="0.35">
      <c r="A1039" s="2">
        <v>46261</v>
      </c>
      <c r="B1039" s="1" t="s">
        <v>24</v>
      </c>
      <c r="C1039" s="1">
        <f>YEAR(Tabela14[[#This Row],[DATA]])</f>
        <v>2026</v>
      </c>
      <c r="D1039" s="1">
        <f>MONTH(Tabela14[[#This Row],[DATA]])</f>
        <v>8</v>
      </c>
    </row>
    <row r="1040" spans="1:4" x14ac:dyDescent="0.35">
      <c r="A1040" s="2">
        <v>46261</v>
      </c>
      <c r="B1040" s="1" t="s">
        <v>24</v>
      </c>
      <c r="C1040" s="1">
        <f>YEAR(Tabela14[[#This Row],[DATA]])</f>
        <v>2026</v>
      </c>
      <c r="D1040" s="1">
        <f>MONTH(Tabela14[[#This Row],[DATA]])</f>
        <v>8</v>
      </c>
    </row>
    <row r="1041" spans="1:4" x14ac:dyDescent="0.35">
      <c r="A1041" s="2">
        <v>46261</v>
      </c>
      <c r="B1041" s="1" t="s">
        <v>24</v>
      </c>
      <c r="C1041" s="1">
        <f>YEAR(Tabela14[[#This Row],[DATA]])</f>
        <v>2026</v>
      </c>
      <c r="D1041" s="1">
        <f>MONTH(Tabela14[[#This Row],[DATA]])</f>
        <v>8</v>
      </c>
    </row>
    <row r="1042" spans="1:4" x14ac:dyDescent="0.35">
      <c r="A1042" s="2">
        <v>46261</v>
      </c>
      <c r="B1042" s="1" t="s">
        <v>24</v>
      </c>
      <c r="C1042" s="1">
        <f>YEAR(Tabela14[[#This Row],[DATA]])</f>
        <v>2026</v>
      </c>
      <c r="D1042" s="1">
        <f>MONTH(Tabela14[[#This Row],[DATA]])</f>
        <v>8</v>
      </c>
    </row>
    <row r="1043" spans="1:4" x14ac:dyDescent="0.35">
      <c r="A1043" s="2">
        <v>46261</v>
      </c>
      <c r="B1043" s="1" t="s">
        <v>24</v>
      </c>
      <c r="C1043" s="1">
        <f>YEAR(Tabela14[[#This Row],[DATA]])</f>
        <v>2026</v>
      </c>
      <c r="D1043" s="1">
        <f>MONTH(Tabela14[[#This Row],[DATA]])</f>
        <v>8</v>
      </c>
    </row>
    <row r="1044" spans="1:4" x14ac:dyDescent="0.35">
      <c r="A1044" s="2">
        <v>46261</v>
      </c>
      <c r="B1044" s="1" t="s">
        <v>24</v>
      </c>
      <c r="C1044" s="1">
        <f>YEAR(Tabela14[[#This Row],[DATA]])</f>
        <v>2026</v>
      </c>
      <c r="D1044" s="1">
        <f>MONTH(Tabela14[[#This Row],[DATA]])</f>
        <v>8</v>
      </c>
    </row>
    <row r="1045" spans="1:4" x14ac:dyDescent="0.35">
      <c r="A1045" s="2">
        <v>46261</v>
      </c>
      <c r="B1045" s="1" t="s">
        <v>24</v>
      </c>
      <c r="C1045" s="1">
        <f>YEAR(Tabela14[[#This Row],[DATA]])</f>
        <v>2026</v>
      </c>
      <c r="D1045" s="1">
        <f>MONTH(Tabela14[[#This Row],[DATA]])</f>
        <v>8</v>
      </c>
    </row>
    <row r="1046" spans="1:4" x14ac:dyDescent="0.35">
      <c r="A1046" s="2">
        <v>46261</v>
      </c>
      <c r="B1046" s="1" t="s">
        <v>24</v>
      </c>
      <c r="C1046" s="1">
        <f>YEAR(Tabela14[[#This Row],[DATA]])</f>
        <v>2026</v>
      </c>
      <c r="D1046" s="1">
        <f>MONTH(Tabela14[[#This Row],[DATA]])</f>
        <v>8</v>
      </c>
    </row>
    <row r="1047" spans="1:4" x14ac:dyDescent="0.35">
      <c r="A1047" s="2">
        <v>46261</v>
      </c>
      <c r="B1047" s="1" t="s">
        <v>24</v>
      </c>
      <c r="C1047" s="1">
        <f>YEAR(Tabela14[[#This Row],[DATA]])</f>
        <v>2026</v>
      </c>
      <c r="D1047" s="1">
        <f>MONTH(Tabela14[[#This Row],[DATA]])</f>
        <v>8</v>
      </c>
    </row>
    <row r="1048" spans="1:4" x14ac:dyDescent="0.35">
      <c r="A1048" s="2">
        <v>46261</v>
      </c>
      <c r="B1048" s="1" t="s">
        <v>24</v>
      </c>
      <c r="C1048" s="1">
        <f>YEAR(Tabela14[[#This Row],[DATA]])</f>
        <v>2026</v>
      </c>
      <c r="D1048" s="1">
        <f>MONTH(Tabela14[[#This Row],[DATA]])</f>
        <v>8</v>
      </c>
    </row>
    <row r="1049" spans="1:4" x14ac:dyDescent="0.35">
      <c r="A1049" s="2">
        <v>46261</v>
      </c>
      <c r="B1049" s="1" t="s">
        <v>24</v>
      </c>
      <c r="C1049" s="1">
        <f>YEAR(Tabela14[[#This Row],[DATA]])</f>
        <v>2026</v>
      </c>
      <c r="D1049" s="1">
        <f>MONTH(Tabela14[[#This Row],[DATA]])</f>
        <v>8</v>
      </c>
    </row>
    <row r="1050" spans="1:4" x14ac:dyDescent="0.35">
      <c r="A1050" s="2">
        <v>46261</v>
      </c>
      <c r="B1050" s="1" t="s">
        <v>24</v>
      </c>
      <c r="C1050" s="1">
        <f>YEAR(Tabela14[[#This Row],[DATA]])</f>
        <v>2026</v>
      </c>
      <c r="D1050" s="1">
        <f>MONTH(Tabela14[[#This Row],[DATA]])</f>
        <v>8</v>
      </c>
    </row>
    <row r="1051" spans="1:4" x14ac:dyDescent="0.35">
      <c r="A1051" s="2">
        <v>46261</v>
      </c>
      <c r="B1051" s="1" t="s">
        <v>24</v>
      </c>
      <c r="C1051" s="1">
        <f>YEAR(Tabela14[[#This Row],[DATA]])</f>
        <v>2026</v>
      </c>
      <c r="D1051" s="1">
        <f>MONTH(Tabela14[[#This Row],[DATA]])</f>
        <v>8</v>
      </c>
    </row>
    <row r="1052" spans="1:4" x14ac:dyDescent="0.35">
      <c r="A1052" s="2">
        <v>46261</v>
      </c>
      <c r="B1052" s="1" t="s">
        <v>24</v>
      </c>
      <c r="C1052" s="1">
        <f>YEAR(Tabela14[[#This Row],[DATA]])</f>
        <v>2026</v>
      </c>
      <c r="D1052" s="1">
        <f>MONTH(Tabela14[[#This Row],[DATA]])</f>
        <v>8</v>
      </c>
    </row>
    <row r="1053" spans="1:4" x14ac:dyDescent="0.35">
      <c r="A1053" s="2">
        <v>46261</v>
      </c>
      <c r="B1053" s="1" t="s">
        <v>24</v>
      </c>
      <c r="C1053" s="1">
        <f>YEAR(Tabela14[[#This Row],[DATA]])</f>
        <v>2026</v>
      </c>
      <c r="D1053" s="1">
        <f>MONTH(Tabela14[[#This Row],[DATA]])</f>
        <v>8</v>
      </c>
    </row>
    <row r="1054" spans="1:4" x14ac:dyDescent="0.35">
      <c r="A1054" s="2">
        <v>46261</v>
      </c>
      <c r="B1054" s="1" t="s">
        <v>24</v>
      </c>
      <c r="C1054" s="1">
        <f>YEAR(Tabela14[[#This Row],[DATA]])</f>
        <v>2026</v>
      </c>
      <c r="D1054" s="1">
        <f>MONTH(Tabela14[[#This Row],[DATA]])</f>
        <v>8</v>
      </c>
    </row>
    <row r="1055" spans="1:4" x14ac:dyDescent="0.35">
      <c r="A1055" s="2">
        <v>46261</v>
      </c>
      <c r="B1055" s="1" t="s">
        <v>24</v>
      </c>
      <c r="C1055" s="1">
        <f>YEAR(Tabela14[[#This Row],[DATA]])</f>
        <v>2026</v>
      </c>
      <c r="D1055" s="1">
        <f>MONTH(Tabela14[[#This Row],[DATA]])</f>
        <v>8</v>
      </c>
    </row>
    <row r="1056" spans="1:4" x14ac:dyDescent="0.35">
      <c r="A1056" s="2">
        <v>46261</v>
      </c>
      <c r="B1056" s="1" t="s">
        <v>24</v>
      </c>
      <c r="C1056" s="1">
        <f>YEAR(Tabela14[[#This Row],[DATA]])</f>
        <v>2026</v>
      </c>
      <c r="D1056" s="1">
        <f>MONTH(Tabela14[[#This Row],[DATA]])</f>
        <v>8</v>
      </c>
    </row>
    <row r="1057" spans="1:4" x14ac:dyDescent="0.35">
      <c r="A1057" s="2">
        <v>46261</v>
      </c>
      <c r="B1057" s="1" t="s">
        <v>84</v>
      </c>
      <c r="C1057" s="1">
        <f>YEAR(Tabela14[[#This Row],[DATA]])</f>
        <v>2026</v>
      </c>
      <c r="D1057" s="1">
        <f>MONTH(Tabela14[[#This Row],[DATA]])</f>
        <v>8</v>
      </c>
    </row>
    <row r="1058" spans="1:4" x14ac:dyDescent="0.35">
      <c r="A1058" s="2">
        <v>46261</v>
      </c>
      <c r="B1058" s="1" t="s">
        <v>24</v>
      </c>
      <c r="C1058" s="1">
        <f>YEAR(Tabela14[[#This Row],[DATA]])</f>
        <v>2026</v>
      </c>
      <c r="D1058" s="1">
        <f>MONTH(Tabela14[[#This Row],[DATA]])</f>
        <v>8</v>
      </c>
    </row>
    <row r="1059" spans="1:4" x14ac:dyDescent="0.35">
      <c r="A1059" s="2">
        <v>46261</v>
      </c>
      <c r="B1059" s="1" t="s">
        <v>24</v>
      </c>
      <c r="C1059" s="1">
        <f>YEAR(Tabela14[[#This Row],[DATA]])</f>
        <v>2026</v>
      </c>
      <c r="D1059" s="1">
        <f>MONTH(Tabela14[[#This Row],[DATA]])</f>
        <v>8</v>
      </c>
    </row>
    <row r="1060" spans="1:4" x14ac:dyDescent="0.35">
      <c r="A1060" s="2">
        <v>46261</v>
      </c>
      <c r="B1060" s="1" t="s">
        <v>24</v>
      </c>
      <c r="C1060" s="1">
        <f>YEAR(Tabela14[[#This Row],[DATA]])</f>
        <v>2026</v>
      </c>
      <c r="D1060" s="1">
        <f>MONTH(Tabela14[[#This Row],[DATA]])</f>
        <v>8</v>
      </c>
    </row>
    <row r="1061" spans="1:4" x14ac:dyDescent="0.35">
      <c r="A1061" s="2">
        <v>46261</v>
      </c>
      <c r="B1061" s="1" t="s">
        <v>24</v>
      </c>
      <c r="C1061" s="1">
        <f>YEAR(Tabela14[[#This Row],[DATA]])</f>
        <v>2026</v>
      </c>
      <c r="D1061" s="1">
        <f>MONTH(Tabela14[[#This Row],[DATA]])</f>
        <v>8</v>
      </c>
    </row>
    <row r="1062" spans="1:4" x14ac:dyDescent="0.35">
      <c r="A1062" s="2">
        <v>46261</v>
      </c>
      <c r="B1062" s="1" t="s">
        <v>24</v>
      </c>
      <c r="C1062" s="1">
        <f>YEAR(Tabela14[[#This Row],[DATA]])</f>
        <v>2026</v>
      </c>
      <c r="D1062" s="1">
        <f>MONTH(Tabela14[[#This Row],[DATA]])</f>
        <v>8</v>
      </c>
    </row>
    <row r="1063" spans="1:4" x14ac:dyDescent="0.35">
      <c r="A1063" s="2">
        <v>46261</v>
      </c>
      <c r="B1063" s="1" t="s">
        <v>24</v>
      </c>
      <c r="C1063" s="1">
        <f>YEAR(Tabela14[[#This Row],[DATA]])</f>
        <v>2026</v>
      </c>
      <c r="D1063" s="1">
        <f>MONTH(Tabela14[[#This Row],[DATA]])</f>
        <v>8</v>
      </c>
    </row>
    <row r="1064" spans="1:4" x14ac:dyDescent="0.35">
      <c r="A1064" s="2">
        <v>46261</v>
      </c>
      <c r="B1064" s="1" t="s">
        <v>24</v>
      </c>
      <c r="C1064" s="1">
        <f>YEAR(Tabela14[[#This Row],[DATA]])</f>
        <v>2026</v>
      </c>
      <c r="D1064" s="1">
        <f>MONTH(Tabela14[[#This Row],[DATA]])</f>
        <v>8</v>
      </c>
    </row>
    <row r="1065" spans="1:4" x14ac:dyDescent="0.35">
      <c r="A1065" s="2">
        <v>46261</v>
      </c>
      <c r="B1065" s="1" t="s">
        <v>24</v>
      </c>
      <c r="C1065" s="1">
        <f>YEAR(Tabela14[[#This Row],[DATA]])</f>
        <v>2026</v>
      </c>
      <c r="D1065" s="1">
        <f>MONTH(Tabela14[[#This Row],[DATA]])</f>
        <v>8</v>
      </c>
    </row>
    <row r="1066" spans="1:4" x14ac:dyDescent="0.35">
      <c r="A1066" s="2">
        <v>46261</v>
      </c>
      <c r="B1066" s="1" t="s">
        <v>24</v>
      </c>
      <c r="C1066" s="1">
        <f>YEAR(Tabela14[[#This Row],[DATA]])</f>
        <v>2026</v>
      </c>
      <c r="D1066" s="1">
        <f>MONTH(Tabela14[[#This Row],[DATA]])</f>
        <v>8</v>
      </c>
    </row>
    <row r="1067" spans="1:4" x14ac:dyDescent="0.35">
      <c r="A1067" s="2">
        <v>46261</v>
      </c>
      <c r="B1067" s="1" t="s">
        <v>24</v>
      </c>
      <c r="C1067" s="1">
        <f>YEAR(Tabela14[[#This Row],[DATA]])</f>
        <v>2026</v>
      </c>
      <c r="D1067" s="1">
        <f>MONTH(Tabela14[[#This Row],[DATA]])</f>
        <v>8</v>
      </c>
    </row>
    <row r="1068" spans="1:4" x14ac:dyDescent="0.35">
      <c r="A1068" s="2">
        <v>46261</v>
      </c>
      <c r="B1068" s="1" t="s">
        <v>24</v>
      </c>
      <c r="C1068" s="1">
        <f>YEAR(Tabela14[[#This Row],[DATA]])</f>
        <v>2026</v>
      </c>
      <c r="D1068" s="1">
        <f>MONTH(Tabela14[[#This Row],[DATA]])</f>
        <v>8</v>
      </c>
    </row>
    <row r="1069" spans="1:4" x14ac:dyDescent="0.35">
      <c r="A1069" s="2">
        <v>46262</v>
      </c>
      <c r="B1069" s="1" t="s">
        <v>84</v>
      </c>
      <c r="C1069" s="1">
        <f>YEAR(Tabela14[[#This Row],[DATA]])</f>
        <v>2026</v>
      </c>
      <c r="D1069" s="1">
        <f>MONTH(Tabela14[[#This Row],[DATA]])</f>
        <v>8</v>
      </c>
    </row>
    <row r="1070" spans="1:4" x14ac:dyDescent="0.35">
      <c r="A1070" s="2">
        <v>46265</v>
      </c>
      <c r="B1070" s="1" t="s">
        <v>9</v>
      </c>
      <c r="C1070" s="1">
        <f>YEAR(Tabela14[[#This Row],[DATA]])</f>
        <v>2026</v>
      </c>
      <c r="D1070" s="1">
        <f>MONTH(Tabela14[[#This Row],[DATA]])</f>
        <v>8</v>
      </c>
    </row>
    <row r="1071" spans="1:4" x14ac:dyDescent="0.35">
      <c r="A1071" s="2">
        <v>46265</v>
      </c>
      <c r="B1071" s="1" t="s">
        <v>9</v>
      </c>
      <c r="C1071" s="1">
        <f>YEAR(Tabela14[[#This Row],[DATA]])</f>
        <v>2026</v>
      </c>
      <c r="D1071" s="1">
        <f>MONTH(Tabela14[[#This Row],[DATA]])</f>
        <v>8</v>
      </c>
    </row>
    <row r="1072" spans="1:4" x14ac:dyDescent="0.35">
      <c r="A1072" s="2">
        <v>46265</v>
      </c>
      <c r="B1072" s="1" t="s">
        <v>9</v>
      </c>
      <c r="C1072" s="1">
        <f>YEAR(Tabela14[[#This Row],[DATA]])</f>
        <v>2026</v>
      </c>
      <c r="D1072" s="1">
        <f>MONTH(Tabela14[[#This Row],[DATA]])</f>
        <v>8</v>
      </c>
    </row>
    <row r="1073" spans="1:4" x14ac:dyDescent="0.35">
      <c r="A1073" s="2">
        <v>46265</v>
      </c>
      <c r="B1073" s="1" t="s">
        <v>9</v>
      </c>
      <c r="C1073" s="1">
        <f>YEAR(Tabela14[[#This Row],[DATA]])</f>
        <v>2026</v>
      </c>
      <c r="D1073" s="1">
        <f>MONTH(Tabela14[[#This Row],[DATA]])</f>
        <v>8</v>
      </c>
    </row>
    <row r="1074" spans="1:4" x14ac:dyDescent="0.35">
      <c r="A1074" s="2">
        <v>46265</v>
      </c>
      <c r="B1074" s="1" t="s">
        <v>9</v>
      </c>
      <c r="C1074" s="1">
        <f>YEAR(Tabela14[[#This Row],[DATA]])</f>
        <v>2026</v>
      </c>
      <c r="D1074" s="1">
        <f>MONTH(Tabela14[[#This Row],[DATA]])</f>
        <v>8</v>
      </c>
    </row>
    <row r="1075" spans="1:4" x14ac:dyDescent="0.35">
      <c r="A1075" s="2">
        <v>46266</v>
      </c>
      <c r="B1075" s="1" t="s">
        <v>22</v>
      </c>
      <c r="C1075" s="1">
        <f>YEAR(Tabela14[[#This Row],[DATA]])</f>
        <v>2026</v>
      </c>
      <c r="D1075" s="1">
        <f>MONTH(Tabela14[[#This Row],[DATA]])</f>
        <v>9</v>
      </c>
    </row>
    <row r="1076" spans="1:4" x14ac:dyDescent="0.35">
      <c r="A1076" s="2">
        <v>46266</v>
      </c>
      <c r="B1076" s="1" t="s">
        <v>22</v>
      </c>
      <c r="C1076" s="1">
        <f>YEAR(Tabela14[[#This Row],[DATA]])</f>
        <v>2026</v>
      </c>
      <c r="D1076" s="1">
        <f>MONTH(Tabela14[[#This Row],[DATA]])</f>
        <v>9</v>
      </c>
    </row>
    <row r="1077" spans="1:4" x14ac:dyDescent="0.35">
      <c r="A1077" s="2">
        <v>46266</v>
      </c>
      <c r="B1077" s="1" t="s">
        <v>22</v>
      </c>
      <c r="C1077" s="1">
        <f>YEAR(Tabela14[[#This Row],[DATA]])</f>
        <v>2026</v>
      </c>
      <c r="D1077" s="1">
        <f>MONTH(Tabela14[[#This Row],[DATA]])</f>
        <v>9</v>
      </c>
    </row>
    <row r="1078" spans="1:4" x14ac:dyDescent="0.35">
      <c r="A1078" s="2">
        <v>46266</v>
      </c>
      <c r="B1078" s="1" t="s">
        <v>22</v>
      </c>
      <c r="C1078" s="1">
        <f>YEAR(Tabela14[[#This Row],[DATA]])</f>
        <v>2026</v>
      </c>
      <c r="D1078" s="1">
        <f>MONTH(Tabela14[[#This Row],[DATA]])</f>
        <v>9</v>
      </c>
    </row>
    <row r="1079" spans="1:4" x14ac:dyDescent="0.35">
      <c r="A1079" s="2">
        <v>46266</v>
      </c>
      <c r="B1079" s="1" t="s">
        <v>22</v>
      </c>
      <c r="C1079" s="1">
        <f>YEAR(Tabela14[[#This Row],[DATA]])</f>
        <v>2026</v>
      </c>
      <c r="D1079" s="1">
        <f>MONTH(Tabela14[[#This Row],[DATA]])</f>
        <v>9</v>
      </c>
    </row>
    <row r="1080" spans="1:4" x14ac:dyDescent="0.35">
      <c r="A1080" s="2">
        <v>46266</v>
      </c>
      <c r="B1080" s="1" t="s">
        <v>22</v>
      </c>
      <c r="C1080" s="1">
        <f>YEAR(Tabela14[[#This Row],[DATA]])</f>
        <v>2026</v>
      </c>
      <c r="D1080" s="1">
        <f>MONTH(Tabela14[[#This Row],[DATA]])</f>
        <v>9</v>
      </c>
    </row>
    <row r="1081" spans="1:4" x14ac:dyDescent="0.35">
      <c r="A1081" s="2">
        <v>46266</v>
      </c>
      <c r="B1081" s="1" t="s">
        <v>22</v>
      </c>
      <c r="C1081" s="1">
        <f>YEAR(Tabela14[[#This Row],[DATA]])</f>
        <v>2026</v>
      </c>
      <c r="D1081" s="1">
        <f>MONTH(Tabela14[[#This Row],[DATA]])</f>
        <v>9</v>
      </c>
    </row>
    <row r="1082" spans="1:4" x14ac:dyDescent="0.35">
      <c r="A1082" s="2">
        <v>46266</v>
      </c>
      <c r="B1082" s="1" t="s">
        <v>22</v>
      </c>
      <c r="C1082" s="1">
        <f>YEAR(Tabela14[[#This Row],[DATA]])</f>
        <v>2026</v>
      </c>
      <c r="D1082" s="1">
        <f>MONTH(Tabela14[[#This Row],[DATA]])</f>
        <v>9</v>
      </c>
    </row>
    <row r="1083" spans="1:4" x14ac:dyDescent="0.35">
      <c r="A1083" s="2">
        <v>46266</v>
      </c>
      <c r="B1083" s="1" t="s">
        <v>22</v>
      </c>
      <c r="C1083" s="1">
        <f>YEAR(Tabela14[[#This Row],[DATA]])</f>
        <v>2026</v>
      </c>
      <c r="D1083" s="1">
        <f>MONTH(Tabela14[[#This Row],[DATA]])</f>
        <v>9</v>
      </c>
    </row>
    <row r="1084" spans="1:4" x14ac:dyDescent="0.35">
      <c r="A1084" s="2">
        <v>46266</v>
      </c>
      <c r="B1084" s="1" t="s">
        <v>22</v>
      </c>
      <c r="C1084" s="1">
        <f>YEAR(Tabela14[[#This Row],[DATA]])</f>
        <v>2026</v>
      </c>
      <c r="D1084" s="1">
        <f>MONTH(Tabela14[[#This Row],[DATA]])</f>
        <v>9</v>
      </c>
    </row>
    <row r="1085" spans="1:4" x14ac:dyDescent="0.35">
      <c r="A1085" s="2">
        <v>46266</v>
      </c>
      <c r="B1085" s="1" t="s">
        <v>22</v>
      </c>
      <c r="C1085" s="1">
        <f>YEAR(Tabela14[[#This Row],[DATA]])</f>
        <v>2026</v>
      </c>
      <c r="D1085" s="1">
        <f>MONTH(Tabela14[[#This Row],[DATA]])</f>
        <v>9</v>
      </c>
    </row>
    <row r="1086" spans="1:4" x14ac:dyDescent="0.35">
      <c r="A1086" s="2">
        <v>46267</v>
      </c>
      <c r="B1086" s="1" t="s">
        <v>9</v>
      </c>
      <c r="C1086" s="1">
        <f>YEAR(Tabela14[[#This Row],[DATA]])</f>
        <v>2026</v>
      </c>
      <c r="D1086" s="1">
        <f>MONTH(Tabela14[[#This Row],[DATA]])</f>
        <v>9</v>
      </c>
    </row>
    <row r="1087" spans="1:4" x14ac:dyDescent="0.35">
      <c r="A1087" s="2">
        <v>46267</v>
      </c>
      <c r="B1087" s="1" t="s">
        <v>9</v>
      </c>
      <c r="C1087" s="1">
        <f>YEAR(Tabela14[[#This Row],[DATA]])</f>
        <v>2026</v>
      </c>
      <c r="D1087" s="1">
        <f>MONTH(Tabela14[[#This Row],[DATA]])</f>
        <v>9</v>
      </c>
    </row>
    <row r="1088" spans="1:4" x14ac:dyDescent="0.35">
      <c r="A1088" s="2">
        <v>46267</v>
      </c>
      <c r="B1088" s="1" t="s">
        <v>9</v>
      </c>
      <c r="C1088" s="1">
        <f>YEAR(Tabela14[[#This Row],[DATA]])</f>
        <v>2026</v>
      </c>
      <c r="D1088" s="1">
        <f>MONTH(Tabela14[[#This Row],[DATA]])</f>
        <v>9</v>
      </c>
    </row>
    <row r="1089" spans="1:4" x14ac:dyDescent="0.35">
      <c r="A1089" s="2">
        <v>46267</v>
      </c>
      <c r="B1089" s="1" t="s">
        <v>9</v>
      </c>
      <c r="C1089" s="1">
        <f>YEAR(Tabela14[[#This Row],[DATA]])</f>
        <v>2026</v>
      </c>
      <c r="D1089" s="1">
        <f>MONTH(Tabela14[[#This Row],[DATA]])</f>
        <v>9</v>
      </c>
    </row>
    <row r="1090" spans="1:4" x14ac:dyDescent="0.35">
      <c r="A1090" s="2">
        <v>46267</v>
      </c>
      <c r="B1090" s="1" t="s">
        <v>84</v>
      </c>
      <c r="C1090" s="1">
        <f>YEAR(Tabela14[[#This Row],[DATA]])</f>
        <v>2026</v>
      </c>
      <c r="D1090" s="1">
        <f>MONTH(Tabela14[[#This Row],[DATA]])</f>
        <v>9</v>
      </c>
    </row>
    <row r="1091" spans="1:4" x14ac:dyDescent="0.35">
      <c r="A1091" s="2">
        <v>46267</v>
      </c>
      <c r="B1091" s="1" t="s">
        <v>84</v>
      </c>
      <c r="C1091" s="1">
        <f>YEAR(Tabela14[[#This Row],[DATA]])</f>
        <v>2026</v>
      </c>
      <c r="D1091" s="1">
        <f>MONTH(Tabela14[[#This Row],[DATA]])</f>
        <v>9</v>
      </c>
    </row>
    <row r="1092" spans="1:4" x14ac:dyDescent="0.35">
      <c r="A1092" s="2">
        <v>46267</v>
      </c>
      <c r="B1092" s="1" t="s">
        <v>84</v>
      </c>
      <c r="C1092" s="1">
        <f>YEAR(Tabela14[[#This Row],[DATA]])</f>
        <v>2026</v>
      </c>
      <c r="D1092" s="1">
        <f>MONTH(Tabela14[[#This Row],[DATA]])</f>
        <v>9</v>
      </c>
    </row>
    <row r="1093" spans="1:4" x14ac:dyDescent="0.35">
      <c r="A1093" s="2">
        <v>46267</v>
      </c>
      <c r="B1093" s="1" t="s">
        <v>84</v>
      </c>
      <c r="C1093" s="1">
        <f>YEAR(Tabela14[[#This Row],[DATA]])</f>
        <v>2026</v>
      </c>
      <c r="D1093" s="1">
        <f>MONTH(Tabela14[[#This Row],[DATA]])</f>
        <v>9</v>
      </c>
    </row>
    <row r="1094" spans="1:4" x14ac:dyDescent="0.35">
      <c r="A1094" s="2">
        <v>46267</v>
      </c>
      <c r="B1094" s="1" t="s">
        <v>84</v>
      </c>
      <c r="C1094" s="1">
        <f>YEAR(Tabela14[[#This Row],[DATA]])</f>
        <v>2026</v>
      </c>
      <c r="D1094" s="1">
        <f>MONTH(Tabela14[[#This Row],[DATA]])</f>
        <v>9</v>
      </c>
    </row>
    <row r="1095" spans="1:4" x14ac:dyDescent="0.35">
      <c r="A1095" s="2">
        <v>46267</v>
      </c>
      <c r="B1095" s="1" t="s">
        <v>84</v>
      </c>
      <c r="C1095" s="1">
        <f>YEAR(Tabela14[[#This Row],[DATA]])</f>
        <v>2026</v>
      </c>
      <c r="D1095" s="1">
        <f>MONTH(Tabela14[[#This Row],[DATA]])</f>
        <v>9</v>
      </c>
    </row>
    <row r="1096" spans="1:4" x14ac:dyDescent="0.35">
      <c r="A1096" s="2">
        <v>46267</v>
      </c>
      <c r="B1096" s="1" t="s">
        <v>84</v>
      </c>
      <c r="C1096" s="1">
        <f>YEAR(Tabela14[[#This Row],[DATA]])</f>
        <v>2026</v>
      </c>
      <c r="D1096" s="1">
        <f>MONTH(Tabela14[[#This Row],[DATA]])</f>
        <v>9</v>
      </c>
    </row>
    <row r="1097" spans="1:4" x14ac:dyDescent="0.35">
      <c r="A1097" s="2">
        <v>46267</v>
      </c>
      <c r="B1097" s="1" t="s">
        <v>84</v>
      </c>
      <c r="C1097" s="1">
        <f>YEAR(Tabela14[[#This Row],[DATA]])</f>
        <v>2026</v>
      </c>
      <c r="D1097" s="1">
        <f>MONTH(Tabela14[[#This Row],[DATA]])</f>
        <v>9</v>
      </c>
    </row>
    <row r="1098" spans="1:4" x14ac:dyDescent="0.35">
      <c r="A1098" s="2">
        <v>46267</v>
      </c>
      <c r="B1098" s="1" t="s">
        <v>84</v>
      </c>
      <c r="C1098" s="1">
        <f>YEAR(Tabela14[[#This Row],[DATA]])</f>
        <v>2026</v>
      </c>
      <c r="D1098" s="1">
        <f>MONTH(Tabela14[[#This Row],[DATA]])</f>
        <v>9</v>
      </c>
    </row>
    <row r="1099" spans="1:4" x14ac:dyDescent="0.35">
      <c r="A1099" s="2">
        <v>46268</v>
      </c>
      <c r="B1099" s="1" t="s">
        <v>24</v>
      </c>
      <c r="C1099" s="1">
        <f>YEAR(Tabela14[[#This Row],[DATA]])</f>
        <v>2026</v>
      </c>
      <c r="D1099" s="1">
        <f>MONTH(Tabela14[[#This Row],[DATA]])</f>
        <v>9</v>
      </c>
    </row>
    <row r="1100" spans="1:4" x14ac:dyDescent="0.35">
      <c r="A1100" s="2">
        <v>46268</v>
      </c>
      <c r="B1100" s="1" t="s">
        <v>24</v>
      </c>
      <c r="C1100" s="1">
        <f>YEAR(Tabela14[[#This Row],[DATA]])</f>
        <v>2026</v>
      </c>
      <c r="D1100" s="1">
        <f>MONTH(Tabela14[[#This Row],[DATA]])</f>
        <v>9</v>
      </c>
    </row>
    <row r="1101" spans="1:4" x14ac:dyDescent="0.35">
      <c r="A1101" s="2">
        <v>46268</v>
      </c>
      <c r="B1101" s="1" t="s">
        <v>24</v>
      </c>
      <c r="C1101" s="1">
        <f>YEAR(Tabela14[[#This Row],[DATA]])</f>
        <v>2026</v>
      </c>
      <c r="D1101" s="1">
        <f>MONTH(Tabela14[[#This Row],[DATA]])</f>
        <v>9</v>
      </c>
    </row>
    <row r="1102" spans="1:4" x14ac:dyDescent="0.35">
      <c r="A1102" s="2">
        <v>46268</v>
      </c>
      <c r="B1102" s="1" t="s">
        <v>24</v>
      </c>
      <c r="C1102" s="1">
        <f>YEAR(Tabela14[[#This Row],[DATA]])</f>
        <v>2026</v>
      </c>
      <c r="D1102" s="1">
        <f>MONTH(Tabela14[[#This Row],[DATA]])</f>
        <v>9</v>
      </c>
    </row>
    <row r="1103" spans="1:4" x14ac:dyDescent="0.35">
      <c r="A1103" s="2">
        <v>46268</v>
      </c>
      <c r="B1103" s="1" t="s">
        <v>24</v>
      </c>
      <c r="C1103" s="1">
        <f>YEAR(Tabela14[[#This Row],[DATA]])</f>
        <v>2026</v>
      </c>
      <c r="D1103" s="1">
        <f>MONTH(Tabela14[[#This Row],[DATA]])</f>
        <v>9</v>
      </c>
    </row>
    <row r="1104" spans="1:4" x14ac:dyDescent="0.35">
      <c r="A1104" s="2">
        <v>46268</v>
      </c>
      <c r="B1104" s="1" t="s">
        <v>24</v>
      </c>
      <c r="C1104" s="1">
        <f>YEAR(Tabela14[[#This Row],[DATA]])</f>
        <v>2026</v>
      </c>
      <c r="D1104" s="1">
        <f>MONTH(Tabela14[[#This Row],[DATA]])</f>
        <v>9</v>
      </c>
    </row>
    <row r="1105" spans="1:4" x14ac:dyDescent="0.35">
      <c r="A1105" s="2">
        <v>46268</v>
      </c>
      <c r="B1105" s="1" t="s">
        <v>24</v>
      </c>
      <c r="C1105" s="1">
        <f>YEAR(Tabela14[[#This Row],[DATA]])</f>
        <v>2026</v>
      </c>
      <c r="D1105" s="1">
        <f>MONTH(Tabela14[[#This Row],[DATA]])</f>
        <v>9</v>
      </c>
    </row>
    <row r="1106" spans="1:4" x14ac:dyDescent="0.35">
      <c r="A1106" s="2">
        <v>46268</v>
      </c>
      <c r="B1106" s="1" t="s">
        <v>24</v>
      </c>
      <c r="C1106" s="1">
        <f>YEAR(Tabela14[[#This Row],[DATA]])</f>
        <v>2026</v>
      </c>
      <c r="D1106" s="1">
        <f>MONTH(Tabela14[[#This Row],[DATA]])</f>
        <v>9</v>
      </c>
    </row>
    <row r="1107" spans="1:4" x14ac:dyDescent="0.35">
      <c r="A1107" s="2">
        <v>46268</v>
      </c>
      <c r="B1107" s="1" t="s">
        <v>24</v>
      </c>
      <c r="C1107" s="1">
        <f>YEAR(Tabela14[[#This Row],[DATA]])</f>
        <v>2026</v>
      </c>
      <c r="D1107" s="1">
        <f>MONTH(Tabela14[[#This Row],[DATA]])</f>
        <v>9</v>
      </c>
    </row>
    <row r="1108" spans="1:4" x14ac:dyDescent="0.35">
      <c r="A1108" s="2">
        <v>46268</v>
      </c>
      <c r="B1108" s="1" t="s">
        <v>24</v>
      </c>
      <c r="C1108" s="1">
        <f>YEAR(Tabela14[[#This Row],[DATA]])</f>
        <v>2026</v>
      </c>
      <c r="D1108" s="1">
        <f>MONTH(Tabela14[[#This Row],[DATA]])</f>
        <v>9</v>
      </c>
    </row>
    <row r="1109" spans="1:4" x14ac:dyDescent="0.35">
      <c r="A1109" s="2">
        <v>46268</v>
      </c>
      <c r="B1109" s="1" t="s">
        <v>24</v>
      </c>
      <c r="C1109" s="1">
        <f>YEAR(Tabela14[[#This Row],[DATA]])</f>
        <v>2026</v>
      </c>
      <c r="D1109" s="1">
        <f>MONTH(Tabela14[[#This Row],[DATA]])</f>
        <v>9</v>
      </c>
    </row>
    <row r="1110" spans="1:4" x14ac:dyDescent="0.35">
      <c r="A1110" s="2">
        <v>46268</v>
      </c>
      <c r="B1110" s="1" t="s">
        <v>24</v>
      </c>
      <c r="C1110" s="1">
        <f>YEAR(Tabela14[[#This Row],[DATA]])</f>
        <v>2026</v>
      </c>
      <c r="D1110" s="1">
        <f>MONTH(Tabela14[[#This Row],[DATA]])</f>
        <v>9</v>
      </c>
    </row>
    <row r="1111" spans="1:4" x14ac:dyDescent="0.35">
      <c r="A1111" s="2">
        <v>46268</v>
      </c>
      <c r="B1111" s="1" t="s">
        <v>24</v>
      </c>
      <c r="C1111" s="1">
        <f>YEAR(Tabela14[[#This Row],[DATA]])</f>
        <v>2026</v>
      </c>
      <c r="D1111" s="1">
        <f>MONTH(Tabela14[[#This Row],[DATA]])</f>
        <v>9</v>
      </c>
    </row>
    <row r="1112" spans="1:4" x14ac:dyDescent="0.35">
      <c r="A1112" s="2">
        <v>46268</v>
      </c>
      <c r="B1112" s="1" t="s">
        <v>24</v>
      </c>
      <c r="C1112" s="1">
        <f>YEAR(Tabela14[[#This Row],[DATA]])</f>
        <v>2026</v>
      </c>
      <c r="D1112" s="1">
        <f>MONTH(Tabela14[[#This Row],[DATA]])</f>
        <v>9</v>
      </c>
    </row>
    <row r="1113" spans="1:4" x14ac:dyDescent="0.35">
      <c r="A1113" s="2">
        <v>46268</v>
      </c>
      <c r="B1113" s="1" t="s">
        <v>24</v>
      </c>
      <c r="C1113" s="1">
        <f>YEAR(Tabela14[[#This Row],[DATA]])</f>
        <v>2026</v>
      </c>
      <c r="D1113" s="1">
        <f>MONTH(Tabela14[[#This Row],[DATA]])</f>
        <v>9</v>
      </c>
    </row>
    <row r="1114" spans="1:4" x14ac:dyDescent="0.35">
      <c r="A1114" s="2">
        <v>46268</v>
      </c>
      <c r="B1114" s="1" t="s">
        <v>24</v>
      </c>
      <c r="C1114" s="1">
        <f>YEAR(Tabela14[[#This Row],[DATA]])</f>
        <v>2026</v>
      </c>
      <c r="D1114" s="1">
        <f>MONTH(Tabela14[[#This Row],[DATA]])</f>
        <v>9</v>
      </c>
    </row>
    <row r="1115" spans="1:4" x14ac:dyDescent="0.35">
      <c r="A1115" s="2">
        <v>46268</v>
      </c>
      <c r="B1115" s="1" t="s">
        <v>24</v>
      </c>
      <c r="C1115" s="1">
        <f>YEAR(Tabela14[[#This Row],[DATA]])</f>
        <v>2026</v>
      </c>
      <c r="D1115" s="1">
        <f>MONTH(Tabela14[[#This Row],[DATA]])</f>
        <v>9</v>
      </c>
    </row>
    <row r="1116" spans="1:4" x14ac:dyDescent="0.35">
      <c r="A1116" s="2">
        <v>46269</v>
      </c>
      <c r="B1116" s="1" t="s">
        <v>9</v>
      </c>
      <c r="C1116" s="1">
        <f>YEAR(Tabela14[[#This Row],[DATA]])</f>
        <v>2026</v>
      </c>
      <c r="D1116" s="1">
        <f>MONTH(Tabela14[[#This Row],[DATA]])</f>
        <v>9</v>
      </c>
    </row>
    <row r="1117" spans="1:4" x14ac:dyDescent="0.35">
      <c r="A1117" s="2">
        <v>46269</v>
      </c>
      <c r="B1117" s="1" t="s">
        <v>9</v>
      </c>
      <c r="C1117" s="1">
        <f>YEAR(Tabela14[[#This Row],[DATA]])</f>
        <v>2026</v>
      </c>
      <c r="D1117" s="1">
        <f>MONTH(Tabela14[[#This Row],[DATA]])</f>
        <v>9</v>
      </c>
    </row>
    <row r="1118" spans="1:4" x14ac:dyDescent="0.35">
      <c r="A1118" s="2">
        <v>46269</v>
      </c>
      <c r="B1118" s="1" t="s">
        <v>9</v>
      </c>
      <c r="C1118" s="1">
        <f>YEAR(Tabela14[[#This Row],[DATA]])</f>
        <v>2026</v>
      </c>
      <c r="D1118" s="1">
        <f>MONTH(Tabela14[[#This Row],[DATA]])</f>
        <v>9</v>
      </c>
    </row>
    <row r="1119" spans="1:4" x14ac:dyDescent="0.35">
      <c r="A1119" s="2">
        <v>46269</v>
      </c>
      <c r="B1119" s="1" t="s">
        <v>9</v>
      </c>
      <c r="C1119" s="1">
        <f>YEAR(Tabela14[[#This Row],[DATA]])</f>
        <v>2026</v>
      </c>
      <c r="D1119" s="1">
        <f>MONTH(Tabela14[[#This Row],[DATA]])</f>
        <v>9</v>
      </c>
    </row>
    <row r="1120" spans="1:4" x14ac:dyDescent="0.35">
      <c r="A1120" s="2">
        <v>46269</v>
      </c>
      <c r="B1120" s="1" t="s">
        <v>9</v>
      </c>
      <c r="C1120" s="1">
        <f>YEAR(Tabela14[[#This Row],[DATA]])</f>
        <v>2026</v>
      </c>
      <c r="D1120" s="1">
        <f>MONTH(Tabela14[[#This Row],[DATA]])</f>
        <v>9</v>
      </c>
    </row>
    <row r="1121" spans="1:4" x14ac:dyDescent="0.35">
      <c r="A1121" s="2">
        <v>46269</v>
      </c>
      <c r="B1121" s="1" t="s">
        <v>9</v>
      </c>
      <c r="C1121" s="1">
        <f>YEAR(Tabela14[[#This Row],[DATA]])</f>
        <v>2026</v>
      </c>
      <c r="D1121" s="1">
        <f>MONTH(Tabela14[[#This Row],[DATA]])</f>
        <v>9</v>
      </c>
    </row>
    <row r="1122" spans="1:4" x14ac:dyDescent="0.35">
      <c r="A1122" s="2">
        <v>46269</v>
      </c>
      <c r="B1122" s="1" t="s">
        <v>9</v>
      </c>
      <c r="C1122" s="1">
        <f>YEAR(Tabela14[[#This Row],[DATA]])</f>
        <v>2026</v>
      </c>
      <c r="D1122" s="1">
        <f>MONTH(Tabela14[[#This Row],[DATA]])</f>
        <v>9</v>
      </c>
    </row>
    <row r="1123" spans="1:4" x14ac:dyDescent="0.35">
      <c r="A1123" s="2">
        <v>46272</v>
      </c>
      <c r="B1123" s="1" t="s">
        <v>19</v>
      </c>
      <c r="C1123" s="1">
        <f>YEAR(Tabela14[[#This Row],[DATA]])</f>
        <v>2026</v>
      </c>
      <c r="D1123" s="1">
        <f>MONTH(Tabela14[[#This Row],[DATA]])</f>
        <v>9</v>
      </c>
    </row>
    <row r="1124" spans="1:4" x14ac:dyDescent="0.35">
      <c r="A1124" s="2">
        <v>46272</v>
      </c>
      <c r="B1124" s="1" t="s">
        <v>9</v>
      </c>
      <c r="C1124" s="1">
        <f>YEAR(Tabela14[[#This Row],[DATA]])</f>
        <v>2026</v>
      </c>
      <c r="D1124" s="1">
        <f>MONTH(Tabela14[[#This Row],[DATA]])</f>
        <v>9</v>
      </c>
    </row>
    <row r="1125" spans="1:4" x14ac:dyDescent="0.35">
      <c r="A1125" s="2">
        <v>46272</v>
      </c>
      <c r="B1125" s="1" t="s">
        <v>9</v>
      </c>
      <c r="C1125" s="1">
        <f>YEAR(Tabela14[[#This Row],[DATA]])</f>
        <v>2026</v>
      </c>
      <c r="D1125" s="1">
        <f>MONTH(Tabela14[[#This Row],[DATA]])</f>
        <v>9</v>
      </c>
    </row>
    <row r="1126" spans="1:4" x14ac:dyDescent="0.35">
      <c r="A1126" s="2">
        <v>46272</v>
      </c>
      <c r="B1126" s="1" t="s">
        <v>9</v>
      </c>
      <c r="C1126" s="1">
        <f>YEAR(Tabela14[[#This Row],[DATA]])</f>
        <v>2026</v>
      </c>
      <c r="D1126" s="1">
        <f>MONTH(Tabela14[[#This Row],[DATA]])</f>
        <v>9</v>
      </c>
    </row>
    <row r="1127" spans="1:4" x14ac:dyDescent="0.35">
      <c r="A1127" s="2">
        <v>46273</v>
      </c>
      <c r="B1127" s="1" t="s">
        <v>19</v>
      </c>
      <c r="C1127" s="1">
        <f>YEAR(Tabela14[[#This Row],[DATA]])</f>
        <v>2026</v>
      </c>
      <c r="D1127" s="1">
        <f>MONTH(Tabela14[[#This Row],[DATA]])</f>
        <v>9</v>
      </c>
    </row>
    <row r="1128" spans="1:4" x14ac:dyDescent="0.35">
      <c r="A1128" s="2">
        <v>46274</v>
      </c>
      <c r="B1128" s="1" t="s">
        <v>84</v>
      </c>
      <c r="C1128" s="1">
        <f>YEAR(Tabela14[[#This Row],[DATA]])</f>
        <v>2026</v>
      </c>
      <c r="D1128" s="1">
        <f>MONTH(Tabela14[[#This Row],[DATA]])</f>
        <v>9</v>
      </c>
    </row>
    <row r="1129" spans="1:4" x14ac:dyDescent="0.35">
      <c r="A1129" s="2">
        <v>46274</v>
      </c>
      <c r="B1129" s="1" t="s">
        <v>84</v>
      </c>
      <c r="C1129" s="1">
        <f>YEAR(Tabela14[[#This Row],[DATA]])</f>
        <v>2026</v>
      </c>
      <c r="D1129" s="1">
        <f>MONTH(Tabela14[[#This Row],[DATA]])</f>
        <v>9</v>
      </c>
    </row>
    <row r="1130" spans="1:4" x14ac:dyDescent="0.35">
      <c r="A1130" s="2">
        <v>46274</v>
      </c>
      <c r="B1130" s="1" t="s">
        <v>84</v>
      </c>
      <c r="C1130" s="1">
        <f>YEAR(Tabela14[[#This Row],[DATA]])</f>
        <v>2026</v>
      </c>
      <c r="D1130" s="1">
        <f>MONTH(Tabela14[[#This Row],[DATA]])</f>
        <v>9</v>
      </c>
    </row>
    <row r="1131" spans="1:4" x14ac:dyDescent="0.35">
      <c r="A1131" s="2">
        <v>46274</v>
      </c>
      <c r="B1131" s="1" t="s">
        <v>9</v>
      </c>
      <c r="C1131" s="1">
        <f>YEAR(Tabela14[[#This Row],[DATA]])</f>
        <v>2026</v>
      </c>
      <c r="D1131" s="1">
        <f>MONTH(Tabela14[[#This Row],[DATA]])</f>
        <v>9</v>
      </c>
    </row>
    <row r="1132" spans="1:4" x14ac:dyDescent="0.35">
      <c r="A1132" s="2">
        <v>46274</v>
      </c>
      <c r="B1132" s="1" t="s">
        <v>9</v>
      </c>
      <c r="C1132" s="1">
        <f>YEAR(Tabela14[[#This Row],[DATA]])</f>
        <v>2026</v>
      </c>
      <c r="D1132" s="1">
        <f>MONTH(Tabela14[[#This Row],[DATA]])</f>
        <v>9</v>
      </c>
    </row>
    <row r="1133" spans="1:4" x14ac:dyDescent="0.35">
      <c r="A1133" s="2">
        <v>46274</v>
      </c>
      <c r="B1133" s="1" t="s">
        <v>9</v>
      </c>
      <c r="C1133" s="1">
        <f>YEAR(Tabela14[[#This Row],[DATA]])</f>
        <v>2026</v>
      </c>
      <c r="D1133" s="1">
        <f>MONTH(Tabela14[[#This Row],[DATA]])</f>
        <v>9</v>
      </c>
    </row>
    <row r="1134" spans="1:4" x14ac:dyDescent="0.35">
      <c r="A1134" s="2">
        <v>46274</v>
      </c>
      <c r="B1134" s="1" t="s">
        <v>9</v>
      </c>
      <c r="C1134" s="1">
        <f>YEAR(Tabela14[[#This Row],[DATA]])</f>
        <v>2026</v>
      </c>
      <c r="D1134" s="1">
        <f>MONTH(Tabela14[[#This Row],[DATA]])</f>
        <v>9</v>
      </c>
    </row>
    <row r="1135" spans="1:4" x14ac:dyDescent="0.35">
      <c r="A1135" s="2">
        <v>46274</v>
      </c>
      <c r="B1135" s="1" t="s">
        <v>28</v>
      </c>
      <c r="C1135" s="1">
        <f>YEAR(Tabela14[[#This Row],[DATA]])</f>
        <v>2026</v>
      </c>
      <c r="D1135" s="1">
        <f>MONTH(Tabela14[[#This Row],[DATA]])</f>
        <v>9</v>
      </c>
    </row>
    <row r="1136" spans="1:4" x14ac:dyDescent="0.35">
      <c r="A1136" s="2">
        <v>46274</v>
      </c>
      <c r="B1136" s="1" t="s">
        <v>9</v>
      </c>
      <c r="C1136" s="1">
        <f>YEAR(Tabela14[[#This Row],[DATA]])</f>
        <v>2026</v>
      </c>
      <c r="D1136" s="1">
        <f>MONTH(Tabela14[[#This Row],[DATA]])</f>
        <v>9</v>
      </c>
    </row>
    <row r="1137" spans="1:4" x14ac:dyDescent="0.35">
      <c r="A1137" s="2">
        <v>46274</v>
      </c>
      <c r="B1137" s="1" t="s">
        <v>84</v>
      </c>
      <c r="C1137" s="1">
        <f>YEAR(Tabela14[[#This Row],[DATA]])</f>
        <v>2026</v>
      </c>
      <c r="D1137" s="1">
        <f>MONTH(Tabela14[[#This Row],[DATA]])</f>
        <v>9</v>
      </c>
    </row>
    <row r="1138" spans="1:4" x14ac:dyDescent="0.35">
      <c r="A1138" s="2">
        <v>46275</v>
      </c>
      <c r="B1138" s="1" t="s">
        <v>24</v>
      </c>
      <c r="C1138" s="1">
        <f>YEAR(Tabela14[[#This Row],[DATA]])</f>
        <v>2026</v>
      </c>
      <c r="D1138" s="1">
        <f>MONTH(Tabela14[[#This Row],[DATA]])</f>
        <v>9</v>
      </c>
    </row>
    <row r="1139" spans="1:4" x14ac:dyDescent="0.35">
      <c r="A1139" s="2">
        <v>46275</v>
      </c>
      <c r="B1139" s="1" t="s">
        <v>24</v>
      </c>
      <c r="C1139" s="1">
        <f>YEAR(Tabela14[[#This Row],[DATA]])</f>
        <v>2026</v>
      </c>
      <c r="D1139" s="1">
        <f>MONTH(Tabela14[[#This Row],[DATA]])</f>
        <v>9</v>
      </c>
    </row>
    <row r="1140" spans="1:4" x14ac:dyDescent="0.35">
      <c r="A1140" s="2">
        <v>46275</v>
      </c>
      <c r="B1140" s="1" t="s">
        <v>9</v>
      </c>
      <c r="C1140" s="1">
        <f>YEAR(Tabela14[[#This Row],[DATA]])</f>
        <v>2026</v>
      </c>
      <c r="D1140" s="1">
        <f>MONTH(Tabela14[[#This Row],[DATA]])</f>
        <v>9</v>
      </c>
    </row>
    <row r="1141" spans="1:4" x14ac:dyDescent="0.35">
      <c r="A1141" s="2">
        <v>46275</v>
      </c>
      <c r="B1141" s="1" t="s">
        <v>9</v>
      </c>
      <c r="C1141" s="1">
        <f>YEAR(Tabela14[[#This Row],[DATA]])</f>
        <v>2026</v>
      </c>
      <c r="D1141" s="1">
        <f>MONTH(Tabela14[[#This Row],[DATA]])</f>
        <v>9</v>
      </c>
    </row>
    <row r="1142" spans="1:4" x14ac:dyDescent="0.35">
      <c r="A1142" s="2">
        <v>46275</v>
      </c>
      <c r="B1142" s="1" t="s">
        <v>83</v>
      </c>
      <c r="C1142" s="1">
        <f>YEAR(Tabela14[[#This Row],[DATA]])</f>
        <v>2026</v>
      </c>
      <c r="D1142" s="1">
        <f>MONTH(Tabela14[[#This Row],[DATA]])</f>
        <v>9</v>
      </c>
    </row>
    <row r="1143" spans="1:4" x14ac:dyDescent="0.35">
      <c r="A1143" s="2">
        <v>46275</v>
      </c>
      <c r="B1143" s="1" t="s">
        <v>83</v>
      </c>
      <c r="C1143" s="1">
        <f>YEAR(Tabela14[[#This Row],[DATA]])</f>
        <v>2026</v>
      </c>
      <c r="D1143" s="1">
        <f>MONTH(Tabela14[[#This Row],[DATA]])</f>
        <v>9</v>
      </c>
    </row>
    <row r="1144" spans="1:4" x14ac:dyDescent="0.35">
      <c r="A1144" s="2">
        <v>46275</v>
      </c>
      <c r="B1144" s="1" t="s">
        <v>83</v>
      </c>
      <c r="C1144" s="1">
        <f>YEAR(Tabela14[[#This Row],[DATA]])</f>
        <v>2026</v>
      </c>
      <c r="D1144" s="1">
        <f>MONTH(Tabela14[[#This Row],[DATA]])</f>
        <v>9</v>
      </c>
    </row>
    <row r="1145" spans="1:4" x14ac:dyDescent="0.35">
      <c r="A1145" s="2">
        <v>46275</v>
      </c>
      <c r="B1145" s="1" t="s">
        <v>24</v>
      </c>
      <c r="C1145" s="1">
        <f>YEAR(Tabela14[[#This Row],[DATA]])</f>
        <v>2026</v>
      </c>
      <c r="D1145" s="1">
        <f>MONTH(Tabela14[[#This Row],[DATA]])</f>
        <v>9</v>
      </c>
    </row>
    <row r="1146" spans="1:4" x14ac:dyDescent="0.35">
      <c r="A1146" s="2">
        <v>46276</v>
      </c>
      <c r="B1146" s="1" t="s">
        <v>24</v>
      </c>
      <c r="C1146" s="1">
        <f>YEAR(Tabela14[[#This Row],[DATA]])</f>
        <v>2026</v>
      </c>
      <c r="D1146" s="1">
        <f>MONTH(Tabela14[[#This Row],[DATA]])</f>
        <v>9</v>
      </c>
    </row>
    <row r="1147" spans="1:4" x14ac:dyDescent="0.35">
      <c r="A1147" s="2">
        <v>46276</v>
      </c>
      <c r="B1147" s="1" t="s">
        <v>19</v>
      </c>
      <c r="C1147" s="1">
        <f>YEAR(Tabela14[[#This Row],[DATA]])</f>
        <v>2026</v>
      </c>
      <c r="D1147" s="1">
        <f>MONTH(Tabela14[[#This Row],[DATA]])</f>
        <v>9</v>
      </c>
    </row>
    <row r="1148" spans="1:4" x14ac:dyDescent="0.35">
      <c r="A1148" s="2">
        <v>46276</v>
      </c>
      <c r="B1148" s="1" t="s">
        <v>24</v>
      </c>
      <c r="C1148" s="1">
        <f>YEAR(Tabela14[[#This Row],[DATA]])</f>
        <v>2026</v>
      </c>
      <c r="D1148" s="1">
        <f>MONTH(Tabela14[[#This Row],[DATA]])</f>
        <v>9</v>
      </c>
    </row>
    <row r="1149" spans="1:4" x14ac:dyDescent="0.35">
      <c r="A1149" s="2">
        <v>46276</v>
      </c>
      <c r="B1149" s="1" t="s">
        <v>9</v>
      </c>
      <c r="C1149" s="1">
        <f>YEAR(Tabela14[[#This Row],[DATA]])</f>
        <v>2026</v>
      </c>
      <c r="D1149" s="1">
        <f>MONTH(Tabela14[[#This Row],[DATA]])</f>
        <v>9</v>
      </c>
    </row>
    <row r="1150" spans="1:4" x14ac:dyDescent="0.35">
      <c r="A1150" s="2">
        <v>46276</v>
      </c>
      <c r="B1150" s="1" t="s">
        <v>9</v>
      </c>
      <c r="C1150" s="1">
        <f>YEAR(Tabela14[[#This Row],[DATA]])</f>
        <v>2026</v>
      </c>
      <c r="D1150" s="1">
        <f>MONTH(Tabela14[[#This Row],[DATA]])</f>
        <v>9</v>
      </c>
    </row>
    <row r="1151" spans="1:4" x14ac:dyDescent="0.35">
      <c r="A1151" s="2">
        <v>46276</v>
      </c>
      <c r="B1151" s="1" t="s">
        <v>9</v>
      </c>
      <c r="C1151" s="1">
        <f>YEAR(Tabela14[[#This Row],[DATA]])</f>
        <v>2026</v>
      </c>
      <c r="D1151" s="1">
        <f>MONTH(Tabela14[[#This Row],[DATA]])</f>
        <v>9</v>
      </c>
    </row>
    <row r="1152" spans="1:4" x14ac:dyDescent="0.35">
      <c r="A1152" s="2">
        <v>46276</v>
      </c>
      <c r="B1152" s="1" t="s">
        <v>84</v>
      </c>
      <c r="C1152" s="1">
        <f>YEAR(Tabela14[[#This Row],[DATA]])</f>
        <v>2026</v>
      </c>
      <c r="D1152" s="1">
        <f>MONTH(Tabela14[[#This Row],[DATA]])</f>
        <v>9</v>
      </c>
    </row>
    <row r="1153" spans="1:4" x14ac:dyDescent="0.35">
      <c r="A1153" s="2">
        <v>46276</v>
      </c>
      <c r="B1153" s="1" t="s">
        <v>84</v>
      </c>
      <c r="C1153" s="1">
        <f>YEAR(Tabela14[[#This Row],[DATA]])</f>
        <v>2026</v>
      </c>
      <c r="D1153" s="1">
        <f>MONTH(Tabela14[[#This Row],[DATA]])</f>
        <v>9</v>
      </c>
    </row>
    <row r="1154" spans="1:4" x14ac:dyDescent="0.35">
      <c r="A1154" s="2">
        <v>46276</v>
      </c>
      <c r="B1154" s="1" t="s">
        <v>84</v>
      </c>
      <c r="C1154" s="1">
        <f>YEAR(Tabela14[[#This Row],[DATA]])</f>
        <v>2026</v>
      </c>
      <c r="D1154" s="1">
        <f>MONTH(Tabela14[[#This Row],[DATA]])</f>
        <v>9</v>
      </c>
    </row>
    <row r="1155" spans="1:4" x14ac:dyDescent="0.35">
      <c r="A1155" s="2">
        <v>46276</v>
      </c>
      <c r="B1155" s="1" t="s">
        <v>9</v>
      </c>
      <c r="C1155" s="1">
        <f>YEAR(Tabela14[[#This Row],[DATA]])</f>
        <v>2026</v>
      </c>
      <c r="D1155" s="1">
        <f>MONTH(Tabela14[[#This Row],[DATA]])</f>
        <v>9</v>
      </c>
    </row>
    <row r="1156" spans="1:4" x14ac:dyDescent="0.35">
      <c r="A1156" s="2">
        <v>46276</v>
      </c>
      <c r="B1156" s="1" t="s">
        <v>9</v>
      </c>
      <c r="C1156" s="1">
        <f>YEAR(Tabela14[[#This Row],[DATA]])</f>
        <v>2026</v>
      </c>
      <c r="D1156" s="1">
        <f>MONTH(Tabela14[[#This Row],[DATA]])</f>
        <v>9</v>
      </c>
    </row>
    <row r="1157" spans="1:4" x14ac:dyDescent="0.35">
      <c r="A1157" s="2">
        <v>46276</v>
      </c>
      <c r="B1157" s="1" t="s">
        <v>9</v>
      </c>
      <c r="C1157" s="1">
        <f>YEAR(Tabela14[[#This Row],[DATA]])</f>
        <v>2026</v>
      </c>
      <c r="D1157" s="1">
        <f>MONTH(Tabela14[[#This Row],[DATA]])</f>
        <v>9</v>
      </c>
    </row>
    <row r="1158" spans="1:4" x14ac:dyDescent="0.35">
      <c r="A1158" s="2">
        <v>46276</v>
      </c>
      <c r="B1158" s="1" t="s">
        <v>9</v>
      </c>
      <c r="C1158" s="1">
        <f>YEAR(Tabela14[[#This Row],[DATA]])</f>
        <v>2026</v>
      </c>
      <c r="D1158" s="1">
        <f>MONTH(Tabela14[[#This Row],[DATA]])</f>
        <v>9</v>
      </c>
    </row>
    <row r="1159" spans="1:4" x14ac:dyDescent="0.35">
      <c r="A1159" s="2">
        <v>46276</v>
      </c>
      <c r="B1159" s="1" t="s">
        <v>9</v>
      </c>
      <c r="C1159" s="1">
        <f>YEAR(Tabela14[[#This Row],[DATA]])</f>
        <v>2026</v>
      </c>
      <c r="D1159" s="1">
        <f>MONTH(Tabela14[[#This Row],[DATA]])</f>
        <v>9</v>
      </c>
    </row>
    <row r="1160" spans="1:4" x14ac:dyDescent="0.35">
      <c r="A1160" s="2">
        <v>46280</v>
      </c>
      <c r="B1160" s="1" t="s">
        <v>84</v>
      </c>
      <c r="C1160" s="1">
        <f>YEAR(Tabela14[[#This Row],[DATA]])</f>
        <v>2026</v>
      </c>
      <c r="D1160" s="1">
        <f>MONTH(Tabela14[[#This Row],[DATA]])</f>
        <v>9</v>
      </c>
    </row>
    <row r="1161" spans="1:4" x14ac:dyDescent="0.35">
      <c r="A1161" s="2">
        <v>46280</v>
      </c>
      <c r="B1161" s="1" t="s">
        <v>9</v>
      </c>
      <c r="C1161" s="1">
        <f>YEAR(Tabela14[[#This Row],[DATA]])</f>
        <v>2026</v>
      </c>
      <c r="D1161" s="1">
        <f>MONTH(Tabela14[[#This Row],[DATA]])</f>
        <v>9</v>
      </c>
    </row>
    <row r="1162" spans="1:4" x14ac:dyDescent="0.35">
      <c r="A1162" s="2">
        <v>46280</v>
      </c>
      <c r="B1162" s="1" t="s">
        <v>9</v>
      </c>
      <c r="C1162" s="1">
        <f>YEAR(Tabela14[[#This Row],[DATA]])</f>
        <v>2026</v>
      </c>
      <c r="D1162" s="1">
        <f>MONTH(Tabela14[[#This Row],[DATA]])</f>
        <v>9</v>
      </c>
    </row>
    <row r="1163" spans="1:4" x14ac:dyDescent="0.35">
      <c r="A1163" s="2">
        <v>46280</v>
      </c>
      <c r="B1163" s="1" t="s">
        <v>9</v>
      </c>
      <c r="C1163" s="1">
        <f>YEAR(Tabela14[[#This Row],[DATA]])</f>
        <v>2026</v>
      </c>
      <c r="D1163" s="1">
        <f>MONTH(Tabela14[[#This Row],[DATA]])</f>
        <v>9</v>
      </c>
    </row>
    <row r="1164" spans="1:4" x14ac:dyDescent="0.35">
      <c r="A1164" s="2">
        <v>46280</v>
      </c>
      <c r="B1164" s="1" t="s">
        <v>9</v>
      </c>
      <c r="C1164" s="1">
        <f>YEAR(Tabela14[[#This Row],[DATA]])</f>
        <v>2026</v>
      </c>
      <c r="D1164" s="1">
        <f>MONTH(Tabela14[[#This Row],[DATA]])</f>
        <v>9</v>
      </c>
    </row>
    <row r="1165" spans="1:4" x14ac:dyDescent="0.35">
      <c r="A1165" s="2">
        <v>46280</v>
      </c>
      <c r="B1165" s="1" t="s">
        <v>19</v>
      </c>
      <c r="C1165" s="1">
        <f>YEAR(Tabela14[[#This Row],[DATA]])</f>
        <v>2026</v>
      </c>
      <c r="D1165" s="1">
        <f>MONTH(Tabela14[[#This Row],[DATA]])</f>
        <v>9</v>
      </c>
    </row>
    <row r="1166" spans="1:4" x14ac:dyDescent="0.35">
      <c r="A1166" s="2">
        <v>46280</v>
      </c>
      <c r="B1166" s="1" t="s">
        <v>19</v>
      </c>
      <c r="C1166" s="1">
        <f>YEAR(Tabela14[[#This Row],[DATA]])</f>
        <v>2026</v>
      </c>
      <c r="D1166" s="1">
        <f>MONTH(Tabela14[[#This Row],[DATA]])</f>
        <v>9</v>
      </c>
    </row>
    <row r="1167" spans="1:4" x14ac:dyDescent="0.35">
      <c r="A1167" s="2">
        <v>46280</v>
      </c>
      <c r="B1167" s="1" t="s">
        <v>19</v>
      </c>
      <c r="C1167" s="1">
        <f>YEAR(Tabela14[[#This Row],[DATA]])</f>
        <v>2026</v>
      </c>
      <c r="D1167" s="1">
        <f>MONTH(Tabela14[[#This Row],[DATA]])</f>
        <v>9</v>
      </c>
    </row>
    <row r="1168" spans="1:4" x14ac:dyDescent="0.35">
      <c r="A1168" s="2">
        <v>46280</v>
      </c>
      <c r="B1168" s="1" t="s">
        <v>19</v>
      </c>
      <c r="C1168" s="1">
        <f>YEAR(Tabela14[[#This Row],[DATA]])</f>
        <v>2026</v>
      </c>
      <c r="D1168" s="1">
        <f>MONTH(Tabela14[[#This Row],[DATA]])</f>
        <v>9</v>
      </c>
    </row>
    <row r="1169" spans="1:4" x14ac:dyDescent="0.35">
      <c r="A1169" s="2">
        <v>46281</v>
      </c>
      <c r="B1169" s="1" t="s">
        <v>84</v>
      </c>
      <c r="C1169" s="1">
        <f>YEAR(Tabela14[[#This Row],[DATA]])</f>
        <v>2026</v>
      </c>
      <c r="D1169" s="1">
        <f>MONTH(Tabela14[[#This Row],[DATA]])</f>
        <v>9</v>
      </c>
    </row>
    <row r="1170" spans="1:4" x14ac:dyDescent="0.35">
      <c r="A1170" s="2">
        <v>46281</v>
      </c>
      <c r="B1170" s="1" t="s">
        <v>84</v>
      </c>
      <c r="C1170" s="1">
        <f>YEAR(Tabela14[[#This Row],[DATA]])</f>
        <v>2026</v>
      </c>
      <c r="D1170" s="1">
        <f>MONTH(Tabela14[[#This Row],[DATA]])</f>
        <v>9</v>
      </c>
    </row>
    <row r="1171" spans="1:4" x14ac:dyDescent="0.35">
      <c r="A1171" s="2">
        <v>46281</v>
      </c>
      <c r="B1171" s="1" t="s">
        <v>83</v>
      </c>
      <c r="C1171" s="1">
        <f>YEAR(Tabela14[[#This Row],[DATA]])</f>
        <v>2026</v>
      </c>
      <c r="D1171" s="1">
        <f>MONTH(Tabela14[[#This Row],[DATA]])</f>
        <v>9</v>
      </c>
    </row>
    <row r="1172" spans="1:4" x14ac:dyDescent="0.35">
      <c r="A1172" s="2">
        <v>46281</v>
      </c>
      <c r="B1172" s="1" t="s">
        <v>9</v>
      </c>
      <c r="C1172" s="1">
        <f>YEAR(Tabela14[[#This Row],[DATA]])</f>
        <v>2026</v>
      </c>
      <c r="D1172" s="1">
        <f>MONTH(Tabela14[[#This Row],[DATA]])</f>
        <v>9</v>
      </c>
    </row>
    <row r="1173" spans="1:4" x14ac:dyDescent="0.35">
      <c r="A1173" s="2">
        <v>46281</v>
      </c>
      <c r="B1173" s="1" t="s">
        <v>83</v>
      </c>
      <c r="C1173" s="1">
        <f>YEAR(Tabela14[[#This Row],[DATA]])</f>
        <v>2026</v>
      </c>
      <c r="D1173" s="1">
        <f>MONTH(Tabela14[[#This Row],[DATA]])</f>
        <v>9</v>
      </c>
    </row>
    <row r="1174" spans="1:4" x14ac:dyDescent="0.35">
      <c r="A1174" s="2">
        <v>46281</v>
      </c>
      <c r="B1174" s="1" t="s">
        <v>83</v>
      </c>
      <c r="C1174" s="1">
        <f>YEAR(Tabela14[[#This Row],[DATA]])</f>
        <v>2026</v>
      </c>
      <c r="D1174" s="1">
        <f>MONTH(Tabela14[[#This Row],[DATA]])</f>
        <v>9</v>
      </c>
    </row>
    <row r="1175" spans="1:4" x14ac:dyDescent="0.35">
      <c r="A1175" s="2">
        <v>46281</v>
      </c>
      <c r="B1175" s="1" t="s">
        <v>9</v>
      </c>
      <c r="C1175" s="1">
        <f>YEAR(Tabela14[[#This Row],[DATA]])</f>
        <v>2026</v>
      </c>
      <c r="D1175" s="1">
        <f>MONTH(Tabela14[[#This Row],[DATA]])</f>
        <v>9</v>
      </c>
    </row>
    <row r="1176" spans="1:4" x14ac:dyDescent="0.35">
      <c r="A1176" s="2">
        <v>46281</v>
      </c>
      <c r="B1176" s="1" t="s">
        <v>9</v>
      </c>
      <c r="C1176" s="1">
        <f>YEAR(Tabela14[[#This Row],[DATA]])</f>
        <v>2026</v>
      </c>
      <c r="D1176" s="1">
        <f>MONTH(Tabela14[[#This Row],[DATA]])</f>
        <v>9</v>
      </c>
    </row>
    <row r="1177" spans="1:4" x14ac:dyDescent="0.35">
      <c r="A1177" s="2">
        <v>46281</v>
      </c>
      <c r="B1177" s="1" t="s">
        <v>84</v>
      </c>
      <c r="C1177" s="1">
        <f>YEAR(Tabela14[[#This Row],[DATA]])</f>
        <v>2026</v>
      </c>
      <c r="D1177" s="1">
        <f>MONTH(Tabela14[[#This Row],[DATA]])</f>
        <v>9</v>
      </c>
    </row>
    <row r="1178" spans="1:4" x14ac:dyDescent="0.35">
      <c r="A1178" s="2">
        <v>46281</v>
      </c>
      <c r="B1178" s="1" t="s">
        <v>19</v>
      </c>
      <c r="C1178" s="1">
        <f>YEAR(Tabela14[[#This Row],[DATA]])</f>
        <v>2026</v>
      </c>
      <c r="D1178" s="1">
        <f>MONTH(Tabela14[[#This Row],[DATA]])</f>
        <v>9</v>
      </c>
    </row>
    <row r="1179" spans="1:4" x14ac:dyDescent="0.35">
      <c r="A1179" s="2">
        <v>46281</v>
      </c>
      <c r="B1179" s="1" t="s">
        <v>19</v>
      </c>
      <c r="C1179" s="1">
        <f>YEAR(Tabela14[[#This Row],[DATA]])</f>
        <v>2026</v>
      </c>
      <c r="D1179" s="1">
        <f>MONTH(Tabela14[[#This Row],[DATA]])</f>
        <v>9</v>
      </c>
    </row>
    <row r="1180" spans="1:4" x14ac:dyDescent="0.35">
      <c r="A1180" s="2">
        <v>46281</v>
      </c>
      <c r="B1180" s="1" t="s">
        <v>19</v>
      </c>
      <c r="C1180" s="1">
        <f>YEAR(Tabela14[[#This Row],[DATA]])</f>
        <v>2026</v>
      </c>
      <c r="D1180" s="1">
        <f>MONTH(Tabela14[[#This Row],[DATA]])</f>
        <v>9</v>
      </c>
    </row>
    <row r="1181" spans="1:4" x14ac:dyDescent="0.35">
      <c r="A1181" s="2">
        <v>46281</v>
      </c>
      <c r="B1181" s="1" t="s">
        <v>83</v>
      </c>
      <c r="C1181" s="1">
        <f>YEAR(Tabela14[[#This Row],[DATA]])</f>
        <v>2026</v>
      </c>
      <c r="D1181" s="1">
        <f>MONTH(Tabela14[[#This Row],[DATA]])</f>
        <v>9</v>
      </c>
    </row>
    <row r="1182" spans="1:4" x14ac:dyDescent="0.35">
      <c r="A1182" s="2">
        <v>46281</v>
      </c>
      <c r="B1182" s="1" t="s">
        <v>84</v>
      </c>
      <c r="C1182" s="1">
        <f>YEAR(Tabela14[[#This Row],[DATA]])</f>
        <v>2026</v>
      </c>
      <c r="D1182" s="1">
        <f>MONTH(Tabela14[[#This Row],[DATA]])</f>
        <v>9</v>
      </c>
    </row>
    <row r="1183" spans="1:4" x14ac:dyDescent="0.35">
      <c r="A1183" s="2">
        <v>46281</v>
      </c>
      <c r="B1183" s="1" t="s">
        <v>84</v>
      </c>
      <c r="C1183" s="1">
        <f>YEAR(Tabela14[[#This Row],[DATA]])</f>
        <v>2026</v>
      </c>
      <c r="D1183" s="1">
        <f>MONTH(Tabela14[[#This Row],[DATA]])</f>
        <v>9</v>
      </c>
    </row>
    <row r="1184" spans="1:4" x14ac:dyDescent="0.35">
      <c r="A1184" s="2">
        <v>46281</v>
      </c>
      <c r="B1184" s="1" t="s">
        <v>84</v>
      </c>
      <c r="C1184" s="1">
        <f>YEAR(Tabela14[[#This Row],[DATA]])</f>
        <v>2026</v>
      </c>
      <c r="D1184" s="1">
        <f>MONTH(Tabela14[[#This Row],[DATA]])</f>
        <v>9</v>
      </c>
    </row>
    <row r="1185" spans="1:4" x14ac:dyDescent="0.35">
      <c r="A1185" s="2">
        <v>46281</v>
      </c>
      <c r="B1185" s="1" t="s">
        <v>19</v>
      </c>
      <c r="C1185" s="1">
        <f>YEAR(Tabela14[[#This Row],[DATA]])</f>
        <v>2026</v>
      </c>
      <c r="D1185" s="1">
        <f>MONTH(Tabela14[[#This Row],[DATA]])</f>
        <v>9</v>
      </c>
    </row>
    <row r="1186" spans="1:4" x14ac:dyDescent="0.35">
      <c r="A1186" s="2">
        <v>46282</v>
      </c>
      <c r="B1186" s="1" t="s">
        <v>19</v>
      </c>
      <c r="C1186" s="1">
        <f>YEAR(Tabela14[[#This Row],[DATA]])</f>
        <v>2026</v>
      </c>
      <c r="D1186" s="1">
        <f>MONTH(Tabela14[[#This Row],[DATA]])</f>
        <v>9</v>
      </c>
    </row>
    <row r="1187" spans="1:4" x14ac:dyDescent="0.35">
      <c r="A1187" s="2">
        <v>46282</v>
      </c>
      <c r="B1187" s="1" t="s">
        <v>19</v>
      </c>
      <c r="C1187" s="1">
        <f>YEAR(Tabela14[[#This Row],[DATA]])</f>
        <v>2026</v>
      </c>
      <c r="D1187" s="1">
        <f>MONTH(Tabela14[[#This Row],[DATA]])</f>
        <v>9</v>
      </c>
    </row>
    <row r="1188" spans="1:4" x14ac:dyDescent="0.35">
      <c r="A1188" s="2">
        <v>46282</v>
      </c>
      <c r="B1188" s="1" t="s">
        <v>9</v>
      </c>
      <c r="C1188" s="1">
        <f>YEAR(Tabela14[[#This Row],[DATA]])</f>
        <v>2026</v>
      </c>
      <c r="D1188" s="1">
        <f>MONTH(Tabela14[[#This Row],[DATA]])</f>
        <v>9</v>
      </c>
    </row>
    <row r="1189" spans="1:4" x14ac:dyDescent="0.35">
      <c r="A1189" s="2">
        <v>46282</v>
      </c>
      <c r="B1189" s="1" t="s">
        <v>9</v>
      </c>
      <c r="C1189" s="1">
        <f>YEAR(Tabela14[[#This Row],[DATA]])</f>
        <v>2026</v>
      </c>
      <c r="D1189" s="1">
        <f>MONTH(Tabela14[[#This Row],[DATA]])</f>
        <v>9</v>
      </c>
    </row>
    <row r="1190" spans="1:4" x14ac:dyDescent="0.35">
      <c r="A1190" s="2">
        <v>46282</v>
      </c>
      <c r="B1190" s="1" t="s">
        <v>9</v>
      </c>
      <c r="C1190" s="1">
        <f>YEAR(Tabela14[[#This Row],[DATA]])</f>
        <v>2026</v>
      </c>
      <c r="D1190" s="1">
        <f>MONTH(Tabela14[[#This Row],[DATA]])</f>
        <v>9</v>
      </c>
    </row>
    <row r="1191" spans="1:4" x14ac:dyDescent="0.35">
      <c r="A1191" s="2">
        <v>46282</v>
      </c>
      <c r="B1191" s="1" t="s">
        <v>9</v>
      </c>
      <c r="C1191" s="1">
        <f>YEAR(Tabela14[[#This Row],[DATA]])</f>
        <v>2026</v>
      </c>
      <c r="D1191" s="1">
        <f>MONTH(Tabela14[[#This Row],[DATA]])</f>
        <v>9</v>
      </c>
    </row>
    <row r="1192" spans="1:4" x14ac:dyDescent="0.35">
      <c r="A1192" s="2">
        <v>46282</v>
      </c>
      <c r="B1192" s="1" t="s">
        <v>83</v>
      </c>
      <c r="C1192" s="1">
        <f>YEAR(Tabela14[[#This Row],[DATA]])</f>
        <v>2026</v>
      </c>
      <c r="D1192" s="1">
        <f>MONTH(Tabela14[[#This Row],[DATA]])</f>
        <v>9</v>
      </c>
    </row>
    <row r="1193" spans="1:4" x14ac:dyDescent="0.35">
      <c r="A1193" s="2">
        <v>46282</v>
      </c>
      <c r="B1193" s="1" t="s">
        <v>83</v>
      </c>
      <c r="C1193" s="1">
        <f>YEAR(Tabela14[[#This Row],[DATA]])</f>
        <v>2026</v>
      </c>
      <c r="D1193" s="1">
        <f>MONTH(Tabela14[[#This Row],[DATA]])</f>
        <v>9</v>
      </c>
    </row>
    <row r="1194" spans="1:4" x14ac:dyDescent="0.35">
      <c r="A1194" s="2">
        <v>46282</v>
      </c>
      <c r="B1194" s="1" t="s">
        <v>83</v>
      </c>
      <c r="C1194" s="1">
        <f>YEAR(Tabela14[[#This Row],[DATA]])</f>
        <v>2026</v>
      </c>
      <c r="D1194" s="1">
        <f>MONTH(Tabela14[[#This Row],[DATA]])</f>
        <v>9</v>
      </c>
    </row>
    <row r="1195" spans="1:4" x14ac:dyDescent="0.35">
      <c r="A1195" s="2">
        <v>46282</v>
      </c>
      <c r="B1195" s="1" t="s">
        <v>83</v>
      </c>
      <c r="C1195" s="1">
        <f>YEAR(Tabela14[[#This Row],[DATA]])</f>
        <v>2026</v>
      </c>
      <c r="D1195" s="1">
        <f>MONTH(Tabela14[[#This Row],[DATA]])</f>
        <v>9</v>
      </c>
    </row>
    <row r="1196" spans="1:4" x14ac:dyDescent="0.35">
      <c r="A1196" s="2">
        <v>46282</v>
      </c>
      <c r="B1196" s="1" t="s">
        <v>83</v>
      </c>
      <c r="C1196" s="1">
        <f>YEAR(Tabela14[[#This Row],[DATA]])</f>
        <v>2026</v>
      </c>
      <c r="D1196" s="1">
        <f>MONTH(Tabela14[[#This Row],[DATA]])</f>
        <v>9</v>
      </c>
    </row>
    <row r="1197" spans="1:4" x14ac:dyDescent="0.35">
      <c r="A1197" s="2">
        <v>46282</v>
      </c>
      <c r="B1197" s="1" t="s">
        <v>19</v>
      </c>
      <c r="C1197" s="1">
        <f>YEAR(Tabela14[[#This Row],[DATA]])</f>
        <v>2026</v>
      </c>
      <c r="D1197" s="1">
        <f>MONTH(Tabela14[[#This Row],[DATA]])</f>
        <v>9</v>
      </c>
    </row>
    <row r="1198" spans="1:4" x14ac:dyDescent="0.35">
      <c r="A1198" s="2">
        <v>46282</v>
      </c>
      <c r="B1198" s="1" t="s">
        <v>83</v>
      </c>
      <c r="C1198" s="1">
        <f>YEAR(Tabela14[[#This Row],[DATA]])</f>
        <v>2026</v>
      </c>
      <c r="D1198" s="1">
        <f>MONTH(Tabela14[[#This Row],[DATA]])</f>
        <v>9</v>
      </c>
    </row>
    <row r="1199" spans="1:4" x14ac:dyDescent="0.35">
      <c r="A1199" s="2">
        <v>46283</v>
      </c>
      <c r="B1199" s="1" t="s">
        <v>84</v>
      </c>
      <c r="C1199" s="1">
        <f>YEAR(Tabela14[[#This Row],[DATA]])</f>
        <v>2026</v>
      </c>
      <c r="D1199" s="1">
        <f>MONTH(Tabela14[[#This Row],[DATA]])</f>
        <v>9</v>
      </c>
    </row>
    <row r="1200" spans="1:4" x14ac:dyDescent="0.35">
      <c r="A1200" s="2">
        <v>46283</v>
      </c>
      <c r="B1200" s="1" t="s">
        <v>84</v>
      </c>
      <c r="C1200" s="1">
        <f>YEAR(Tabela14[[#This Row],[DATA]])</f>
        <v>2026</v>
      </c>
      <c r="D1200" s="1">
        <f>MONTH(Tabela14[[#This Row],[DATA]])</f>
        <v>9</v>
      </c>
    </row>
    <row r="1201" spans="1:4" x14ac:dyDescent="0.35">
      <c r="A1201" s="2">
        <v>46283</v>
      </c>
      <c r="B1201" s="1" t="s">
        <v>84</v>
      </c>
      <c r="C1201" s="1">
        <f>YEAR(Tabela14[[#This Row],[DATA]])</f>
        <v>2026</v>
      </c>
      <c r="D1201" s="1">
        <f>MONTH(Tabela14[[#This Row],[DATA]])</f>
        <v>9</v>
      </c>
    </row>
    <row r="1202" spans="1:4" x14ac:dyDescent="0.35">
      <c r="A1202" s="2">
        <v>46283</v>
      </c>
      <c r="B1202" s="1" t="s">
        <v>84</v>
      </c>
      <c r="C1202" s="1">
        <f>YEAR(Tabela14[[#This Row],[DATA]])</f>
        <v>2026</v>
      </c>
      <c r="D1202" s="1">
        <f>MONTH(Tabela14[[#This Row],[DATA]])</f>
        <v>9</v>
      </c>
    </row>
    <row r="1203" spans="1:4" x14ac:dyDescent="0.35">
      <c r="A1203" s="2">
        <v>46283</v>
      </c>
      <c r="B1203" s="1" t="s">
        <v>84</v>
      </c>
      <c r="C1203" s="1">
        <f>YEAR(Tabela14[[#This Row],[DATA]])</f>
        <v>2026</v>
      </c>
      <c r="D1203" s="1">
        <f>MONTH(Tabela14[[#This Row],[DATA]])</f>
        <v>9</v>
      </c>
    </row>
    <row r="1204" spans="1:4" x14ac:dyDescent="0.35">
      <c r="A1204" s="2">
        <v>46283</v>
      </c>
      <c r="B1204" s="1" t="s">
        <v>84</v>
      </c>
      <c r="C1204" s="1">
        <f>YEAR(Tabela14[[#This Row],[DATA]])</f>
        <v>2026</v>
      </c>
      <c r="D1204" s="1">
        <f>MONTH(Tabela14[[#This Row],[DATA]])</f>
        <v>9</v>
      </c>
    </row>
    <row r="1205" spans="1:4" x14ac:dyDescent="0.35">
      <c r="A1205" s="2">
        <v>46283</v>
      </c>
      <c r="B1205" s="1" t="s">
        <v>84</v>
      </c>
      <c r="C1205" s="1">
        <f>YEAR(Tabela14[[#This Row],[DATA]])</f>
        <v>2026</v>
      </c>
      <c r="D1205" s="1">
        <f>MONTH(Tabela14[[#This Row],[DATA]])</f>
        <v>9</v>
      </c>
    </row>
    <row r="1206" spans="1:4" x14ac:dyDescent="0.35">
      <c r="A1206" s="2">
        <v>46283</v>
      </c>
      <c r="B1206" s="1" t="s">
        <v>84</v>
      </c>
      <c r="C1206" s="1">
        <f>YEAR(Tabela14[[#This Row],[DATA]])</f>
        <v>2026</v>
      </c>
      <c r="D1206" s="1">
        <f>MONTH(Tabela14[[#This Row],[DATA]])</f>
        <v>9</v>
      </c>
    </row>
    <row r="1207" spans="1:4" x14ac:dyDescent="0.35">
      <c r="A1207" s="2">
        <v>46283</v>
      </c>
      <c r="B1207" s="1" t="s">
        <v>19</v>
      </c>
      <c r="C1207" s="1">
        <f>YEAR(Tabela14[[#This Row],[DATA]])</f>
        <v>2026</v>
      </c>
      <c r="D1207" s="1">
        <f>MONTH(Tabela14[[#This Row],[DATA]])</f>
        <v>9</v>
      </c>
    </row>
    <row r="1208" spans="1:4" x14ac:dyDescent="0.35">
      <c r="A1208" s="2">
        <v>46283</v>
      </c>
      <c r="B1208" s="1" t="s">
        <v>19</v>
      </c>
      <c r="C1208" s="1">
        <f>YEAR(Tabela14[[#This Row],[DATA]])</f>
        <v>2026</v>
      </c>
      <c r="D1208" s="1">
        <f>MONTH(Tabela14[[#This Row],[DATA]])</f>
        <v>9</v>
      </c>
    </row>
    <row r="1209" spans="1:4" x14ac:dyDescent="0.35">
      <c r="A1209" s="2">
        <v>46283</v>
      </c>
      <c r="B1209" s="1" t="s">
        <v>19</v>
      </c>
      <c r="C1209" s="1">
        <f>YEAR(Tabela14[[#This Row],[DATA]])</f>
        <v>2026</v>
      </c>
      <c r="D1209" s="1">
        <f>MONTH(Tabela14[[#This Row],[DATA]])</f>
        <v>9</v>
      </c>
    </row>
    <row r="1210" spans="1:4" x14ac:dyDescent="0.35">
      <c r="A1210" s="2">
        <v>46283</v>
      </c>
      <c r="B1210" s="1" t="s">
        <v>19</v>
      </c>
      <c r="C1210" s="1">
        <f>YEAR(Tabela14[[#This Row],[DATA]])</f>
        <v>2026</v>
      </c>
      <c r="D1210" s="1">
        <f>MONTH(Tabela14[[#This Row],[DATA]])</f>
        <v>9</v>
      </c>
    </row>
    <row r="1211" spans="1:4" x14ac:dyDescent="0.35">
      <c r="A1211" s="2">
        <v>46286</v>
      </c>
      <c r="B1211" s="1" t="s">
        <v>19</v>
      </c>
      <c r="C1211" s="1">
        <f>YEAR(Tabela14[[#This Row],[DATA]])</f>
        <v>2026</v>
      </c>
      <c r="D1211" s="1">
        <f>MONTH(Tabela14[[#This Row],[DATA]])</f>
        <v>9</v>
      </c>
    </row>
    <row r="1212" spans="1:4" x14ac:dyDescent="0.35">
      <c r="A1212" s="2">
        <v>46286</v>
      </c>
      <c r="B1212" s="1" t="s">
        <v>84</v>
      </c>
      <c r="C1212" s="1">
        <f>YEAR(Tabela14[[#This Row],[DATA]])</f>
        <v>2026</v>
      </c>
      <c r="D1212" s="1">
        <f>MONTH(Tabela14[[#This Row],[DATA]])</f>
        <v>9</v>
      </c>
    </row>
    <row r="1213" spans="1:4" x14ac:dyDescent="0.35">
      <c r="A1213" s="2">
        <v>46286</v>
      </c>
      <c r="B1213" s="1" t="s">
        <v>19</v>
      </c>
      <c r="C1213" s="1">
        <f>YEAR(Tabela14[[#This Row],[DATA]])</f>
        <v>2026</v>
      </c>
      <c r="D1213" s="1">
        <f>MONTH(Tabela14[[#This Row],[DATA]])</f>
        <v>9</v>
      </c>
    </row>
    <row r="1214" spans="1:4" x14ac:dyDescent="0.35">
      <c r="A1214" s="2">
        <v>46286</v>
      </c>
      <c r="B1214" s="1" t="s">
        <v>19</v>
      </c>
      <c r="C1214" s="1">
        <f>YEAR(Tabela14[[#This Row],[DATA]])</f>
        <v>2026</v>
      </c>
      <c r="D1214" s="1">
        <f>MONTH(Tabela14[[#This Row],[DATA]])</f>
        <v>9</v>
      </c>
    </row>
    <row r="1215" spans="1:4" x14ac:dyDescent="0.35">
      <c r="A1215" s="2">
        <v>46286</v>
      </c>
      <c r="B1215" s="1" t="s">
        <v>19</v>
      </c>
      <c r="C1215" s="1">
        <f>YEAR(Tabela14[[#This Row],[DATA]])</f>
        <v>2026</v>
      </c>
      <c r="D1215" s="1">
        <f>MONTH(Tabela14[[#This Row],[DATA]])</f>
        <v>9</v>
      </c>
    </row>
    <row r="1216" spans="1:4" x14ac:dyDescent="0.35">
      <c r="A1216" s="2">
        <v>46286</v>
      </c>
      <c r="B1216" s="1" t="s">
        <v>9</v>
      </c>
      <c r="C1216" s="1">
        <f>YEAR(Tabela14[[#This Row],[DATA]])</f>
        <v>2026</v>
      </c>
      <c r="D1216" s="1">
        <f>MONTH(Tabela14[[#This Row],[DATA]])</f>
        <v>9</v>
      </c>
    </row>
    <row r="1217" spans="1:4" x14ac:dyDescent="0.35">
      <c r="A1217" s="2">
        <v>46286</v>
      </c>
      <c r="B1217" s="1" t="s">
        <v>9</v>
      </c>
      <c r="C1217" s="1">
        <f>YEAR(Tabela14[[#This Row],[DATA]])</f>
        <v>2026</v>
      </c>
      <c r="D1217" s="1">
        <f>MONTH(Tabela14[[#This Row],[DATA]])</f>
        <v>9</v>
      </c>
    </row>
    <row r="1218" spans="1:4" x14ac:dyDescent="0.35">
      <c r="A1218" s="2">
        <v>46287</v>
      </c>
      <c r="B1218" s="1" t="s">
        <v>19</v>
      </c>
      <c r="C1218" s="1">
        <f>YEAR(Tabela14[[#This Row],[DATA]])</f>
        <v>2026</v>
      </c>
      <c r="D1218" s="1">
        <f>MONTH(Tabela14[[#This Row],[DATA]])</f>
        <v>9</v>
      </c>
    </row>
    <row r="1219" spans="1:4" x14ac:dyDescent="0.35">
      <c r="A1219" s="2">
        <v>46287</v>
      </c>
      <c r="B1219" s="1" t="s">
        <v>19</v>
      </c>
      <c r="C1219" s="1">
        <f>YEAR(Tabela14[[#This Row],[DATA]])</f>
        <v>2026</v>
      </c>
      <c r="D1219" s="1">
        <f>MONTH(Tabela14[[#This Row],[DATA]])</f>
        <v>9</v>
      </c>
    </row>
    <row r="1220" spans="1:4" x14ac:dyDescent="0.35">
      <c r="A1220" s="2">
        <v>46287</v>
      </c>
      <c r="B1220" s="1" t="s">
        <v>9</v>
      </c>
      <c r="C1220" s="1">
        <f>YEAR(Tabela14[[#This Row],[DATA]])</f>
        <v>2026</v>
      </c>
      <c r="D1220" s="1">
        <f>MONTH(Tabela14[[#This Row],[DATA]])</f>
        <v>9</v>
      </c>
    </row>
    <row r="1221" spans="1:4" x14ac:dyDescent="0.35">
      <c r="A1221" s="2">
        <v>46287</v>
      </c>
      <c r="B1221" s="1" t="s">
        <v>9</v>
      </c>
      <c r="C1221" s="1">
        <f>YEAR(Tabela14[[#This Row],[DATA]])</f>
        <v>2026</v>
      </c>
      <c r="D1221" s="1">
        <f>MONTH(Tabela14[[#This Row],[DATA]])</f>
        <v>9</v>
      </c>
    </row>
    <row r="1222" spans="1:4" x14ac:dyDescent="0.35">
      <c r="A1222" s="2">
        <v>46287</v>
      </c>
      <c r="B1222" s="1" t="s">
        <v>9</v>
      </c>
      <c r="C1222" s="1">
        <f>YEAR(Tabela14[[#This Row],[DATA]])</f>
        <v>2026</v>
      </c>
      <c r="D1222" s="1">
        <f>MONTH(Tabela14[[#This Row],[DATA]])</f>
        <v>9</v>
      </c>
    </row>
    <row r="1223" spans="1:4" x14ac:dyDescent="0.35">
      <c r="A1223" s="2">
        <v>46287</v>
      </c>
      <c r="B1223" s="1" t="s">
        <v>9</v>
      </c>
      <c r="C1223" s="1">
        <f>YEAR(Tabela14[[#This Row],[DATA]])</f>
        <v>2026</v>
      </c>
      <c r="D1223" s="1">
        <f>MONTH(Tabela14[[#This Row],[DATA]])</f>
        <v>9</v>
      </c>
    </row>
    <row r="1224" spans="1:4" x14ac:dyDescent="0.35">
      <c r="A1224" s="2">
        <v>46287</v>
      </c>
      <c r="B1224" s="1" t="s">
        <v>9</v>
      </c>
      <c r="C1224" s="1">
        <f>YEAR(Tabela14[[#This Row],[DATA]])</f>
        <v>2026</v>
      </c>
      <c r="D1224" s="1">
        <f>MONTH(Tabela14[[#This Row],[DATA]])</f>
        <v>9</v>
      </c>
    </row>
    <row r="1225" spans="1:4" x14ac:dyDescent="0.35">
      <c r="A1225" s="2">
        <v>46287</v>
      </c>
      <c r="B1225" s="1" t="s">
        <v>19</v>
      </c>
      <c r="C1225" s="1">
        <f>YEAR(Tabela14[[#This Row],[DATA]])</f>
        <v>2026</v>
      </c>
      <c r="D1225" s="1">
        <f>MONTH(Tabela14[[#This Row],[DATA]])</f>
        <v>9</v>
      </c>
    </row>
    <row r="1226" spans="1:4" x14ac:dyDescent="0.35">
      <c r="A1226" s="2">
        <v>46287</v>
      </c>
      <c r="B1226" s="1" t="s">
        <v>9</v>
      </c>
      <c r="C1226" s="1">
        <f>YEAR(Tabela14[[#This Row],[DATA]])</f>
        <v>2026</v>
      </c>
      <c r="D1226" s="1">
        <f>MONTH(Tabela14[[#This Row],[DATA]])</f>
        <v>9</v>
      </c>
    </row>
    <row r="1227" spans="1:4" x14ac:dyDescent="0.35">
      <c r="A1227" s="2">
        <v>46287</v>
      </c>
      <c r="B1227" s="1" t="s">
        <v>9</v>
      </c>
      <c r="C1227" s="1">
        <f>YEAR(Tabela14[[#This Row],[DATA]])</f>
        <v>2026</v>
      </c>
      <c r="D1227" s="1">
        <f>MONTH(Tabela14[[#This Row],[DATA]])</f>
        <v>9</v>
      </c>
    </row>
    <row r="1228" spans="1:4" x14ac:dyDescent="0.35">
      <c r="A1228" s="2">
        <v>46287</v>
      </c>
      <c r="B1228" s="1" t="s">
        <v>19</v>
      </c>
      <c r="C1228" s="1">
        <f>YEAR(Tabela14[[#This Row],[DATA]])</f>
        <v>2026</v>
      </c>
      <c r="D1228" s="1">
        <f>MONTH(Tabela14[[#This Row],[DATA]])</f>
        <v>9</v>
      </c>
    </row>
    <row r="1229" spans="1:4" x14ac:dyDescent="0.35">
      <c r="A1229" s="2">
        <v>46287</v>
      </c>
      <c r="B1229" s="1" t="s">
        <v>84</v>
      </c>
      <c r="C1229" s="1">
        <f>YEAR(Tabela14[[#This Row],[DATA]])</f>
        <v>2026</v>
      </c>
      <c r="D1229" s="1">
        <f>MONTH(Tabela14[[#This Row],[DATA]])</f>
        <v>9</v>
      </c>
    </row>
    <row r="1230" spans="1:4" x14ac:dyDescent="0.35">
      <c r="A1230" s="2">
        <v>46287</v>
      </c>
      <c r="B1230" s="1" t="s">
        <v>19</v>
      </c>
      <c r="C1230" s="1">
        <f>YEAR(Tabela14[[#This Row],[DATA]])</f>
        <v>2026</v>
      </c>
      <c r="D1230" s="1">
        <f>MONTH(Tabela14[[#This Row],[DATA]])</f>
        <v>9</v>
      </c>
    </row>
    <row r="1231" spans="1:4" x14ac:dyDescent="0.35">
      <c r="A1231" s="2">
        <v>46287</v>
      </c>
      <c r="B1231" s="1" t="s">
        <v>19</v>
      </c>
      <c r="C1231" s="1">
        <f>YEAR(Tabela14[[#This Row],[DATA]])</f>
        <v>2026</v>
      </c>
      <c r="D1231" s="1">
        <f>MONTH(Tabela14[[#This Row],[DATA]])</f>
        <v>9</v>
      </c>
    </row>
    <row r="1232" spans="1:4" x14ac:dyDescent="0.35">
      <c r="A1232" s="2">
        <v>46287</v>
      </c>
      <c r="B1232" s="1" t="s">
        <v>19</v>
      </c>
      <c r="C1232" s="1">
        <f>YEAR(Tabela14[[#This Row],[DATA]])</f>
        <v>2026</v>
      </c>
      <c r="D1232" s="1">
        <f>MONTH(Tabela14[[#This Row],[DATA]])</f>
        <v>9</v>
      </c>
    </row>
    <row r="1233" spans="1:4" x14ac:dyDescent="0.35">
      <c r="A1233" s="2">
        <v>46287</v>
      </c>
      <c r="B1233" s="1" t="s">
        <v>84</v>
      </c>
      <c r="C1233" s="1">
        <f>YEAR(Tabela14[[#This Row],[DATA]])</f>
        <v>2026</v>
      </c>
      <c r="D1233" s="1">
        <f>MONTH(Tabela14[[#This Row],[DATA]])</f>
        <v>9</v>
      </c>
    </row>
    <row r="1234" spans="1:4" x14ac:dyDescent="0.35">
      <c r="A1234" s="2">
        <v>46287</v>
      </c>
      <c r="B1234" s="1" t="s">
        <v>19</v>
      </c>
      <c r="C1234" s="1">
        <f>YEAR(Tabela14[[#This Row],[DATA]])</f>
        <v>2026</v>
      </c>
      <c r="D1234" s="1">
        <f>MONTH(Tabela14[[#This Row],[DATA]])</f>
        <v>9</v>
      </c>
    </row>
    <row r="1235" spans="1:4" x14ac:dyDescent="0.35">
      <c r="A1235" s="2">
        <v>46287</v>
      </c>
      <c r="B1235" s="1" t="s">
        <v>19</v>
      </c>
      <c r="C1235" s="1">
        <f>YEAR(Tabela14[[#This Row],[DATA]])</f>
        <v>2026</v>
      </c>
      <c r="D1235" s="1">
        <f>MONTH(Tabela14[[#This Row],[DATA]])</f>
        <v>9</v>
      </c>
    </row>
    <row r="1236" spans="1:4" x14ac:dyDescent="0.35">
      <c r="A1236" s="2">
        <v>46288</v>
      </c>
      <c r="B1236" s="1" t="s">
        <v>83</v>
      </c>
      <c r="C1236" s="1">
        <f>YEAR(Tabela14[[#This Row],[DATA]])</f>
        <v>2026</v>
      </c>
      <c r="D1236" s="1">
        <f>MONTH(Tabela14[[#This Row],[DATA]])</f>
        <v>9</v>
      </c>
    </row>
    <row r="1237" spans="1:4" x14ac:dyDescent="0.35">
      <c r="A1237" s="2">
        <v>46288</v>
      </c>
      <c r="B1237" s="1" t="s">
        <v>84</v>
      </c>
      <c r="C1237" s="1">
        <f>YEAR(Tabela14[[#This Row],[DATA]])</f>
        <v>2026</v>
      </c>
      <c r="D1237" s="1">
        <f>MONTH(Tabela14[[#This Row],[DATA]])</f>
        <v>9</v>
      </c>
    </row>
    <row r="1238" spans="1:4" x14ac:dyDescent="0.35">
      <c r="A1238" s="2">
        <v>46288</v>
      </c>
      <c r="B1238" s="1" t="s">
        <v>19</v>
      </c>
      <c r="C1238" s="1">
        <f>YEAR(Tabela14[[#This Row],[DATA]])</f>
        <v>2026</v>
      </c>
      <c r="D1238" s="1">
        <f>MONTH(Tabela14[[#This Row],[DATA]])</f>
        <v>9</v>
      </c>
    </row>
    <row r="1239" spans="1:4" x14ac:dyDescent="0.35">
      <c r="A1239" s="2">
        <v>46288</v>
      </c>
      <c r="B1239" s="1" t="s">
        <v>9</v>
      </c>
      <c r="C1239" s="1">
        <f>YEAR(Tabela14[[#This Row],[DATA]])</f>
        <v>2026</v>
      </c>
      <c r="D1239" s="1">
        <f>MONTH(Tabela14[[#This Row],[DATA]])</f>
        <v>9</v>
      </c>
    </row>
    <row r="1240" spans="1:4" x14ac:dyDescent="0.35">
      <c r="A1240" s="2">
        <v>46288</v>
      </c>
      <c r="B1240" s="1" t="s">
        <v>9</v>
      </c>
      <c r="C1240" s="1">
        <f>YEAR(Tabela14[[#This Row],[DATA]])</f>
        <v>2026</v>
      </c>
      <c r="D1240" s="1">
        <f>MONTH(Tabela14[[#This Row],[DATA]])</f>
        <v>9</v>
      </c>
    </row>
    <row r="1241" spans="1:4" x14ac:dyDescent="0.35">
      <c r="A1241" s="2">
        <v>46288</v>
      </c>
      <c r="B1241" s="1" t="s">
        <v>9</v>
      </c>
      <c r="C1241" s="1">
        <f>YEAR(Tabela14[[#This Row],[DATA]])</f>
        <v>2026</v>
      </c>
      <c r="D1241" s="1">
        <f>MONTH(Tabela14[[#This Row],[DATA]])</f>
        <v>9</v>
      </c>
    </row>
    <row r="1242" spans="1:4" x14ac:dyDescent="0.35">
      <c r="A1242" s="2">
        <v>46288</v>
      </c>
      <c r="B1242" s="1" t="s">
        <v>9</v>
      </c>
      <c r="C1242" s="1">
        <f>YEAR(Tabela14[[#This Row],[DATA]])</f>
        <v>2026</v>
      </c>
      <c r="D1242" s="1">
        <f>MONTH(Tabela14[[#This Row],[DATA]])</f>
        <v>9</v>
      </c>
    </row>
    <row r="1243" spans="1:4" x14ac:dyDescent="0.35">
      <c r="A1243" s="2">
        <v>46288</v>
      </c>
      <c r="B1243" s="1" t="s">
        <v>9</v>
      </c>
      <c r="C1243" s="1">
        <f>YEAR(Tabela14[[#This Row],[DATA]])</f>
        <v>2026</v>
      </c>
      <c r="D1243" s="1">
        <f>MONTH(Tabela14[[#This Row],[DATA]])</f>
        <v>9</v>
      </c>
    </row>
    <row r="1244" spans="1:4" x14ac:dyDescent="0.35">
      <c r="A1244" s="2">
        <v>46288</v>
      </c>
      <c r="B1244" s="1" t="s">
        <v>9</v>
      </c>
      <c r="C1244" s="1">
        <f>YEAR(Tabela14[[#This Row],[DATA]])</f>
        <v>2026</v>
      </c>
      <c r="D1244" s="1">
        <f>MONTH(Tabela14[[#This Row],[DATA]])</f>
        <v>9</v>
      </c>
    </row>
    <row r="1245" spans="1:4" x14ac:dyDescent="0.35">
      <c r="A1245" s="2">
        <v>46288</v>
      </c>
      <c r="B1245" s="1" t="s">
        <v>9</v>
      </c>
      <c r="C1245" s="1">
        <f>YEAR(Tabela14[[#This Row],[DATA]])</f>
        <v>2026</v>
      </c>
      <c r="D1245" s="1">
        <f>MONTH(Tabela14[[#This Row],[DATA]])</f>
        <v>9</v>
      </c>
    </row>
    <row r="1246" spans="1:4" x14ac:dyDescent="0.35">
      <c r="A1246" s="2">
        <v>46288</v>
      </c>
      <c r="B1246" s="1" t="s">
        <v>9</v>
      </c>
      <c r="C1246" s="1">
        <f>YEAR(Tabela14[[#This Row],[DATA]])</f>
        <v>2026</v>
      </c>
      <c r="D1246" s="1">
        <f>MONTH(Tabela14[[#This Row],[DATA]])</f>
        <v>9</v>
      </c>
    </row>
    <row r="1247" spans="1:4" x14ac:dyDescent="0.35">
      <c r="A1247" s="2">
        <v>46289</v>
      </c>
      <c r="B1247" s="1" t="s">
        <v>24</v>
      </c>
      <c r="C1247" s="1">
        <f>YEAR(Tabela14[[#This Row],[DATA]])</f>
        <v>2026</v>
      </c>
      <c r="D1247" s="1">
        <f>MONTH(Tabela14[[#This Row],[DATA]])</f>
        <v>9</v>
      </c>
    </row>
    <row r="1248" spans="1:4" x14ac:dyDescent="0.35">
      <c r="A1248" s="2">
        <v>46289</v>
      </c>
      <c r="B1248" s="1" t="s">
        <v>24</v>
      </c>
      <c r="C1248" s="1">
        <f>YEAR(Tabela14[[#This Row],[DATA]])</f>
        <v>2026</v>
      </c>
      <c r="D1248" s="1">
        <f>MONTH(Tabela14[[#This Row],[DATA]])</f>
        <v>9</v>
      </c>
    </row>
    <row r="1249" spans="1:4" x14ac:dyDescent="0.35">
      <c r="A1249" s="2">
        <v>46289</v>
      </c>
      <c r="B1249" s="1" t="s">
        <v>24</v>
      </c>
      <c r="C1249" s="1">
        <f>YEAR(Tabela14[[#This Row],[DATA]])</f>
        <v>2026</v>
      </c>
      <c r="D1249" s="1">
        <f>MONTH(Tabela14[[#This Row],[DATA]])</f>
        <v>9</v>
      </c>
    </row>
    <row r="1250" spans="1:4" x14ac:dyDescent="0.35">
      <c r="A1250" s="2">
        <v>46289</v>
      </c>
      <c r="B1250" s="1" t="s">
        <v>24</v>
      </c>
      <c r="C1250" s="1">
        <f>YEAR(Tabela14[[#This Row],[DATA]])</f>
        <v>2026</v>
      </c>
      <c r="D1250" s="1">
        <f>MONTH(Tabela14[[#This Row],[DATA]])</f>
        <v>9</v>
      </c>
    </row>
    <row r="1251" spans="1:4" x14ac:dyDescent="0.35">
      <c r="A1251" s="2">
        <v>46289</v>
      </c>
      <c r="B1251" s="1" t="s">
        <v>24</v>
      </c>
      <c r="C1251" s="1">
        <f>YEAR(Tabela14[[#This Row],[DATA]])</f>
        <v>2026</v>
      </c>
      <c r="D1251" s="1">
        <f>MONTH(Tabela14[[#This Row],[DATA]])</f>
        <v>9</v>
      </c>
    </row>
    <row r="1252" spans="1:4" x14ac:dyDescent="0.35">
      <c r="A1252" s="2">
        <v>46289</v>
      </c>
      <c r="B1252" s="1" t="s">
        <v>24</v>
      </c>
      <c r="C1252" s="1">
        <f>YEAR(Tabela14[[#This Row],[DATA]])</f>
        <v>2026</v>
      </c>
      <c r="D1252" s="1">
        <f>MONTH(Tabela14[[#This Row],[DATA]])</f>
        <v>9</v>
      </c>
    </row>
    <row r="1253" spans="1:4" x14ac:dyDescent="0.35">
      <c r="A1253" s="2">
        <v>46289</v>
      </c>
      <c r="B1253" s="1" t="s">
        <v>24</v>
      </c>
      <c r="C1253" s="1">
        <f>YEAR(Tabela14[[#This Row],[DATA]])</f>
        <v>2026</v>
      </c>
      <c r="D1253" s="1">
        <f>MONTH(Tabela14[[#This Row],[DATA]])</f>
        <v>9</v>
      </c>
    </row>
    <row r="1254" spans="1:4" x14ac:dyDescent="0.35">
      <c r="A1254" s="2">
        <v>46289</v>
      </c>
      <c r="B1254" s="1" t="s">
        <v>24</v>
      </c>
      <c r="C1254" s="1">
        <f>YEAR(Tabela14[[#This Row],[DATA]])</f>
        <v>2026</v>
      </c>
      <c r="D1254" s="1">
        <f>MONTH(Tabela14[[#This Row],[DATA]])</f>
        <v>9</v>
      </c>
    </row>
    <row r="1255" spans="1:4" x14ac:dyDescent="0.35">
      <c r="A1255" s="2">
        <v>46289</v>
      </c>
      <c r="B1255" s="1" t="s">
        <v>19</v>
      </c>
      <c r="C1255" s="1">
        <f>YEAR(Tabela14[[#This Row],[DATA]])</f>
        <v>2026</v>
      </c>
      <c r="D1255" s="1">
        <f>MONTH(Tabela14[[#This Row],[DATA]])</f>
        <v>9</v>
      </c>
    </row>
    <row r="1256" spans="1:4" x14ac:dyDescent="0.35">
      <c r="A1256" s="2">
        <v>46289</v>
      </c>
      <c r="B1256" s="1" t="s">
        <v>19</v>
      </c>
      <c r="C1256" s="1">
        <f>YEAR(Tabela14[[#This Row],[DATA]])</f>
        <v>2026</v>
      </c>
      <c r="D1256" s="1">
        <f>MONTH(Tabela14[[#This Row],[DATA]])</f>
        <v>9</v>
      </c>
    </row>
    <row r="1257" spans="1:4" x14ac:dyDescent="0.35">
      <c r="A1257" s="2">
        <v>46289</v>
      </c>
      <c r="B1257" s="1" t="s">
        <v>19</v>
      </c>
      <c r="C1257" s="1">
        <f>YEAR(Tabela14[[#This Row],[DATA]])</f>
        <v>2026</v>
      </c>
      <c r="D1257" s="1">
        <f>MONTH(Tabela14[[#This Row],[DATA]])</f>
        <v>9</v>
      </c>
    </row>
    <row r="1258" spans="1:4" x14ac:dyDescent="0.35">
      <c r="A1258" s="2">
        <v>46289</v>
      </c>
      <c r="B1258" s="1" t="s">
        <v>84</v>
      </c>
      <c r="C1258" s="1">
        <f>YEAR(Tabela14[[#This Row],[DATA]])</f>
        <v>2026</v>
      </c>
      <c r="D1258" s="1">
        <f>MONTH(Tabela14[[#This Row],[DATA]])</f>
        <v>9</v>
      </c>
    </row>
    <row r="1259" spans="1:4" x14ac:dyDescent="0.35">
      <c r="A1259" s="2">
        <v>46289</v>
      </c>
      <c r="B1259" s="1" t="s">
        <v>9</v>
      </c>
      <c r="C1259" s="1">
        <f>YEAR(Tabela14[[#This Row],[DATA]])</f>
        <v>2026</v>
      </c>
      <c r="D1259" s="1">
        <f>MONTH(Tabela14[[#This Row],[DATA]])</f>
        <v>9</v>
      </c>
    </row>
    <row r="1260" spans="1:4" x14ac:dyDescent="0.35">
      <c r="A1260" s="2">
        <v>46289</v>
      </c>
      <c r="B1260" s="1" t="s">
        <v>9</v>
      </c>
      <c r="C1260" s="1">
        <f>YEAR(Tabela14[[#This Row],[DATA]])</f>
        <v>2026</v>
      </c>
      <c r="D1260" s="1">
        <f>MONTH(Tabela14[[#This Row],[DATA]])</f>
        <v>9</v>
      </c>
    </row>
    <row r="1261" spans="1:4" x14ac:dyDescent="0.35">
      <c r="A1261" s="2">
        <v>46289</v>
      </c>
      <c r="B1261" s="1" t="s">
        <v>9</v>
      </c>
      <c r="C1261" s="1">
        <f>YEAR(Tabela14[[#This Row],[DATA]])</f>
        <v>2026</v>
      </c>
      <c r="D1261" s="1">
        <f>MONTH(Tabela14[[#This Row],[DATA]])</f>
        <v>9</v>
      </c>
    </row>
    <row r="1262" spans="1:4" x14ac:dyDescent="0.35">
      <c r="A1262" s="2">
        <v>46289</v>
      </c>
      <c r="B1262" s="1" t="s">
        <v>9</v>
      </c>
      <c r="C1262" s="1">
        <f>YEAR(Tabela14[[#This Row],[DATA]])</f>
        <v>2026</v>
      </c>
      <c r="D1262" s="1">
        <f>MONTH(Tabela14[[#This Row],[DATA]])</f>
        <v>9</v>
      </c>
    </row>
    <row r="1263" spans="1:4" x14ac:dyDescent="0.35">
      <c r="A1263" s="2">
        <v>46289</v>
      </c>
      <c r="B1263" s="1" t="s">
        <v>9</v>
      </c>
      <c r="C1263" s="1">
        <f>YEAR(Tabela14[[#This Row],[DATA]])</f>
        <v>2026</v>
      </c>
      <c r="D1263" s="1">
        <f>MONTH(Tabela14[[#This Row],[DATA]])</f>
        <v>9</v>
      </c>
    </row>
    <row r="1264" spans="1:4" x14ac:dyDescent="0.35">
      <c r="A1264" s="2">
        <v>46289</v>
      </c>
      <c r="B1264" s="1" t="s">
        <v>9</v>
      </c>
      <c r="C1264" s="1">
        <f>YEAR(Tabela14[[#This Row],[DATA]])</f>
        <v>2026</v>
      </c>
      <c r="D1264" s="1">
        <f>MONTH(Tabela14[[#This Row],[DATA]])</f>
        <v>9</v>
      </c>
    </row>
    <row r="1265" spans="1:4" x14ac:dyDescent="0.35">
      <c r="A1265" s="2">
        <v>46289</v>
      </c>
      <c r="B1265" s="1" t="s">
        <v>9</v>
      </c>
      <c r="C1265" s="1">
        <f>YEAR(Tabela14[[#This Row],[DATA]])</f>
        <v>2026</v>
      </c>
      <c r="D1265" s="1">
        <f>MONTH(Tabela14[[#This Row],[DATA]])</f>
        <v>9</v>
      </c>
    </row>
    <row r="1266" spans="1:4" x14ac:dyDescent="0.35">
      <c r="A1266" s="2">
        <v>46289</v>
      </c>
      <c r="B1266" s="1" t="s">
        <v>9</v>
      </c>
      <c r="C1266" s="1">
        <f>YEAR(Tabela14[[#This Row],[DATA]])</f>
        <v>2026</v>
      </c>
      <c r="D1266" s="1">
        <f>MONTH(Tabela14[[#This Row],[DATA]])</f>
        <v>9</v>
      </c>
    </row>
    <row r="1267" spans="1:4" x14ac:dyDescent="0.35">
      <c r="A1267" s="2">
        <v>46289</v>
      </c>
      <c r="B1267" s="1" t="s">
        <v>9</v>
      </c>
      <c r="C1267" s="1">
        <f>YEAR(Tabela14[[#This Row],[DATA]])</f>
        <v>2026</v>
      </c>
      <c r="D1267" s="1">
        <f>MONTH(Tabela14[[#This Row],[DATA]])</f>
        <v>9</v>
      </c>
    </row>
    <row r="1268" spans="1:4" x14ac:dyDescent="0.35">
      <c r="A1268" s="2">
        <v>46290</v>
      </c>
      <c r="B1268" s="1" t="s">
        <v>19</v>
      </c>
      <c r="C1268" s="1">
        <f>YEAR(Tabela14[[#This Row],[DATA]])</f>
        <v>2026</v>
      </c>
      <c r="D1268" s="1">
        <f>MONTH(Tabela14[[#This Row],[DATA]])</f>
        <v>9</v>
      </c>
    </row>
    <row r="1269" spans="1:4" x14ac:dyDescent="0.35">
      <c r="A1269" s="2">
        <v>46290</v>
      </c>
      <c r="B1269" s="1" t="s">
        <v>19</v>
      </c>
      <c r="C1269" s="1">
        <f>YEAR(Tabela14[[#This Row],[DATA]])</f>
        <v>2026</v>
      </c>
      <c r="D1269" s="1">
        <f>MONTH(Tabela14[[#This Row],[DATA]])</f>
        <v>9</v>
      </c>
    </row>
    <row r="1270" spans="1:4" x14ac:dyDescent="0.35">
      <c r="A1270" s="2">
        <v>46290</v>
      </c>
      <c r="B1270" s="1" t="s">
        <v>19</v>
      </c>
      <c r="C1270" s="1">
        <f>YEAR(Tabela14[[#This Row],[DATA]])</f>
        <v>2026</v>
      </c>
      <c r="D1270" s="1">
        <f>MONTH(Tabela14[[#This Row],[DATA]])</f>
        <v>9</v>
      </c>
    </row>
    <row r="1271" spans="1:4" x14ac:dyDescent="0.35">
      <c r="A1271" s="2">
        <v>46290</v>
      </c>
      <c r="B1271" s="1" t="s">
        <v>19</v>
      </c>
      <c r="C1271" s="1">
        <f>YEAR(Tabela14[[#This Row],[DATA]])</f>
        <v>2026</v>
      </c>
      <c r="D1271" s="1">
        <f>MONTH(Tabela14[[#This Row],[DATA]])</f>
        <v>9</v>
      </c>
    </row>
    <row r="1272" spans="1:4" x14ac:dyDescent="0.35">
      <c r="A1272" s="2">
        <v>46290</v>
      </c>
      <c r="B1272" s="1" t="s">
        <v>19</v>
      </c>
      <c r="C1272" s="1">
        <f>YEAR(Tabela14[[#This Row],[DATA]])</f>
        <v>2026</v>
      </c>
      <c r="D1272" s="1">
        <f>MONTH(Tabela14[[#This Row],[DATA]])</f>
        <v>9</v>
      </c>
    </row>
    <row r="1273" spans="1:4" x14ac:dyDescent="0.35">
      <c r="A1273" s="2">
        <v>46290</v>
      </c>
      <c r="B1273" s="1" t="s">
        <v>19</v>
      </c>
      <c r="C1273" s="1">
        <f>YEAR(Tabela14[[#This Row],[DATA]])</f>
        <v>2026</v>
      </c>
      <c r="D1273" s="1">
        <f>MONTH(Tabela14[[#This Row],[DATA]])</f>
        <v>9</v>
      </c>
    </row>
    <row r="1274" spans="1:4" x14ac:dyDescent="0.35">
      <c r="A1274" s="2">
        <v>46293</v>
      </c>
      <c r="B1274" s="1" t="s">
        <v>19</v>
      </c>
      <c r="C1274" s="1">
        <f>YEAR(Tabela14[[#This Row],[DATA]])</f>
        <v>2026</v>
      </c>
      <c r="D1274" s="1">
        <f>MONTH(Tabela14[[#This Row],[DATA]])</f>
        <v>9</v>
      </c>
    </row>
    <row r="1275" spans="1:4" x14ac:dyDescent="0.35">
      <c r="A1275" s="2">
        <v>46293</v>
      </c>
      <c r="B1275" s="1" t="s">
        <v>28</v>
      </c>
      <c r="C1275" s="1">
        <f>YEAR(Tabela14[[#This Row],[DATA]])</f>
        <v>2026</v>
      </c>
      <c r="D1275" s="1">
        <f>MONTH(Tabela14[[#This Row],[DATA]])</f>
        <v>9</v>
      </c>
    </row>
    <row r="1276" spans="1:4" x14ac:dyDescent="0.35">
      <c r="A1276" s="2">
        <v>46293</v>
      </c>
      <c r="B1276" s="1" t="s">
        <v>28</v>
      </c>
      <c r="C1276" s="1">
        <f>YEAR(Tabela14[[#This Row],[DATA]])</f>
        <v>2026</v>
      </c>
      <c r="D1276" s="1">
        <f>MONTH(Tabela14[[#This Row],[DATA]])</f>
        <v>9</v>
      </c>
    </row>
    <row r="1277" spans="1:4" x14ac:dyDescent="0.35">
      <c r="A1277" s="2">
        <v>46293</v>
      </c>
      <c r="B1277" s="1" t="s">
        <v>28</v>
      </c>
      <c r="C1277" s="1">
        <f>YEAR(Tabela14[[#This Row],[DATA]])</f>
        <v>2026</v>
      </c>
      <c r="D1277" s="1">
        <f>MONTH(Tabela14[[#This Row],[DATA]])</f>
        <v>9</v>
      </c>
    </row>
    <row r="1278" spans="1:4" x14ac:dyDescent="0.35">
      <c r="A1278" s="2">
        <v>46293</v>
      </c>
      <c r="B1278" s="1" t="s">
        <v>28</v>
      </c>
      <c r="C1278" s="1">
        <f>YEAR(Tabela14[[#This Row],[DATA]])</f>
        <v>2026</v>
      </c>
      <c r="D1278" s="1">
        <f>MONTH(Tabela14[[#This Row],[DATA]])</f>
        <v>9</v>
      </c>
    </row>
    <row r="1279" spans="1:4" x14ac:dyDescent="0.35">
      <c r="A1279" s="2">
        <v>46294</v>
      </c>
      <c r="B1279" s="1" t="s">
        <v>19</v>
      </c>
      <c r="C1279" s="1">
        <f>YEAR(Tabela14[[#This Row],[DATA]])</f>
        <v>2026</v>
      </c>
      <c r="D1279" s="1">
        <f>MONTH(Tabela14[[#This Row],[DATA]])</f>
        <v>9</v>
      </c>
    </row>
    <row r="1280" spans="1:4" x14ac:dyDescent="0.35">
      <c r="A1280" s="2">
        <v>46294</v>
      </c>
      <c r="B1280" s="1" t="s">
        <v>9</v>
      </c>
      <c r="C1280" s="1">
        <f>YEAR(Tabela14[[#This Row],[DATA]])</f>
        <v>2026</v>
      </c>
      <c r="D1280" s="1">
        <f>MONTH(Tabela14[[#This Row],[DATA]])</f>
        <v>9</v>
      </c>
    </row>
    <row r="1281" spans="1:4" x14ac:dyDescent="0.35">
      <c r="A1281" s="2">
        <v>46294</v>
      </c>
      <c r="B1281" s="1" t="s">
        <v>19</v>
      </c>
      <c r="C1281" s="1">
        <f>YEAR(Tabela14[[#This Row],[DATA]])</f>
        <v>2026</v>
      </c>
      <c r="D1281" s="1">
        <f>MONTH(Tabela14[[#This Row],[DATA]])</f>
        <v>9</v>
      </c>
    </row>
    <row r="1282" spans="1:4" x14ac:dyDescent="0.35">
      <c r="A1282" s="2">
        <v>46294</v>
      </c>
      <c r="B1282" s="1" t="s">
        <v>19</v>
      </c>
      <c r="C1282" s="1">
        <f>YEAR(Tabela14[[#This Row],[DATA]])</f>
        <v>2026</v>
      </c>
      <c r="D1282" s="1">
        <f>MONTH(Tabela14[[#This Row],[DATA]])</f>
        <v>9</v>
      </c>
    </row>
    <row r="1283" spans="1:4" x14ac:dyDescent="0.35">
      <c r="A1283" s="2">
        <v>46294</v>
      </c>
      <c r="B1283" s="1" t="s">
        <v>19</v>
      </c>
      <c r="C1283" s="1">
        <f>YEAR(Tabela14[[#This Row],[DATA]])</f>
        <v>2026</v>
      </c>
      <c r="D1283" s="1">
        <f>MONTH(Tabela14[[#This Row],[DATA]])</f>
        <v>9</v>
      </c>
    </row>
    <row r="1284" spans="1:4" x14ac:dyDescent="0.35">
      <c r="A1284" s="2">
        <v>46294</v>
      </c>
      <c r="B1284" s="1" t="s">
        <v>19</v>
      </c>
      <c r="C1284" s="1">
        <f>YEAR(Tabela14[[#This Row],[DATA]])</f>
        <v>2026</v>
      </c>
      <c r="D1284" s="1">
        <f>MONTH(Tabela14[[#This Row],[DATA]])</f>
        <v>9</v>
      </c>
    </row>
    <row r="1285" spans="1:4" x14ac:dyDescent="0.35">
      <c r="A1285" s="2">
        <v>46294</v>
      </c>
      <c r="B1285" s="1" t="s">
        <v>19</v>
      </c>
      <c r="C1285" s="1">
        <f>YEAR(Tabela14[[#This Row],[DATA]])</f>
        <v>2026</v>
      </c>
      <c r="D1285" s="1">
        <f>MONTH(Tabela14[[#This Row],[DATA]])</f>
        <v>9</v>
      </c>
    </row>
    <row r="1286" spans="1:4" x14ac:dyDescent="0.35">
      <c r="A1286" s="2">
        <v>46294</v>
      </c>
      <c r="B1286" s="1" t="s">
        <v>19</v>
      </c>
      <c r="C1286" s="1">
        <f>YEAR(Tabela14[[#This Row],[DATA]])</f>
        <v>2026</v>
      </c>
      <c r="D1286" s="1">
        <f>MONTH(Tabela14[[#This Row],[DATA]])</f>
        <v>9</v>
      </c>
    </row>
    <row r="1287" spans="1:4" x14ac:dyDescent="0.35">
      <c r="A1287" s="2">
        <v>46294</v>
      </c>
      <c r="B1287" s="1" t="s">
        <v>19</v>
      </c>
      <c r="C1287" s="1">
        <f>YEAR(Tabela14[[#This Row],[DATA]])</f>
        <v>2026</v>
      </c>
      <c r="D1287" s="1">
        <f>MONTH(Tabela14[[#This Row],[DATA]])</f>
        <v>9</v>
      </c>
    </row>
    <row r="1288" spans="1:4" x14ac:dyDescent="0.35">
      <c r="A1288" s="2">
        <v>46294</v>
      </c>
      <c r="B1288" s="1" t="s">
        <v>19</v>
      </c>
      <c r="C1288" s="1">
        <f>YEAR(Tabela14[[#This Row],[DATA]])</f>
        <v>2026</v>
      </c>
      <c r="D1288" s="1">
        <f>MONTH(Tabela14[[#This Row],[DATA]])</f>
        <v>9</v>
      </c>
    </row>
    <row r="1289" spans="1:4" x14ac:dyDescent="0.35">
      <c r="A1289" s="2">
        <v>46295</v>
      </c>
      <c r="B1289" s="1" t="s">
        <v>28</v>
      </c>
      <c r="C1289" s="1">
        <f>YEAR(Tabela14[[#This Row],[DATA]])</f>
        <v>2026</v>
      </c>
      <c r="D1289" s="1">
        <f>MONTH(Tabela14[[#This Row],[DATA]])</f>
        <v>9</v>
      </c>
    </row>
    <row r="1290" spans="1:4" x14ac:dyDescent="0.35">
      <c r="A1290" s="2">
        <v>46295</v>
      </c>
      <c r="B1290" s="1" t="s">
        <v>28</v>
      </c>
      <c r="C1290" s="1">
        <f>YEAR(Tabela14[[#This Row],[DATA]])</f>
        <v>2026</v>
      </c>
      <c r="D1290" s="1">
        <f>MONTH(Tabela14[[#This Row],[DATA]])</f>
        <v>9</v>
      </c>
    </row>
    <row r="1291" spans="1:4" x14ac:dyDescent="0.35">
      <c r="A1291" s="2">
        <v>46295</v>
      </c>
      <c r="B1291" s="1" t="s">
        <v>28</v>
      </c>
      <c r="C1291" s="1">
        <f>YEAR(Tabela14[[#This Row],[DATA]])</f>
        <v>2026</v>
      </c>
      <c r="D1291" s="1">
        <f>MONTH(Tabela14[[#This Row],[DATA]])</f>
        <v>9</v>
      </c>
    </row>
    <row r="1292" spans="1:4" x14ac:dyDescent="0.35">
      <c r="A1292" s="2">
        <v>46295</v>
      </c>
      <c r="B1292" s="1" t="s">
        <v>84</v>
      </c>
      <c r="C1292" s="1">
        <f>YEAR(Tabela14[[#This Row],[DATA]])</f>
        <v>2026</v>
      </c>
      <c r="D1292" s="1">
        <f>MONTH(Tabela14[[#This Row],[DATA]])</f>
        <v>9</v>
      </c>
    </row>
    <row r="1293" spans="1:4" x14ac:dyDescent="0.35">
      <c r="A1293" s="2">
        <v>46295</v>
      </c>
      <c r="B1293" s="1" t="s">
        <v>84</v>
      </c>
      <c r="C1293" s="1">
        <f>YEAR(Tabela14[[#This Row],[DATA]])</f>
        <v>2026</v>
      </c>
      <c r="D1293" s="1">
        <f>MONTH(Tabela14[[#This Row],[DATA]])</f>
        <v>9</v>
      </c>
    </row>
    <row r="1294" spans="1:4" x14ac:dyDescent="0.35">
      <c r="A1294" s="2">
        <v>46295</v>
      </c>
      <c r="B1294" s="1" t="s">
        <v>28</v>
      </c>
      <c r="C1294" s="1">
        <f>YEAR(Tabela14[[#This Row],[DATA]])</f>
        <v>2026</v>
      </c>
      <c r="D1294" s="1">
        <f>MONTH(Tabela14[[#This Row],[DATA]])</f>
        <v>9</v>
      </c>
    </row>
    <row r="1295" spans="1:4" x14ac:dyDescent="0.35">
      <c r="A1295" s="2">
        <v>46295</v>
      </c>
      <c r="B1295" s="1" t="s">
        <v>28</v>
      </c>
      <c r="C1295" s="1">
        <f>YEAR(Tabela14[[#This Row],[DATA]])</f>
        <v>2026</v>
      </c>
      <c r="D1295" s="1">
        <f>MONTH(Tabela14[[#This Row],[DATA]])</f>
        <v>9</v>
      </c>
    </row>
    <row r="1296" spans="1:4" x14ac:dyDescent="0.35">
      <c r="A1296" s="2">
        <v>46295</v>
      </c>
      <c r="B1296" s="1" t="s">
        <v>84</v>
      </c>
      <c r="C1296" s="1">
        <f>YEAR(Tabela14[[#This Row],[DATA]])</f>
        <v>2026</v>
      </c>
      <c r="D1296" s="1">
        <f>MONTH(Tabela14[[#This Row],[DATA]])</f>
        <v>9</v>
      </c>
    </row>
    <row r="1297" spans="1:4" x14ac:dyDescent="0.35">
      <c r="A1297" s="2">
        <v>46295</v>
      </c>
      <c r="B1297" s="1" t="s">
        <v>24</v>
      </c>
      <c r="C1297" s="1">
        <f>YEAR(Tabela14[[#This Row],[DATA]])</f>
        <v>2026</v>
      </c>
      <c r="D1297" s="1">
        <f>MONTH(Tabela14[[#This Row],[DATA]])</f>
        <v>9</v>
      </c>
    </row>
    <row r="1298" spans="1:4" x14ac:dyDescent="0.35">
      <c r="A1298" s="2">
        <v>46296</v>
      </c>
      <c r="B1298" s="1" t="s">
        <v>19</v>
      </c>
      <c r="C1298" s="1">
        <f>YEAR(Tabela14[[#This Row],[DATA]])</f>
        <v>2026</v>
      </c>
      <c r="D1298" s="1">
        <f>MONTH(Tabela14[[#This Row],[DATA]])</f>
        <v>10</v>
      </c>
    </row>
    <row r="1299" spans="1:4" x14ac:dyDescent="0.35">
      <c r="A1299" s="2">
        <v>46296</v>
      </c>
      <c r="B1299" s="1" t="s">
        <v>28</v>
      </c>
      <c r="C1299" s="1">
        <f>YEAR(Tabela14[[#This Row],[DATA]])</f>
        <v>2026</v>
      </c>
      <c r="D1299" s="1">
        <f>MONTH(Tabela14[[#This Row],[DATA]])</f>
        <v>10</v>
      </c>
    </row>
    <row r="1300" spans="1:4" x14ac:dyDescent="0.35">
      <c r="A1300" s="2">
        <v>46296</v>
      </c>
      <c r="B1300" s="1" t="s">
        <v>28</v>
      </c>
      <c r="C1300" s="1">
        <f>YEAR(Tabela14[[#This Row],[DATA]])</f>
        <v>2026</v>
      </c>
      <c r="D1300" s="1">
        <f>MONTH(Tabela14[[#This Row],[DATA]])</f>
        <v>10</v>
      </c>
    </row>
    <row r="1301" spans="1:4" x14ac:dyDescent="0.35">
      <c r="A1301" s="2">
        <v>46296</v>
      </c>
      <c r="B1301" s="1" t="s">
        <v>9</v>
      </c>
      <c r="C1301" s="1">
        <f>YEAR(Tabela14[[#This Row],[DATA]])</f>
        <v>2026</v>
      </c>
      <c r="D1301" s="1">
        <f>MONTH(Tabela14[[#This Row],[DATA]])</f>
        <v>10</v>
      </c>
    </row>
    <row r="1302" spans="1:4" x14ac:dyDescent="0.35">
      <c r="A1302" s="2">
        <v>46296</v>
      </c>
      <c r="B1302" s="1" t="s">
        <v>9</v>
      </c>
      <c r="C1302" s="1">
        <f>YEAR(Tabela14[[#This Row],[DATA]])</f>
        <v>2026</v>
      </c>
      <c r="D1302" s="1">
        <f>MONTH(Tabela14[[#This Row],[DATA]])</f>
        <v>10</v>
      </c>
    </row>
    <row r="1303" spans="1:4" x14ac:dyDescent="0.35">
      <c r="A1303" s="2">
        <v>46296</v>
      </c>
      <c r="B1303" s="1" t="s">
        <v>19</v>
      </c>
      <c r="C1303" s="1">
        <f>YEAR(Tabela14[[#This Row],[DATA]])</f>
        <v>2026</v>
      </c>
      <c r="D1303" s="1">
        <f>MONTH(Tabela14[[#This Row],[DATA]])</f>
        <v>10</v>
      </c>
    </row>
    <row r="1304" spans="1:4" x14ac:dyDescent="0.35">
      <c r="A1304" s="2">
        <v>46296</v>
      </c>
      <c r="B1304" s="1" t="s">
        <v>9</v>
      </c>
      <c r="C1304" s="1">
        <f>YEAR(Tabela14[[#This Row],[DATA]])</f>
        <v>2026</v>
      </c>
      <c r="D1304" s="1">
        <f>MONTH(Tabela14[[#This Row],[DATA]])</f>
        <v>10</v>
      </c>
    </row>
    <row r="1305" spans="1:4" x14ac:dyDescent="0.35">
      <c r="A1305" s="2">
        <v>46296</v>
      </c>
      <c r="B1305" s="1" t="s">
        <v>9</v>
      </c>
      <c r="C1305" s="1">
        <f>YEAR(Tabela14[[#This Row],[DATA]])</f>
        <v>2026</v>
      </c>
      <c r="D1305" s="1">
        <f>MONTH(Tabela14[[#This Row],[DATA]])</f>
        <v>10</v>
      </c>
    </row>
    <row r="1306" spans="1:4" x14ac:dyDescent="0.35">
      <c r="A1306" s="2">
        <v>46296</v>
      </c>
      <c r="B1306" s="1" t="s">
        <v>9</v>
      </c>
      <c r="C1306" s="1">
        <f>YEAR(Tabela14[[#This Row],[DATA]])</f>
        <v>2026</v>
      </c>
      <c r="D1306" s="1">
        <f>MONTH(Tabela14[[#This Row],[DATA]])</f>
        <v>10</v>
      </c>
    </row>
    <row r="1307" spans="1:4" x14ac:dyDescent="0.35">
      <c r="A1307" s="2">
        <v>46296</v>
      </c>
      <c r="B1307" s="1" t="s">
        <v>9</v>
      </c>
      <c r="C1307" s="1">
        <f>YEAR(Tabela14[[#This Row],[DATA]])</f>
        <v>2026</v>
      </c>
      <c r="D1307" s="1">
        <f>MONTH(Tabela14[[#This Row],[DATA]])</f>
        <v>10</v>
      </c>
    </row>
    <row r="1308" spans="1:4" x14ac:dyDescent="0.35">
      <c r="A1308" s="2">
        <v>46296</v>
      </c>
      <c r="B1308" s="1" t="s">
        <v>24</v>
      </c>
      <c r="C1308" s="1">
        <f>YEAR(Tabela14[[#This Row],[DATA]])</f>
        <v>2026</v>
      </c>
      <c r="D1308" s="1">
        <f>MONTH(Tabela14[[#This Row],[DATA]])</f>
        <v>10</v>
      </c>
    </row>
    <row r="1309" spans="1:4" x14ac:dyDescent="0.35">
      <c r="A1309" s="2">
        <v>46296</v>
      </c>
      <c r="B1309" s="1" t="s">
        <v>24</v>
      </c>
      <c r="C1309" s="1">
        <f>YEAR(Tabela14[[#This Row],[DATA]])</f>
        <v>2026</v>
      </c>
      <c r="D1309" s="1">
        <f>MONTH(Tabela14[[#This Row],[DATA]])</f>
        <v>10</v>
      </c>
    </row>
    <row r="1310" spans="1:4" x14ac:dyDescent="0.35">
      <c r="A1310" s="2">
        <v>46296</v>
      </c>
      <c r="B1310" s="1" t="s">
        <v>24</v>
      </c>
      <c r="C1310" s="1">
        <f>YEAR(Tabela14[[#This Row],[DATA]])</f>
        <v>2026</v>
      </c>
      <c r="D1310" s="1">
        <f>MONTH(Tabela14[[#This Row],[DATA]])</f>
        <v>10</v>
      </c>
    </row>
    <row r="1311" spans="1:4" x14ac:dyDescent="0.35">
      <c r="A1311" s="2">
        <v>46296</v>
      </c>
      <c r="B1311" s="1" t="s">
        <v>24</v>
      </c>
      <c r="C1311" s="1">
        <f>YEAR(Tabela14[[#This Row],[DATA]])</f>
        <v>2026</v>
      </c>
      <c r="D1311" s="1">
        <f>MONTH(Tabela14[[#This Row],[DATA]])</f>
        <v>10</v>
      </c>
    </row>
    <row r="1312" spans="1:4" x14ac:dyDescent="0.35">
      <c r="A1312" s="2">
        <v>46297</v>
      </c>
      <c r="B1312" s="1" t="s">
        <v>84</v>
      </c>
      <c r="C1312" s="1">
        <f>YEAR(Tabela14[[#This Row],[DATA]])</f>
        <v>2026</v>
      </c>
      <c r="D1312" s="1">
        <f>MONTH(Tabela14[[#This Row],[DATA]])</f>
        <v>10</v>
      </c>
    </row>
    <row r="1313" spans="1:4" x14ac:dyDescent="0.35">
      <c r="A1313" s="2">
        <v>46297</v>
      </c>
      <c r="B1313" s="1" t="s">
        <v>84</v>
      </c>
      <c r="C1313" s="1">
        <f>YEAR(Tabela14[[#This Row],[DATA]])</f>
        <v>2026</v>
      </c>
      <c r="D1313" s="1">
        <f>MONTH(Tabela14[[#This Row],[DATA]])</f>
        <v>10</v>
      </c>
    </row>
    <row r="1314" spans="1:4" x14ac:dyDescent="0.35">
      <c r="A1314" s="2">
        <v>46297</v>
      </c>
      <c r="B1314" s="1" t="s">
        <v>9</v>
      </c>
      <c r="C1314" s="1">
        <f>YEAR(Tabela14[[#This Row],[DATA]])</f>
        <v>2026</v>
      </c>
      <c r="D1314" s="1">
        <f>MONTH(Tabela14[[#This Row],[DATA]])</f>
        <v>10</v>
      </c>
    </row>
    <row r="1315" spans="1:4" x14ac:dyDescent="0.35">
      <c r="A1315" s="2">
        <v>46297</v>
      </c>
      <c r="B1315" s="1" t="s">
        <v>9</v>
      </c>
      <c r="C1315" s="1">
        <f>YEAR(Tabela14[[#This Row],[DATA]])</f>
        <v>2026</v>
      </c>
      <c r="D1315" s="1">
        <f>MONTH(Tabela14[[#This Row],[DATA]])</f>
        <v>10</v>
      </c>
    </row>
    <row r="1316" spans="1:4" x14ac:dyDescent="0.35">
      <c r="A1316" s="2">
        <v>46297</v>
      </c>
      <c r="B1316" s="1" t="s">
        <v>9</v>
      </c>
      <c r="C1316" s="1">
        <f>YEAR(Tabela14[[#This Row],[DATA]])</f>
        <v>2026</v>
      </c>
      <c r="D1316" s="1">
        <f>MONTH(Tabela14[[#This Row],[DATA]])</f>
        <v>10</v>
      </c>
    </row>
    <row r="1317" spans="1:4" x14ac:dyDescent="0.35">
      <c r="A1317" s="2">
        <v>46297</v>
      </c>
      <c r="B1317" s="1" t="s">
        <v>9</v>
      </c>
      <c r="C1317" s="1">
        <f>YEAR(Tabela14[[#This Row],[DATA]])</f>
        <v>2026</v>
      </c>
      <c r="D1317" s="1">
        <f>MONTH(Tabela14[[#This Row],[DATA]])</f>
        <v>10</v>
      </c>
    </row>
    <row r="1318" spans="1:4" x14ac:dyDescent="0.35">
      <c r="A1318" s="2">
        <v>46297</v>
      </c>
      <c r="B1318" s="1" t="s">
        <v>9</v>
      </c>
      <c r="C1318" s="1">
        <f>YEAR(Tabela14[[#This Row],[DATA]])</f>
        <v>2026</v>
      </c>
      <c r="D1318" s="1">
        <f>MONTH(Tabela14[[#This Row],[DATA]])</f>
        <v>10</v>
      </c>
    </row>
    <row r="1319" spans="1:4" x14ac:dyDescent="0.35">
      <c r="A1319" s="2">
        <v>46297</v>
      </c>
      <c r="B1319" s="1" t="s">
        <v>9</v>
      </c>
      <c r="C1319" s="1">
        <f>YEAR(Tabela14[[#This Row],[DATA]])</f>
        <v>2026</v>
      </c>
      <c r="D1319" s="1">
        <f>MONTH(Tabela14[[#This Row],[DATA]])</f>
        <v>10</v>
      </c>
    </row>
    <row r="1320" spans="1:4" x14ac:dyDescent="0.35">
      <c r="A1320" s="2">
        <v>46297</v>
      </c>
      <c r="B1320" s="1" t="s">
        <v>28</v>
      </c>
      <c r="C1320" s="1">
        <f>YEAR(Tabela14[[#This Row],[DATA]])</f>
        <v>2026</v>
      </c>
      <c r="D1320" s="1">
        <f>MONTH(Tabela14[[#This Row],[DATA]])</f>
        <v>10</v>
      </c>
    </row>
    <row r="1321" spans="1:4" x14ac:dyDescent="0.35">
      <c r="A1321" s="2">
        <v>46297</v>
      </c>
      <c r="B1321" s="1" t="s">
        <v>22</v>
      </c>
      <c r="C1321" s="1">
        <f>YEAR(Tabela14[[#This Row],[DATA]])</f>
        <v>2026</v>
      </c>
      <c r="D1321" s="1">
        <f>MONTH(Tabela14[[#This Row],[DATA]])</f>
        <v>10</v>
      </c>
    </row>
    <row r="1322" spans="1:4" x14ac:dyDescent="0.35">
      <c r="A1322" s="2">
        <v>46297</v>
      </c>
      <c r="B1322" s="1" t="s">
        <v>22</v>
      </c>
      <c r="C1322" s="1">
        <f>YEAR(Tabela14[[#This Row],[DATA]])</f>
        <v>2026</v>
      </c>
      <c r="D1322" s="1">
        <f>MONTH(Tabela14[[#This Row],[DATA]])</f>
        <v>10</v>
      </c>
    </row>
    <row r="1323" spans="1:4" x14ac:dyDescent="0.35">
      <c r="A1323" s="2">
        <v>46297</v>
      </c>
      <c r="B1323" s="1" t="s">
        <v>22</v>
      </c>
      <c r="C1323" s="1">
        <f>YEAR(Tabela14[[#This Row],[DATA]])</f>
        <v>2026</v>
      </c>
      <c r="D1323" s="1">
        <f>MONTH(Tabela14[[#This Row],[DATA]])</f>
        <v>10</v>
      </c>
    </row>
    <row r="1324" spans="1:4" x14ac:dyDescent="0.35">
      <c r="A1324" s="2">
        <v>46297</v>
      </c>
      <c r="B1324" s="1" t="s">
        <v>22</v>
      </c>
      <c r="C1324" s="1">
        <f>YEAR(Tabela14[[#This Row],[DATA]])</f>
        <v>2026</v>
      </c>
      <c r="D1324" s="1">
        <f>MONTH(Tabela14[[#This Row],[DATA]])</f>
        <v>10</v>
      </c>
    </row>
    <row r="1325" spans="1:4" x14ac:dyDescent="0.35">
      <c r="A1325" s="2">
        <v>46297</v>
      </c>
      <c r="B1325" s="1" t="s">
        <v>22</v>
      </c>
      <c r="C1325" s="1">
        <f>YEAR(Tabela14[[#This Row],[DATA]])</f>
        <v>2026</v>
      </c>
      <c r="D1325" s="1">
        <f>MONTH(Tabela14[[#This Row],[DATA]])</f>
        <v>10</v>
      </c>
    </row>
    <row r="1326" spans="1:4" x14ac:dyDescent="0.35">
      <c r="A1326" s="2">
        <v>46297</v>
      </c>
      <c r="B1326" s="1" t="s">
        <v>22</v>
      </c>
      <c r="C1326" s="1">
        <f>YEAR(Tabela14[[#This Row],[DATA]])</f>
        <v>2026</v>
      </c>
      <c r="D1326" s="1">
        <f>MONTH(Tabela14[[#This Row],[DATA]])</f>
        <v>10</v>
      </c>
    </row>
    <row r="1327" spans="1:4" x14ac:dyDescent="0.35">
      <c r="A1327" s="2">
        <v>46297</v>
      </c>
      <c r="B1327" s="1" t="s">
        <v>22</v>
      </c>
      <c r="C1327" s="1">
        <f>YEAR(Tabela14[[#This Row],[DATA]])</f>
        <v>2026</v>
      </c>
      <c r="D1327" s="1">
        <f>MONTH(Tabela14[[#This Row],[DATA]])</f>
        <v>10</v>
      </c>
    </row>
    <row r="1328" spans="1:4" x14ac:dyDescent="0.35">
      <c r="A1328" s="2">
        <v>46297</v>
      </c>
      <c r="B1328" s="1" t="s">
        <v>84</v>
      </c>
      <c r="C1328" s="1">
        <f>YEAR(Tabela14[[#This Row],[DATA]])</f>
        <v>2026</v>
      </c>
      <c r="D1328" s="1">
        <f>MONTH(Tabela14[[#This Row],[DATA]])</f>
        <v>10</v>
      </c>
    </row>
    <row r="1329" spans="1:4" x14ac:dyDescent="0.35">
      <c r="A1329" s="2">
        <v>46297</v>
      </c>
      <c r="B1329" s="1" t="s">
        <v>84</v>
      </c>
      <c r="C1329" s="1">
        <f>YEAR(Tabela14[[#This Row],[DATA]])</f>
        <v>2026</v>
      </c>
      <c r="D1329" s="1">
        <f>MONTH(Tabela14[[#This Row],[DATA]])</f>
        <v>10</v>
      </c>
    </row>
    <row r="1330" spans="1:4" x14ac:dyDescent="0.35">
      <c r="A1330" s="2">
        <v>46300</v>
      </c>
      <c r="B1330" s="1" t="s">
        <v>24</v>
      </c>
      <c r="C1330" s="1">
        <f>YEAR(Tabela14[[#This Row],[DATA]])</f>
        <v>2026</v>
      </c>
      <c r="D1330" s="1">
        <f>MONTH(Tabela14[[#This Row],[DATA]])</f>
        <v>10</v>
      </c>
    </row>
    <row r="1331" spans="1:4" x14ac:dyDescent="0.35">
      <c r="A1331" s="2">
        <v>46300</v>
      </c>
      <c r="B1331" s="1" t="s">
        <v>24</v>
      </c>
      <c r="C1331" s="1">
        <f>YEAR(Tabela14[[#This Row],[DATA]])</f>
        <v>2026</v>
      </c>
      <c r="D1331" s="1">
        <f>MONTH(Tabela14[[#This Row],[DATA]])</f>
        <v>10</v>
      </c>
    </row>
    <row r="1332" spans="1:4" x14ac:dyDescent="0.35">
      <c r="A1332" s="2">
        <v>46300</v>
      </c>
      <c r="B1332" s="1" t="s">
        <v>24</v>
      </c>
      <c r="C1332" s="1">
        <f>YEAR(Tabela14[[#This Row],[DATA]])</f>
        <v>2026</v>
      </c>
      <c r="D1332" s="1">
        <f>MONTH(Tabela14[[#This Row],[DATA]])</f>
        <v>10</v>
      </c>
    </row>
    <row r="1333" spans="1:4" x14ac:dyDescent="0.35">
      <c r="A1333" s="2">
        <v>46300</v>
      </c>
      <c r="B1333" s="1" t="s">
        <v>24</v>
      </c>
      <c r="C1333" s="1">
        <f>YEAR(Tabela14[[#This Row],[DATA]])</f>
        <v>2026</v>
      </c>
      <c r="D1333" s="1">
        <f>MONTH(Tabela14[[#This Row],[DATA]])</f>
        <v>10</v>
      </c>
    </row>
    <row r="1334" spans="1:4" x14ac:dyDescent="0.35">
      <c r="A1334" s="2">
        <v>46300</v>
      </c>
      <c r="B1334" s="1" t="s">
        <v>24</v>
      </c>
      <c r="C1334" s="1">
        <f>YEAR(Tabela14[[#This Row],[DATA]])</f>
        <v>2026</v>
      </c>
      <c r="D1334" s="1">
        <f>MONTH(Tabela14[[#This Row],[DATA]])</f>
        <v>10</v>
      </c>
    </row>
    <row r="1335" spans="1:4" x14ac:dyDescent="0.35">
      <c r="A1335" s="2">
        <v>46300</v>
      </c>
      <c r="B1335" s="1" t="s">
        <v>24</v>
      </c>
      <c r="C1335" s="1">
        <f>YEAR(Tabela14[[#This Row],[DATA]])</f>
        <v>2026</v>
      </c>
      <c r="D1335" s="1">
        <f>MONTH(Tabela14[[#This Row],[DATA]])</f>
        <v>10</v>
      </c>
    </row>
    <row r="1336" spans="1:4" x14ac:dyDescent="0.35">
      <c r="A1336" s="2">
        <v>46300</v>
      </c>
      <c r="B1336" s="1" t="s">
        <v>19</v>
      </c>
      <c r="C1336" s="1">
        <f>YEAR(Tabela14[[#This Row],[DATA]])</f>
        <v>2026</v>
      </c>
      <c r="D1336" s="1">
        <f>MONTH(Tabela14[[#This Row],[DATA]])</f>
        <v>10</v>
      </c>
    </row>
    <row r="1337" spans="1:4" x14ac:dyDescent="0.35">
      <c r="A1337" s="2">
        <v>46300</v>
      </c>
      <c r="B1337" s="1" t="s">
        <v>19</v>
      </c>
      <c r="C1337" s="1">
        <f>YEAR(Tabela14[[#This Row],[DATA]])</f>
        <v>2026</v>
      </c>
      <c r="D1337" s="1">
        <f>MONTH(Tabela14[[#This Row],[DATA]])</f>
        <v>10</v>
      </c>
    </row>
    <row r="1338" spans="1:4" x14ac:dyDescent="0.35">
      <c r="A1338" s="2">
        <v>46300</v>
      </c>
      <c r="B1338" s="1" t="s">
        <v>19</v>
      </c>
      <c r="C1338" s="1">
        <f>YEAR(Tabela14[[#This Row],[DATA]])</f>
        <v>2026</v>
      </c>
      <c r="D1338" s="1">
        <f>MONTH(Tabela14[[#This Row],[DATA]])</f>
        <v>10</v>
      </c>
    </row>
    <row r="1339" spans="1:4" x14ac:dyDescent="0.35">
      <c r="A1339" s="2">
        <v>46300</v>
      </c>
      <c r="B1339" s="1" t="s">
        <v>19</v>
      </c>
      <c r="C1339" s="1">
        <f>YEAR(Tabela14[[#This Row],[DATA]])</f>
        <v>2026</v>
      </c>
      <c r="D1339" s="1">
        <f>MONTH(Tabela14[[#This Row],[DATA]])</f>
        <v>10</v>
      </c>
    </row>
    <row r="1340" spans="1:4" x14ac:dyDescent="0.35">
      <c r="A1340" s="2">
        <v>46300</v>
      </c>
      <c r="B1340" s="1" t="s">
        <v>24</v>
      </c>
      <c r="C1340" s="1">
        <f>YEAR(Tabela14[[#This Row],[DATA]])</f>
        <v>2026</v>
      </c>
      <c r="D1340" s="1">
        <f>MONTH(Tabela14[[#This Row],[DATA]])</f>
        <v>10</v>
      </c>
    </row>
    <row r="1341" spans="1:4" x14ac:dyDescent="0.35">
      <c r="A1341" s="2">
        <v>46300</v>
      </c>
      <c r="B1341" s="1" t="s">
        <v>19</v>
      </c>
      <c r="C1341" s="1">
        <f>YEAR(Tabela14[[#This Row],[DATA]])</f>
        <v>2026</v>
      </c>
      <c r="D1341" s="1">
        <f>MONTH(Tabela14[[#This Row],[DATA]])</f>
        <v>10</v>
      </c>
    </row>
    <row r="1342" spans="1:4" x14ac:dyDescent="0.35">
      <c r="A1342" s="2">
        <v>46300</v>
      </c>
      <c r="B1342" s="1" t="s">
        <v>19</v>
      </c>
      <c r="C1342" s="1">
        <f>YEAR(Tabela14[[#This Row],[DATA]])</f>
        <v>2026</v>
      </c>
      <c r="D1342" s="1">
        <f>MONTH(Tabela14[[#This Row],[DATA]])</f>
        <v>10</v>
      </c>
    </row>
    <row r="1343" spans="1:4" x14ac:dyDescent="0.35">
      <c r="A1343" s="2">
        <v>46300</v>
      </c>
      <c r="B1343" s="1" t="s">
        <v>28</v>
      </c>
      <c r="C1343" s="1">
        <f>YEAR(Tabela14[[#This Row],[DATA]])</f>
        <v>2026</v>
      </c>
      <c r="D1343" s="1">
        <f>MONTH(Tabela14[[#This Row],[DATA]])</f>
        <v>10</v>
      </c>
    </row>
    <row r="1344" spans="1:4" x14ac:dyDescent="0.35">
      <c r="A1344" s="2">
        <v>46300</v>
      </c>
      <c r="B1344" s="1" t="s">
        <v>28</v>
      </c>
      <c r="C1344" s="1">
        <f>YEAR(Tabela14[[#This Row],[DATA]])</f>
        <v>2026</v>
      </c>
      <c r="D1344" s="1">
        <f>MONTH(Tabela14[[#This Row],[DATA]])</f>
        <v>10</v>
      </c>
    </row>
    <row r="1345" spans="1:4" x14ac:dyDescent="0.35">
      <c r="A1345" s="2">
        <v>46300</v>
      </c>
      <c r="B1345" s="1" t="s">
        <v>84</v>
      </c>
      <c r="C1345" s="1">
        <f>YEAR(Tabela14[[#This Row],[DATA]])</f>
        <v>2026</v>
      </c>
      <c r="D1345" s="1">
        <f>MONTH(Tabela14[[#This Row],[DATA]])</f>
        <v>10</v>
      </c>
    </row>
    <row r="1346" spans="1:4" x14ac:dyDescent="0.35">
      <c r="A1346" s="2">
        <v>46300</v>
      </c>
      <c r="B1346" s="1" t="s">
        <v>84</v>
      </c>
      <c r="C1346" s="1">
        <f>YEAR(Tabela14[[#This Row],[DATA]])</f>
        <v>2026</v>
      </c>
      <c r="D1346" s="1">
        <f>MONTH(Tabela14[[#This Row],[DATA]])</f>
        <v>10</v>
      </c>
    </row>
    <row r="1347" spans="1:4" x14ac:dyDescent="0.35">
      <c r="A1347" s="2">
        <v>46300</v>
      </c>
      <c r="B1347" s="1" t="s">
        <v>84</v>
      </c>
      <c r="C1347" s="1">
        <f>YEAR(Tabela14[[#This Row],[DATA]])</f>
        <v>2026</v>
      </c>
      <c r="D1347" s="1">
        <f>MONTH(Tabela14[[#This Row],[DATA]])</f>
        <v>10</v>
      </c>
    </row>
    <row r="1348" spans="1:4" x14ac:dyDescent="0.35">
      <c r="A1348" s="2">
        <v>46300</v>
      </c>
      <c r="B1348" s="1" t="s">
        <v>84</v>
      </c>
      <c r="C1348" s="1">
        <f>YEAR(Tabela14[[#This Row],[DATA]])</f>
        <v>2026</v>
      </c>
      <c r="D1348" s="1">
        <f>MONTH(Tabela14[[#This Row],[DATA]])</f>
        <v>10</v>
      </c>
    </row>
    <row r="1349" spans="1:4" x14ac:dyDescent="0.35">
      <c r="A1349" s="2">
        <v>46300</v>
      </c>
      <c r="B1349" s="1" t="s">
        <v>9</v>
      </c>
      <c r="C1349" s="1">
        <f>YEAR(Tabela14[[#This Row],[DATA]])</f>
        <v>2026</v>
      </c>
      <c r="D1349" s="1">
        <f>MONTH(Tabela14[[#This Row],[DATA]])</f>
        <v>10</v>
      </c>
    </row>
    <row r="1350" spans="1:4" x14ac:dyDescent="0.35">
      <c r="A1350" s="2">
        <v>46300</v>
      </c>
      <c r="B1350" s="1" t="s">
        <v>9</v>
      </c>
      <c r="C1350" s="1">
        <f>YEAR(Tabela14[[#This Row],[DATA]])</f>
        <v>2026</v>
      </c>
      <c r="D1350" s="1">
        <f>MONTH(Tabela14[[#This Row],[DATA]])</f>
        <v>10</v>
      </c>
    </row>
    <row r="1351" spans="1:4" x14ac:dyDescent="0.35">
      <c r="A1351" s="2">
        <v>46300</v>
      </c>
      <c r="B1351" s="1" t="s">
        <v>9</v>
      </c>
      <c r="C1351" s="1">
        <f>YEAR(Tabela14[[#This Row],[DATA]])</f>
        <v>2026</v>
      </c>
      <c r="D1351" s="1">
        <f>MONTH(Tabela14[[#This Row],[DATA]])</f>
        <v>10</v>
      </c>
    </row>
    <row r="1352" spans="1:4" x14ac:dyDescent="0.35">
      <c r="A1352" s="2">
        <v>46300</v>
      </c>
      <c r="B1352" s="1" t="s">
        <v>9</v>
      </c>
      <c r="C1352" s="1">
        <f>YEAR(Tabela14[[#This Row],[DATA]])</f>
        <v>2026</v>
      </c>
      <c r="D1352" s="1">
        <f>MONTH(Tabela14[[#This Row],[DATA]])</f>
        <v>10</v>
      </c>
    </row>
    <row r="1353" spans="1:4" x14ac:dyDescent="0.35">
      <c r="A1353" s="2">
        <v>46300</v>
      </c>
      <c r="B1353" s="1" t="s">
        <v>9</v>
      </c>
      <c r="C1353" s="1">
        <f>YEAR(Tabela14[[#This Row],[DATA]])</f>
        <v>2026</v>
      </c>
      <c r="D1353" s="1">
        <f>MONTH(Tabela14[[#This Row],[DATA]])</f>
        <v>10</v>
      </c>
    </row>
    <row r="1354" spans="1:4" x14ac:dyDescent="0.35">
      <c r="A1354" s="2">
        <v>46301</v>
      </c>
      <c r="B1354" s="1" t="s">
        <v>19</v>
      </c>
      <c r="C1354" s="1">
        <f>YEAR(Tabela14[[#This Row],[DATA]])</f>
        <v>2026</v>
      </c>
      <c r="D1354" s="1">
        <f>MONTH(Tabela14[[#This Row],[DATA]])</f>
        <v>10</v>
      </c>
    </row>
    <row r="1355" spans="1:4" x14ac:dyDescent="0.35">
      <c r="A1355" s="2">
        <v>46301</v>
      </c>
      <c r="B1355" s="1" t="s">
        <v>19</v>
      </c>
      <c r="C1355" s="1">
        <f>YEAR(Tabela14[[#This Row],[DATA]])</f>
        <v>2026</v>
      </c>
      <c r="D1355" s="1">
        <f>MONTH(Tabela14[[#This Row],[DATA]])</f>
        <v>10</v>
      </c>
    </row>
    <row r="1356" spans="1:4" x14ac:dyDescent="0.35">
      <c r="A1356" s="2">
        <v>46301</v>
      </c>
      <c r="B1356" s="1" t="s">
        <v>19</v>
      </c>
      <c r="C1356" s="1">
        <f>YEAR(Tabela14[[#This Row],[DATA]])</f>
        <v>2026</v>
      </c>
      <c r="D1356" s="1">
        <f>MONTH(Tabela14[[#This Row],[DATA]])</f>
        <v>10</v>
      </c>
    </row>
    <row r="1357" spans="1:4" x14ac:dyDescent="0.35">
      <c r="A1357" s="2">
        <v>46301</v>
      </c>
      <c r="B1357" s="1" t="s">
        <v>19</v>
      </c>
      <c r="C1357" s="1">
        <f>YEAR(Tabela14[[#This Row],[DATA]])</f>
        <v>2026</v>
      </c>
      <c r="D1357" s="1">
        <f>MONTH(Tabela14[[#This Row],[DATA]])</f>
        <v>10</v>
      </c>
    </row>
    <row r="1358" spans="1:4" x14ac:dyDescent="0.35">
      <c r="A1358" s="2">
        <v>46301</v>
      </c>
      <c r="B1358" s="1" t="s">
        <v>19</v>
      </c>
      <c r="C1358" s="1">
        <f>YEAR(Tabela14[[#This Row],[DATA]])</f>
        <v>2026</v>
      </c>
      <c r="D1358" s="1">
        <f>MONTH(Tabela14[[#This Row],[DATA]])</f>
        <v>10</v>
      </c>
    </row>
    <row r="1359" spans="1:4" x14ac:dyDescent="0.35">
      <c r="A1359" s="2">
        <v>46301</v>
      </c>
      <c r="B1359" s="1" t="s">
        <v>19</v>
      </c>
      <c r="C1359" s="1">
        <f>YEAR(Tabela14[[#This Row],[DATA]])</f>
        <v>2026</v>
      </c>
      <c r="D1359" s="1">
        <f>MONTH(Tabela14[[#This Row],[DATA]])</f>
        <v>10</v>
      </c>
    </row>
    <row r="1360" spans="1:4" x14ac:dyDescent="0.35">
      <c r="A1360" s="2">
        <v>46301</v>
      </c>
      <c r="B1360" s="1" t="s">
        <v>24</v>
      </c>
      <c r="C1360" s="1">
        <f>YEAR(Tabela14[[#This Row],[DATA]])</f>
        <v>2026</v>
      </c>
      <c r="D1360" s="1">
        <f>MONTH(Tabela14[[#This Row],[DATA]])</f>
        <v>10</v>
      </c>
    </row>
    <row r="1361" spans="1:4" x14ac:dyDescent="0.35">
      <c r="A1361" s="2">
        <v>46301</v>
      </c>
      <c r="B1361" s="1" t="s">
        <v>24</v>
      </c>
      <c r="C1361" s="1">
        <f>YEAR(Tabela14[[#This Row],[DATA]])</f>
        <v>2026</v>
      </c>
      <c r="D1361" s="1">
        <f>MONTH(Tabela14[[#This Row],[DATA]])</f>
        <v>10</v>
      </c>
    </row>
    <row r="1362" spans="1:4" x14ac:dyDescent="0.35">
      <c r="A1362" s="2">
        <v>46301</v>
      </c>
      <c r="B1362" s="1" t="s">
        <v>24</v>
      </c>
      <c r="C1362" s="1">
        <f>YEAR(Tabela14[[#This Row],[DATA]])</f>
        <v>2026</v>
      </c>
      <c r="D1362" s="1">
        <f>MONTH(Tabela14[[#This Row],[DATA]])</f>
        <v>10</v>
      </c>
    </row>
    <row r="1363" spans="1:4" x14ac:dyDescent="0.35">
      <c r="A1363" s="2">
        <v>46301</v>
      </c>
      <c r="B1363" s="1" t="s">
        <v>24</v>
      </c>
      <c r="C1363" s="1">
        <f>YEAR(Tabela14[[#This Row],[DATA]])</f>
        <v>2026</v>
      </c>
      <c r="D1363" s="1">
        <f>MONTH(Tabela14[[#This Row],[DATA]])</f>
        <v>10</v>
      </c>
    </row>
    <row r="1364" spans="1:4" x14ac:dyDescent="0.35">
      <c r="A1364" s="2">
        <v>46301</v>
      </c>
      <c r="B1364" s="1" t="s">
        <v>24</v>
      </c>
      <c r="C1364" s="1">
        <f>YEAR(Tabela14[[#This Row],[DATA]])</f>
        <v>2026</v>
      </c>
      <c r="D1364" s="1">
        <f>MONTH(Tabela14[[#This Row],[DATA]])</f>
        <v>10</v>
      </c>
    </row>
    <row r="1365" spans="1:4" x14ac:dyDescent="0.35">
      <c r="A1365" s="2">
        <v>46301</v>
      </c>
      <c r="B1365" s="1" t="s">
        <v>19</v>
      </c>
      <c r="C1365" s="1">
        <f>YEAR(Tabela14[[#This Row],[DATA]])</f>
        <v>2026</v>
      </c>
      <c r="D1365" s="1">
        <f>MONTH(Tabela14[[#This Row],[DATA]])</f>
        <v>10</v>
      </c>
    </row>
    <row r="1366" spans="1:4" x14ac:dyDescent="0.35">
      <c r="A1366" s="2">
        <v>46301</v>
      </c>
      <c r="B1366" s="1" t="s">
        <v>24</v>
      </c>
      <c r="C1366" s="1">
        <f>YEAR(Tabela14[[#This Row],[DATA]])</f>
        <v>2026</v>
      </c>
      <c r="D1366" s="1">
        <f>MONTH(Tabela14[[#This Row],[DATA]])</f>
        <v>10</v>
      </c>
    </row>
    <row r="1367" spans="1:4" x14ac:dyDescent="0.35">
      <c r="A1367" s="2">
        <v>46301</v>
      </c>
      <c r="B1367" s="1" t="s">
        <v>24</v>
      </c>
      <c r="C1367" s="1">
        <f>YEAR(Tabela14[[#This Row],[DATA]])</f>
        <v>2026</v>
      </c>
      <c r="D1367" s="1">
        <f>MONTH(Tabela14[[#This Row],[DATA]])</f>
        <v>10</v>
      </c>
    </row>
    <row r="1368" spans="1:4" x14ac:dyDescent="0.35">
      <c r="A1368" s="2">
        <v>46301</v>
      </c>
      <c r="B1368" s="1" t="s">
        <v>19</v>
      </c>
      <c r="C1368" s="1">
        <f>YEAR(Tabela14[[#This Row],[DATA]])</f>
        <v>2026</v>
      </c>
      <c r="D1368" s="1">
        <f>MONTH(Tabela14[[#This Row],[DATA]])</f>
        <v>10</v>
      </c>
    </row>
    <row r="1369" spans="1:4" x14ac:dyDescent="0.35">
      <c r="A1369" s="2">
        <v>46301</v>
      </c>
      <c r="B1369" s="1" t="s">
        <v>28</v>
      </c>
      <c r="C1369" s="1">
        <f>YEAR(Tabela14[[#This Row],[DATA]])</f>
        <v>2026</v>
      </c>
      <c r="D1369" s="1">
        <f>MONTH(Tabela14[[#This Row],[DATA]])</f>
        <v>10</v>
      </c>
    </row>
    <row r="1370" spans="1:4" x14ac:dyDescent="0.35">
      <c r="A1370" s="2">
        <v>46302</v>
      </c>
      <c r="B1370" s="1" t="s">
        <v>19</v>
      </c>
      <c r="C1370" s="1">
        <f>YEAR(Tabela14[[#This Row],[DATA]])</f>
        <v>2026</v>
      </c>
      <c r="D1370" s="1">
        <f>MONTH(Tabela14[[#This Row],[DATA]])</f>
        <v>10</v>
      </c>
    </row>
    <row r="1371" spans="1:4" x14ac:dyDescent="0.35">
      <c r="A1371" s="2">
        <v>46302</v>
      </c>
      <c r="B1371" s="1" t="s">
        <v>84</v>
      </c>
      <c r="C1371" s="1">
        <f>YEAR(Tabela14[[#This Row],[DATA]])</f>
        <v>2026</v>
      </c>
      <c r="D1371" s="1">
        <f>MONTH(Tabela14[[#This Row],[DATA]])</f>
        <v>10</v>
      </c>
    </row>
    <row r="1372" spans="1:4" x14ac:dyDescent="0.35">
      <c r="A1372" s="2">
        <v>46302</v>
      </c>
      <c r="B1372" s="1" t="s">
        <v>84</v>
      </c>
      <c r="C1372" s="1">
        <f>YEAR(Tabela14[[#This Row],[DATA]])</f>
        <v>2026</v>
      </c>
      <c r="D1372" s="1">
        <f>MONTH(Tabela14[[#This Row],[DATA]])</f>
        <v>10</v>
      </c>
    </row>
    <row r="1373" spans="1:4" x14ac:dyDescent="0.35">
      <c r="A1373" s="2">
        <v>46302</v>
      </c>
      <c r="B1373" s="1" t="s">
        <v>19</v>
      </c>
      <c r="C1373" s="1">
        <f>YEAR(Tabela14[[#This Row],[DATA]])</f>
        <v>2026</v>
      </c>
      <c r="D1373" s="1">
        <f>MONTH(Tabela14[[#This Row],[DATA]])</f>
        <v>10</v>
      </c>
    </row>
    <row r="1374" spans="1:4" x14ac:dyDescent="0.35">
      <c r="A1374" s="2">
        <v>46302</v>
      </c>
      <c r="B1374" s="1" t="s">
        <v>9</v>
      </c>
      <c r="C1374" s="1">
        <f>YEAR(Tabela14[[#This Row],[DATA]])</f>
        <v>2026</v>
      </c>
      <c r="D1374" s="1">
        <f>MONTH(Tabela14[[#This Row],[DATA]])</f>
        <v>10</v>
      </c>
    </row>
    <row r="1375" spans="1:4" x14ac:dyDescent="0.35">
      <c r="A1375" s="2">
        <v>46303</v>
      </c>
      <c r="B1375" s="1" t="s">
        <v>19</v>
      </c>
      <c r="C1375" s="1">
        <f>YEAR(Tabela14[[#This Row],[DATA]])</f>
        <v>2026</v>
      </c>
      <c r="D1375" s="1">
        <f>MONTH(Tabela14[[#This Row],[DATA]])</f>
        <v>10</v>
      </c>
    </row>
    <row r="1376" spans="1:4" x14ac:dyDescent="0.35">
      <c r="A1376" s="2">
        <v>46303</v>
      </c>
      <c r="B1376" s="1" t="s">
        <v>19</v>
      </c>
      <c r="C1376" s="1">
        <f>YEAR(Tabela14[[#This Row],[DATA]])</f>
        <v>2026</v>
      </c>
      <c r="D1376" s="1">
        <f>MONTH(Tabela14[[#This Row],[DATA]])</f>
        <v>10</v>
      </c>
    </row>
    <row r="1377" spans="1:4" x14ac:dyDescent="0.35">
      <c r="A1377" s="2">
        <v>46303</v>
      </c>
      <c r="B1377" s="1" t="s">
        <v>9</v>
      </c>
      <c r="C1377" s="1">
        <f>YEAR(Tabela14[[#This Row],[DATA]])</f>
        <v>2026</v>
      </c>
      <c r="D1377" s="1">
        <f>MONTH(Tabela14[[#This Row],[DATA]])</f>
        <v>10</v>
      </c>
    </row>
    <row r="1378" spans="1:4" x14ac:dyDescent="0.35">
      <c r="A1378" s="2">
        <v>46303</v>
      </c>
      <c r="B1378" s="1" t="s">
        <v>9</v>
      </c>
      <c r="C1378" s="1">
        <f>YEAR(Tabela14[[#This Row],[DATA]])</f>
        <v>2026</v>
      </c>
      <c r="D1378" s="1">
        <f>MONTH(Tabela14[[#This Row],[DATA]])</f>
        <v>10</v>
      </c>
    </row>
    <row r="1379" spans="1:4" x14ac:dyDescent="0.35">
      <c r="A1379" s="2">
        <v>46303</v>
      </c>
      <c r="B1379" s="1" t="s">
        <v>9</v>
      </c>
      <c r="C1379" s="1">
        <f>YEAR(Tabela14[[#This Row],[DATA]])</f>
        <v>2026</v>
      </c>
      <c r="D1379" s="1">
        <f>MONTH(Tabela14[[#This Row],[DATA]])</f>
        <v>10</v>
      </c>
    </row>
    <row r="1380" spans="1:4" x14ac:dyDescent="0.35">
      <c r="A1380" s="2">
        <v>46303</v>
      </c>
      <c r="B1380" s="1" t="s">
        <v>9</v>
      </c>
      <c r="C1380" s="1">
        <f>YEAR(Tabela14[[#This Row],[DATA]])</f>
        <v>2026</v>
      </c>
      <c r="D1380" s="1">
        <f>MONTH(Tabela14[[#This Row],[DATA]])</f>
        <v>10</v>
      </c>
    </row>
    <row r="1381" spans="1:4" x14ac:dyDescent="0.35">
      <c r="A1381" s="2">
        <v>46303</v>
      </c>
      <c r="B1381" s="1" t="s">
        <v>22</v>
      </c>
      <c r="C1381" s="1">
        <f>YEAR(Tabela14[[#This Row],[DATA]])</f>
        <v>2026</v>
      </c>
      <c r="D1381" s="1">
        <f>MONTH(Tabela14[[#This Row],[DATA]])</f>
        <v>10</v>
      </c>
    </row>
    <row r="1382" spans="1:4" x14ac:dyDescent="0.35">
      <c r="A1382" s="2">
        <v>46303</v>
      </c>
      <c r="B1382" s="1" t="s">
        <v>22</v>
      </c>
      <c r="C1382" s="1">
        <f>YEAR(Tabela14[[#This Row],[DATA]])</f>
        <v>2026</v>
      </c>
      <c r="D1382" s="1">
        <f>MONTH(Tabela14[[#This Row],[DATA]])</f>
        <v>10</v>
      </c>
    </row>
    <row r="1383" spans="1:4" x14ac:dyDescent="0.35">
      <c r="A1383" s="2">
        <v>46303</v>
      </c>
      <c r="B1383" s="1" t="s">
        <v>22</v>
      </c>
      <c r="C1383" s="1">
        <f>YEAR(Tabela14[[#This Row],[DATA]])</f>
        <v>2026</v>
      </c>
      <c r="D1383" s="1">
        <f>MONTH(Tabela14[[#This Row],[DATA]])</f>
        <v>10</v>
      </c>
    </row>
    <row r="1384" spans="1:4" x14ac:dyDescent="0.35">
      <c r="A1384" s="2">
        <v>46303</v>
      </c>
      <c r="B1384" s="1" t="s">
        <v>22</v>
      </c>
      <c r="C1384" s="1">
        <f>YEAR(Tabela14[[#This Row],[DATA]])</f>
        <v>2026</v>
      </c>
      <c r="D1384" s="1">
        <f>MONTH(Tabela14[[#This Row],[DATA]])</f>
        <v>10</v>
      </c>
    </row>
    <row r="1385" spans="1:4" x14ac:dyDescent="0.35">
      <c r="A1385" s="2">
        <v>46303</v>
      </c>
      <c r="B1385" s="1" t="s">
        <v>22</v>
      </c>
      <c r="C1385" s="1">
        <f>YEAR(Tabela14[[#This Row],[DATA]])</f>
        <v>2026</v>
      </c>
      <c r="D1385" s="1">
        <f>MONTH(Tabela14[[#This Row],[DATA]])</f>
        <v>10</v>
      </c>
    </row>
    <row r="1386" spans="1:4" x14ac:dyDescent="0.35">
      <c r="A1386" s="2">
        <v>46303</v>
      </c>
      <c r="B1386" s="1" t="s">
        <v>22</v>
      </c>
      <c r="C1386" s="1">
        <f>YEAR(Tabela14[[#This Row],[DATA]])</f>
        <v>2026</v>
      </c>
      <c r="D1386" s="1">
        <f>MONTH(Tabela14[[#This Row],[DATA]])</f>
        <v>10</v>
      </c>
    </row>
    <row r="1387" spans="1:4" x14ac:dyDescent="0.35">
      <c r="A1387" s="2">
        <v>46303</v>
      </c>
      <c r="B1387" s="1" t="s">
        <v>22</v>
      </c>
      <c r="C1387" s="1">
        <f>YEAR(Tabela14[[#This Row],[DATA]])</f>
        <v>2026</v>
      </c>
      <c r="D1387" s="1">
        <f>MONTH(Tabela14[[#This Row],[DATA]])</f>
        <v>10</v>
      </c>
    </row>
    <row r="1388" spans="1:4" x14ac:dyDescent="0.35">
      <c r="A1388" s="2">
        <v>46303</v>
      </c>
      <c r="B1388" s="1" t="s">
        <v>22</v>
      </c>
      <c r="C1388" s="1">
        <f>YEAR(Tabela14[[#This Row],[DATA]])</f>
        <v>2026</v>
      </c>
      <c r="D1388" s="1">
        <f>MONTH(Tabela14[[#This Row],[DATA]])</f>
        <v>10</v>
      </c>
    </row>
    <row r="1389" spans="1:4" x14ac:dyDescent="0.35">
      <c r="A1389" s="2">
        <v>46303</v>
      </c>
      <c r="B1389" s="1" t="s">
        <v>22</v>
      </c>
      <c r="C1389" s="1">
        <f>YEAR(Tabela14[[#This Row],[DATA]])</f>
        <v>2026</v>
      </c>
      <c r="D1389" s="1">
        <f>MONTH(Tabela14[[#This Row],[DATA]])</f>
        <v>10</v>
      </c>
    </row>
    <row r="1390" spans="1:4" x14ac:dyDescent="0.35">
      <c r="A1390" s="2">
        <v>46303</v>
      </c>
      <c r="B1390" s="1" t="s">
        <v>22</v>
      </c>
      <c r="C1390" s="1">
        <f>YEAR(Tabela14[[#This Row],[DATA]])</f>
        <v>2026</v>
      </c>
      <c r="D1390" s="1">
        <f>MONTH(Tabela14[[#This Row],[DATA]])</f>
        <v>10</v>
      </c>
    </row>
    <row r="1391" spans="1:4" x14ac:dyDescent="0.35">
      <c r="A1391" s="2">
        <v>46303</v>
      </c>
      <c r="B1391" s="1" t="s">
        <v>22</v>
      </c>
      <c r="C1391" s="1">
        <f>YEAR(Tabela14[[#This Row],[DATA]])</f>
        <v>2026</v>
      </c>
      <c r="D1391" s="1">
        <f>MONTH(Tabela14[[#This Row],[DATA]])</f>
        <v>10</v>
      </c>
    </row>
    <row r="1392" spans="1:4" x14ac:dyDescent="0.35">
      <c r="A1392" s="2">
        <v>46303</v>
      </c>
      <c r="B1392" s="1" t="s">
        <v>22</v>
      </c>
      <c r="C1392" s="1">
        <f>YEAR(Tabela14[[#This Row],[DATA]])</f>
        <v>2026</v>
      </c>
      <c r="D1392" s="1">
        <f>MONTH(Tabela14[[#This Row],[DATA]])</f>
        <v>10</v>
      </c>
    </row>
    <row r="1393" spans="1:4" x14ac:dyDescent="0.35">
      <c r="A1393" s="2">
        <v>46303</v>
      </c>
      <c r="B1393" s="1" t="s">
        <v>22</v>
      </c>
      <c r="C1393" s="1">
        <f>YEAR(Tabela14[[#This Row],[DATA]])</f>
        <v>2026</v>
      </c>
      <c r="D1393" s="1">
        <f>MONTH(Tabela14[[#This Row],[DATA]])</f>
        <v>10</v>
      </c>
    </row>
    <row r="1394" spans="1:4" x14ac:dyDescent="0.35">
      <c r="A1394" s="2">
        <v>46304</v>
      </c>
      <c r="B1394" s="1" t="s">
        <v>28</v>
      </c>
      <c r="C1394" s="1">
        <f>YEAR(Tabela14[[#This Row],[DATA]])</f>
        <v>2026</v>
      </c>
      <c r="D1394" s="1">
        <f>MONTH(Tabela14[[#This Row],[DATA]])</f>
        <v>10</v>
      </c>
    </row>
    <row r="1395" spans="1:4" x14ac:dyDescent="0.35">
      <c r="A1395" s="2">
        <v>46304</v>
      </c>
      <c r="B1395" s="1" t="s">
        <v>19</v>
      </c>
      <c r="C1395" s="1">
        <f>YEAR(Tabela14[[#This Row],[DATA]])</f>
        <v>2026</v>
      </c>
      <c r="D1395" s="1">
        <f>MONTH(Tabela14[[#This Row],[DATA]])</f>
        <v>10</v>
      </c>
    </row>
    <row r="1396" spans="1:4" x14ac:dyDescent="0.35">
      <c r="A1396" s="2">
        <v>46304</v>
      </c>
      <c r="B1396" s="1" t="s">
        <v>9</v>
      </c>
      <c r="C1396" s="1">
        <f>YEAR(Tabela14[[#This Row],[DATA]])</f>
        <v>2026</v>
      </c>
      <c r="D1396" s="1">
        <f>MONTH(Tabela14[[#This Row],[DATA]])</f>
        <v>10</v>
      </c>
    </row>
    <row r="1397" spans="1:4" x14ac:dyDescent="0.35">
      <c r="A1397" s="2">
        <v>46304</v>
      </c>
      <c r="B1397" s="1" t="s">
        <v>9</v>
      </c>
      <c r="C1397" s="1">
        <f>YEAR(Tabela14[[#This Row],[DATA]])</f>
        <v>2026</v>
      </c>
      <c r="D1397" s="1">
        <f>MONTH(Tabela14[[#This Row],[DATA]])</f>
        <v>10</v>
      </c>
    </row>
    <row r="1398" spans="1:4" x14ac:dyDescent="0.35">
      <c r="A1398" s="2">
        <v>46304</v>
      </c>
      <c r="B1398" s="1" t="s">
        <v>9</v>
      </c>
      <c r="C1398" s="1">
        <f>YEAR(Tabela14[[#This Row],[DATA]])</f>
        <v>2026</v>
      </c>
      <c r="D1398" s="1">
        <f>MONTH(Tabela14[[#This Row],[DATA]])</f>
        <v>10</v>
      </c>
    </row>
    <row r="1399" spans="1:4" x14ac:dyDescent="0.35">
      <c r="A1399" s="2">
        <v>46304</v>
      </c>
      <c r="B1399" s="1" t="s">
        <v>9</v>
      </c>
      <c r="C1399" s="1">
        <f>YEAR(Tabela14[[#This Row],[DATA]])</f>
        <v>2026</v>
      </c>
      <c r="D1399" s="1">
        <f>MONTH(Tabela14[[#This Row],[DATA]])</f>
        <v>10</v>
      </c>
    </row>
    <row r="1400" spans="1:4" x14ac:dyDescent="0.35">
      <c r="A1400" s="2">
        <v>46304</v>
      </c>
      <c r="B1400" s="1" t="s">
        <v>9</v>
      </c>
      <c r="C1400" s="1">
        <f>YEAR(Tabela14[[#This Row],[DATA]])</f>
        <v>2026</v>
      </c>
      <c r="D1400" s="1">
        <f>MONTH(Tabela14[[#This Row],[DATA]])</f>
        <v>10</v>
      </c>
    </row>
    <row r="1401" spans="1:4" x14ac:dyDescent="0.35">
      <c r="A1401" s="2">
        <v>46304</v>
      </c>
      <c r="B1401" s="1" t="s">
        <v>19</v>
      </c>
      <c r="C1401" s="1">
        <f>YEAR(Tabela14[[#This Row],[DATA]])</f>
        <v>2026</v>
      </c>
      <c r="D1401" s="1">
        <f>MONTH(Tabela14[[#This Row],[DATA]])</f>
        <v>10</v>
      </c>
    </row>
    <row r="1402" spans="1:4" x14ac:dyDescent="0.35">
      <c r="A1402" s="2">
        <v>46304</v>
      </c>
      <c r="B1402" s="1" t="s">
        <v>19</v>
      </c>
      <c r="C1402" s="1">
        <f>YEAR(Tabela14[[#This Row],[DATA]])</f>
        <v>2026</v>
      </c>
      <c r="D1402" s="1">
        <f>MONTH(Tabela14[[#This Row],[DATA]])</f>
        <v>10</v>
      </c>
    </row>
    <row r="1403" spans="1:4" x14ac:dyDescent="0.35">
      <c r="A1403" s="2">
        <v>46304</v>
      </c>
      <c r="B1403" s="1" t="s">
        <v>19</v>
      </c>
      <c r="C1403" s="1">
        <f>YEAR(Tabela14[[#This Row],[DATA]])</f>
        <v>2026</v>
      </c>
      <c r="D1403" s="1">
        <f>MONTH(Tabela14[[#This Row],[DATA]])</f>
        <v>10</v>
      </c>
    </row>
    <row r="1404" spans="1:4" x14ac:dyDescent="0.35">
      <c r="A1404" s="2">
        <v>46304</v>
      </c>
      <c r="B1404" s="1" t="s">
        <v>84</v>
      </c>
      <c r="C1404" s="1">
        <f>YEAR(Tabela14[[#This Row],[DATA]])</f>
        <v>2026</v>
      </c>
      <c r="D1404" s="1">
        <f>MONTH(Tabela14[[#This Row],[DATA]])</f>
        <v>10</v>
      </c>
    </row>
    <row r="1405" spans="1:4" x14ac:dyDescent="0.35">
      <c r="A1405" s="2">
        <v>46308</v>
      </c>
      <c r="B1405" s="1" t="s">
        <v>83</v>
      </c>
      <c r="C1405" s="1">
        <f>YEAR(Tabela14[[#This Row],[DATA]])</f>
        <v>2026</v>
      </c>
      <c r="D1405" s="1">
        <f>MONTH(Tabela14[[#This Row],[DATA]])</f>
        <v>10</v>
      </c>
    </row>
    <row r="1406" spans="1:4" x14ac:dyDescent="0.35">
      <c r="A1406" s="2">
        <v>46308</v>
      </c>
      <c r="B1406" s="1" t="s">
        <v>83</v>
      </c>
      <c r="C1406" s="1">
        <f>YEAR(Tabela14[[#This Row],[DATA]])</f>
        <v>2026</v>
      </c>
      <c r="D1406" s="1">
        <f>MONTH(Tabela14[[#This Row],[DATA]])</f>
        <v>10</v>
      </c>
    </row>
    <row r="1407" spans="1:4" x14ac:dyDescent="0.35">
      <c r="A1407" s="2">
        <v>46308</v>
      </c>
      <c r="B1407" s="1" t="s">
        <v>83</v>
      </c>
      <c r="C1407" s="1">
        <f>YEAR(Tabela14[[#This Row],[DATA]])</f>
        <v>2026</v>
      </c>
      <c r="D1407" s="1">
        <f>MONTH(Tabela14[[#This Row],[DATA]])</f>
        <v>10</v>
      </c>
    </row>
    <row r="1408" spans="1:4" x14ac:dyDescent="0.35">
      <c r="A1408" s="2">
        <v>46308</v>
      </c>
      <c r="B1408" s="1" t="s">
        <v>83</v>
      </c>
      <c r="C1408" s="1">
        <f>YEAR(Tabela14[[#This Row],[DATA]])</f>
        <v>2026</v>
      </c>
      <c r="D1408" s="1">
        <f>MONTH(Tabela14[[#This Row],[DATA]])</f>
        <v>10</v>
      </c>
    </row>
    <row r="1409" spans="1:4" x14ac:dyDescent="0.35">
      <c r="A1409" s="2">
        <v>46308</v>
      </c>
      <c r="B1409" s="1" t="s">
        <v>83</v>
      </c>
      <c r="C1409" s="1">
        <f>YEAR(Tabela14[[#This Row],[DATA]])</f>
        <v>2026</v>
      </c>
      <c r="D1409" s="1">
        <f>MONTH(Tabela14[[#This Row],[DATA]])</f>
        <v>10</v>
      </c>
    </row>
    <row r="1410" spans="1:4" x14ac:dyDescent="0.35">
      <c r="A1410" s="2">
        <v>46308</v>
      </c>
      <c r="B1410" s="1" t="s">
        <v>84</v>
      </c>
      <c r="C1410" s="1">
        <f>YEAR(Tabela14[[#This Row],[DATA]])</f>
        <v>2026</v>
      </c>
      <c r="D1410" s="1">
        <f>MONTH(Tabela14[[#This Row],[DATA]])</f>
        <v>10</v>
      </c>
    </row>
    <row r="1411" spans="1:4" x14ac:dyDescent="0.35">
      <c r="A1411" s="2">
        <v>46308</v>
      </c>
      <c r="B1411" s="1" t="s">
        <v>84</v>
      </c>
      <c r="C1411" s="1">
        <f>YEAR(Tabela14[[#This Row],[DATA]])</f>
        <v>2026</v>
      </c>
      <c r="D1411" s="1">
        <f>MONTH(Tabela14[[#This Row],[DATA]])</f>
        <v>10</v>
      </c>
    </row>
    <row r="1412" spans="1:4" x14ac:dyDescent="0.35">
      <c r="A1412" s="2">
        <v>46308</v>
      </c>
      <c r="B1412" s="1" t="s">
        <v>84</v>
      </c>
      <c r="C1412" s="1">
        <f>YEAR(Tabela14[[#This Row],[DATA]])</f>
        <v>2026</v>
      </c>
      <c r="D1412" s="1">
        <f>MONTH(Tabela14[[#This Row],[DATA]])</f>
        <v>10</v>
      </c>
    </row>
    <row r="1413" spans="1:4" x14ac:dyDescent="0.35">
      <c r="A1413" s="2">
        <v>46308</v>
      </c>
      <c r="B1413" s="1" t="s">
        <v>84</v>
      </c>
      <c r="C1413" s="1">
        <f>YEAR(Tabela14[[#This Row],[DATA]])</f>
        <v>2026</v>
      </c>
      <c r="D1413" s="1">
        <f>MONTH(Tabela14[[#This Row],[DATA]])</f>
        <v>10</v>
      </c>
    </row>
    <row r="1414" spans="1:4" x14ac:dyDescent="0.35">
      <c r="A1414" s="2">
        <v>46308</v>
      </c>
      <c r="B1414" s="1" t="s">
        <v>9</v>
      </c>
      <c r="C1414" s="1">
        <f>YEAR(Tabela14[[#This Row],[DATA]])</f>
        <v>2026</v>
      </c>
      <c r="D1414" s="1">
        <f>MONTH(Tabela14[[#This Row],[DATA]])</f>
        <v>10</v>
      </c>
    </row>
    <row r="1415" spans="1:4" x14ac:dyDescent="0.35">
      <c r="A1415" s="2">
        <v>46308</v>
      </c>
      <c r="B1415" s="1" t="s">
        <v>9</v>
      </c>
      <c r="C1415" s="1">
        <f>YEAR(Tabela14[[#This Row],[DATA]])</f>
        <v>2026</v>
      </c>
      <c r="D1415" s="1">
        <f>MONTH(Tabela14[[#This Row],[DATA]])</f>
        <v>10</v>
      </c>
    </row>
    <row r="1416" spans="1:4" x14ac:dyDescent="0.35">
      <c r="A1416" s="2">
        <v>46308</v>
      </c>
      <c r="B1416" s="1" t="s">
        <v>9</v>
      </c>
      <c r="C1416" s="1">
        <f>YEAR(Tabela14[[#This Row],[DATA]])</f>
        <v>2026</v>
      </c>
      <c r="D1416" s="1">
        <f>MONTH(Tabela14[[#This Row],[DATA]])</f>
        <v>10</v>
      </c>
    </row>
    <row r="1417" spans="1:4" x14ac:dyDescent="0.35">
      <c r="A1417" s="2">
        <v>46308</v>
      </c>
      <c r="B1417" s="1" t="s">
        <v>19</v>
      </c>
      <c r="C1417" s="1">
        <f>YEAR(Tabela14[[#This Row],[DATA]])</f>
        <v>2026</v>
      </c>
      <c r="D1417" s="1">
        <f>MONTH(Tabela14[[#This Row],[DATA]])</f>
        <v>10</v>
      </c>
    </row>
    <row r="1418" spans="1:4" x14ac:dyDescent="0.35">
      <c r="A1418" s="2">
        <v>46308</v>
      </c>
      <c r="B1418" s="1" t="s">
        <v>19</v>
      </c>
      <c r="C1418" s="1">
        <f>YEAR(Tabela14[[#This Row],[DATA]])</f>
        <v>2026</v>
      </c>
      <c r="D1418" s="1">
        <f>MONTH(Tabela14[[#This Row],[DATA]])</f>
        <v>10</v>
      </c>
    </row>
    <row r="1419" spans="1:4" x14ac:dyDescent="0.35">
      <c r="A1419" s="2">
        <v>46308</v>
      </c>
      <c r="B1419" s="1" t="s">
        <v>19</v>
      </c>
      <c r="C1419" s="1">
        <f>YEAR(Tabela14[[#This Row],[DATA]])</f>
        <v>2026</v>
      </c>
      <c r="D1419" s="1">
        <f>MONTH(Tabela14[[#This Row],[DATA]])</f>
        <v>10</v>
      </c>
    </row>
    <row r="1420" spans="1:4" x14ac:dyDescent="0.35">
      <c r="A1420" s="2">
        <v>46308</v>
      </c>
      <c r="B1420" s="1" t="s">
        <v>83</v>
      </c>
      <c r="C1420" s="1">
        <f>YEAR(Tabela14[[#This Row],[DATA]])</f>
        <v>2026</v>
      </c>
      <c r="D1420" s="1">
        <f>MONTH(Tabela14[[#This Row],[DATA]])</f>
        <v>10</v>
      </c>
    </row>
    <row r="1421" spans="1:4" x14ac:dyDescent="0.35">
      <c r="A1421" s="2">
        <v>46308</v>
      </c>
      <c r="B1421" s="1" t="s">
        <v>24</v>
      </c>
      <c r="C1421" s="1">
        <f>YEAR(Tabela14[[#This Row],[DATA]])</f>
        <v>2026</v>
      </c>
      <c r="D1421" s="1">
        <f>MONTH(Tabela14[[#This Row],[DATA]])</f>
        <v>10</v>
      </c>
    </row>
    <row r="1422" spans="1:4" x14ac:dyDescent="0.35">
      <c r="A1422" s="2">
        <v>46308</v>
      </c>
      <c r="B1422" s="1" t="s">
        <v>24</v>
      </c>
      <c r="C1422" s="1">
        <f>YEAR(Tabela14[[#This Row],[DATA]])</f>
        <v>2026</v>
      </c>
      <c r="D1422" s="1">
        <f>MONTH(Tabela14[[#This Row],[DATA]])</f>
        <v>10</v>
      </c>
    </row>
    <row r="1423" spans="1:4" x14ac:dyDescent="0.35">
      <c r="A1423" s="2">
        <v>46308</v>
      </c>
      <c r="B1423" s="1" t="s">
        <v>24</v>
      </c>
      <c r="C1423" s="1">
        <f>YEAR(Tabela14[[#This Row],[DATA]])</f>
        <v>2026</v>
      </c>
      <c r="D1423" s="1">
        <f>MONTH(Tabela14[[#This Row],[DATA]])</f>
        <v>10</v>
      </c>
    </row>
    <row r="1424" spans="1:4" x14ac:dyDescent="0.35">
      <c r="A1424" s="2">
        <v>46308</v>
      </c>
      <c r="B1424" s="1" t="s">
        <v>24</v>
      </c>
      <c r="C1424" s="1">
        <f>YEAR(Tabela14[[#This Row],[DATA]])</f>
        <v>2026</v>
      </c>
      <c r="D1424" s="1">
        <f>MONTH(Tabela14[[#This Row],[DATA]])</f>
        <v>10</v>
      </c>
    </row>
    <row r="1425" spans="1:4" x14ac:dyDescent="0.35">
      <c r="A1425" s="2">
        <v>46309</v>
      </c>
      <c r="B1425" s="1" t="s">
        <v>19</v>
      </c>
      <c r="C1425" s="1">
        <f>YEAR(Tabela14[[#This Row],[DATA]])</f>
        <v>2026</v>
      </c>
      <c r="D1425" s="1">
        <f>MONTH(Tabela14[[#This Row],[DATA]])</f>
        <v>10</v>
      </c>
    </row>
    <row r="1426" spans="1:4" x14ac:dyDescent="0.35">
      <c r="A1426" s="2">
        <v>46309</v>
      </c>
      <c r="B1426" s="1" t="s">
        <v>24</v>
      </c>
      <c r="C1426" s="1">
        <f>YEAR(Tabela14[[#This Row],[DATA]])</f>
        <v>2026</v>
      </c>
      <c r="D1426" s="1">
        <f>MONTH(Tabela14[[#This Row],[DATA]])</f>
        <v>10</v>
      </c>
    </row>
    <row r="1427" spans="1:4" x14ac:dyDescent="0.35">
      <c r="A1427" s="2">
        <v>46309</v>
      </c>
      <c r="B1427" s="1" t="s">
        <v>24</v>
      </c>
      <c r="C1427" s="1">
        <f>YEAR(Tabela14[[#This Row],[DATA]])</f>
        <v>2026</v>
      </c>
      <c r="D1427" s="1">
        <f>MONTH(Tabela14[[#This Row],[DATA]])</f>
        <v>10</v>
      </c>
    </row>
    <row r="1428" spans="1:4" x14ac:dyDescent="0.35">
      <c r="A1428" s="2">
        <v>46309</v>
      </c>
      <c r="B1428" s="1" t="s">
        <v>24</v>
      </c>
      <c r="C1428" s="1">
        <f>YEAR(Tabela14[[#This Row],[DATA]])</f>
        <v>2026</v>
      </c>
      <c r="D1428" s="1">
        <f>MONTH(Tabela14[[#This Row],[DATA]])</f>
        <v>10</v>
      </c>
    </row>
    <row r="1429" spans="1:4" x14ac:dyDescent="0.35">
      <c r="A1429" s="2">
        <v>46309</v>
      </c>
      <c r="B1429" s="1" t="s">
        <v>19</v>
      </c>
      <c r="C1429" s="1">
        <f>YEAR(Tabela14[[#This Row],[DATA]])</f>
        <v>2026</v>
      </c>
      <c r="D1429" s="1">
        <f>MONTH(Tabela14[[#This Row],[DATA]])</f>
        <v>10</v>
      </c>
    </row>
    <row r="1430" spans="1:4" x14ac:dyDescent="0.35">
      <c r="A1430" s="2">
        <v>46309</v>
      </c>
      <c r="B1430" s="1" t="s">
        <v>9</v>
      </c>
      <c r="C1430" s="1">
        <f>YEAR(Tabela14[[#This Row],[DATA]])</f>
        <v>2026</v>
      </c>
      <c r="D1430" s="1">
        <f>MONTH(Tabela14[[#This Row],[DATA]])</f>
        <v>10</v>
      </c>
    </row>
    <row r="1431" spans="1:4" x14ac:dyDescent="0.35">
      <c r="A1431" s="2">
        <v>46309</v>
      </c>
      <c r="B1431" s="1" t="s">
        <v>9</v>
      </c>
      <c r="C1431" s="1">
        <f>YEAR(Tabela14[[#This Row],[DATA]])</f>
        <v>2026</v>
      </c>
      <c r="D1431" s="1">
        <f>MONTH(Tabela14[[#This Row],[DATA]])</f>
        <v>10</v>
      </c>
    </row>
    <row r="1432" spans="1:4" x14ac:dyDescent="0.35">
      <c r="A1432" s="2">
        <v>46309</v>
      </c>
      <c r="B1432" s="1" t="s">
        <v>9</v>
      </c>
      <c r="C1432" s="1">
        <f>YEAR(Tabela14[[#This Row],[DATA]])</f>
        <v>2026</v>
      </c>
      <c r="D1432" s="1">
        <f>MONTH(Tabela14[[#This Row],[DATA]])</f>
        <v>10</v>
      </c>
    </row>
    <row r="1433" spans="1:4" x14ac:dyDescent="0.35">
      <c r="A1433" s="2">
        <v>46309</v>
      </c>
      <c r="B1433" s="1" t="s">
        <v>19</v>
      </c>
      <c r="C1433" s="1">
        <f>YEAR(Tabela14[[#This Row],[DATA]])</f>
        <v>2026</v>
      </c>
      <c r="D1433" s="1">
        <f>MONTH(Tabela14[[#This Row],[DATA]])</f>
        <v>10</v>
      </c>
    </row>
    <row r="1434" spans="1:4" x14ac:dyDescent="0.35">
      <c r="A1434" s="2">
        <v>46311</v>
      </c>
      <c r="B1434" s="1" t="s">
        <v>19</v>
      </c>
      <c r="C1434" s="1">
        <f>YEAR(Tabela14[[#This Row],[DATA]])</f>
        <v>2026</v>
      </c>
      <c r="D1434" s="1">
        <f>MONTH(Tabela14[[#This Row],[DATA]])</f>
        <v>10</v>
      </c>
    </row>
    <row r="1435" spans="1:4" x14ac:dyDescent="0.35">
      <c r="A1435" s="2">
        <v>46311</v>
      </c>
      <c r="B1435" s="1" t="s">
        <v>19</v>
      </c>
      <c r="C1435" s="1">
        <f>YEAR(Tabela14[[#This Row],[DATA]])</f>
        <v>2026</v>
      </c>
      <c r="D1435" s="1">
        <f>MONTH(Tabela14[[#This Row],[DATA]])</f>
        <v>10</v>
      </c>
    </row>
    <row r="1436" spans="1:4" x14ac:dyDescent="0.35">
      <c r="A1436" s="2">
        <v>46315</v>
      </c>
      <c r="B1436" s="1" t="s">
        <v>28</v>
      </c>
      <c r="C1436" s="1">
        <f>YEAR(Tabela14[[#This Row],[DATA]])</f>
        <v>2026</v>
      </c>
      <c r="D1436" s="1">
        <f>MONTH(Tabela14[[#This Row],[DATA]])</f>
        <v>10</v>
      </c>
    </row>
    <row r="1437" spans="1:4" x14ac:dyDescent="0.35">
      <c r="A1437" s="2">
        <v>46315</v>
      </c>
      <c r="B1437" s="1" t="s">
        <v>22</v>
      </c>
      <c r="C1437" s="1">
        <f>YEAR(Tabela14[[#This Row],[DATA]])</f>
        <v>2026</v>
      </c>
      <c r="D1437" s="1">
        <f>MONTH(Tabela14[[#This Row],[DATA]])</f>
        <v>10</v>
      </c>
    </row>
    <row r="1438" spans="1:4" x14ac:dyDescent="0.35">
      <c r="A1438" s="2">
        <v>46315</v>
      </c>
      <c r="B1438" s="1" t="s">
        <v>22</v>
      </c>
      <c r="C1438" s="1">
        <f>YEAR(Tabela14[[#This Row],[DATA]])</f>
        <v>2026</v>
      </c>
      <c r="D1438" s="1">
        <f>MONTH(Tabela14[[#This Row],[DATA]])</f>
        <v>10</v>
      </c>
    </row>
    <row r="1439" spans="1:4" x14ac:dyDescent="0.35">
      <c r="A1439" s="2">
        <v>46315</v>
      </c>
      <c r="B1439" s="1" t="s">
        <v>22</v>
      </c>
      <c r="C1439" s="1">
        <f>YEAR(Tabela14[[#This Row],[DATA]])</f>
        <v>2026</v>
      </c>
      <c r="D1439" s="1">
        <f>MONTH(Tabela14[[#This Row],[DATA]])</f>
        <v>10</v>
      </c>
    </row>
    <row r="1440" spans="1:4" x14ac:dyDescent="0.35">
      <c r="A1440" s="2">
        <v>46315</v>
      </c>
      <c r="B1440" s="1" t="s">
        <v>22</v>
      </c>
      <c r="C1440" s="1">
        <f>YEAR(Tabela14[[#This Row],[DATA]])</f>
        <v>2026</v>
      </c>
      <c r="D1440" s="1">
        <f>MONTH(Tabela14[[#This Row],[DATA]])</f>
        <v>10</v>
      </c>
    </row>
    <row r="1441" spans="1:4" x14ac:dyDescent="0.35">
      <c r="A1441" s="2">
        <v>46315</v>
      </c>
      <c r="B1441" s="1" t="s">
        <v>19</v>
      </c>
      <c r="C1441" s="1">
        <f>YEAR(Tabela14[[#This Row],[DATA]])</f>
        <v>2026</v>
      </c>
      <c r="D1441" s="1">
        <f>MONTH(Tabela14[[#This Row],[DATA]])</f>
        <v>10</v>
      </c>
    </row>
    <row r="1442" spans="1:4" x14ac:dyDescent="0.35">
      <c r="A1442" s="2">
        <v>46315</v>
      </c>
      <c r="B1442" s="1" t="s">
        <v>19</v>
      </c>
      <c r="C1442" s="1">
        <f>YEAR(Tabela14[[#This Row],[DATA]])</f>
        <v>2026</v>
      </c>
      <c r="D1442" s="1">
        <f>MONTH(Tabela14[[#This Row],[DATA]])</f>
        <v>10</v>
      </c>
    </row>
    <row r="1443" spans="1:4" x14ac:dyDescent="0.35">
      <c r="A1443" s="2">
        <v>46315</v>
      </c>
      <c r="B1443" s="1" t="s">
        <v>19</v>
      </c>
      <c r="C1443" s="1">
        <f>YEAR(Tabela14[[#This Row],[DATA]])</f>
        <v>2026</v>
      </c>
      <c r="D1443" s="1">
        <f>MONTH(Tabela14[[#This Row],[DATA]])</f>
        <v>10</v>
      </c>
    </row>
    <row r="1444" spans="1:4" x14ac:dyDescent="0.35">
      <c r="A1444" s="2">
        <v>46315</v>
      </c>
      <c r="B1444" s="1" t="s">
        <v>28</v>
      </c>
      <c r="C1444" s="1">
        <f>YEAR(Tabela14[[#This Row],[DATA]])</f>
        <v>2026</v>
      </c>
      <c r="D1444" s="1">
        <f>MONTH(Tabela14[[#This Row],[DATA]])</f>
        <v>10</v>
      </c>
    </row>
    <row r="1445" spans="1:4" x14ac:dyDescent="0.35">
      <c r="A1445" s="2">
        <v>46315</v>
      </c>
      <c r="B1445" s="1" t="s">
        <v>28</v>
      </c>
      <c r="C1445" s="1">
        <f>YEAR(Tabela14[[#This Row],[DATA]])</f>
        <v>2026</v>
      </c>
      <c r="D1445" s="1">
        <f>MONTH(Tabela14[[#This Row],[DATA]])</f>
        <v>10</v>
      </c>
    </row>
    <row r="1446" spans="1:4" x14ac:dyDescent="0.35">
      <c r="A1446" s="2">
        <v>46315</v>
      </c>
      <c r="B1446" s="1" t="s">
        <v>28</v>
      </c>
      <c r="C1446" s="1">
        <f>YEAR(Tabela14[[#This Row],[DATA]])</f>
        <v>2026</v>
      </c>
      <c r="D1446" s="1">
        <f>MONTH(Tabela14[[#This Row],[DATA]])</f>
        <v>10</v>
      </c>
    </row>
    <row r="1447" spans="1:4" x14ac:dyDescent="0.35">
      <c r="A1447" s="2">
        <v>46315</v>
      </c>
      <c r="B1447" s="1" t="s">
        <v>28</v>
      </c>
      <c r="C1447" s="1">
        <f>YEAR(Tabela14[[#This Row],[DATA]])</f>
        <v>2026</v>
      </c>
      <c r="D1447" s="1">
        <f>MONTH(Tabela14[[#This Row],[DATA]])</f>
        <v>10</v>
      </c>
    </row>
    <row r="1448" spans="1:4" x14ac:dyDescent="0.35">
      <c r="A1448" s="2">
        <v>46315</v>
      </c>
      <c r="B1448" s="1" t="s">
        <v>28</v>
      </c>
      <c r="C1448" s="1">
        <f>YEAR(Tabela14[[#This Row],[DATA]])</f>
        <v>2026</v>
      </c>
      <c r="D1448" s="1">
        <f>MONTH(Tabela14[[#This Row],[DATA]])</f>
        <v>10</v>
      </c>
    </row>
    <row r="1449" spans="1:4" x14ac:dyDescent="0.35">
      <c r="A1449" s="2">
        <v>46315</v>
      </c>
      <c r="B1449" s="1" t="s">
        <v>9</v>
      </c>
      <c r="C1449" s="1">
        <f>YEAR(Tabela14[[#This Row],[DATA]])</f>
        <v>2026</v>
      </c>
      <c r="D1449" s="1">
        <f>MONTH(Tabela14[[#This Row],[DATA]])</f>
        <v>10</v>
      </c>
    </row>
    <row r="1450" spans="1:4" x14ac:dyDescent="0.35">
      <c r="A1450" s="2">
        <v>46315</v>
      </c>
      <c r="B1450" s="1" t="s">
        <v>9</v>
      </c>
      <c r="C1450" s="1">
        <f>YEAR(Tabela14[[#This Row],[DATA]])</f>
        <v>2026</v>
      </c>
      <c r="D1450" s="1">
        <f>MONTH(Tabela14[[#This Row],[DATA]])</f>
        <v>10</v>
      </c>
    </row>
    <row r="1451" spans="1:4" x14ac:dyDescent="0.35">
      <c r="A1451" s="2">
        <v>46315</v>
      </c>
      <c r="B1451" s="1" t="s">
        <v>9</v>
      </c>
      <c r="C1451" s="1">
        <f>YEAR(Tabela14[[#This Row],[DATA]])</f>
        <v>2026</v>
      </c>
      <c r="D1451" s="1">
        <f>MONTH(Tabela14[[#This Row],[DATA]])</f>
        <v>10</v>
      </c>
    </row>
    <row r="1452" spans="1:4" x14ac:dyDescent="0.35">
      <c r="A1452" s="2">
        <v>46315</v>
      </c>
      <c r="B1452" s="1" t="s">
        <v>84</v>
      </c>
      <c r="C1452" s="1">
        <f>YEAR(Tabela14[[#This Row],[DATA]])</f>
        <v>2026</v>
      </c>
      <c r="D1452" s="1">
        <f>MONTH(Tabela14[[#This Row],[DATA]])</f>
        <v>10</v>
      </c>
    </row>
    <row r="1453" spans="1:4" x14ac:dyDescent="0.35">
      <c r="A1453" s="2">
        <v>46315</v>
      </c>
      <c r="B1453" s="1" t="s">
        <v>84</v>
      </c>
      <c r="C1453" s="1">
        <f>YEAR(Tabela14[[#This Row],[DATA]])</f>
        <v>2026</v>
      </c>
      <c r="D1453" s="1">
        <f>MONTH(Tabela14[[#This Row],[DATA]])</f>
        <v>10</v>
      </c>
    </row>
    <row r="1454" spans="1:4" x14ac:dyDescent="0.35">
      <c r="A1454" s="2">
        <v>46315</v>
      </c>
      <c r="B1454" s="1" t="s">
        <v>84</v>
      </c>
      <c r="C1454" s="1">
        <f>YEAR(Tabela14[[#This Row],[DATA]])</f>
        <v>2026</v>
      </c>
      <c r="D1454" s="1">
        <f>MONTH(Tabela14[[#This Row],[DATA]])</f>
        <v>10</v>
      </c>
    </row>
    <row r="1455" spans="1:4" x14ac:dyDescent="0.35">
      <c r="A1455" s="2">
        <v>46315</v>
      </c>
      <c r="B1455" s="1" t="s">
        <v>24</v>
      </c>
      <c r="C1455" s="1">
        <f>YEAR(Tabela14[[#This Row],[DATA]])</f>
        <v>2026</v>
      </c>
      <c r="D1455" s="1">
        <f>MONTH(Tabela14[[#This Row],[DATA]])</f>
        <v>10</v>
      </c>
    </row>
    <row r="1456" spans="1:4" x14ac:dyDescent="0.35">
      <c r="A1456" s="2">
        <v>46315</v>
      </c>
      <c r="B1456" s="1" t="s">
        <v>9</v>
      </c>
      <c r="C1456" s="1">
        <f>YEAR(Tabela14[[#This Row],[DATA]])</f>
        <v>2026</v>
      </c>
      <c r="D1456" s="1">
        <f>MONTH(Tabela14[[#This Row],[DATA]])</f>
        <v>10</v>
      </c>
    </row>
    <row r="1457" spans="1:4" x14ac:dyDescent="0.35">
      <c r="A1457" s="2">
        <v>46315</v>
      </c>
      <c r="B1457" s="1" t="s">
        <v>9</v>
      </c>
      <c r="C1457" s="1">
        <f>YEAR(Tabela14[[#This Row],[DATA]])</f>
        <v>2026</v>
      </c>
      <c r="D1457" s="1">
        <f>MONTH(Tabela14[[#This Row],[DATA]])</f>
        <v>10</v>
      </c>
    </row>
    <row r="1458" spans="1:4" x14ac:dyDescent="0.35">
      <c r="A1458" s="2">
        <v>46315</v>
      </c>
      <c r="B1458" s="1" t="s">
        <v>9</v>
      </c>
      <c r="C1458" s="1">
        <f>YEAR(Tabela14[[#This Row],[DATA]])</f>
        <v>2026</v>
      </c>
      <c r="D1458" s="1">
        <f>MONTH(Tabela14[[#This Row],[DATA]])</f>
        <v>10</v>
      </c>
    </row>
    <row r="1459" spans="1:4" x14ac:dyDescent="0.35">
      <c r="A1459" s="2">
        <v>46315</v>
      </c>
      <c r="B1459" s="1" t="s">
        <v>9</v>
      </c>
      <c r="C1459" s="1">
        <f>YEAR(Tabela14[[#This Row],[DATA]])</f>
        <v>2026</v>
      </c>
      <c r="D1459" s="1">
        <f>MONTH(Tabela14[[#This Row],[DATA]])</f>
        <v>10</v>
      </c>
    </row>
    <row r="1460" spans="1:4" x14ac:dyDescent="0.35">
      <c r="A1460" s="2">
        <v>46315</v>
      </c>
      <c r="B1460" s="1" t="s">
        <v>19</v>
      </c>
      <c r="C1460" s="1">
        <f>YEAR(Tabela14[[#This Row],[DATA]])</f>
        <v>2026</v>
      </c>
      <c r="D1460" s="1">
        <f>MONTH(Tabela14[[#This Row],[DATA]])</f>
        <v>10</v>
      </c>
    </row>
    <row r="1461" spans="1:4" x14ac:dyDescent="0.35">
      <c r="A1461" s="2">
        <v>46315</v>
      </c>
      <c r="B1461" s="1" t="s">
        <v>19</v>
      </c>
      <c r="C1461" s="1">
        <f>YEAR(Tabela14[[#This Row],[DATA]])</f>
        <v>2026</v>
      </c>
      <c r="D1461" s="1">
        <f>MONTH(Tabela14[[#This Row],[DATA]])</f>
        <v>10</v>
      </c>
    </row>
    <row r="1462" spans="1:4" x14ac:dyDescent="0.35">
      <c r="A1462" s="2">
        <v>46315</v>
      </c>
      <c r="B1462" s="1" t="s">
        <v>19</v>
      </c>
      <c r="C1462" s="1">
        <f>YEAR(Tabela14[[#This Row],[DATA]])</f>
        <v>2026</v>
      </c>
      <c r="D1462" s="1">
        <f>MONTH(Tabela14[[#This Row],[DATA]])</f>
        <v>10</v>
      </c>
    </row>
    <row r="1463" spans="1:4" x14ac:dyDescent="0.35">
      <c r="A1463" s="2">
        <v>46315</v>
      </c>
      <c r="B1463" s="1" t="s">
        <v>19</v>
      </c>
      <c r="C1463" s="1">
        <f>YEAR(Tabela14[[#This Row],[DATA]])</f>
        <v>2026</v>
      </c>
      <c r="D1463" s="1">
        <f>MONTH(Tabela14[[#This Row],[DATA]])</f>
        <v>10</v>
      </c>
    </row>
    <row r="1464" spans="1:4" x14ac:dyDescent="0.35">
      <c r="A1464" s="2">
        <v>46315</v>
      </c>
      <c r="B1464" s="1" t="s">
        <v>19</v>
      </c>
      <c r="C1464" s="1">
        <f>YEAR(Tabela14[[#This Row],[DATA]])</f>
        <v>2026</v>
      </c>
      <c r="D1464" s="1">
        <f>MONTH(Tabela14[[#This Row],[DATA]])</f>
        <v>10</v>
      </c>
    </row>
    <row r="1465" spans="1:4" x14ac:dyDescent="0.35">
      <c r="A1465" s="2">
        <v>46315</v>
      </c>
      <c r="B1465" s="1" t="s">
        <v>19</v>
      </c>
      <c r="C1465" s="1">
        <f>YEAR(Tabela14[[#This Row],[DATA]])</f>
        <v>2026</v>
      </c>
      <c r="D1465" s="1">
        <f>MONTH(Tabela14[[#This Row],[DATA]])</f>
        <v>10</v>
      </c>
    </row>
    <row r="1466" spans="1:4" x14ac:dyDescent="0.35">
      <c r="A1466" s="2">
        <v>46315</v>
      </c>
      <c r="B1466" s="1" t="s">
        <v>19</v>
      </c>
      <c r="C1466" s="1">
        <f>YEAR(Tabela14[[#This Row],[DATA]])</f>
        <v>2026</v>
      </c>
      <c r="D1466" s="1">
        <f>MONTH(Tabela14[[#This Row],[DATA]])</f>
        <v>10</v>
      </c>
    </row>
    <row r="1467" spans="1:4" x14ac:dyDescent="0.35">
      <c r="A1467" s="2">
        <v>46315</v>
      </c>
      <c r="B1467" s="1" t="s">
        <v>28</v>
      </c>
      <c r="C1467" s="1">
        <f>YEAR(Tabela14[[#This Row],[DATA]])</f>
        <v>2026</v>
      </c>
      <c r="D1467" s="1">
        <f>MONTH(Tabela14[[#This Row],[DATA]])</f>
        <v>10</v>
      </c>
    </row>
    <row r="1468" spans="1:4" x14ac:dyDescent="0.35">
      <c r="A1468" s="2">
        <v>46315</v>
      </c>
      <c r="B1468" s="1" t="s">
        <v>1037</v>
      </c>
      <c r="C1468" s="1">
        <f>YEAR(Tabela14[[#This Row],[DATA]])</f>
        <v>2026</v>
      </c>
      <c r="D1468" s="1">
        <f>MONTH(Tabela14[[#This Row],[DATA]])</f>
        <v>10</v>
      </c>
    </row>
    <row r="1469" spans="1:4" x14ac:dyDescent="0.35">
      <c r="A1469" s="2">
        <v>46316</v>
      </c>
      <c r="B1469" s="1" t="s">
        <v>9</v>
      </c>
      <c r="C1469" s="1">
        <f>YEAR(Tabela14[[#This Row],[DATA]])</f>
        <v>2026</v>
      </c>
      <c r="D1469" s="1">
        <f>MONTH(Tabela14[[#This Row],[DATA]])</f>
        <v>10</v>
      </c>
    </row>
    <row r="1470" spans="1:4" x14ac:dyDescent="0.35">
      <c r="A1470" s="2">
        <v>46316</v>
      </c>
      <c r="B1470" s="1" t="s">
        <v>9</v>
      </c>
      <c r="C1470" s="1">
        <f>YEAR(Tabela14[[#This Row],[DATA]])</f>
        <v>2026</v>
      </c>
      <c r="D1470" s="1">
        <f>MONTH(Tabela14[[#This Row],[DATA]])</f>
        <v>10</v>
      </c>
    </row>
    <row r="1471" spans="1:4" x14ac:dyDescent="0.35">
      <c r="A1471" s="2">
        <v>46316</v>
      </c>
      <c r="B1471" s="1" t="s">
        <v>9</v>
      </c>
      <c r="C1471" s="1">
        <f>YEAR(Tabela14[[#This Row],[DATA]])</f>
        <v>2026</v>
      </c>
      <c r="D1471" s="1">
        <f>MONTH(Tabela14[[#This Row],[DATA]])</f>
        <v>10</v>
      </c>
    </row>
    <row r="1472" spans="1:4" x14ac:dyDescent="0.35">
      <c r="A1472" s="2">
        <v>46316</v>
      </c>
      <c r="B1472" s="1" t="s">
        <v>83</v>
      </c>
      <c r="C1472" s="1">
        <f>YEAR(Tabela14[[#This Row],[DATA]])</f>
        <v>2026</v>
      </c>
      <c r="D1472" s="1">
        <f>MONTH(Tabela14[[#This Row],[DATA]])</f>
        <v>10</v>
      </c>
    </row>
    <row r="1473" spans="1:4" x14ac:dyDescent="0.35">
      <c r="A1473" s="2">
        <v>46316</v>
      </c>
      <c r="B1473" s="1" t="s">
        <v>84</v>
      </c>
      <c r="C1473" s="1">
        <f>YEAR(Tabela14[[#This Row],[DATA]])</f>
        <v>2026</v>
      </c>
      <c r="D1473" s="1">
        <f>MONTH(Tabela14[[#This Row],[DATA]])</f>
        <v>10</v>
      </c>
    </row>
    <row r="1474" spans="1:4" x14ac:dyDescent="0.35">
      <c r="A1474" s="2">
        <v>46323</v>
      </c>
      <c r="B1474" s="1" t="s">
        <v>9</v>
      </c>
      <c r="C1474" s="1">
        <f>YEAR(Tabela14[[#This Row],[DATA]])</f>
        <v>2026</v>
      </c>
      <c r="D1474" s="1">
        <f>MONTH(Tabela14[[#This Row],[DATA]])</f>
        <v>10</v>
      </c>
    </row>
    <row r="1475" spans="1:4" x14ac:dyDescent="0.35">
      <c r="A1475" s="2">
        <v>46323</v>
      </c>
      <c r="B1475" s="1" t="s">
        <v>28</v>
      </c>
      <c r="C1475" s="1">
        <f>YEAR(Tabela14[[#This Row],[DATA]])</f>
        <v>2026</v>
      </c>
      <c r="D1475" s="1">
        <f>MONTH(Tabela14[[#This Row],[DATA]])</f>
        <v>10</v>
      </c>
    </row>
    <row r="1476" spans="1:4" x14ac:dyDescent="0.35">
      <c r="A1476" s="2">
        <v>46323</v>
      </c>
      <c r="B1476" s="1" t="s">
        <v>9</v>
      </c>
      <c r="C1476" s="1">
        <f>YEAR(Tabela14[[#This Row],[DATA]])</f>
        <v>2026</v>
      </c>
      <c r="D1476" s="1">
        <f>MONTH(Tabela14[[#This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B321-986E-4862-B2EE-7BB4ABB274CC}">
  <dimension ref="A1:B674"/>
  <sheetViews>
    <sheetView showGridLines="0" topLeftCell="A654" workbookViewId="0">
      <selection activeCell="A662" sqref="A662:B674"/>
    </sheetView>
  </sheetViews>
  <sheetFormatPr defaultRowHeight="10.5" x14ac:dyDescent="0.35"/>
  <cols>
    <col min="1" max="1" width="7.90625" style="1" bestFit="1" customWidth="1"/>
    <col min="2" max="2" width="26.6328125" style="1" bestFit="1" customWidth="1"/>
    <col min="3" max="16384" width="8.7265625" style="1"/>
  </cols>
  <sheetData>
    <row r="1" spans="1:2" x14ac:dyDescent="0.35">
      <c r="A1" s="1" t="s">
        <v>86</v>
      </c>
      <c r="B1" s="1" t="s">
        <v>66</v>
      </c>
    </row>
    <row r="2" spans="1:2" x14ac:dyDescent="0.35">
      <c r="A2" s="2">
        <v>45708</v>
      </c>
      <c r="B2" s="1" t="s">
        <v>90</v>
      </c>
    </row>
    <row r="3" spans="1:2" x14ac:dyDescent="0.35">
      <c r="A3" s="2">
        <v>45708</v>
      </c>
      <c r="B3" s="1" t="s">
        <v>90</v>
      </c>
    </row>
    <row r="4" spans="1:2" x14ac:dyDescent="0.35">
      <c r="A4" s="2">
        <v>45708</v>
      </c>
      <c r="B4" s="1" t="s">
        <v>90</v>
      </c>
    </row>
    <row r="5" spans="1:2" x14ac:dyDescent="0.35">
      <c r="A5" s="2">
        <v>45708</v>
      </c>
      <c r="B5" s="1" t="s">
        <v>90</v>
      </c>
    </row>
    <row r="6" spans="1:2" x14ac:dyDescent="0.35">
      <c r="A6" s="2">
        <v>46027</v>
      </c>
      <c r="B6" s="1" t="s">
        <v>9</v>
      </c>
    </row>
    <row r="7" spans="1:2" x14ac:dyDescent="0.35">
      <c r="A7" s="2">
        <v>46030</v>
      </c>
      <c r="B7" s="1" t="s">
        <v>91</v>
      </c>
    </row>
    <row r="8" spans="1:2" x14ac:dyDescent="0.35">
      <c r="A8" s="2">
        <v>46030</v>
      </c>
      <c r="B8" s="1" t="s">
        <v>92</v>
      </c>
    </row>
    <row r="9" spans="1:2" x14ac:dyDescent="0.35">
      <c r="A9" s="2">
        <v>46030</v>
      </c>
      <c r="B9" s="1" t="s">
        <v>92</v>
      </c>
    </row>
    <row r="10" spans="1:2" x14ac:dyDescent="0.35">
      <c r="A10" s="2">
        <v>46030</v>
      </c>
      <c r="B10" s="1" t="s">
        <v>95</v>
      </c>
    </row>
    <row r="11" spans="1:2" x14ac:dyDescent="0.35">
      <c r="A11" s="2">
        <v>46030</v>
      </c>
      <c r="B11" s="1" t="s">
        <v>91</v>
      </c>
    </row>
    <row r="12" spans="1:2" x14ac:dyDescent="0.35">
      <c r="A12" s="2">
        <v>46031</v>
      </c>
      <c r="B12" s="1" t="s">
        <v>91</v>
      </c>
    </row>
    <row r="13" spans="1:2" x14ac:dyDescent="0.35">
      <c r="A13" s="2">
        <v>46031</v>
      </c>
      <c r="B13" s="1" t="s">
        <v>92</v>
      </c>
    </row>
    <row r="14" spans="1:2" x14ac:dyDescent="0.35">
      <c r="A14" s="2">
        <v>46031</v>
      </c>
      <c r="B14" s="1" t="s">
        <v>32</v>
      </c>
    </row>
    <row r="15" spans="1:2" x14ac:dyDescent="0.35">
      <c r="A15" s="2">
        <v>46034</v>
      </c>
      <c r="B15" s="1" t="s">
        <v>91</v>
      </c>
    </row>
    <row r="16" spans="1:2" x14ac:dyDescent="0.35">
      <c r="A16" s="2">
        <v>46034</v>
      </c>
      <c r="B16" s="1" t="s">
        <v>92</v>
      </c>
    </row>
    <row r="17" spans="1:2" x14ac:dyDescent="0.35">
      <c r="A17" s="2">
        <v>46035</v>
      </c>
      <c r="B17" s="1" t="s">
        <v>34</v>
      </c>
    </row>
    <row r="18" spans="1:2" x14ac:dyDescent="0.35">
      <c r="A18" s="2">
        <v>46035</v>
      </c>
      <c r="B18" s="1" t="s">
        <v>92</v>
      </c>
    </row>
    <row r="19" spans="1:2" x14ac:dyDescent="0.35">
      <c r="A19" s="2">
        <v>46037</v>
      </c>
      <c r="B19" s="1" t="s">
        <v>32</v>
      </c>
    </row>
    <row r="20" spans="1:2" x14ac:dyDescent="0.35">
      <c r="A20" s="2">
        <v>46038</v>
      </c>
      <c r="B20" s="1" t="s">
        <v>96</v>
      </c>
    </row>
    <row r="21" spans="1:2" x14ac:dyDescent="0.35">
      <c r="A21" s="2">
        <v>46038</v>
      </c>
      <c r="B21" s="1" t="s">
        <v>68</v>
      </c>
    </row>
    <row r="22" spans="1:2" x14ac:dyDescent="0.35">
      <c r="A22" s="2">
        <v>46038</v>
      </c>
      <c r="B22" s="1" t="s">
        <v>96</v>
      </c>
    </row>
    <row r="23" spans="1:2" x14ac:dyDescent="0.35">
      <c r="A23" s="2">
        <v>46041</v>
      </c>
      <c r="B23" s="1" t="s">
        <v>5</v>
      </c>
    </row>
    <row r="24" spans="1:2" x14ac:dyDescent="0.35">
      <c r="A24" s="2">
        <v>46043</v>
      </c>
      <c r="B24" s="1" t="s">
        <v>68</v>
      </c>
    </row>
    <row r="25" spans="1:2" x14ac:dyDescent="0.35">
      <c r="A25" s="2">
        <v>46043</v>
      </c>
      <c r="B25" s="1" t="s">
        <v>24</v>
      </c>
    </row>
    <row r="26" spans="1:2" x14ac:dyDescent="0.35">
      <c r="A26" s="2">
        <v>46044</v>
      </c>
      <c r="B26" s="1" t="s">
        <v>28</v>
      </c>
    </row>
    <row r="27" spans="1:2" x14ac:dyDescent="0.35">
      <c r="A27" s="2">
        <v>46044</v>
      </c>
      <c r="B27" s="1" t="s">
        <v>5</v>
      </c>
    </row>
    <row r="28" spans="1:2" x14ac:dyDescent="0.35">
      <c r="A28" s="2">
        <v>46045</v>
      </c>
      <c r="B28" s="1" t="s">
        <v>90</v>
      </c>
    </row>
    <row r="29" spans="1:2" x14ac:dyDescent="0.35">
      <c r="A29" s="2">
        <v>46045</v>
      </c>
      <c r="B29" s="1" t="s">
        <v>90</v>
      </c>
    </row>
    <row r="30" spans="1:2" x14ac:dyDescent="0.35">
      <c r="A30" s="2">
        <v>46045</v>
      </c>
      <c r="B30" s="1" t="s">
        <v>90</v>
      </c>
    </row>
    <row r="31" spans="1:2" x14ac:dyDescent="0.35">
      <c r="A31" s="2">
        <v>46045</v>
      </c>
      <c r="B31" s="1" t="s">
        <v>90</v>
      </c>
    </row>
    <row r="32" spans="1:2" x14ac:dyDescent="0.35">
      <c r="A32" s="2">
        <v>46045</v>
      </c>
      <c r="B32" s="1" t="s">
        <v>90</v>
      </c>
    </row>
    <row r="33" spans="1:2" x14ac:dyDescent="0.35">
      <c r="A33" s="2">
        <v>46045</v>
      </c>
      <c r="B33" s="1" t="s">
        <v>90</v>
      </c>
    </row>
    <row r="34" spans="1:2" x14ac:dyDescent="0.35">
      <c r="A34" s="2">
        <v>46048</v>
      </c>
      <c r="B34" s="1" t="s">
        <v>92</v>
      </c>
    </row>
    <row r="35" spans="1:2" x14ac:dyDescent="0.35">
      <c r="A35" s="2">
        <v>46048</v>
      </c>
      <c r="B35" s="1" t="s">
        <v>5</v>
      </c>
    </row>
    <row r="36" spans="1:2" x14ac:dyDescent="0.35">
      <c r="A36" s="2">
        <v>46048</v>
      </c>
      <c r="B36" s="1" t="s">
        <v>28</v>
      </c>
    </row>
    <row r="37" spans="1:2" x14ac:dyDescent="0.35">
      <c r="A37" s="2">
        <v>46048</v>
      </c>
      <c r="B37" s="1" t="s">
        <v>28</v>
      </c>
    </row>
    <row r="38" spans="1:2" x14ac:dyDescent="0.35">
      <c r="A38" s="2">
        <v>46048</v>
      </c>
      <c r="B38" s="1" t="s">
        <v>92</v>
      </c>
    </row>
    <row r="39" spans="1:2" x14ac:dyDescent="0.35">
      <c r="A39" s="2">
        <v>46048</v>
      </c>
      <c r="B39" s="1" t="s">
        <v>92</v>
      </c>
    </row>
    <row r="40" spans="1:2" x14ac:dyDescent="0.35">
      <c r="A40" s="2">
        <v>46048</v>
      </c>
      <c r="B40" s="1" t="s">
        <v>92</v>
      </c>
    </row>
    <row r="41" spans="1:2" x14ac:dyDescent="0.35">
      <c r="A41" s="2">
        <v>46048</v>
      </c>
      <c r="B41" s="1" t="s">
        <v>34</v>
      </c>
    </row>
    <row r="42" spans="1:2" x14ac:dyDescent="0.35">
      <c r="A42" s="2">
        <v>46048</v>
      </c>
      <c r="B42" s="1" t="s">
        <v>33</v>
      </c>
    </row>
    <row r="43" spans="1:2" x14ac:dyDescent="0.35">
      <c r="A43" s="2">
        <v>46048</v>
      </c>
      <c r="B43" s="1" t="s">
        <v>5</v>
      </c>
    </row>
    <row r="44" spans="1:2" x14ac:dyDescent="0.35">
      <c r="A44" s="2">
        <v>46048</v>
      </c>
      <c r="B44" s="1" t="s">
        <v>9</v>
      </c>
    </row>
    <row r="45" spans="1:2" x14ac:dyDescent="0.35">
      <c r="A45" s="2">
        <v>46048</v>
      </c>
      <c r="B45" s="1" t="s">
        <v>33</v>
      </c>
    </row>
    <row r="46" spans="1:2" x14ac:dyDescent="0.35">
      <c r="A46" s="2">
        <v>46048</v>
      </c>
      <c r="B46" s="1" t="s">
        <v>9</v>
      </c>
    </row>
    <row r="47" spans="1:2" x14ac:dyDescent="0.35">
      <c r="A47" s="2">
        <v>46049</v>
      </c>
      <c r="B47" s="1" t="s">
        <v>90</v>
      </c>
    </row>
    <row r="48" spans="1:2" x14ac:dyDescent="0.35">
      <c r="A48" s="2">
        <v>46049</v>
      </c>
      <c r="B48" s="1" t="s">
        <v>24</v>
      </c>
    </row>
    <row r="49" spans="1:2" x14ac:dyDescent="0.35">
      <c r="A49" s="2">
        <v>46049</v>
      </c>
      <c r="B49" s="1" t="s">
        <v>90</v>
      </c>
    </row>
    <row r="50" spans="1:2" x14ac:dyDescent="0.35">
      <c r="A50" s="2">
        <v>46049</v>
      </c>
      <c r="B50" s="1" t="s">
        <v>90</v>
      </c>
    </row>
    <row r="51" spans="1:2" x14ac:dyDescent="0.35">
      <c r="A51" s="2">
        <v>46049</v>
      </c>
      <c r="B51" s="1" t="s">
        <v>32</v>
      </c>
    </row>
    <row r="52" spans="1:2" x14ac:dyDescent="0.35">
      <c r="A52" s="2">
        <v>46050</v>
      </c>
      <c r="B52" s="1" t="s">
        <v>92</v>
      </c>
    </row>
    <row r="53" spans="1:2" x14ac:dyDescent="0.35">
      <c r="A53" s="2">
        <v>46050</v>
      </c>
      <c r="B53" s="1" t="s">
        <v>92</v>
      </c>
    </row>
    <row r="54" spans="1:2" x14ac:dyDescent="0.35">
      <c r="A54" s="2">
        <v>46051</v>
      </c>
      <c r="B54" s="1" t="s">
        <v>92</v>
      </c>
    </row>
    <row r="55" spans="1:2" x14ac:dyDescent="0.35">
      <c r="A55" s="2">
        <v>46051</v>
      </c>
      <c r="B55" s="1" t="s">
        <v>92</v>
      </c>
    </row>
    <row r="56" spans="1:2" x14ac:dyDescent="0.35">
      <c r="A56" s="2">
        <v>46052</v>
      </c>
      <c r="B56" s="1" t="s">
        <v>33</v>
      </c>
    </row>
    <row r="57" spans="1:2" x14ac:dyDescent="0.35">
      <c r="A57" s="2">
        <v>46052</v>
      </c>
      <c r="B57" s="1" t="s">
        <v>68</v>
      </c>
    </row>
    <row r="58" spans="1:2" x14ac:dyDescent="0.35">
      <c r="A58" s="2">
        <v>46052</v>
      </c>
      <c r="B58" s="1" t="s">
        <v>9</v>
      </c>
    </row>
    <row r="59" spans="1:2" x14ac:dyDescent="0.35">
      <c r="A59" s="2">
        <v>46052</v>
      </c>
      <c r="B59" s="1" t="s">
        <v>5</v>
      </c>
    </row>
    <row r="60" spans="1:2" x14ac:dyDescent="0.35">
      <c r="A60" s="2">
        <v>46052</v>
      </c>
      <c r="B60" s="1" t="s">
        <v>9</v>
      </c>
    </row>
    <row r="61" spans="1:2" x14ac:dyDescent="0.35">
      <c r="A61" s="2">
        <v>46052</v>
      </c>
      <c r="B61" s="1" t="s">
        <v>68</v>
      </c>
    </row>
    <row r="62" spans="1:2" x14ac:dyDescent="0.35">
      <c r="A62" s="2">
        <v>46052</v>
      </c>
      <c r="B62" s="1" t="s">
        <v>5</v>
      </c>
    </row>
    <row r="63" spans="1:2" x14ac:dyDescent="0.35">
      <c r="A63" s="2">
        <v>46052</v>
      </c>
      <c r="B63" s="1" t="s">
        <v>68</v>
      </c>
    </row>
    <row r="64" spans="1:2" x14ac:dyDescent="0.35">
      <c r="A64" s="2">
        <v>46052</v>
      </c>
      <c r="B64" s="1" t="s">
        <v>24</v>
      </c>
    </row>
    <row r="65" spans="1:2" x14ac:dyDescent="0.35">
      <c r="A65" s="2">
        <v>46052</v>
      </c>
      <c r="B65" s="1" t="s">
        <v>90</v>
      </c>
    </row>
    <row r="66" spans="1:2" x14ac:dyDescent="0.35">
      <c r="A66" s="2">
        <v>46052</v>
      </c>
      <c r="B66" s="1" t="s">
        <v>9</v>
      </c>
    </row>
    <row r="67" spans="1:2" x14ac:dyDescent="0.35">
      <c r="A67" s="2">
        <v>46052</v>
      </c>
      <c r="B67" s="1" t="s">
        <v>9</v>
      </c>
    </row>
    <row r="68" spans="1:2" x14ac:dyDescent="0.35">
      <c r="A68" s="2">
        <v>46055</v>
      </c>
      <c r="B68" s="1" t="s">
        <v>24</v>
      </c>
    </row>
    <row r="69" spans="1:2" x14ac:dyDescent="0.35">
      <c r="A69" s="2">
        <v>46055</v>
      </c>
      <c r="B69" s="1" t="s">
        <v>28</v>
      </c>
    </row>
    <row r="70" spans="1:2" x14ac:dyDescent="0.35">
      <c r="A70" s="2">
        <v>46055</v>
      </c>
      <c r="B70" s="1" t="s">
        <v>92</v>
      </c>
    </row>
    <row r="71" spans="1:2" x14ac:dyDescent="0.35">
      <c r="A71" s="2">
        <v>46056</v>
      </c>
      <c r="B71" s="1" t="s">
        <v>68</v>
      </c>
    </row>
    <row r="72" spans="1:2" x14ac:dyDescent="0.35">
      <c r="A72" s="2">
        <v>46056</v>
      </c>
      <c r="B72" s="1" t="s">
        <v>92</v>
      </c>
    </row>
    <row r="73" spans="1:2" x14ac:dyDescent="0.35">
      <c r="A73" s="2">
        <v>46056</v>
      </c>
      <c r="B73" s="1" t="s">
        <v>9</v>
      </c>
    </row>
    <row r="74" spans="1:2" x14ac:dyDescent="0.35">
      <c r="A74" s="2">
        <v>46056</v>
      </c>
      <c r="B74" s="1" t="s">
        <v>90</v>
      </c>
    </row>
    <row r="75" spans="1:2" x14ac:dyDescent="0.35">
      <c r="A75" s="2">
        <v>46056</v>
      </c>
      <c r="B75" s="1" t="s">
        <v>34</v>
      </c>
    </row>
    <row r="76" spans="1:2" x14ac:dyDescent="0.35">
      <c r="A76" s="2">
        <v>46056</v>
      </c>
      <c r="B76" s="1" t="s">
        <v>90</v>
      </c>
    </row>
    <row r="77" spans="1:2" x14ac:dyDescent="0.35">
      <c r="A77" s="2">
        <v>46057</v>
      </c>
      <c r="B77" s="1" t="s">
        <v>9</v>
      </c>
    </row>
    <row r="78" spans="1:2" x14ac:dyDescent="0.35">
      <c r="A78" s="2">
        <v>46057</v>
      </c>
      <c r="B78" s="1" t="s">
        <v>9</v>
      </c>
    </row>
    <row r="79" spans="1:2" x14ac:dyDescent="0.35">
      <c r="A79" s="2">
        <v>46057</v>
      </c>
      <c r="B79" s="1" t="s">
        <v>9</v>
      </c>
    </row>
    <row r="80" spans="1:2" x14ac:dyDescent="0.35">
      <c r="A80" s="2">
        <v>46058</v>
      </c>
      <c r="B80" s="1" t="s">
        <v>92</v>
      </c>
    </row>
    <row r="81" spans="1:2" x14ac:dyDescent="0.35">
      <c r="A81" s="2">
        <v>46059</v>
      </c>
      <c r="B81" s="1" t="s">
        <v>9</v>
      </c>
    </row>
    <row r="82" spans="1:2" x14ac:dyDescent="0.35">
      <c r="A82" s="2">
        <v>46062</v>
      </c>
      <c r="B82" s="1" t="s">
        <v>24</v>
      </c>
    </row>
    <row r="83" spans="1:2" x14ac:dyDescent="0.35">
      <c r="A83" s="2">
        <v>46062</v>
      </c>
      <c r="B83" s="1" t="s">
        <v>24</v>
      </c>
    </row>
    <row r="84" spans="1:2" x14ac:dyDescent="0.35">
      <c r="A84" s="2">
        <v>46062</v>
      </c>
      <c r="B84" s="1" t="s">
        <v>9</v>
      </c>
    </row>
    <row r="85" spans="1:2" x14ac:dyDescent="0.35">
      <c r="A85" s="2">
        <v>46062</v>
      </c>
      <c r="B85" s="1" t="s">
        <v>32</v>
      </c>
    </row>
    <row r="86" spans="1:2" x14ac:dyDescent="0.35">
      <c r="A86" s="2">
        <v>46062</v>
      </c>
      <c r="B86" s="1" t="s">
        <v>92</v>
      </c>
    </row>
    <row r="87" spans="1:2" x14ac:dyDescent="0.35">
      <c r="A87" s="2">
        <v>46062</v>
      </c>
      <c r="B87" s="1" t="s">
        <v>24</v>
      </c>
    </row>
    <row r="88" spans="1:2" x14ac:dyDescent="0.35">
      <c r="A88" s="2">
        <v>46063</v>
      </c>
      <c r="B88" s="1" t="s">
        <v>92</v>
      </c>
    </row>
    <row r="89" spans="1:2" x14ac:dyDescent="0.35">
      <c r="A89" s="2">
        <v>46063</v>
      </c>
      <c r="B89" s="1" t="s">
        <v>92</v>
      </c>
    </row>
    <row r="90" spans="1:2" x14ac:dyDescent="0.35">
      <c r="A90" s="2">
        <v>46063</v>
      </c>
      <c r="B90" s="1" t="s">
        <v>22</v>
      </c>
    </row>
    <row r="91" spans="1:2" x14ac:dyDescent="0.35">
      <c r="A91" s="2">
        <v>46063</v>
      </c>
      <c r="B91" s="1" t="s">
        <v>24</v>
      </c>
    </row>
    <row r="92" spans="1:2" x14ac:dyDescent="0.35">
      <c r="A92" s="2">
        <v>46064</v>
      </c>
      <c r="B92" s="1" t="s">
        <v>9</v>
      </c>
    </row>
    <row r="93" spans="1:2" x14ac:dyDescent="0.35">
      <c r="A93" s="2">
        <v>46069</v>
      </c>
      <c r="B93" s="1" t="s">
        <v>34</v>
      </c>
    </row>
    <row r="94" spans="1:2" x14ac:dyDescent="0.35">
      <c r="A94" s="2">
        <v>46071</v>
      </c>
      <c r="B94" s="1" t="s">
        <v>92</v>
      </c>
    </row>
    <row r="95" spans="1:2" x14ac:dyDescent="0.35">
      <c r="A95" s="2">
        <v>46071</v>
      </c>
      <c r="B95" s="1" t="s">
        <v>92</v>
      </c>
    </row>
    <row r="96" spans="1:2" x14ac:dyDescent="0.35">
      <c r="A96" s="2">
        <v>46071</v>
      </c>
      <c r="B96" s="1" t="s">
        <v>92</v>
      </c>
    </row>
    <row r="97" spans="1:2" x14ac:dyDescent="0.35">
      <c r="A97" s="2">
        <v>46071</v>
      </c>
      <c r="B97" s="1" t="s">
        <v>92</v>
      </c>
    </row>
    <row r="98" spans="1:2" x14ac:dyDescent="0.35">
      <c r="A98" s="2">
        <v>46071</v>
      </c>
      <c r="B98" s="1" t="s">
        <v>92</v>
      </c>
    </row>
    <row r="99" spans="1:2" x14ac:dyDescent="0.35">
      <c r="A99" s="2">
        <v>46071</v>
      </c>
      <c r="B99" s="1" t="s">
        <v>92</v>
      </c>
    </row>
    <row r="100" spans="1:2" x14ac:dyDescent="0.35">
      <c r="A100" s="2">
        <v>46071</v>
      </c>
      <c r="B100" s="1" t="s">
        <v>92</v>
      </c>
    </row>
    <row r="101" spans="1:2" x14ac:dyDescent="0.35">
      <c r="A101" s="2">
        <v>46071</v>
      </c>
      <c r="B101" s="1" t="s">
        <v>92</v>
      </c>
    </row>
    <row r="102" spans="1:2" x14ac:dyDescent="0.35">
      <c r="A102" s="2">
        <v>46076</v>
      </c>
      <c r="B102" s="1" t="s">
        <v>90</v>
      </c>
    </row>
    <row r="103" spans="1:2" x14ac:dyDescent="0.35">
      <c r="A103" s="2">
        <v>46076</v>
      </c>
      <c r="B103" s="1" t="s">
        <v>90</v>
      </c>
    </row>
    <row r="104" spans="1:2" x14ac:dyDescent="0.35">
      <c r="A104" s="2">
        <v>46076</v>
      </c>
      <c r="B104" s="1" t="s">
        <v>90</v>
      </c>
    </row>
    <row r="105" spans="1:2" x14ac:dyDescent="0.35">
      <c r="A105" s="2">
        <v>46076</v>
      </c>
      <c r="B105" s="1" t="s">
        <v>22</v>
      </c>
    </row>
    <row r="106" spans="1:2" x14ac:dyDescent="0.35">
      <c r="A106" s="2">
        <v>46076</v>
      </c>
      <c r="B106" s="1" t="s">
        <v>22</v>
      </c>
    </row>
    <row r="107" spans="1:2" x14ac:dyDescent="0.35">
      <c r="A107" s="2">
        <v>46076</v>
      </c>
      <c r="B107" s="1" t="s">
        <v>9</v>
      </c>
    </row>
    <row r="108" spans="1:2" x14ac:dyDescent="0.35">
      <c r="A108" s="2">
        <v>46076</v>
      </c>
      <c r="B108" s="1" t="s">
        <v>90</v>
      </c>
    </row>
    <row r="109" spans="1:2" x14ac:dyDescent="0.35">
      <c r="A109" s="2">
        <v>46077</v>
      </c>
      <c r="B109" s="1" t="s">
        <v>9</v>
      </c>
    </row>
    <row r="110" spans="1:2" x14ac:dyDescent="0.35">
      <c r="A110" s="2">
        <v>46077</v>
      </c>
      <c r="B110" s="1" t="s">
        <v>34</v>
      </c>
    </row>
    <row r="111" spans="1:2" x14ac:dyDescent="0.35">
      <c r="A111" s="2">
        <v>46077</v>
      </c>
      <c r="B111" s="1" t="s">
        <v>34</v>
      </c>
    </row>
    <row r="112" spans="1:2" x14ac:dyDescent="0.35">
      <c r="A112" s="2">
        <v>46077</v>
      </c>
      <c r="B112" s="1" t="s">
        <v>9</v>
      </c>
    </row>
    <row r="113" spans="1:2" x14ac:dyDescent="0.35">
      <c r="A113" s="2">
        <v>46078</v>
      </c>
      <c r="B113" s="1" t="s">
        <v>22</v>
      </c>
    </row>
    <row r="114" spans="1:2" x14ac:dyDescent="0.35">
      <c r="A114" s="2">
        <v>46079</v>
      </c>
      <c r="B114" s="1" t="s">
        <v>90</v>
      </c>
    </row>
    <row r="115" spans="1:2" x14ac:dyDescent="0.35">
      <c r="A115" s="2">
        <v>46079</v>
      </c>
      <c r="B115" s="1" t="s">
        <v>93</v>
      </c>
    </row>
    <row r="116" spans="1:2" x14ac:dyDescent="0.35">
      <c r="A116" s="2">
        <v>46079</v>
      </c>
      <c r="B116" s="1" t="s">
        <v>22</v>
      </c>
    </row>
    <row r="117" spans="1:2" x14ac:dyDescent="0.35">
      <c r="A117" s="2">
        <v>46083</v>
      </c>
      <c r="B117" s="1" t="s">
        <v>5</v>
      </c>
    </row>
    <row r="118" spans="1:2" x14ac:dyDescent="0.35">
      <c r="A118" s="2">
        <v>46083</v>
      </c>
      <c r="B118" s="1" t="s">
        <v>5</v>
      </c>
    </row>
    <row r="119" spans="1:2" x14ac:dyDescent="0.35">
      <c r="A119" s="2">
        <v>46083</v>
      </c>
      <c r="B119" s="1" t="s">
        <v>9</v>
      </c>
    </row>
    <row r="120" spans="1:2" x14ac:dyDescent="0.35">
      <c r="A120" s="2">
        <v>46083</v>
      </c>
      <c r="B120" s="1" t="s">
        <v>22</v>
      </c>
    </row>
    <row r="121" spans="1:2" x14ac:dyDescent="0.35">
      <c r="A121" s="2">
        <v>46084</v>
      </c>
      <c r="B121" s="1" t="s">
        <v>28</v>
      </c>
    </row>
    <row r="122" spans="1:2" x14ac:dyDescent="0.35">
      <c r="A122" s="2">
        <v>46084</v>
      </c>
      <c r="B122" s="1" t="s">
        <v>9</v>
      </c>
    </row>
    <row r="123" spans="1:2" x14ac:dyDescent="0.35">
      <c r="A123" s="2">
        <v>46084</v>
      </c>
      <c r="B123" s="1" t="s">
        <v>22</v>
      </c>
    </row>
    <row r="124" spans="1:2" x14ac:dyDescent="0.35">
      <c r="A124" s="2">
        <v>46084</v>
      </c>
      <c r="B124" s="1" t="s">
        <v>28</v>
      </c>
    </row>
    <row r="125" spans="1:2" x14ac:dyDescent="0.35">
      <c r="A125" s="2">
        <v>46086</v>
      </c>
      <c r="B125" s="1" t="s">
        <v>90</v>
      </c>
    </row>
    <row r="126" spans="1:2" x14ac:dyDescent="0.35">
      <c r="A126" s="2">
        <v>46086</v>
      </c>
      <c r="B126" s="1" t="s">
        <v>87</v>
      </c>
    </row>
    <row r="127" spans="1:2" x14ac:dyDescent="0.35">
      <c r="A127" s="2">
        <v>46086</v>
      </c>
      <c r="B127" s="1" t="s">
        <v>28</v>
      </c>
    </row>
    <row r="128" spans="1:2" x14ac:dyDescent="0.35">
      <c r="A128" s="2">
        <v>46086</v>
      </c>
      <c r="B128" s="1" t="s">
        <v>22</v>
      </c>
    </row>
    <row r="129" spans="1:2" x14ac:dyDescent="0.35">
      <c r="A129" s="2">
        <v>46086</v>
      </c>
      <c r="B129" s="1" t="s">
        <v>32</v>
      </c>
    </row>
    <row r="130" spans="1:2" x14ac:dyDescent="0.35">
      <c r="A130" s="2">
        <v>46086</v>
      </c>
      <c r="B130" s="1" t="s">
        <v>9</v>
      </c>
    </row>
    <row r="131" spans="1:2" x14ac:dyDescent="0.35">
      <c r="A131" s="2">
        <v>46086</v>
      </c>
      <c r="B131" s="1" t="s">
        <v>90</v>
      </c>
    </row>
    <row r="132" spans="1:2" x14ac:dyDescent="0.35">
      <c r="A132" s="2">
        <v>46086</v>
      </c>
      <c r="B132" s="1" t="s">
        <v>90</v>
      </c>
    </row>
    <row r="133" spans="1:2" x14ac:dyDescent="0.35">
      <c r="A133" s="2">
        <v>46086</v>
      </c>
      <c r="B133" s="1" t="s">
        <v>9</v>
      </c>
    </row>
    <row r="134" spans="1:2" x14ac:dyDescent="0.35">
      <c r="A134" s="2">
        <v>46086</v>
      </c>
      <c r="B134" s="1" t="s">
        <v>87</v>
      </c>
    </row>
    <row r="135" spans="1:2" x14ac:dyDescent="0.35">
      <c r="A135" s="2">
        <v>46087</v>
      </c>
      <c r="B135" s="1" t="s">
        <v>28</v>
      </c>
    </row>
    <row r="136" spans="1:2" x14ac:dyDescent="0.35">
      <c r="A136" s="2">
        <v>46087</v>
      </c>
      <c r="B136" s="1" t="s">
        <v>87</v>
      </c>
    </row>
    <row r="137" spans="1:2" x14ac:dyDescent="0.35">
      <c r="A137" s="2">
        <v>46087</v>
      </c>
      <c r="B137" s="1" t="s">
        <v>32</v>
      </c>
    </row>
    <row r="138" spans="1:2" x14ac:dyDescent="0.35">
      <c r="A138" s="2">
        <v>46087</v>
      </c>
      <c r="B138" s="1" t="s">
        <v>24</v>
      </c>
    </row>
    <row r="139" spans="1:2" x14ac:dyDescent="0.35">
      <c r="A139" s="2">
        <v>46090</v>
      </c>
      <c r="B139" s="1" t="s">
        <v>24</v>
      </c>
    </row>
    <row r="140" spans="1:2" x14ac:dyDescent="0.35">
      <c r="A140" s="2">
        <v>46091</v>
      </c>
      <c r="B140" s="1" t="s">
        <v>28</v>
      </c>
    </row>
    <row r="141" spans="1:2" x14ac:dyDescent="0.35">
      <c r="A141" s="2">
        <v>46091</v>
      </c>
      <c r="B141" s="1" t="s">
        <v>32</v>
      </c>
    </row>
    <row r="142" spans="1:2" x14ac:dyDescent="0.35">
      <c r="A142" s="2">
        <v>46091</v>
      </c>
      <c r="B142" s="1" t="s">
        <v>94</v>
      </c>
    </row>
    <row r="143" spans="1:2" x14ac:dyDescent="0.35">
      <c r="A143" s="2">
        <v>46091</v>
      </c>
      <c r="B143" s="1" t="s">
        <v>94</v>
      </c>
    </row>
    <row r="144" spans="1:2" x14ac:dyDescent="0.35">
      <c r="A144" s="2">
        <v>46091</v>
      </c>
      <c r="B144" s="1" t="s">
        <v>87</v>
      </c>
    </row>
    <row r="145" spans="1:2" x14ac:dyDescent="0.35">
      <c r="A145" s="2">
        <v>46092</v>
      </c>
      <c r="B145" s="1" t="s">
        <v>94</v>
      </c>
    </row>
    <row r="146" spans="1:2" x14ac:dyDescent="0.35">
      <c r="A146" s="2">
        <v>46092</v>
      </c>
      <c r="B146" s="1" t="s">
        <v>94</v>
      </c>
    </row>
    <row r="147" spans="1:2" x14ac:dyDescent="0.35">
      <c r="A147" s="2">
        <v>46092</v>
      </c>
      <c r="B147" s="1" t="s">
        <v>94</v>
      </c>
    </row>
    <row r="148" spans="1:2" x14ac:dyDescent="0.35">
      <c r="A148" s="2">
        <v>46093</v>
      </c>
      <c r="B148" s="1" t="s">
        <v>32</v>
      </c>
    </row>
    <row r="149" spans="1:2" x14ac:dyDescent="0.35">
      <c r="A149" s="2">
        <v>46093</v>
      </c>
      <c r="B149" s="1" t="s">
        <v>32</v>
      </c>
    </row>
    <row r="150" spans="1:2" x14ac:dyDescent="0.35">
      <c r="A150" s="2">
        <v>46093</v>
      </c>
      <c r="B150" s="1" t="s">
        <v>87</v>
      </c>
    </row>
    <row r="151" spans="1:2" x14ac:dyDescent="0.35">
      <c r="A151" s="2">
        <v>46093</v>
      </c>
      <c r="B151" s="1" t="s">
        <v>24</v>
      </c>
    </row>
    <row r="152" spans="1:2" x14ac:dyDescent="0.35">
      <c r="A152" s="2">
        <v>46093</v>
      </c>
      <c r="B152" s="1" t="s">
        <v>32</v>
      </c>
    </row>
    <row r="153" spans="1:2" x14ac:dyDescent="0.35">
      <c r="A153" s="2">
        <v>46093</v>
      </c>
      <c r="B153" s="1" t="s">
        <v>5</v>
      </c>
    </row>
    <row r="154" spans="1:2" x14ac:dyDescent="0.35">
      <c r="A154" s="2">
        <v>46093</v>
      </c>
      <c r="B154" s="1" t="s">
        <v>87</v>
      </c>
    </row>
    <row r="155" spans="1:2" x14ac:dyDescent="0.35">
      <c r="A155" s="2">
        <v>46093</v>
      </c>
      <c r="B155" s="1" t="s">
        <v>32</v>
      </c>
    </row>
    <row r="156" spans="1:2" x14ac:dyDescent="0.35">
      <c r="A156" s="2">
        <v>46093</v>
      </c>
      <c r="B156" s="1" t="s">
        <v>94</v>
      </c>
    </row>
    <row r="157" spans="1:2" x14ac:dyDescent="0.35">
      <c r="A157" s="2">
        <v>46093</v>
      </c>
      <c r="B157" s="1" t="s">
        <v>5</v>
      </c>
    </row>
    <row r="158" spans="1:2" x14ac:dyDescent="0.35">
      <c r="A158" s="2">
        <v>46094</v>
      </c>
      <c r="B158" s="1" t="s">
        <v>94</v>
      </c>
    </row>
    <row r="159" spans="1:2" x14ac:dyDescent="0.35">
      <c r="A159" s="2">
        <v>46097</v>
      </c>
      <c r="B159" s="1" t="s">
        <v>32</v>
      </c>
    </row>
    <row r="160" spans="1:2" x14ac:dyDescent="0.35">
      <c r="A160" s="2">
        <v>46097</v>
      </c>
      <c r="B160" s="1" t="s">
        <v>5</v>
      </c>
    </row>
    <row r="161" spans="1:2" x14ac:dyDescent="0.35">
      <c r="A161" s="2">
        <v>46097</v>
      </c>
      <c r="B161" s="1" t="s">
        <v>32</v>
      </c>
    </row>
    <row r="162" spans="1:2" x14ac:dyDescent="0.35">
      <c r="A162" s="2">
        <v>46097</v>
      </c>
      <c r="B162" s="1" t="s">
        <v>94</v>
      </c>
    </row>
    <row r="163" spans="1:2" x14ac:dyDescent="0.35">
      <c r="A163" s="2">
        <v>46097</v>
      </c>
      <c r="B163" s="1" t="s">
        <v>94</v>
      </c>
    </row>
    <row r="164" spans="1:2" x14ac:dyDescent="0.35">
      <c r="A164" s="2">
        <v>46097</v>
      </c>
      <c r="B164" s="1" t="s">
        <v>22</v>
      </c>
    </row>
    <row r="165" spans="1:2" x14ac:dyDescent="0.35">
      <c r="A165" s="2">
        <v>46097</v>
      </c>
      <c r="B165" s="1" t="s">
        <v>34</v>
      </c>
    </row>
    <row r="166" spans="1:2" x14ac:dyDescent="0.35">
      <c r="A166" s="2">
        <v>46097</v>
      </c>
      <c r="B166" s="1" t="s">
        <v>94</v>
      </c>
    </row>
    <row r="167" spans="1:2" x14ac:dyDescent="0.35">
      <c r="A167" s="2">
        <v>46097</v>
      </c>
      <c r="B167" s="1" t="s">
        <v>94</v>
      </c>
    </row>
    <row r="168" spans="1:2" x14ac:dyDescent="0.35">
      <c r="A168" s="2">
        <v>46098</v>
      </c>
      <c r="B168" s="1" t="s">
        <v>94</v>
      </c>
    </row>
    <row r="169" spans="1:2" x14ac:dyDescent="0.35">
      <c r="A169" s="2">
        <v>46098</v>
      </c>
      <c r="B169" s="1" t="s">
        <v>9</v>
      </c>
    </row>
    <row r="170" spans="1:2" x14ac:dyDescent="0.35">
      <c r="A170" s="2">
        <v>46098</v>
      </c>
      <c r="B170" s="1" t="s">
        <v>94</v>
      </c>
    </row>
    <row r="171" spans="1:2" x14ac:dyDescent="0.35">
      <c r="A171" s="2">
        <v>46098</v>
      </c>
      <c r="B171" s="1" t="s">
        <v>94</v>
      </c>
    </row>
    <row r="172" spans="1:2" x14ac:dyDescent="0.35">
      <c r="A172" s="2">
        <v>46098</v>
      </c>
      <c r="B172" s="1" t="s">
        <v>32</v>
      </c>
    </row>
    <row r="173" spans="1:2" x14ac:dyDescent="0.35">
      <c r="A173" s="2">
        <v>46099</v>
      </c>
      <c r="B173" s="1" t="s">
        <v>94</v>
      </c>
    </row>
    <row r="174" spans="1:2" x14ac:dyDescent="0.35">
      <c r="A174" s="2">
        <v>46100</v>
      </c>
      <c r="B174" s="1" t="s">
        <v>94</v>
      </c>
    </row>
    <row r="175" spans="1:2" x14ac:dyDescent="0.35">
      <c r="A175" s="2">
        <v>46100</v>
      </c>
      <c r="B175" s="1" t="s">
        <v>5</v>
      </c>
    </row>
    <row r="176" spans="1:2" x14ac:dyDescent="0.35">
      <c r="A176" s="2">
        <v>46101</v>
      </c>
      <c r="B176" s="1" t="s">
        <v>9</v>
      </c>
    </row>
    <row r="177" spans="1:2" x14ac:dyDescent="0.35">
      <c r="A177" s="2">
        <v>46101</v>
      </c>
      <c r="B177" s="1" t="s">
        <v>32</v>
      </c>
    </row>
    <row r="178" spans="1:2" x14ac:dyDescent="0.35">
      <c r="A178" s="2">
        <v>46104</v>
      </c>
      <c r="B178" s="1" t="s">
        <v>28</v>
      </c>
    </row>
    <row r="179" spans="1:2" x14ac:dyDescent="0.35">
      <c r="A179" s="2">
        <v>46104</v>
      </c>
      <c r="B179" s="1" t="s">
        <v>5</v>
      </c>
    </row>
    <row r="180" spans="1:2" x14ac:dyDescent="0.35">
      <c r="A180" s="2">
        <v>46104</v>
      </c>
      <c r="B180" s="1" t="s">
        <v>9</v>
      </c>
    </row>
    <row r="181" spans="1:2" x14ac:dyDescent="0.35">
      <c r="A181" s="2">
        <v>46104</v>
      </c>
      <c r="B181" s="1" t="s">
        <v>22</v>
      </c>
    </row>
    <row r="182" spans="1:2" x14ac:dyDescent="0.35">
      <c r="A182" s="2">
        <v>46104</v>
      </c>
      <c r="B182" s="1" t="s">
        <v>87</v>
      </c>
    </row>
    <row r="183" spans="1:2" x14ac:dyDescent="0.35">
      <c r="A183" s="2">
        <v>46105</v>
      </c>
      <c r="B183" s="1" t="s">
        <v>94</v>
      </c>
    </row>
    <row r="184" spans="1:2" x14ac:dyDescent="0.35">
      <c r="A184" s="2">
        <v>46105</v>
      </c>
      <c r="B184" s="1" t="s">
        <v>99</v>
      </c>
    </row>
    <row r="185" spans="1:2" x14ac:dyDescent="0.35">
      <c r="A185" s="2">
        <v>46105</v>
      </c>
      <c r="B185" s="1" t="s">
        <v>94</v>
      </c>
    </row>
    <row r="186" spans="1:2" x14ac:dyDescent="0.35">
      <c r="A186" s="2">
        <v>46106</v>
      </c>
      <c r="B186" s="1" t="s">
        <v>94</v>
      </c>
    </row>
    <row r="187" spans="1:2" x14ac:dyDescent="0.35">
      <c r="A187" s="2">
        <v>46106</v>
      </c>
      <c r="B187" s="1" t="s">
        <v>32</v>
      </c>
    </row>
    <row r="188" spans="1:2" x14ac:dyDescent="0.35">
      <c r="A188" s="2">
        <v>46106</v>
      </c>
      <c r="B188" s="1" t="s">
        <v>9</v>
      </c>
    </row>
    <row r="189" spans="1:2" x14ac:dyDescent="0.35">
      <c r="A189" s="2">
        <v>46106</v>
      </c>
      <c r="B189" s="1" t="s">
        <v>32</v>
      </c>
    </row>
    <row r="190" spans="1:2" x14ac:dyDescent="0.35">
      <c r="A190" s="2">
        <v>46108</v>
      </c>
      <c r="B190" s="1" t="s">
        <v>9</v>
      </c>
    </row>
    <row r="191" spans="1:2" x14ac:dyDescent="0.35">
      <c r="A191" s="2">
        <v>46108</v>
      </c>
      <c r="B191" s="1" t="s">
        <v>5</v>
      </c>
    </row>
    <row r="192" spans="1:2" x14ac:dyDescent="0.35">
      <c r="A192" s="2">
        <v>46108</v>
      </c>
      <c r="B192" s="1" t="s">
        <v>5</v>
      </c>
    </row>
    <row r="193" spans="1:2" x14ac:dyDescent="0.35">
      <c r="A193" s="2">
        <v>46108</v>
      </c>
      <c r="B193" s="1" t="s">
        <v>94</v>
      </c>
    </row>
    <row r="194" spans="1:2" x14ac:dyDescent="0.35">
      <c r="A194" s="2">
        <v>46108</v>
      </c>
      <c r="B194" s="1" t="s">
        <v>94</v>
      </c>
    </row>
    <row r="195" spans="1:2" x14ac:dyDescent="0.35">
      <c r="A195" s="2">
        <v>46108</v>
      </c>
      <c r="B195" s="1" t="s">
        <v>94</v>
      </c>
    </row>
    <row r="196" spans="1:2" x14ac:dyDescent="0.35">
      <c r="A196" s="2">
        <v>46108</v>
      </c>
      <c r="B196" s="1" t="s">
        <v>94</v>
      </c>
    </row>
    <row r="197" spans="1:2" x14ac:dyDescent="0.35">
      <c r="A197" s="2">
        <v>46108</v>
      </c>
      <c r="B197" s="1" t="s">
        <v>94</v>
      </c>
    </row>
    <row r="198" spans="1:2" x14ac:dyDescent="0.35">
      <c r="A198" s="2">
        <v>46111</v>
      </c>
      <c r="B198" s="1" t="s">
        <v>22</v>
      </c>
    </row>
    <row r="199" spans="1:2" x14ac:dyDescent="0.35">
      <c r="A199" s="2">
        <v>46111</v>
      </c>
      <c r="B199" s="1" t="s">
        <v>94</v>
      </c>
    </row>
    <row r="200" spans="1:2" x14ac:dyDescent="0.35">
      <c r="A200" s="2">
        <v>46112</v>
      </c>
      <c r="B200" s="1" t="s">
        <v>94</v>
      </c>
    </row>
    <row r="201" spans="1:2" x14ac:dyDescent="0.35">
      <c r="A201" s="2">
        <v>46113</v>
      </c>
      <c r="B201" s="1" t="s">
        <v>22</v>
      </c>
    </row>
    <row r="202" spans="1:2" x14ac:dyDescent="0.35">
      <c r="A202" s="2">
        <v>46113</v>
      </c>
      <c r="B202" s="1" t="s">
        <v>94</v>
      </c>
    </row>
    <row r="203" spans="1:2" x14ac:dyDescent="0.35">
      <c r="A203" s="2">
        <v>46113</v>
      </c>
      <c r="B203" s="1" t="s">
        <v>5</v>
      </c>
    </row>
    <row r="204" spans="1:2" x14ac:dyDescent="0.35">
      <c r="A204" s="2">
        <v>46113</v>
      </c>
      <c r="B204" s="1" t="s">
        <v>87</v>
      </c>
    </row>
    <row r="205" spans="1:2" x14ac:dyDescent="0.35">
      <c r="A205" s="2">
        <v>46113</v>
      </c>
      <c r="B205" s="1" t="s">
        <v>28</v>
      </c>
    </row>
    <row r="206" spans="1:2" x14ac:dyDescent="0.35">
      <c r="A206" s="2">
        <v>46113</v>
      </c>
      <c r="B206" s="1" t="s">
        <v>87</v>
      </c>
    </row>
    <row r="207" spans="1:2" x14ac:dyDescent="0.35">
      <c r="A207" s="2">
        <v>46114</v>
      </c>
      <c r="B207" s="1" t="s">
        <v>28</v>
      </c>
    </row>
    <row r="208" spans="1:2" x14ac:dyDescent="0.35">
      <c r="A208" s="2">
        <v>46118</v>
      </c>
      <c r="B208" s="1" t="s">
        <v>94</v>
      </c>
    </row>
    <row r="209" spans="1:2" x14ac:dyDescent="0.35">
      <c r="A209" s="2">
        <v>46118</v>
      </c>
      <c r="B209" s="1" t="s">
        <v>5</v>
      </c>
    </row>
    <row r="210" spans="1:2" x14ac:dyDescent="0.35">
      <c r="A210" s="2">
        <v>46118</v>
      </c>
      <c r="B210" s="1" t="s">
        <v>87</v>
      </c>
    </row>
    <row r="211" spans="1:2" x14ac:dyDescent="0.35">
      <c r="A211" s="2">
        <v>46118</v>
      </c>
      <c r="B211" s="1" t="s">
        <v>24</v>
      </c>
    </row>
    <row r="212" spans="1:2" x14ac:dyDescent="0.35">
      <c r="A212" s="2">
        <v>46119</v>
      </c>
      <c r="B212" s="1" t="s">
        <v>5</v>
      </c>
    </row>
    <row r="213" spans="1:2" x14ac:dyDescent="0.35">
      <c r="A213" s="2">
        <v>46119</v>
      </c>
      <c r="B213" s="1" t="s">
        <v>24</v>
      </c>
    </row>
    <row r="214" spans="1:2" x14ac:dyDescent="0.35">
      <c r="A214" s="2">
        <v>46119</v>
      </c>
      <c r="B214" s="1" t="s">
        <v>32</v>
      </c>
    </row>
    <row r="215" spans="1:2" x14ac:dyDescent="0.35">
      <c r="A215" s="2">
        <v>46119</v>
      </c>
      <c r="B215" s="1" t="s">
        <v>5</v>
      </c>
    </row>
    <row r="216" spans="1:2" x14ac:dyDescent="0.35">
      <c r="A216" s="2">
        <v>46119</v>
      </c>
      <c r="B216" s="1" t="s">
        <v>24</v>
      </c>
    </row>
    <row r="217" spans="1:2" x14ac:dyDescent="0.35">
      <c r="A217" s="2">
        <v>46119</v>
      </c>
      <c r="B217" s="1" t="s">
        <v>94</v>
      </c>
    </row>
    <row r="218" spans="1:2" x14ac:dyDescent="0.35">
      <c r="A218" s="2">
        <v>46120</v>
      </c>
      <c r="B218" s="1" t="s">
        <v>94</v>
      </c>
    </row>
    <row r="219" spans="1:2" x14ac:dyDescent="0.35">
      <c r="A219" s="2">
        <v>46120</v>
      </c>
      <c r="B219" s="1" t="s">
        <v>94</v>
      </c>
    </row>
    <row r="220" spans="1:2" x14ac:dyDescent="0.35">
      <c r="A220" s="2">
        <v>46120</v>
      </c>
      <c r="B220" s="1" t="s">
        <v>94</v>
      </c>
    </row>
    <row r="221" spans="1:2" x14ac:dyDescent="0.35">
      <c r="A221" s="2">
        <v>46121</v>
      </c>
      <c r="B221" s="1" t="s">
        <v>28</v>
      </c>
    </row>
    <row r="222" spans="1:2" x14ac:dyDescent="0.35">
      <c r="A222" s="2">
        <v>46121</v>
      </c>
      <c r="B222" s="1" t="s">
        <v>22</v>
      </c>
    </row>
    <row r="223" spans="1:2" x14ac:dyDescent="0.35">
      <c r="A223" s="2">
        <v>46121</v>
      </c>
      <c r="B223" s="1" t="s">
        <v>5</v>
      </c>
    </row>
    <row r="224" spans="1:2" x14ac:dyDescent="0.35">
      <c r="A224" s="2">
        <v>46121</v>
      </c>
      <c r="B224" s="1" t="s">
        <v>5</v>
      </c>
    </row>
    <row r="225" spans="1:2" x14ac:dyDescent="0.35">
      <c r="A225" s="2">
        <v>46121</v>
      </c>
      <c r="B225" s="1" t="s">
        <v>24</v>
      </c>
    </row>
    <row r="226" spans="1:2" x14ac:dyDescent="0.35">
      <c r="A226" s="2">
        <v>46121</v>
      </c>
      <c r="B226" s="1" t="s">
        <v>5</v>
      </c>
    </row>
    <row r="227" spans="1:2" x14ac:dyDescent="0.35">
      <c r="A227" s="2">
        <v>46121</v>
      </c>
      <c r="B227" s="1" t="s">
        <v>28</v>
      </c>
    </row>
    <row r="228" spans="1:2" x14ac:dyDescent="0.35">
      <c r="A228" s="2">
        <v>46122</v>
      </c>
      <c r="B228" s="1" t="s">
        <v>24</v>
      </c>
    </row>
    <row r="229" spans="1:2" x14ac:dyDescent="0.35">
      <c r="A229" s="2">
        <v>46122</v>
      </c>
      <c r="B229" s="1" t="s">
        <v>94</v>
      </c>
    </row>
    <row r="230" spans="1:2" x14ac:dyDescent="0.35">
      <c r="A230" s="2">
        <v>46122</v>
      </c>
      <c r="B230" s="1" t="s">
        <v>5</v>
      </c>
    </row>
    <row r="231" spans="1:2" x14ac:dyDescent="0.35">
      <c r="A231" s="2">
        <v>46122</v>
      </c>
      <c r="B231" s="1" t="s">
        <v>24</v>
      </c>
    </row>
    <row r="232" spans="1:2" x14ac:dyDescent="0.35">
      <c r="A232" s="2">
        <v>46122</v>
      </c>
      <c r="B232" s="1" t="s">
        <v>32</v>
      </c>
    </row>
    <row r="233" spans="1:2" x14ac:dyDescent="0.35">
      <c r="A233" s="2">
        <v>46122</v>
      </c>
      <c r="B233" s="1" t="s">
        <v>32</v>
      </c>
    </row>
    <row r="234" spans="1:2" x14ac:dyDescent="0.35">
      <c r="A234" s="2">
        <v>46125</v>
      </c>
      <c r="B234" s="1" t="s">
        <v>5</v>
      </c>
    </row>
    <row r="235" spans="1:2" x14ac:dyDescent="0.35">
      <c r="A235" s="2">
        <v>46125</v>
      </c>
      <c r="B235" s="1" t="s">
        <v>94</v>
      </c>
    </row>
    <row r="236" spans="1:2" x14ac:dyDescent="0.35">
      <c r="A236" s="2">
        <v>46125</v>
      </c>
      <c r="B236" s="1" t="s">
        <v>94</v>
      </c>
    </row>
    <row r="237" spans="1:2" x14ac:dyDescent="0.35">
      <c r="A237" s="2">
        <v>46125</v>
      </c>
      <c r="B237" s="1" t="s">
        <v>94</v>
      </c>
    </row>
    <row r="238" spans="1:2" x14ac:dyDescent="0.35">
      <c r="A238" s="2">
        <v>46125</v>
      </c>
      <c r="B238" s="1" t="s">
        <v>24</v>
      </c>
    </row>
    <row r="239" spans="1:2" x14ac:dyDescent="0.35">
      <c r="A239" s="2">
        <v>46125</v>
      </c>
      <c r="B239" s="1" t="s">
        <v>28</v>
      </c>
    </row>
    <row r="240" spans="1:2" x14ac:dyDescent="0.35">
      <c r="A240" s="2">
        <v>46125</v>
      </c>
      <c r="B240" s="1" t="s">
        <v>24</v>
      </c>
    </row>
    <row r="241" spans="1:2" x14ac:dyDescent="0.35">
      <c r="A241" s="2">
        <v>46125</v>
      </c>
      <c r="B241" s="1" t="s">
        <v>32</v>
      </c>
    </row>
    <row r="242" spans="1:2" x14ac:dyDescent="0.35">
      <c r="A242" s="2">
        <v>46125</v>
      </c>
      <c r="B242" s="1" t="s">
        <v>5</v>
      </c>
    </row>
    <row r="243" spans="1:2" x14ac:dyDescent="0.35">
      <c r="A243" s="2">
        <v>46125</v>
      </c>
      <c r="B243" s="1" t="s">
        <v>24</v>
      </c>
    </row>
    <row r="244" spans="1:2" x14ac:dyDescent="0.35">
      <c r="A244" s="2">
        <v>46125</v>
      </c>
      <c r="B244" s="1" t="s">
        <v>5</v>
      </c>
    </row>
    <row r="245" spans="1:2" x14ac:dyDescent="0.35">
      <c r="A245" s="2">
        <v>46126</v>
      </c>
      <c r="B245" s="1" t="s">
        <v>87</v>
      </c>
    </row>
    <row r="246" spans="1:2" x14ac:dyDescent="0.35">
      <c r="A246" s="2">
        <v>46126</v>
      </c>
      <c r="B246" s="1" t="s">
        <v>5</v>
      </c>
    </row>
    <row r="247" spans="1:2" x14ac:dyDescent="0.35">
      <c r="A247" s="2">
        <v>46126</v>
      </c>
      <c r="B247" s="1" t="s">
        <v>28</v>
      </c>
    </row>
    <row r="248" spans="1:2" x14ac:dyDescent="0.35">
      <c r="A248" s="2">
        <v>46126</v>
      </c>
      <c r="B248" s="1" t="s">
        <v>28</v>
      </c>
    </row>
    <row r="249" spans="1:2" x14ac:dyDescent="0.35">
      <c r="A249" s="2">
        <v>46126</v>
      </c>
      <c r="B249" s="1" t="s">
        <v>5</v>
      </c>
    </row>
    <row r="250" spans="1:2" x14ac:dyDescent="0.35">
      <c r="A250" s="2">
        <v>46126</v>
      </c>
      <c r="B250" s="1" t="s">
        <v>24</v>
      </c>
    </row>
    <row r="251" spans="1:2" x14ac:dyDescent="0.35">
      <c r="A251" s="2">
        <v>46126</v>
      </c>
      <c r="B251" s="1" t="s">
        <v>24</v>
      </c>
    </row>
    <row r="252" spans="1:2" x14ac:dyDescent="0.35">
      <c r="A252" s="2">
        <v>46126</v>
      </c>
      <c r="B252" s="1" t="s">
        <v>22</v>
      </c>
    </row>
    <row r="253" spans="1:2" x14ac:dyDescent="0.35">
      <c r="A253" s="2">
        <v>46127</v>
      </c>
      <c r="B253" s="1" t="s">
        <v>22</v>
      </c>
    </row>
    <row r="254" spans="1:2" x14ac:dyDescent="0.35">
      <c r="A254" s="2">
        <v>46127</v>
      </c>
      <c r="B254" s="1" t="s">
        <v>32</v>
      </c>
    </row>
    <row r="255" spans="1:2" x14ac:dyDescent="0.35">
      <c r="A255" s="2">
        <v>46127</v>
      </c>
      <c r="B255" s="1" t="s">
        <v>5</v>
      </c>
    </row>
    <row r="256" spans="1:2" x14ac:dyDescent="0.35">
      <c r="A256" s="2">
        <v>46127</v>
      </c>
      <c r="B256" s="1" t="s">
        <v>24</v>
      </c>
    </row>
    <row r="257" spans="1:2" x14ac:dyDescent="0.35">
      <c r="A257" s="2">
        <v>46128</v>
      </c>
      <c r="B257" s="1" t="s">
        <v>28</v>
      </c>
    </row>
    <row r="258" spans="1:2" x14ac:dyDescent="0.35">
      <c r="A258" s="2">
        <v>46128</v>
      </c>
      <c r="B258" s="1" t="s">
        <v>24</v>
      </c>
    </row>
    <row r="259" spans="1:2" x14ac:dyDescent="0.35">
      <c r="A259" s="2">
        <v>46128</v>
      </c>
      <c r="B259" s="1" t="s">
        <v>33</v>
      </c>
    </row>
    <row r="260" spans="1:2" x14ac:dyDescent="0.35">
      <c r="A260" s="2">
        <v>46128</v>
      </c>
      <c r="B260" s="1" t="s">
        <v>94</v>
      </c>
    </row>
    <row r="261" spans="1:2" x14ac:dyDescent="0.35">
      <c r="A261" s="2">
        <v>46128</v>
      </c>
      <c r="B261" s="1" t="s">
        <v>5</v>
      </c>
    </row>
    <row r="262" spans="1:2" x14ac:dyDescent="0.35">
      <c r="A262" s="2">
        <v>46129</v>
      </c>
      <c r="B262" s="1" t="s">
        <v>9</v>
      </c>
    </row>
    <row r="263" spans="1:2" x14ac:dyDescent="0.35">
      <c r="A263" s="2">
        <v>46132</v>
      </c>
      <c r="B263" s="1" t="s">
        <v>33</v>
      </c>
    </row>
    <row r="264" spans="1:2" x14ac:dyDescent="0.35">
      <c r="A264" s="2">
        <v>46132</v>
      </c>
      <c r="B264" s="1" t="s">
        <v>5</v>
      </c>
    </row>
    <row r="265" spans="1:2" x14ac:dyDescent="0.35">
      <c r="A265" s="2">
        <v>46132</v>
      </c>
      <c r="B265" s="1" t="s">
        <v>33</v>
      </c>
    </row>
    <row r="266" spans="1:2" x14ac:dyDescent="0.35">
      <c r="A266" s="2">
        <v>46134</v>
      </c>
      <c r="B266" s="1" t="s">
        <v>5</v>
      </c>
    </row>
    <row r="267" spans="1:2" x14ac:dyDescent="0.35">
      <c r="A267" s="2">
        <v>46134</v>
      </c>
      <c r="B267" s="1" t="s">
        <v>94</v>
      </c>
    </row>
    <row r="268" spans="1:2" x14ac:dyDescent="0.35">
      <c r="A268" s="2">
        <v>46134</v>
      </c>
      <c r="B268" s="1" t="s">
        <v>32</v>
      </c>
    </row>
    <row r="269" spans="1:2" x14ac:dyDescent="0.35">
      <c r="A269" s="2">
        <v>46134</v>
      </c>
      <c r="B269" s="1" t="s">
        <v>5</v>
      </c>
    </row>
    <row r="270" spans="1:2" x14ac:dyDescent="0.35">
      <c r="A270" s="2">
        <v>46136</v>
      </c>
      <c r="B270" s="1" t="s">
        <v>94</v>
      </c>
    </row>
    <row r="271" spans="1:2" x14ac:dyDescent="0.35">
      <c r="A271" s="2">
        <v>46136</v>
      </c>
      <c r="B271" s="1" t="s">
        <v>32</v>
      </c>
    </row>
    <row r="272" spans="1:2" x14ac:dyDescent="0.35">
      <c r="A272" s="2">
        <v>46136</v>
      </c>
      <c r="B272" s="1" t="s">
        <v>9</v>
      </c>
    </row>
    <row r="273" spans="1:2" x14ac:dyDescent="0.35">
      <c r="A273" s="2">
        <v>46136</v>
      </c>
      <c r="B273" s="1" t="s">
        <v>5</v>
      </c>
    </row>
    <row r="274" spans="1:2" x14ac:dyDescent="0.35">
      <c r="A274" s="2">
        <v>46136</v>
      </c>
      <c r="B274" s="1" t="s">
        <v>87</v>
      </c>
    </row>
    <row r="275" spans="1:2" x14ac:dyDescent="0.35">
      <c r="A275" s="2">
        <v>46136</v>
      </c>
      <c r="B275" s="1" t="s">
        <v>24</v>
      </c>
    </row>
    <row r="276" spans="1:2" x14ac:dyDescent="0.35">
      <c r="A276" s="2">
        <v>46139</v>
      </c>
      <c r="B276" s="1" t="s">
        <v>102</v>
      </c>
    </row>
    <row r="277" spans="1:2" x14ac:dyDescent="0.35">
      <c r="A277" s="2">
        <v>46139</v>
      </c>
      <c r="B277" s="1" t="s">
        <v>102</v>
      </c>
    </row>
    <row r="278" spans="1:2" x14ac:dyDescent="0.35">
      <c r="A278" s="2">
        <v>46139</v>
      </c>
      <c r="B278" s="1" t="s">
        <v>33</v>
      </c>
    </row>
    <row r="279" spans="1:2" x14ac:dyDescent="0.35">
      <c r="A279" s="2">
        <v>46139</v>
      </c>
      <c r="B279" s="1" t="s">
        <v>22</v>
      </c>
    </row>
    <row r="280" spans="1:2" x14ac:dyDescent="0.35">
      <c r="A280" s="2">
        <v>46140</v>
      </c>
      <c r="B280" s="1" t="s">
        <v>88</v>
      </c>
    </row>
    <row r="281" spans="1:2" x14ac:dyDescent="0.35">
      <c r="A281" s="2">
        <v>46140</v>
      </c>
      <c r="B281" s="1" t="s">
        <v>5</v>
      </c>
    </row>
    <row r="282" spans="1:2" x14ac:dyDescent="0.35">
      <c r="A282" s="2">
        <v>46140</v>
      </c>
      <c r="B282" s="1" t="s">
        <v>5</v>
      </c>
    </row>
    <row r="283" spans="1:2" x14ac:dyDescent="0.35">
      <c r="A283" s="2">
        <v>46140</v>
      </c>
      <c r="B283" s="1" t="s">
        <v>32</v>
      </c>
    </row>
    <row r="284" spans="1:2" x14ac:dyDescent="0.35">
      <c r="A284" s="2">
        <v>46140</v>
      </c>
      <c r="B284" s="1" t="s">
        <v>32</v>
      </c>
    </row>
    <row r="285" spans="1:2" x14ac:dyDescent="0.35">
      <c r="A285" s="2">
        <v>46140</v>
      </c>
      <c r="B285" s="1" t="s">
        <v>22</v>
      </c>
    </row>
    <row r="286" spans="1:2" x14ac:dyDescent="0.35">
      <c r="A286" s="2">
        <v>46141</v>
      </c>
      <c r="B286" s="1" t="s">
        <v>5</v>
      </c>
    </row>
    <row r="287" spans="1:2" x14ac:dyDescent="0.35">
      <c r="A287" s="2">
        <v>46141</v>
      </c>
      <c r="B287" s="1" t="s">
        <v>32</v>
      </c>
    </row>
    <row r="288" spans="1:2" x14ac:dyDescent="0.35">
      <c r="A288" s="2">
        <v>46141</v>
      </c>
      <c r="B288" s="1" t="s">
        <v>24</v>
      </c>
    </row>
    <row r="289" spans="1:2" x14ac:dyDescent="0.35">
      <c r="A289" s="2">
        <v>46141</v>
      </c>
      <c r="B289" s="1" t="s">
        <v>5</v>
      </c>
    </row>
    <row r="290" spans="1:2" x14ac:dyDescent="0.35">
      <c r="A290" s="2">
        <v>46141</v>
      </c>
      <c r="B290" s="1" t="s">
        <v>9</v>
      </c>
    </row>
    <row r="291" spans="1:2" x14ac:dyDescent="0.35">
      <c r="A291" s="2">
        <v>46141</v>
      </c>
      <c r="B291" s="1" t="s">
        <v>5</v>
      </c>
    </row>
    <row r="292" spans="1:2" x14ac:dyDescent="0.35">
      <c r="A292" s="2">
        <v>46142</v>
      </c>
      <c r="B292" s="1" t="s">
        <v>32</v>
      </c>
    </row>
    <row r="293" spans="1:2" x14ac:dyDescent="0.35">
      <c r="A293" s="2">
        <v>46142</v>
      </c>
      <c r="B293" s="1" t="s">
        <v>28</v>
      </c>
    </row>
    <row r="294" spans="1:2" x14ac:dyDescent="0.35">
      <c r="A294" s="2">
        <v>46146</v>
      </c>
      <c r="B294" s="1" t="s">
        <v>33</v>
      </c>
    </row>
    <row r="295" spans="1:2" x14ac:dyDescent="0.35">
      <c r="A295" s="2">
        <v>46146</v>
      </c>
      <c r="B295" s="1" t="s">
        <v>24</v>
      </c>
    </row>
    <row r="296" spans="1:2" x14ac:dyDescent="0.35">
      <c r="A296" s="2">
        <v>46146</v>
      </c>
      <c r="B296" s="1" t="s">
        <v>5</v>
      </c>
    </row>
    <row r="297" spans="1:2" x14ac:dyDescent="0.35">
      <c r="A297" s="2">
        <v>46146</v>
      </c>
      <c r="B297" s="1" t="s">
        <v>9</v>
      </c>
    </row>
    <row r="298" spans="1:2" x14ac:dyDescent="0.35">
      <c r="A298" s="2">
        <v>46146</v>
      </c>
      <c r="B298" s="1" t="s">
        <v>24</v>
      </c>
    </row>
    <row r="299" spans="1:2" x14ac:dyDescent="0.35">
      <c r="A299" s="2">
        <v>46147</v>
      </c>
      <c r="B299" s="1" t="s">
        <v>32</v>
      </c>
    </row>
    <row r="300" spans="1:2" x14ac:dyDescent="0.35">
      <c r="A300" s="2">
        <v>46147</v>
      </c>
      <c r="B300" s="1" t="s">
        <v>5</v>
      </c>
    </row>
    <row r="301" spans="1:2" x14ac:dyDescent="0.35">
      <c r="A301" s="2">
        <v>46147</v>
      </c>
      <c r="B301" s="1" t="s">
        <v>24</v>
      </c>
    </row>
    <row r="302" spans="1:2" x14ac:dyDescent="0.35">
      <c r="A302" s="2">
        <v>46147</v>
      </c>
      <c r="B302" s="1" t="s">
        <v>32</v>
      </c>
    </row>
    <row r="303" spans="1:2" x14ac:dyDescent="0.35">
      <c r="A303" s="2">
        <v>46147</v>
      </c>
      <c r="B303" s="1" t="s">
        <v>33</v>
      </c>
    </row>
    <row r="304" spans="1:2" x14ac:dyDescent="0.35">
      <c r="A304" s="2">
        <v>46148</v>
      </c>
      <c r="B304" s="1" t="s">
        <v>28</v>
      </c>
    </row>
    <row r="305" spans="1:2" x14ac:dyDescent="0.35">
      <c r="A305" s="2">
        <v>46148</v>
      </c>
      <c r="B305" s="1" t="s">
        <v>5</v>
      </c>
    </row>
    <row r="306" spans="1:2" x14ac:dyDescent="0.35">
      <c r="A306" s="2">
        <v>46148</v>
      </c>
      <c r="B306" s="1" t="s">
        <v>24</v>
      </c>
    </row>
    <row r="307" spans="1:2" x14ac:dyDescent="0.35">
      <c r="A307" s="2">
        <v>46148</v>
      </c>
      <c r="B307" s="1" t="s">
        <v>24</v>
      </c>
    </row>
    <row r="308" spans="1:2" x14ac:dyDescent="0.35">
      <c r="A308" s="2">
        <v>46149</v>
      </c>
      <c r="B308" s="1" t="s">
        <v>24</v>
      </c>
    </row>
    <row r="309" spans="1:2" x14ac:dyDescent="0.35">
      <c r="A309" s="2">
        <v>46149</v>
      </c>
      <c r="B309" s="1" t="s">
        <v>32</v>
      </c>
    </row>
    <row r="310" spans="1:2" x14ac:dyDescent="0.35">
      <c r="A310" s="2">
        <v>46149</v>
      </c>
      <c r="B310" s="1" t="s">
        <v>32</v>
      </c>
    </row>
    <row r="311" spans="1:2" x14ac:dyDescent="0.35">
      <c r="A311" s="2">
        <v>46150</v>
      </c>
      <c r="B311" s="1" t="s">
        <v>28</v>
      </c>
    </row>
    <row r="312" spans="1:2" x14ac:dyDescent="0.35">
      <c r="A312" s="2">
        <v>46150</v>
      </c>
      <c r="B312" s="1" t="s">
        <v>33</v>
      </c>
    </row>
    <row r="313" spans="1:2" x14ac:dyDescent="0.35">
      <c r="A313" s="2">
        <v>46150</v>
      </c>
      <c r="B313" s="1" t="s">
        <v>24</v>
      </c>
    </row>
    <row r="314" spans="1:2" x14ac:dyDescent="0.35">
      <c r="A314" s="2">
        <v>46150</v>
      </c>
      <c r="B314" s="1" t="s">
        <v>9</v>
      </c>
    </row>
    <row r="315" spans="1:2" x14ac:dyDescent="0.35">
      <c r="A315" s="2">
        <v>46150</v>
      </c>
      <c r="B315" s="1" t="s">
        <v>28</v>
      </c>
    </row>
    <row r="316" spans="1:2" x14ac:dyDescent="0.35">
      <c r="A316" s="2">
        <v>46153</v>
      </c>
      <c r="B316" s="1" t="s">
        <v>24</v>
      </c>
    </row>
    <row r="317" spans="1:2" x14ac:dyDescent="0.35">
      <c r="A317" s="2">
        <v>46153</v>
      </c>
      <c r="B317" s="1" t="s">
        <v>98</v>
      </c>
    </row>
    <row r="318" spans="1:2" x14ac:dyDescent="0.35">
      <c r="A318" s="2">
        <v>46153</v>
      </c>
      <c r="B318" s="1" t="s">
        <v>28</v>
      </c>
    </row>
    <row r="319" spans="1:2" x14ac:dyDescent="0.35">
      <c r="A319" s="2">
        <v>46153</v>
      </c>
      <c r="B319" s="1" t="s">
        <v>22</v>
      </c>
    </row>
    <row r="320" spans="1:2" x14ac:dyDescent="0.35">
      <c r="A320" s="2">
        <v>46154</v>
      </c>
      <c r="B320" s="1" t="s">
        <v>32</v>
      </c>
    </row>
    <row r="321" spans="1:2" x14ac:dyDescent="0.35">
      <c r="A321" s="2">
        <v>46154</v>
      </c>
      <c r="B321" s="1" t="s">
        <v>9</v>
      </c>
    </row>
    <row r="322" spans="1:2" x14ac:dyDescent="0.35">
      <c r="A322" s="2">
        <v>46154</v>
      </c>
      <c r="B322" s="1" t="s">
        <v>9</v>
      </c>
    </row>
    <row r="323" spans="1:2" x14ac:dyDescent="0.35">
      <c r="A323" s="2">
        <v>46154</v>
      </c>
      <c r="B323" s="1" t="s">
        <v>32</v>
      </c>
    </row>
    <row r="324" spans="1:2" x14ac:dyDescent="0.35">
      <c r="A324" s="2">
        <v>46154</v>
      </c>
      <c r="B324" s="1" t="s">
        <v>98</v>
      </c>
    </row>
    <row r="325" spans="1:2" x14ac:dyDescent="0.35">
      <c r="A325" s="2">
        <v>46155</v>
      </c>
      <c r="B325" s="1" t="s">
        <v>24</v>
      </c>
    </row>
    <row r="326" spans="1:2" x14ac:dyDescent="0.35">
      <c r="A326" s="2">
        <v>46156</v>
      </c>
      <c r="B326" s="1" t="s">
        <v>94</v>
      </c>
    </row>
    <row r="327" spans="1:2" x14ac:dyDescent="0.35">
      <c r="A327" s="2">
        <v>46156</v>
      </c>
      <c r="B327" s="1" t="s">
        <v>98</v>
      </c>
    </row>
    <row r="328" spans="1:2" x14ac:dyDescent="0.35">
      <c r="A328" s="2">
        <v>46156</v>
      </c>
      <c r="B328" s="1" t="s">
        <v>33</v>
      </c>
    </row>
    <row r="329" spans="1:2" x14ac:dyDescent="0.35">
      <c r="A329" s="2">
        <v>46158</v>
      </c>
      <c r="B329" s="1" t="s">
        <v>101</v>
      </c>
    </row>
    <row r="330" spans="1:2" x14ac:dyDescent="0.35">
      <c r="A330" s="2">
        <v>46160</v>
      </c>
      <c r="B330" s="1" t="s">
        <v>9</v>
      </c>
    </row>
    <row r="331" spans="1:2" x14ac:dyDescent="0.35">
      <c r="A331" s="2">
        <v>46160</v>
      </c>
      <c r="B331" s="1" t="s">
        <v>33</v>
      </c>
    </row>
    <row r="332" spans="1:2" x14ac:dyDescent="0.35">
      <c r="A332" s="2">
        <v>46160</v>
      </c>
      <c r="B332" s="1" t="s">
        <v>24</v>
      </c>
    </row>
    <row r="333" spans="1:2" x14ac:dyDescent="0.35">
      <c r="A333" s="2">
        <v>46162</v>
      </c>
      <c r="B333" s="1" t="s">
        <v>94</v>
      </c>
    </row>
    <row r="334" spans="1:2" x14ac:dyDescent="0.35">
      <c r="A334" s="2">
        <v>46163</v>
      </c>
      <c r="B334" s="1" t="s">
        <v>33</v>
      </c>
    </row>
    <row r="335" spans="1:2" x14ac:dyDescent="0.35">
      <c r="A335" s="2">
        <v>46164</v>
      </c>
      <c r="B335" s="1" t="s">
        <v>22</v>
      </c>
    </row>
    <row r="336" spans="1:2" x14ac:dyDescent="0.35">
      <c r="A336" s="2">
        <v>46168</v>
      </c>
      <c r="B336" s="1" t="s">
        <v>22</v>
      </c>
    </row>
    <row r="337" spans="1:2" x14ac:dyDescent="0.35">
      <c r="A337" s="2">
        <v>46168</v>
      </c>
      <c r="B337" s="1" t="s">
        <v>24</v>
      </c>
    </row>
    <row r="338" spans="1:2" x14ac:dyDescent="0.35">
      <c r="A338" s="2">
        <v>46168</v>
      </c>
      <c r="B338" s="1" t="s">
        <v>24</v>
      </c>
    </row>
    <row r="339" spans="1:2" x14ac:dyDescent="0.35">
      <c r="A339" s="2">
        <v>46171</v>
      </c>
      <c r="B339" s="1" t="s">
        <v>97</v>
      </c>
    </row>
    <row r="340" spans="1:2" x14ac:dyDescent="0.35">
      <c r="A340" s="2">
        <v>46171</v>
      </c>
      <c r="B340" s="1" t="s">
        <v>24</v>
      </c>
    </row>
    <row r="341" spans="1:2" x14ac:dyDescent="0.35">
      <c r="A341" s="2">
        <v>46171</v>
      </c>
      <c r="B341" s="1" t="s">
        <v>22</v>
      </c>
    </row>
    <row r="342" spans="1:2" x14ac:dyDescent="0.35">
      <c r="A342" s="2">
        <v>46175</v>
      </c>
      <c r="B342" s="1" t="s">
        <v>87</v>
      </c>
    </row>
    <row r="343" spans="1:2" x14ac:dyDescent="0.35">
      <c r="A343" s="2">
        <v>46175</v>
      </c>
      <c r="B343" s="1" t="s">
        <v>9</v>
      </c>
    </row>
    <row r="344" spans="1:2" x14ac:dyDescent="0.35">
      <c r="A344" s="2">
        <v>46176</v>
      </c>
      <c r="B344" s="1" t="s">
        <v>22</v>
      </c>
    </row>
    <row r="345" spans="1:2" x14ac:dyDescent="0.35">
      <c r="A345" s="2">
        <v>46176</v>
      </c>
      <c r="B345" s="1" t="s">
        <v>22</v>
      </c>
    </row>
    <row r="346" spans="1:2" x14ac:dyDescent="0.35">
      <c r="A346" s="2">
        <v>46181</v>
      </c>
      <c r="B346" s="1" t="s">
        <v>22</v>
      </c>
    </row>
    <row r="347" spans="1:2" x14ac:dyDescent="0.35">
      <c r="A347" s="2">
        <v>46181</v>
      </c>
      <c r="B347" s="1" t="s">
        <v>24</v>
      </c>
    </row>
    <row r="348" spans="1:2" x14ac:dyDescent="0.35">
      <c r="A348" s="2">
        <v>46182</v>
      </c>
      <c r="B348" s="1" t="s">
        <v>24</v>
      </c>
    </row>
    <row r="349" spans="1:2" x14ac:dyDescent="0.35">
      <c r="A349" s="2">
        <v>46182</v>
      </c>
      <c r="B349" s="1" t="s">
        <v>88</v>
      </c>
    </row>
    <row r="350" spans="1:2" x14ac:dyDescent="0.35">
      <c r="A350" s="2">
        <v>46184</v>
      </c>
      <c r="B350" s="1" t="s">
        <v>97</v>
      </c>
    </row>
    <row r="351" spans="1:2" x14ac:dyDescent="0.35">
      <c r="A351" s="2">
        <v>46185</v>
      </c>
      <c r="B351" s="1" t="s">
        <v>87</v>
      </c>
    </row>
    <row r="352" spans="1:2" x14ac:dyDescent="0.35">
      <c r="A352" s="2">
        <v>46188</v>
      </c>
      <c r="B352" s="1" t="s">
        <v>88</v>
      </c>
    </row>
    <row r="353" spans="1:2" x14ac:dyDescent="0.35">
      <c r="A353" s="2">
        <v>46188</v>
      </c>
      <c r="B353" s="1" t="s">
        <v>88</v>
      </c>
    </row>
    <row r="354" spans="1:2" x14ac:dyDescent="0.35">
      <c r="A354" s="2">
        <v>46189</v>
      </c>
      <c r="B354" s="1" t="s">
        <v>21</v>
      </c>
    </row>
    <row r="355" spans="1:2" x14ac:dyDescent="0.35">
      <c r="A355" s="2">
        <v>46189</v>
      </c>
      <c r="B355" s="1" t="s">
        <v>97</v>
      </c>
    </row>
    <row r="356" spans="1:2" x14ac:dyDescent="0.35">
      <c r="A356" s="2">
        <v>46189</v>
      </c>
      <c r="B356" s="1" t="s">
        <v>22</v>
      </c>
    </row>
    <row r="357" spans="1:2" x14ac:dyDescent="0.35">
      <c r="A357" s="2">
        <v>46189</v>
      </c>
      <c r="B357" s="1" t="s">
        <v>9</v>
      </c>
    </row>
    <row r="358" spans="1:2" x14ac:dyDescent="0.35">
      <c r="A358" s="2">
        <v>46190</v>
      </c>
      <c r="B358" s="1" t="s">
        <v>5</v>
      </c>
    </row>
    <row r="359" spans="1:2" x14ac:dyDescent="0.35">
      <c r="A359" s="2">
        <v>46190</v>
      </c>
      <c r="B359" s="1" t="s">
        <v>88</v>
      </c>
    </row>
    <row r="360" spans="1:2" x14ac:dyDescent="0.35">
      <c r="A360" s="2">
        <v>46190</v>
      </c>
      <c r="B360" s="1" t="s">
        <v>5</v>
      </c>
    </row>
    <row r="361" spans="1:2" x14ac:dyDescent="0.35">
      <c r="A361" s="2">
        <v>46191</v>
      </c>
      <c r="B361" s="1" t="s">
        <v>87</v>
      </c>
    </row>
    <row r="362" spans="1:2" x14ac:dyDescent="0.35">
      <c r="A362" s="2">
        <v>46192</v>
      </c>
      <c r="B362" s="1" t="s">
        <v>88</v>
      </c>
    </row>
    <row r="363" spans="1:2" x14ac:dyDescent="0.35">
      <c r="A363" s="2">
        <v>46195</v>
      </c>
      <c r="B363" s="1" t="s">
        <v>87</v>
      </c>
    </row>
    <row r="364" spans="1:2" x14ac:dyDescent="0.35">
      <c r="A364" s="2">
        <v>46195</v>
      </c>
      <c r="B364" s="1" t="s">
        <v>88</v>
      </c>
    </row>
    <row r="365" spans="1:2" x14ac:dyDescent="0.35">
      <c r="A365" s="2">
        <v>46195</v>
      </c>
      <c r="B365" s="1" t="s">
        <v>9</v>
      </c>
    </row>
    <row r="366" spans="1:2" x14ac:dyDescent="0.35">
      <c r="A366" s="2">
        <v>46196</v>
      </c>
      <c r="B366" s="1" t="s">
        <v>9</v>
      </c>
    </row>
    <row r="367" spans="1:2" x14ac:dyDescent="0.35">
      <c r="A367" s="2">
        <v>46196</v>
      </c>
      <c r="B367" s="1" t="s">
        <v>5</v>
      </c>
    </row>
    <row r="368" spans="1:2" x14ac:dyDescent="0.35">
      <c r="A368" s="2">
        <v>46197</v>
      </c>
      <c r="B368" s="1" t="s">
        <v>94</v>
      </c>
    </row>
    <row r="369" spans="1:2" x14ac:dyDescent="0.35">
      <c r="A369" s="2">
        <v>46197</v>
      </c>
      <c r="B369" s="1" t="s">
        <v>9</v>
      </c>
    </row>
    <row r="370" spans="1:2" x14ac:dyDescent="0.35">
      <c r="A370" s="2">
        <v>46198</v>
      </c>
      <c r="B370" s="1" t="s">
        <v>5</v>
      </c>
    </row>
    <row r="371" spans="1:2" x14ac:dyDescent="0.35">
      <c r="A371" s="2">
        <v>46198</v>
      </c>
      <c r="B371" s="1" t="s">
        <v>9</v>
      </c>
    </row>
    <row r="372" spans="1:2" x14ac:dyDescent="0.35">
      <c r="A372" s="2">
        <v>46198</v>
      </c>
      <c r="B372" s="1" t="s">
        <v>5</v>
      </c>
    </row>
    <row r="373" spans="1:2" x14ac:dyDescent="0.35">
      <c r="A373" s="2">
        <v>46199</v>
      </c>
      <c r="B373" s="1" t="s">
        <v>9</v>
      </c>
    </row>
    <row r="374" spans="1:2" x14ac:dyDescent="0.35">
      <c r="A374" s="2">
        <v>46199</v>
      </c>
      <c r="B374" s="1" t="s">
        <v>87</v>
      </c>
    </row>
    <row r="375" spans="1:2" x14ac:dyDescent="0.35">
      <c r="A375" s="2">
        <v>46202</v>
      </c>
      <c r="B375" s="1" t="s">
        <v>87</v>
      </c>
    </row>
    <row r="376" spans="1:2" x14ac:dyDescent="0.35">
      <c r="A376" s="2">
        <v>46202</v>
      </c>
      <c r="B376" s="1" t="s">
        <v>22</v>
      </c>
    </row>
    <row r="377" spans="1:2" x14ac:dyDescent="0.35">
      <c r="A377" s="2">
        <v>46202</v>
      </c>
      <c r="B377" s="1" t="s">
        <v>22</v>
      </c>
    </row>
    <row r="378" spans="1:2" x14ac:dyDescent="0.35">
      <c r="A378" s="2">
        <v>46202</v>
      </c>
      <c r="B378" s="1" t="s">
        <v>5</v>
      </c>
    </row>
    <row r="379" spans="1:2" x14ac:dyDescent="0.35">
      <c r="A379" s="2">
        <v>46203</v>
      </c>
      <c r="B379" s="1" t="s">
        <v>88</v>
      </c>
    </row>
    <row r="380" spans="1:2" x14ac:dyDescent="0.35">
      <c r="A380" s="2">
        <v>46203</v>
      </c>
      <c r="B380" s="1" t="s">
        <v>94</v>
      </c>
    </row>
    <row r="381" spans="1:2" x14ac:dyDescent="0.35">
      <c r="A381" s="2">
        <v>46204</v>
      </c>
      <c r="B381" s="1" t="s">
        <v>9</v>
      </c>
    </row>
    <row r="382" spans="1:2" x14ac:dyDescent="0.35">
      <c r="A382" s="2">
        <v>46204</v>
      </c>
      <c r="B382" s="1" t="s">
        <v>87</v>
      </c>
    </row>
    <row r="383" spans="1:2" x14ac:dyDescent="0.35">
      <c r="A383" s="2">
        <v>46205</v>
      </c>
      <c r="B383" s="1" t="s">
        <v>89</v>
      </c>
    </row>
    <row r="384" spans="1:2" x14ac:dyDescent="0.35">
      <c r="A384" s="2">
        <v>46205</v>
      </c>
      <c r="B384" s="1" t="s">
        <v>5</v>
      </c>
    </row>
    <row r="385" spans="1:2" x14ac:dyDescent="0.35">
      <c r="A385" s="2">
        <v>46205</v>
      </c>
      <c r="B385" s="1" t="s">
        <v>22</v>
      </c>
    </row>
    <row r="386" spans="1:2" x14ac:dyDescent="0.35">
      <c r="A386" s="2">
        <v>46205</v>
      </c>
      <c r="B386" s="1" t="s">
        <v>22</v>
      </c>
    </row>
    <row r="387" spans="1:2" x14ac:dyDescent="0.35">
      <c r="A387" s="2">
        <v>46205</v>
      </c>
      <c r="B387" s="1" t="s">
        <v>88</v>
      </c>
    </row>
    <row r="388" spans="1:2" x14ac:dyDescent="0.35">
      <c r="A388" s="2">
        <v>46206</v>
      </c>
      <c r="B388" s="1" t="s">
        <v>9</v>
      </c>
    </row>
    <row r="389" spans="1:2" x14ac:dyDescent="0.35">
      <c r="A389" s="2">
        <v>46206</v>
      </c>
      <c r="B389" s="1" t="s">
        <v>89</v>
      </c>
    </row>
    <row r="390" spans="1:2" x14ac:dyDescent="0.35">
      <c r="A390" s="2">
        <v>46206</v>
      </c>
      <c r="B390" s="1" t="s">
        <v>9</v>
      </c>
    </row>
    <row r="391" spans="1:2" x14ac:dyDescent="0.35">
      <c r="A391" s="2">
        <v>46206</v>
      </c>
      <c r="B391" s="1" t="s">
        <v>9</v>
      </c>
    </row>
    <row r="392" spans="1:2" x14ac:dyDescent="0.35">
      <c r="A392" s="2">
        <v>46206</v>
      </c>
      <c r="B392" s="1" t="s">
        <v>5</v>
      </c>
    </row>
    <row r="393" spans="1:2" x14ac:dyDescent="0.35">
      <c r="A393" s="2">
        <v>46209</v>
      </c>
      <c r="B393" s="1" t="s">
        <v>9</v>
      </c>
    </row>
    <row r="394" spans="1:2" x14ac:dyDescent="0.35">
      <c r="A394" s="2">
        <v>46209</v>
      </c>
      <c r="B394" s="1" t="s">
        <v>94</v>
      </c>
    </row>
    <row r="395" spans="1:2" x14ac:dyDescent="0.35">
      <c r="A395" s="2">
        <v>46209</v>
      </c>
      <c r="B395" s="1" t="s">
        <v>9</v>
      </c>
    </row>
    <row r="396" spans="1:2" x14ac:dyDescent="0.35">
      <c r="A396" s="2">
        <v>46210</v>
      </c>
      <c r="B396" s="1" t="s">
        <v>22</v>
      </c>
    </row>
    <row r="397" spans="1:2" x14ac:dyDescent="0.35">
      <c r="A397" s="2">
        <v>46210</v>
      </c>
      <c r="B397" s="1" t="s">
        <v>88</v>
      </c>
    </row>
    <row r="398" spans="1:2" x14ac:dyDescent="0.35">
      <c r="A398" s="2">
        <v>46210</v>
      </c>
      <c r="B398" s="1" t="s">
        <v>22</v>
      </c>
    </row>
    <row r="399" spans="1:2" x14ac:dyDescent="0.35">
      <c r="A399" s="2">
        <v>46210</v>
      </c>
      <c r="B399" s="1" t="s">
        <v>5</v>
      </c>
    </row>
    <row r="400" spans="1:2" x14ac:dyDescent="0.35">
      <c r="A400" s="2">
        <v>46210</v>
      </c>
      <c r="B400" s="1" t="s">
        <v>88</v>
      </c>
    </row>
    <row r="401" spans="1:2" x14ac:dyDescent="0.35">
      <c r="A401" s="2">
        <v>46210</v>
      </c>
      <c r="B401" s="1" t="s">
        <v>88</v>
      </c>
    </row>
    <row r="402" spans="1:2" x14ac:dyDescent="0.35">
      <c r="A402" s="2">
        <v>46210</v>
      </c>
      <c r="B402" s="1" t="s">
        <v>94</v>
      </c>
    </row>
    <row r="403" spans="1:2" x14ac:dyDescent="0.35">
      <c r="A403" s="2">
        <v>46210</v>
      </c>
      <c r="B403" s="1" t="s">
        <v>88</v>
      </c>
    </row>
    <row r="404" spans="1:2" x14ac:dyDescent="0.35">
      <c r="A404" s="2">
        <v>46211</v>
      </c>
      <c r="B404" s="1" t="s">
        <v>87</v>
      </c>
    </row>
    <row r="405" spans="1:2" x14ac:dyDescent="0.35">
      <c r="A405" s="2">
        <v>46211</v>
      </c>
      <c r="B405" s="1" t="s">
        <v>22</v>
      </c>
    </row>
    <row r="406" spans="1:2" x14ac:dyDescent="0.35">
      <c r="A406" s="2">
        <v>46213</v>
      </c>
      <c r="B406" s="1" t="s">
        <v>19</v>
      </c>
    </row>
    <row r="407" spans="1:2" x14ac:dyDescent="0.35">
      <c r="A407" s="2">
        <v>46216</v>
      </c>
      <c r="B407" s="1" t="s">
        <v>22</v>
      </c>
    </row>
    <row r="408" spans="1:2" x14ac:dyDescent="0.35">
      <c r="A408" s="2">
        <v>46216</v>
      </c>
      <c r="B408" s="1" t="s">
        <v>3</v>
      </c>
    </row>
    <row r="409" spans="1:2" x14ac:dyDescent="0.35">
      <c r="A409" s="2">
        <v>46216</v>
      </c>
      <c r="B409" s="1" t="s">
        <v>88</v>
      </c>
    </row>
    <row r="410" spans="1:2" x14ac:dyDescent="0.35">
      <c r="A410" s="2">
        <v>46216</v>
      </c>
      <c r="B410" s="1" t="s">
        <v>88</v>
      </c>
    </row>
    <row r="411" spans="1:2" x14ac:dyDescent="0.35">
      <c r="A411" s="2">
        <v>46217</v>
      </c>
      <c r="B411" s="1" t="s">
        <v>88</v>
      </c>
    </row>
    <row r="412" spans="1:2" x14ac:dyDescent="0.35">
      <c r="A412" s="2">
        <v>46217</v>
      </c>
      <c r="B412" s="1" t="s">
        <v>88</v>
      </c>
    </row>
    <row r="413" spans="1:2" x14ac:dyDescent="0.35">
      <c r="A413" s="2">
        <v>46218</v>
      </c>
      <c r="B413" s="1" t="s">
        <v>19</v>
      </c>
    </row>
    <row r="414" spans="1:2" x14ac:dyDescent="0.35">
      <c r="A414" s="2">
        <v>46218</v>
      </c>
      <c r="B414" s="1" t="s">
        <v>88</v>
      </c>
    </row>
    <row r="415" spans="1:2" x14ac:dyDescent="0.35">
      <c r="A415" s="2">
        <v>46218</v>
      </c>
      <c r="B415" s="1" t="s">
        <v>3</v>
      </c>
    </row>
    <row r="416" spans="1:2" x14ac:dyDescent="0.35">
      <c r="A416" s="2">
        <v>46218</v>
      </c>
      <c r="B416" s="1" t="s">
        <v>3</v>
      </c>
    </row>
    <row r="417" spans="1:2" x14ac:dyDescent="0.35">
      <c r="A417" s="2">
        <v>46218</v>
      </c>
      <c r="B417" s="1" t="s">
        <v>94</v>
      </c>
    </row>
    <row r="418" spans="1:2" x14ac:dyDescent="0.35">
      <c r="A418" s="2">
        <v>46218</v>
      </c>
      <c r="B418" s="1" t="s">
        <v>88</v>
      </c>
    </row>
    <row r="419" spans="1:2" x14ac:dyDescent="0.35">
      <c r="A419" s="2">
        <v>46218</v>
      </c>
      <c r="B419" s="1" t="s">
        <v>9</v>
      </c>
    </row>
    <row r="420" spans="1:2" x14ac:dyDescent="0.35">
      <c r="A420" s="2">
        <v>46219</v>
      </c>
      <c r="B420" s="1" t="s">
        <v>88</v>
      </c>
    </row>
    <row r="421" spans="1:2" x14ac:dyDescent="0.35">
      <c r="A421" s="2">
        <v>46219</v>
      </c>
      <c r="B421" s="1" t="s">
        <v>88</v>
      </c>
    </row>
    <row r="422" spans="1:2" x14ac:dyDescent="0.35">
      <c r="A422" s="2">
        <v>46219</v>
      </c>
      <c r="B422" s="1" t="s">
        <v>88</v>
      </c>
    </row>
    <row r="423" spans="1:2" x14ac:dyDescent="0.35">
      <c r="A423" s="2">
        <v>46223</v>
      </c>
      <c r="B423" s="1" t="s">
        <v>21</v>
      </c>
    </row>
    <row r="424" spans="1:2" x14ac:dyDescent="0.35">
      <c r="A424" s="2">
        <v>46223</v>
      </c>
      <c r="B424" s="1" t="s">
        <v>88</v>
      </c>
    </row>
    <row r="425" spans="1:2" x14ac:dyDescent="0.35">
      <c r="A425" s="2">
        <v>46224</v>
      </c>
      <c r="B425" s="1" t="s">
        <v>19</v>
      </c>
    </row>
    <row r="426" spans="1:2" x14ac:dyDescent="0.35">
      <c r="A426" s="2">
        <v>46224</v>
      </c>
      <c r="B426" s="1" t="s">
        <v>22</v>
      </c>
    </row>
    <row r="427" spans="1:2" x14ac:dyDescent="0.35">
      <c r="A427" s="2">
        <v>46224</v>
      </c>
      <c r="B427" s="1" t="s">
        <v>22</v>
      </c>
    </row>
    <row r="428" spans="1:2" x14ac:dyDescent="0.35">
      <c r="A428" s="2">
        <v>46226</v>
      </c>
      <c r="B428" s="1" t="s">
        <v>22</v>
      </c>
    </row>
    <row r="429" spans="1:2" x14ac:dyDescent="0.35">
      <c r="A429" s="2">
        <v>46226</v>
      </c>
      <c r="B429" s="1" t="s">
        <v>22</v>
      </c>
    </row>
    <row r="430" spans="1:2" x14ac:dyDescent="0.35">
      <c r="A430" s="2">
        <v>46226</v>
      </c>
      <c r="B430" s="1" t="s">
        <v>88</v>
      </c>
    </row>
    <row r="431" spans="1:2" x14ac:dyDescent="0.35">
      <c r="A431" s="2">
        <v>46227</v>
      </c>
      <c r="B431" s="1" t="s">
        <v>88</v>
      </c>
    </row>
    <row r="432" spans="1:2" x14ac:dyDescent="0.35">
      <c r="A432" s="2">
        <v>46227</v>
      </c>
      <c r="B432" s="1" t="s">
        <v>88</v>
      </c>
    </row>
    <row r="433" spans="1:2" x14ac:dyDescent="0.35">
      <c r="A433" s="2">
        <v>46230</v>
      </c>
      <c r="B433" s="1" t="s">
        <v>19</v>
      </c>
    </row>
    <row r="434" spans="1:2" x14ac:dyDescent="0.35">
      <c r="A434" s="2">
        <v>46230</v>
      </c>
      <c r="B434" s="1" t="s">
        <v>88</v>
      </c>
    </row>
    <row r="435" spans="1:2" x14ac:dyDescent="0.35">
      <c r="A435" s="2">
        <v>46231</v>
      </c>
      <c r="B435" s="1" t="s">
        <v>3</v>
      </c>
    </row>
    <row r="436" spans="1:2" x14ac:dyDescent="0.35">
      <c r="A436" s="2">
        <v>46231</v>
      </c>
      <c r="B436" s="1" t="s">
        <v>9</v>
      </c>
    </row>
    <row r="437" spans="1:2" x14ac:dyDescent="0.35">
      <c r="A437" s="2">
        <v>46233</v>
      </c>
      <c r="B437" s="1" t="s">
        <v>87</v>
      </c>
    </row>
    <row r="438" spans="1:2" x14ac:dyDescent="0.35">
      <c r="A438" s="2">
        <v>46233</v>
      </c>
      <c r="B438" s="1" t="s">
        <v>87</v>
      </c>
    </row>
    <row r="439" spans="1:2" x14ac:dyDescent="0.35">
      <c r="A439" s="2">
        <v>46233</v>
      </c>
      <c r="B439" s="1" t="s">
        <v>88</v>
      </c>
    </row>
    <row r="440" spans="1:2" x14ac:dyDescent="0.35">
      <c r="A440" s="2">
        <v>46234</v>
      </c>
      <c r="B440" s="1" t="s">
        <v>88</v>
      </c>
    </row>
    <row r="441" spans="1:2" x14ac:dyDescent="0.35">
      <c r="A441" s="2">
        <v>46237</v>
      </c>
      <c r="B441" s="1" t="s">
        <v>88</v>
      </c>
    </row>
    <row r="442" spans="1:2" x14ac:dyDescent="0.35">
      <c r="A442" s="2">
        <v>46237</v>
      </c>
      <c r="B442" s="1" t="s">
        <v>88</v>
      </c>
    </row>
    <row r="443" spans="1:2" x14ac:dyDescent="0.35">
      <c r="A443" s="2">
        <v>46237</v>
      </c>
      <c r="B443" s="1" t="s">
        <v>88</v>
      </c>
    </row>
    <row r="444" spans="1:2" x14ac:dyDescent="0.35">
      <c r="A444" s="2">
        <v>46237</v>
      </c>
      <c r="B444" s="1" t="s">
        <v>22</v>
      </c>
    </row>
    <row r="445" spans="1:2" x14ac:dyDescent="0.35">
      <c r="A445" s="2">
        <v>46237</v>
      </c>
      <c r="B445" s="1" t="s">
        <v>22</v>
      </c>
    </row>
    <row r="446" spans="1:2" x14ac:dyDescent="0.35">
      <c r="A446" s="2">
        <v>46237</v>
      </c>
      <c r="B446" s="1" t="s">
        <v>88</v>
      </c>
    </row>
    <row r="447" spans="1:2" x14ac:dyDescent="0.35">
      <c r="A447" s="2">
        <v>46238</v>
      </c>
      <c r="B447" s="1" t="s">
        <v>88</v>
      </c>
    </row>
    <row r="448" spans="1:2" x14ac:dyDescent="0.35">
      <c r="A448" s="2">
        <v>46240</v>
      </c>
      <c r="B448" s="1" t="s">
        <v>88</v>
      </c>
    </row>
    <row r="449" spans="1:2" x14ac:dyDescent="0.35">
      <c r="A449" s="2">
        <v>46240</v>
      </c>
      <c r="B449" s="1" t="s">
        <v>19</v>
      </c>
    </row>
    <row r="450" spans="1:2" x14ac:dyDescent="0.35">
      <c r="A450" s="2">
        <v>46244</v>
      </c>
      <c r="B450" s="1" t="s">
        <v>9</v>
      </c>
    </row>
    <row r="451" spans="1:2" x14ac:dyDescent="0.35">
      <c r="A451" s="2">
        <v>46244</v>
      </c>
      <c r="B451" s="1" t="s">
        <v>88</v>
      </c>
    </row>
    <row r="452" spans="1:2" x14ac:dyDescent="0.35">
      <c r="A452" s="2">
        <v>46244</v>
      </c>
      <c r="B452" s="1" t="s">
        <v>88</v>
      </c>
    </row>
    <row r="453" spans="1:2" x14ac:dyDescent="0.35">
      <c r="A453" s="2">
        <v>46246</v>
      </c>
      <c r="B453" s="1" t="s">
        <v>19</v>
      </c>
    </row>
    <row r="454" spans="1:2" x14ac:dyDescent="0.35">
      <c r="A454" s="2">
        <v>46246</v>
      </c>
      <c r="B454" s="1" t="s">
        <v>88</v>
      </c>
    </row>
    <row r="455" spans="1:2" x14ac:dyDescent="0.35">
      <c r="A455" s="2">
        <v>46247</v>
      </c>
      <c r="B455" s="1" t="s">
        <v>88</v>
      </c>
    </row>
    <row r="456" spans="1:2" x14ac:dyDescent="0.35">
      <c r="A456" s="2">
        <v>46247</v>
      </c>
      <c r="B456" s="1" t="s">
        <v>88</v>
      </c>
    </row>
    <row r="457" spans="1:2" x14ac:dyDescent="0.35">
      <c r="A457" s="2">
        <v>46248</v>
      </c>
      <c r="B457" s="1" t="s">
        <v>88</v>
      </c>
    </row>
    <row r="458" spans="1:2" x14ac:dyDescent="0.35">
      <c r="A458" s="2">
        <v>46251</v>
      </c>
      <c r="B458" s="1" t="s">
        <v>5</v>
      </c>
    </row>
    <row r="459" spans="1:2" x14ac:dyDescent="0.35">
      <c r="A459" s="2">
        <v>46251</v>
      </c>
      <c r="B459" s="1" t="s">
        <v>22</v>
      </c>
    </row>
    <row r="460" spans="1:2" x14ac:dyDescent="0.35">
      <c r="A460" s="2">
        <v>46251</v>
      </c>
      <c r="B460" s="1" t="s">
        <v>22</v>
      </c>
    </row>
    <row r="461" spans="1:2" x14ac:dyDescent="0.35">
      <c r="A461" s="2">
        <v>46251</v>
      </c>
      <c r="B461" s="1" t="s">
        <v>22</v>
      </c>
    </row>
    <row r="462" spans="1:2" x14ac:dyDescent="0.35">
      <c r="A462" s="2">
        <v>46251</v>
      </c>
      <c r="B462" s="1" t="s">
        <v>22</v>
      </c>
    </row>
    <row r="463" spans="1:2" x14ac:dyDescent="0.35">
      <c r="A463" s="2">
        <v>46251</v>
      </c>
      <c r="B463" s="1" t="s">
        <v>9</v>
      </c>
    </row>
    <row r="464" spans="1:2" x14ac:dyDescent="0.35">
      <c r="A464" s="2">
        <v>46251</v>
      </c>
      <c r="B464" s="1" t="s">
        <v>9</v>
      </c>
    </row>
    <row r="465" spans="1:2" x14ac:dyDescent="0.35">
      <c r="A465" s="2">
        <v>46251</v>
      </c>
      <c r="B465" s="1" t="s">
        <v>87</v>
      </c>
    </row>
    <row r="466" spans="1:2" x14ac:dyDescent="0.35">
      <c r="A466" s="2">
        <v>46251</v>
      </c>
      <c r="B466" s="1" t="s">
        <v>22</v>
      </c>
    </row>
    <row r="467" spans="1:2" x14ac:dyDescent="0.35">
      <c r="A467" s="2">
        <v>46251</v>
      </c>
      <c r="B467" s="1" t="s">
        <v>3</v>
      </c>
    </row>
    <row r="468" spans="1:2" x14ac:dyDescent="0.35">
      <c r="A468" s="2">
        <v>46251</v>
      </c>
      <c r="B468" s="1" t="s">
        <v>19</v>
      </c>
    </row>
    <row r="469" spans="1:2" x14ac:dyDescent="0.35">
      <c r="A469" s="2">
        <v>46251</v>
      </c>
      <c r="B469" s="1" t="s">
        <v>88</v>
      </c>
    </row>
    <row r="470" spans="1:2" x14ac:dyDescent="0.35">
      <c r="A470" s="2">
        <v>46252</v>
      </c>
      <c r="B470" s="1" t="s">
        <v>5</v>
      </c>
    </row>
    <row r="471" spans="1:2" x14ac:dyDescent="0.35">
      <c r="A471" s="2">
        <v>46252</v>
      </c>
      <c r="B471" s="1" t="s">
        <v>5</v>
      </c>
    </row>
    <row r="472" spans="1:2" x14ac:dyDescent="0.35">
      <c r="A472" s="2">
        <v>46253</v>
      </c>
      <c r="B472" s="1" t="s">
        <v>87</v>
      </c>
    </row>
    <row r="473" spans="1:2" x14ac:dyDescent="0.35">
      <c r="A473" s="2">
        <v>46253</v>
      </c>
      <c r="B473" s="1" t="s">
        <v>22</v>
      </c>
    </row>
    <row r="474" spans="1:2" x14ac:dyDescent="0.35">
      <c r="A474" s="2">
        <v>46253</v>
      </c>
      <c r="B474" s="1" t="s">
        <v>3</v>
      </c>
    </row>
    <row r="475" spans="1:2" x14ac:dyDescent="0.35">
      <c r="A475" s="2">
        <v>46254</v>
      </c>
      <c r="B475" s="1" t="s">
        <v>3</v>
      </c>
    </row>
    <row r="476" spans="1:2" x14ac:dyDescent="0.35">
      <c r="A476" s="2">
        <v>46254</v>
      </c>
      <c r="B476" s="1" t="s">
        <v>24</v>
      </c>
    </row>
    <row r="477" spans="1:2" x14ac:dyDescent="0.35">
      <c r="A477" s="2">
        <v>46254</v>
      </c>
      <c r="B477" s="1" t="s">
        <v>3</v>
      </c>
    </row>
    <row r="478" spans="1:2" x14ac:dyDescent="0.35">
      <c r="A478" s="2">
        <v>46254</v>
      </c>
      <c r="B478" s="1" t="s">
        <v>19</v>
      </c>
    </row>
    <row r="479" spans="1:2" x14ac:dyDescent="0.35">
      <c r="A479" s="2">
        <v>46255</v>
      </c>
      <c r="B479" s="1" t="s">
        <v>87</v>
      </c>
    </row>
    <row r="480" spans="1:2" x14ac:dyDescent="0.35">
      <c r="A480" s="2">
        <v>46255</v>
      </c>
      <c r="B480" s="1" t="s">
        <v>9</v>
      </c>
    </row>
    <row r="481" spans="1:2" x14ac:dyDescent="0.35">
      <c r="A481" s="2">
        <v>46255</v>
      </c>
      <c r="B481" s="1" t="s">
        <v>3</v>
      </c>
    </row>
    <row r="482" spans="1:2" x14ac:dyDescent="0.35">
      <c r="A482" s="2">
        <v>46255</v>
      </c>
      <c r="B482" s="1" t="s">
        <v>19</v>
      </c>
    </row>
    <row r="483" spans="1:2" x14ac:dyDescent="0.35">
      <c r="A483" s="2">
        <v>46258</v>
      </c>
      <c r="B483" s="1" t="s">
        <v>9</v>
      </c>
    </row>
    <row r="484" spans="1:2" x14ac:dyDescent="0.35">
      <c r="A484" s="2">
        <v>46258</v>
      </c>
      <c r="B484" s="1" t="s">
        <v>22</v>
      </c>
    </row>
    <row r="485" spans="1:2" x14ac:dyDescent="0.35">
      <c r="A485" s="2">
        <v>46258</v>
      </c>
      <c r="B485" s="1" t="s">
        <v>22</v>
      </c>
    </row>
    <row r="486" spans="1:2" x14ac:dyDescent="0.35">
      <c r="A486" s="2">
        <v>46258</v>
      </c>
      <c r="B486" s="1" t="s">
        <v>3</v>
      </c>
    </row>
    <row r="487" spans="1:2" x14ac:dyDescent="0.35">
      <c r="A487" s="2">
        <v>46258</v>
      </c>
      <c r="B487" s="1" t="s">
        <v>88</v>
      </c>
    </row>
    <row r="488" spans="1:2" x14ac:dyDescent="0.35">
      <c r="A488" s="2">
        <v>46259</v>
      </c>
      <c r="B488" s="1" t="s">
        <v>22</v>
      </c>
    </row>
    <row r="489" spans="1:2" x14ac:dyDescent="0.35">
      <c r="A489" s="2">
        <v>46259</v>
      </c>
      <c r="B489" s="1" t="s">
        <v>88</v>
      </c>
    </row>
    <row r="490" spans="1:2" x14ac:dyDescent="0.35">
      <c r="A490" s="2">
        <v>46260</v>
      </c>
      <c r="B490" s="1" t="s">
        <v>22</v>
      </c>
    </row>
    <row r="491" spans="1:2" x14ac:dyDescent="0.35">
      <c r="A491" s="2">
        <v>46260</v>
      </c>
      <c r="B491" s="1" t="s">
        <v>21</v>
      </c>
    </row>
    <row r="492" spans="1:2" x14ac:dyDescent="0.35">
      <c r="A492" s="2">
        <v>46260</v>
      </c>
      <c r="B492" s="1" t="s">
        <v>24</v>
      </c>
    </row>
    <row r="493" spans="1:2" x14ac:dyDescent="0.35">
      <c r="A493" s="2">
        <v>46260</v>
      </c>
      <c r="B493" s="1" t="s">
        <v>22</v>
      </c>
    </row>
    <row r="494" spans="1:2" x14ac:dyDescent="0.35">
      <c r="A494" s="2">
        <v>46260</v>
      </c>
      <c r="B494" s="1" t="s">
        <v>24</v>
      </c>
    </row>
    <row r="495" spans="1:2" x14ac:dyDescent="0.35">
      <c r="A495" s="2">
        <v>46260</v>
      </c>
      <c r="B495" s="1" t="s">
        <v>24</v>
      </c>
    </row>
    <row r="496" spans="1:2" x14ac:dyDescent="0.35">
      <c r="A496" s="2">
        <v>46260</v>
      </c>
      <c r="B496" s="1" t="s">
        <v>24</v>
      </c>
    </row>
    <row r="497" spans="1:2" x14ac:dyDescent="0.35">
      <c r="A497" s="2">
        <v>46260</v>
      </c>
      <c r="B497" s="1" t="s">
        <v>88</v>
      </c>
    </row>
    <row r="498" spans="1:2" x14ac:dyDescent="0.35">
      <c r="A498" s="2">
        <v>46260</v>
      </c>
      <c r="B498" s="1" t="s">
        <v>88</v>
      </c>
    </row>
    <row r="499" spans="1:2" x14ac:dyDescent="0.35">
      <c r="A499" s="2">
        <v>46260</v>
      </c>
      <c r="B499" s="1" t="s">
        <v>24</v>
      </c>
    </row>
    <row r="500" spans="1:2" x14ac:dyDescent="0.35">
      <c r="A500" s="2">
        <v>46260</v>
      </c>
      <c r="B500" s="1" t="s">
        <v>88</v>
      </c>
    </row>
    <row r="501" spans="1:2" x14ac:dyDescent="0.35">
      <c r="A501" s="2">
        <v>46261</v>
      </c>
      <c r="B501" s="1" t="s">
        <v>22</v>
      </c>
    </row>
    <row r="502" spans="1:2" x14ac:dyDescent="0.35">
      <c r="A502" s="2">
        <v>46262</v>
      </c>
      <c r="B502" s="1" t="s">
        <v>87</v>
      </c>
    </row>
    <row r="503" spans="1:2" x14ac:dyDescent="0.35">
      <c r="A503" s="2">
        <v>46262</v>
      </c>
      <c r="B503" s="1" t="s">
        <v>22</v>
      </c>
    </row>
    <row r="504" spans="1:2" x14ac:dyDescent="0.35">
      <c r="A504" s="2">
        <v>46262</v>
      </c>
      <c r="B504" s="1" t="s">
        <v>22</v>
      </c>
    </row>
    <row r="505" spans="1:2" x14ac:dyDescent="0.35">
      <c r="A505" s="2">
        <v>46262</v>
      </c>
      <c r="B505" s="1" t="s">
        <v>22</v>
      </c>
    </row>
    <row r="506" spans="1:2" x14ac:dyDescent="0.35">
      <c r="A506" s="2">
        <v>46265</v>
      </c>
      <c r="B506" s="1" t="s">
        <v>22</v>
      </c>
    </row>
    <row r="507" spans="1:2" x14ac:dyDescent="0.35">
      <c r="A507" s="2">
        <v>46265</v>
      </c>
      <c r="B507" s="1" t="s">
        <v>88</v>
      </c>
    </row>
    <row r="508" spans="1:2" x14ac:dyDescent="0.35">
      <c r="A508" s="2">
        <v>46265</v>
      </c>
      <c r="B508" s="1" t="s">
        <v>9</v>
      </c>
    </row>
    <row r="509" spans="1:2" x14ac:dyDescent="0.35">
      <c r="A509" s="2">
        <v>46265</v>
      </c>
      <c r="B509" s="1" t="s">
        <v>19</v>
      </c>
    </row>
    <row r="510" spans="1:2" x14ac:dyDescent="0.35">
      <c r="A510" s="2">
        <v>46266</v>
      </c>
      <c r="B510" s="1" t="s">
        <v>88</v>
      </c>
    </row>
    <row r="511" spans="1:2" x14ac:dyDescent="0.35">
      <c r="A511" s="2">
        <v>46266</v>
      </c>
      <c r="B511" s="1" t="s">
        <v>22</v>
      </c>
    </row>
    <row r="512" spans="1:2" x14ac:dyDescent="0.35">
      <c r="A512" s="2">
        <v>46266</v>
      </c>
      <c r="B512" s="1" t="s">
        <v>88</v>
      </c>
    </row>
    <row r="513" spans="1:2" x14ac:dyDescent="0.35">
      <c r="A513" s="2">
        <v>46266</v>
      </c>
      <c r="B513" s="1" t="s">
        <v>88</v>
      </c>
    </row>
    <row r="514" spans="1:2" x14ac:dyDescent="0.35">
      <c r="A514" s="2">
        <v>46267</v>
      </c>
      <c r="B514" s="1" t="s">
        <v>88</v>
      </c>
    </row>
    <row r="515" spans="1:2" x14ac:dyDescent="0.35">
      <c r="A515" s="2">
        <v>46267</v>
      </c>
      <c r="B515" s="1" t="s">
        <v>22</v>
      </c>
    </row>
    <row r="516" spans="1:2" x14ac:dyDescent="0.35">
      <c r="A516" s="2">
        <v>46267</v>
      </c>
      <c r="B516" s="1" t="s">
        <v>88</v>
      </c>
    </row>
    <row r="517" spans="1:2" x14ac:dyDescent="0.35">
      <c r="A517" s="2">
        <v>46267</v>
      </c>
      <c r="B517" s="1" t="s">
        <v>88</v>
      </c>
    </row>
    <row r="518" spans="1:2" x14ac:dyDescent="0.35">
      <c r="A518" s="2">
        <v>46268</v>
      </c>
      <c r="B518" s="1" t="s">
        <v>22</v>
      </c>
    </row>
    <row r="519" spans="1:2" x14ac:dyDescent="0.35">
      <c r="A519" s="2">
        <v>46268</v>
      </c>
      <c r="B519" s="1" t="s">
        <v>22</v>
      </c>
    </row>
    <row r="520" spans="1:2" x14ac:dyDescent="0.35">
      <c r="A520" s="2">
        <v>46268</v>
      </c>
      <c r="B520" s="1" t="s">
        <v>22</v>
      </c>
    </row>
    <row r="521" spans="1:2" x14ac:dyDescent="0.35">
      <c r="A521" s="2">
        <v>46268</v>
      </c>
      <c r="B521" s="1" t="s">
        <v>22</v>
      </c>
    </row>
    <row r="522" spans="1:2" x14ac:dyDescent="0.35">
      <c r="A522" s="2">
        <v>46268</v>
      </c>
      <c r="B522" s="1" t="s">
        <v>88</v>
      </c>
    </row>
    <row r="523" spans="1:2" x14ac:dyDescent="0.35">
      <c r="A523" s="2">
        <v>46268</v>
      </c>
      <c r="B523" s="1" t="s">
        <v>5</v>
      </c>
    </row>
    <row r="524" spans="1:2" x14ac:dyDescent="0.35">
      <c r="A524" s="2">
        <v>46269</v>
      </c>
      <c r="B524" s="1" t="s">
        <v>88</v>
      </c>
    </row>
    <row r="525" spans="1:2" x14ac:dyDescent="0.35">
      <c r="A525" s="2">
        <v>46269</v>
      </c>
      <c r="B525" s="1" t="s">
        <v>88</v>
      </c>
    </row>
    <row r="526" spans="1:2" x14ac:dyDescent="0.35">
      <c r="A526" s="2">
        <v>46273</v>
      </c>
      <c r="B526" s="1" t="s">
        <v>22</v>
      </c>
    </row>
    <row r="527" spans="1:2" x14ac:dyDescent="0.35">
      <c r="A527" s="2">
        <v>46273</v>
      </c>
    </row>
    <row r="528" spans="1:2" x14ac:dyDescent="0.35">
      <c r="A528" s="2">
        <v>46273</v>
      </c>
      <c r="B528" s="1" t="s">
        <v>22</v>
      </c>
    </row>
    <row r="529" spans="1:2" x14ac:dyDescent="0.35">
      <c r="A529" s="2">
        <v>46273</v>
      </c>
      <c r="B529" s="1" t="s">
        <v>22</v>
      </c>
    </row>
    <row r="530" spans="1:2" x14ac:dyDescent="0.35">
      <c r="A530" s="2">
        <v>46273</v>
      </c>
      <c r="B530" s="1" t="s">
        <v>22</v>
      </c>
    </row>
    <row r="531" spans="1:2" x14ac:dyDescent="0.35">
      <c r="A531" s="2">
        <v>46275</v>
      </c>
      <c r="B531" s="1" t="s">
        <v>22</v>
      </c>
    </row>
    <row r="532" spans="1:2" x14ac:dyDescent="0.35">
      <c r="A532" s="2">
        <v>46275</v>
      </c>
      <c r="B532" s="1" t="s">
        <v>88</v>
      </c>
    </row>
    <row r="533" spans="1:2" x14ac:dyDescent="0.35">
      <c r="A533" s="2">
        <v>46275</v>
      </c>
      <c r="B533" s="1" t="s">
        <v>3</v>
      </c>
    </row>
    <row r="534" spans="1:2" x14ac:dyDescent="0.35">
      <c r="A534" s="2">
        <v>46276</v>
      </c>
      <c r="B534" s="1" t="s">
        <v>87</v>
      </c>
    </row>
    <row r="535" spans="1:2" x14ac:dyDescent="0.35">
      <c r="A535" s="2">
        <v>46276</v>
      </c>
      <c r="B535" s="1" t="s">
        <v>22</v>
      </c>
    </row>
    <row r="536" spans="1:2" x14ac:dyDescent="0.35">
      <c r="A536" s="2">
        <v>46276</v>
      </c>
      <c r="B536" s="1" t="s">
        <v>22</v>
      </c>
    </row>
    <row r="537" spans="1:2" x14ac:dyDescent="0.35">
      <c r="A537" s="2">
        <v>46276</v>
      </c>
      <c r="B537" s="1" t="s">
        <v>9</v>
      </c>
    </row>
    <row r="538" spans="1:2" x14ac:dyDescent="0.35">
      <c r="A538" s="2">
        <v>46276</v>
      </c>
      <c r="B538" s="1" t="s">
        <v>88</v>
      </c>
    </row>
    <row r="539" spans="1:2" x14ac:dyDescent="0.35">
      <c r="A539" s="2">
        <v>46276</v>
      </c>
      <c r="B539" s="1" t="s">
        <v>9</v>
      </c>
    </row>
    <row r="540" spans="1:2" x14ac:dyDescent="0.35">
      <c r="A540" s="2">
        <v>46276</v>
      </c>
      <c r="B540" s="1" t="s">
        <v>19</v>
      </c>
    </row>
    <row r="541" spans="1:2" x14ac:dyDescent="0.35">
      <c r="A541" s="2">
        <v>46279</v>
      </c>
      <c r="B541" s="1" t="s">
        <v>3</v>
      </c>
    </row>
    <row r="542" spans="1:2" x14ac:dyDescent="0.35">
      <c r="A542" s="2">
        <v>46279</v>
      </c>
      <c r="B542" s="1" t="s">
        <v>100</v>
      </c>
    </row>
    <row r="543" spans="1:2" x14ac:dyDescent="0.35">
      <c r="A543" s="2">
        <v>46279</v>
      </c>
      <c r="B543" s="1" t="s">
        <v>5</v>
      </c>
    </row>
    <row r="544" spans="1:2" x14ac:dyDescent="0.35">
      <c r="A544" s="2">
        <v>46279</v>
      </c>
      <c r="B544" s="1" t="s">
        <v>3</v>
      </c>
    </row>
    <row r="545" spans="1:2" x14ac:dyDescent="0.35">
      <c r="A545" s="2">
        <v>46279</v>
      </c>
      <c r="B545" s="1" t="s">
        <v>22</v>
      </c>
    </row>
    <row r="546" spans="1:2" x14ac:dyDescent="0.35">
      <c r="A546" s="2">
        <v>46280</v>
      </c>
      <c r="B546" s="1" t="s">
        <v>22</v>
      </c>
    </row>
    <row r="547" spans="1:2" x14ac:dyDescent="0.35">
      <c r="A547" s="2">
        <v>46280</v>
      </c>
      <c r="B547" s="1" t="s">
        <v>24</v>
      </c>
    </row>
    <row r="548" spans="1:2" x14ac:dyDescent="0.35">
      <c r="A548" s="2">
        <v>46280</v>
      </c>
      <c r="B548" s="1" t="s">
        <v>5</v>
      </c>
    </row>
    <row r="549" spans="1:2" x14ac:dyDescent="0.35">
      <c r="A549" s="2">
        <v>46281</v>
      </c>
      <c r="B549" s="1" t="s">
        <v>9</v>
      </c>
    </row>
    <row r="550" spans="1:2" x14ac:dyDescent="0.35">
      <c r="A550" s="2">
        <v>46281</v>
      </c>
      <c r="B550" s="1" t="s">
        <v>88</v>
      </c>
    </row>
    <row r="551" spans="1:2" x14ac:dyDescent="0.35">
      <c r="A551" s="2">
        <v>46281</v>
      </c>
      <c r="B551" s="1" t="s">
        <v>99</v>
      </c>
    </row>
    <row r="552" spans="1:2" x14ac:dyDescent="0.35">
      <c r="A552" s="2">
        <v>46281</v>
      </c>
      <c r="B552" s="1" t="s">
        <v>88</v>
      </c>
    </row>
    <row r="553" spans="1:2" x14ac:dyDescent="0.35">
      <c r="A553" s="2">
        <v>46282</v>
      </c>
      <c r="B553" s="1" t="s">
        <v>22</v>
      </c>
    </row>
    <row r="554" spans="1:2" x14ac:dyDescent="0.35">
      <c r="A554" s="2">
        <v>46282</v>
      </c>
      <c r="B554" s="1" t="s">
        <v>22</v>
      </c>
    </row>
    <row r="555" spans="1:2" x14ac:dyDescent="0.35">
      <c r="A555" s="2">
        <v>46283</v>
      </c>
      <c r="B555" s="1" t="s">
        <v>88</v>
      </c>
    </row>
    <row r="556" spans="1:2" x14ac:dyDescent="0.35">
      <c r="A556" s="2">
        <v>46286</v>
      </c>
      <c r="B556" s="1" t="s">
        <v>9</v>
      </c>
    </row>
    <row r="557" spans="1:2" x14ac:dyDescent="0.35">
      <c r="A557" s="2">
        <v>46286</v>
      </c>
      <c r="B557" s="1" t="s">
        <v>87</v>
      </c>
    </row>
    <row r="558" spans="1:2" x14ac:dyDescent="0.35">
      <c r="A558" s="2">
        <v>46286</v>
      </c>
      <c r="B558" s="1" t="s">
        <v>3</v>
      </c>
    </row>
    <row r="559" spans="1:2" x14ac:dyDescent="0.35">
      <c r="A559" s="2">
        <v>46286</v>
      </c>
      <c r="B559" s="1" t="s">
        <v>22</v>
      </c>
    </row>
    <row r="560" spans="1:2" x14ac:dyDescent="0.35">
      <c r="A560" s="2">
        <v>46286</v>
      </c>
      <c r="B560" s="1" t="s">
        <v>28</v>
      </c>
    </row>
    <row r="561" spans="1:2" x14ac:dyDescent="0.35">
      <c r="A561" s="2">
        <v>46286</v>
      </c>
      <c r="B561" s="1" t="s">
        <v>3</v>
      </c>
    </row>
    <row r="562" spans="1:2" x14ac:dyDescent="0.35">
      <c r="A562" s="2">
        <v>46286</v>
      </c>
      <c r="B562" s="1" t="s">
        <v>88</v>
      </c>
    </row>
    <row r="563" spans="1:2" x14ac:dyDescent="0.35">
      <c r="A563" s="2">
        <v>46286</v>
      </c>
      <c r="B563" s="1" t="s">
        <v>88</v>
      </c>
    </row>
    <row r="564" spans="1:2" x14ac:dyDescent="0.35">
      <c r="A564" s="2">
        <v>46286</v>
      </c>
      <c r="B564" s="1" t="s">
        <v>19</v>
      </c>
    </row>
    <row r="565" spans="1:2" x14ac:dyDescent="0.35">
      <c r="A565" s="2">
        <v>46287</v>
      </c>
      <c r="B565" s="1" t="s">
        <v>9</v>
      </c>
    </row>
    <row r="566" spans="1:2" x14ac:dyDescent="0.35">
      <c r="A566" s="2">
        <v>46287</v>
      </c>
      <c r="B566" s="1" t="s">
        <v>22</v>
      </c>
    </row>
    <row r="567" spans="1:2" x14ac:dyDescent="0.35">
      <c r="A567" s="2">
        <v>46287</v>
      </c>
      <c r="B567" s="1" t="s">
        <v>88</v>
      </c>
    </row>
    <row r="568" spans="1:2" x14ac:dyDescent="0.35">
      <c r="A568" s="2">
        <v>46287</v>
      </c>
      <c r="B568" s="1" t="s">
        <v>22</v>
      </c>
    </row>
    <row r="569" spans="1:2" x14ac:dyDescent="0.35">
      <c r="A569" s="2">
        <v>46288</v>
      </c>
      <c r="B569" s="1" t="s">
        <v>28</v>
      </c>
    </row>
    <row r="570" spans="1:2" x14ac:dyDescent="0.35">
      <c r="A570" s="2">
        <v>46288</v>
      </c>
      <c r="B570" s="1" t="s">
        <v>88</v>
      </c>
    </row>
    <row r="571" spans="1:2" x14ac:dyDescent="0.35">
      <c r="A571" s="2">
        <v>46288</v>
      </c>
      <c r="B571" s="1" t="s">
        <v>88</v>
      </c>
    </row>
    <row r="572" spans="1:2" x14ac:dyDescent="0.35">
      <c r="A572" s="2">
        <v>46288</v>
      </c>
      <c r="B572" s="1" t="s">
        <v>22</v>
      </c>
    </row>
    <row r="573" spans="1:2" x14ac:dyDescent="0.35">
      <c r="A573" s="2">
        <v>46288</v>
      </c>
      <c r="B573" s="1" t="s">
        <v>21</v>
      </c>
    </row>
    <row r="574" spans="1:2" x14ac:dyDescent="0.35">
      <c r="A574" s="2">
        <v>46288</v>
      </c>
      <c r="B574" s="1" t="s">
        <v>9</v>
      </c>
    </row>
    <row r="575" spans="1:2" x14ac:dyDescent="0.35">
      <c r="A575" s="2">
        <v>46288</v>
      </c>
      <c r="B575" s="1" t="s">
        <v>28</v>
      </c>
    </row>
    <row r="576" spans="1:2" x14ac:dyDescent="0.35">
      <c r="A576" s="2">
        <v>46288</v>
      </c>
      <c r="B576" s="1" t="s">
        <v>88</v>
      </c>
    </row>
    <row r="577" spans="1:2" x14ac:dyDescent="0.35">
      <c r="A577" s="2">
        <v>46289</v>
      </c>
      <c r="B577" s="1" t="s">
        <v>88</v>
      </c>
    </row>
    <row r="578" spans="1:2" x14ac:dyDescent="0.35">
      <c r="A578" s="2">
        <v>46290</v>
      </c>
      <c r="B578" s="1" t="s">
        <v>88</v>
      </c>
    </row>
    <row r="579" spans="1:2" x14ac:dyDescent="0.35">
      <c r="A579" s="2">
        <v>46290</v>
      </c>
      <c r="B579" s="1" t="s">
        <v>88</v>
      </c>
    </row>
    <row r="580" spans="1:2" x14ac:dyDescent="0.35">
      <c r="A580" s="2">
        <v>46290</v>
      </c>
      <c r="B580" s="1" t="s">
        <v>3</v>
      </c>
    </row>
    <row r="581" spans="1:2" x14ac:dyDescent="0.35">
      <c r="A581" s="2">
        <v>46290</v>
      </c>
      <c r="B581" s="1" t="s">
        <v>88</v>
      </c>
    </row>
    <row r="582" spans="1:2" x14ac:dyDescent="0.35">
      <c r="A582" s="2">
        <v>46293</v>
      </c>
      <c r="B582" s="1" t="s">
        <v>19</v>
      </c>
    </row>
    <row r="583" spans="1:2" x14ac:dyDescent="0.35">
      <c r="A583" s="2">
        <v>46293</v>
      </c>
      <c r="B583" s="1" t="s">
        <v>88</v>
      </c>
    </row>
    <row r="584" spans="1:2" x14ac:dyDescent="0.35">
      <c r="A584" s="2">
        <v>46294</v>
      </c>
      <c r="B584" s="1" t="s">
        <v>88</v>
      </c>
    </row>
    <row r="585" spans="1:2" x14ac:dyDescent="0.35">
      <c r="A585" s="2">
        <v>46294</v>
      </c>
      <c r="B585" s="1" t="s">
        <v>88</v>
      </c>
    </row>
    <row r="586" spans="1:2" x14ac:dyDescent="0.35">
      <c r="A586" s="2">
        <v>46294</v>
      </c>
      <c r="B586" s="1" t="s">
        <v>19</v>
      </c>
    </row>
    <row r="587" spans="1:2" x14ac:dyDescent="0.35">
      <c r="A587" s="2">
        <v>46294</v>
      </c>
      <c r="B587" s="1" t="s">
        <v>88</v>
      </c>
    </row>
    <row r="588" spans="1:2" x14ac:dyDescent="0.35">
      <c r="A588" s="2">
        <v>46295</v>
      </c>
      <c r="B588" s="1" t="s">
        <v>24</v>
      </c>
    </row>
    <row r="589" spans="1:2" x14ac:dyDescent="0.35">
      <c r="A589" s="2">
        <v>46295</v>
      </c>
      <c r="B589" s="1" t="s">
        <v>3</v>
      </c>
    </row>
    <row r="590" spans="1:2" x14ac:dyDescent="0.35">
      <c r="A590" s="2">
        <v>46296</v>
      </c>
      <c r="B590" s="1" t="s">
        <v>28</v>
      </c>
    </row>
    <row r="591" spans="1:2" x14ac:dyDescent="0.35">
      <c r="A591" s="2">
        <v>46296</v>
      </c>
      <c r="B591" s="1" t="s">
        <v>22</v>
      </c>
    </row>
    <row r="592" spans="1:2" x14ac:dyDescent="0.35">
      <c r="A592" s="2">
        <v>46296</v>
      </c>
      <c r="B592" s="1" t="s">
        <v>28</v>
      </c>
    </row>
    <row r="593" spans="1:2" x14ac:dyDescent="0.35">
      <c r="A593" s="2">
        <v>46300</v>
      </c>
      <c r="B593" s="1" t="s">
        <v>9</v>
      </c>
    </row>
    <row r="594" spans="1:2" x14ac:dyDescent="0.35">
      <c r="A594" s="2">
        <v>46300</v>
      </c>
      <c r="B594" s="1" t="s">
        <v>88</v>
      </c>
    </row>
    <row r="595" spans="1:2" x14ac:dyDescent="0.35">
      <c r="A595" s="2">
        <v>46301</v>
      </c>
      <c r="B595" s="1" t="s">
        <v>88</v>
      </c>
    </row>
    <row r="596" spans="1:2" x14ac:dyDescent="0.35">
      <c r="A596" s="2">
        <v>46301</v>
      </c>
      <c r="B596" s="1" t="s">
        <v>21</v>
      </c>
    </row>
    <row r="597" spans="1:2" x14ac:dyDescent="0.35">
      <c r="A597" s="2">
        <v>46301</v>
      </c>
      <c r="B597" s="1" t="s">
        <v>88</v>
      </c>
    </row>
    <row r="598" spans="1:2" x14ac:dyDescent="0.35">
      <c r="A598" s="2">
        <v>46301</v>
      </c>
      <c r="B598" s="1" t="s">
        <v>22</v>
      </c>
    </row>
    <row r="599" spans="1:2" x14ac:dyDescent="0.35">
      <c r="A599" s="2">
        <v>46302</v>
      </c>
      <c r="B599" s="1" t="s">
        <v>88</v>
      </c>
    </row>
    <row r="600" spans="1:2" x14ac:dyDescent="0.35">
      <c r="A600" s="2">
        <v>46302</v>
      </c>
      <c r="B600" s="1" t="s">
        <v>9</v>
      </c>
    </row>
    <row r="601" spans="1:2" x14ac:dyDescent="0.35">
      <c r="A601" s="2">
        <v>46302</v>
      </c>
      <c r="B601" s="1" t="s">
        <v>28</v>
      </c>
    </row>
    <row r="602" spans="1:2" x14ac:dyDescent="0.35">
      <c r="A602" s="2">
        <v>46302</v>
      </c>
      <c r="B602" s="1" t="s">
        <v>22</v>
      </c>
    </row>
    <row r="603" spans="1:2" x14ac:dyDescent="0.35">
      <c r="A603" s="2">
        <v>46303</v>
      </c>
      <c r="B603" s="1" t="s">
        <v>24</v>
      </c>
    </row>
    <row r="604" spans="1:2" x14ac:dyDescent="0.35">
      <c r="A604" s="2">
        <v>46303</v>
      </c>
      <c r="B604" s="1" t="s">
        <v>22</v>
      </c>
    </row>
    <row r="605" spans="1:2" x14ac:dyDescent="0.35">
      <c r="A605" s="2">
        <v>46303</v>
      </c>
      <c r="B605" s="1" t="s">
        <v>24</v>
      </c>
    </row>
    <row r="606" spans="1:2" x14ac:dyDescent="0.35">
      <c r="A606" s="2">
        <v>46303</v>
      </c>
      <c r="B606" s="1" t="s">
        <v>22</v>
      </c>
    </row>
    <row r="607" spans="1:2" x14ac:dyDescent="0.35">
      <c r="A607" s="2">
        <v>46303</v>
      </c>
      <c r="B607" s="1" t="s">
        <v>88</v>
      </c>
    </row>
    <row r="608" spans="1:2" x14ac:dyDescent="0.35">
      <c r="A608" s="2">
        <v>46303</v>
      </c>
      <c r="B608" s="1" t="s">
        <v>21</v>
      </c>
    </row>
    <row r="609" spans="1:2" x14ac:dyDescent="0.35">
      <c r="A609" s="2">
        <v>46303</v>
      </c>
      <c r="B609" s="1" t="s">
        <v>21</v>
      </c>
    </row>
    <row r="610" spans="1:2" x14ac:dyDescent="0.35">
      <c r="A610" s="2">
        <v>46304</v>
      </c>
      <c r="B610" s="1" t="s">
        <v>19</v>
      </c>
    </row>
    <row r="611" spans="1:2" x14ac:dyDescent="0.35">
      <c r="A611" s="2">
        <v>46304</v>
      </c>
      <c r="B611" s="1" t="s">
        <v>19</v>
      </c>
    </row>
    <row r="612" spans="1:2" x14ac:dyDescent="0.35">
      <c r="A612" s="2">
        <v>46304</v>
      </c>
      <c r="B612" s="1" t="s">
        <v>19</v>
      </c>
    </row>
    <row r="613" spans="1:2" x14ac:dyDescent="0.35">
      <c r="A613" s="2">
        <v>46304</v>
      </c>
      <c r="B613" s="1" t="s">
        <v>9</v>
      </c>
    </row>
    <row r="614" spans="1:2" x14ac:dyDescent="0.35">
      <c r="A614" s="2">
        <v>46304</v>
      </c>
      <c r="B614" s="1" t="s">
        <v>28</v>
      </c>
    </row>
    <row r="615" spans="1:2" x14ac:dyDescent="0.35">
      <c r="A615" s="2">
        <v>46304</v>
      </c>
      <c r="B615" s="1" t="s">
        <v>19</v>
      </c>
    </row>
    <row r="616" spans="1:2" x14ac:dyDescent="0.35">
      <c r="A616" s="2">
        <v>46304</v>
      </c>
      <c r="B616" s="1" t="s">
        <v>21</v>
      </c>
    </row>
    <row r="617" spans="1:2" x14ac:dyDescent="0.35">
      <c r="A617" s="2">
        <v>46304</v>
      </c>
      <c r="B617" s="1" t="s">
        <v>9</v>
      </c>
    </row>
    <row r="618" spans="1:2" x14ac:dyDescent="0.35">
      <c r="A618" s="2">
        <v>46304</v>
      </c>
      <c r="B618" s="1" t="s">
        <v>3</v>
      </c>
    </row>
    <row r="619" spans="1:2" x14ac:dyDescent="0.35">
      <c r="A619" s="2">
        <v>46308</v>
      </c>
      <c r="B619" s="1" t="s">
        <v>88</v>
      </c>
    </row>
    <row r="620" spans="1:2" x14ac:dyDescent="0.35">
      <c r="A620" s="2">
        <v>46308</v>
      </c>
      <c r="B620" s="1" t="s">
        <v>28</v>
      </c>
    </row>
    <row r="621" spans="1:2" x14ac:dyDescent="0.35">
      <c r="A621" s="2">
        <v>46308</v>
      </c>
      <c r="B621" s="1" t="s">
        <v>24</v>
      </c>
    </row>
    <row r="622" spans="1:2" x14ac:dyDescent="0.35">
      <c r="A622" s="2">
        <v>46308</v>
      </c>
      <c r="B622" s="1" t="s">
        <v>19</v>
      </c>
    </row>
    <row r="623" spans="1:2" x14ac:dyDescent="0.35">
      <c r="A623" s="2">
        <v>46308</v>
      </c>
      <c r="B623" s="1" t="s">
        <v>22</v>
      </c>
    </row>
    <row r="624" spans="1:2" x14ac:dyDescent="0.35">
      <c r="A624" s="2">
        <v>46308</v>
      </c>
      <c r="B624" s="1" t="s">
        <v>9</v>
      </c>
    </row>
    <row r="625" spans="1:2" x14ac:dyDescent="0.35">
      <c r="A625" s="2">
        <v>46308</v>
      </c>
      <c r="B625" s="1" t="s">
        <v>1038</v>
      </c>
    </row>
    <row r="626" spans="1:2" x14ac:dyDescent="0.35">
      <c r="A626" s="2">
        <v>46309</v>
      </c>
      <c r="B626" s="1" t="s">
        <v>88</v>
      </c>
    </row>
    <row r="627" spans="1:2" x14ac:dyDescent="0.35">
      <c r="A627" s="2">
        <v>46309</v>
      </c>
      <c r="B627" s="1" t="s">
        <v>28</v>
      </c>
    </row>
    <row r="628" spans="1:2" x14ac:dyDescent="0.35">
      <c r="A628" s="2">
        <v>46309</v>
      </c>
      <c r="B628" s="1" t="s">
        <v>88</v>
      </c>
    </row>
    <row r="629" spans="1:2" x14ac:dyDescent="0.35">
      <c r="A629" s="2">
        <v>46310</v>
      </c>
      <c r="B629" s="1" t="s">
        <v>19</v>
      </c>
    </row>
    <row r="630" spans="1:2" x14ac:dyDescent="0.35">
      <c r="A630" s="2">
        <v>46310</v>
      </c>
      <c r="B630" s="1" t="s">
        <v>21</v>
      </c>
    </row>
    <row r="631" spans="1:2" x14ac:dyDescent="0.35">
      <c r="A631" s="2">
        <v>46310</v>
      </c>
      <c r="B631" s="1" t="s">
        <v>3</v>
      </c>
    </row>
    <row r="632" spans="1:2" x14ac:dyDescent="0.35">
      <c r="A632" s="2">
        <v>46310</v>
      </c>
      <c r="B632" s="1" t="s">
        <v>88</v>
      </c>
    </row>
    <row r="633" spans="1:2" x14ac:dyDescent="0.35">
      <c r="A633" s="2">
        <v>46310</v>
      </c>
      <c r="B633" s="1" t="s">
        <v>88</v>
      </c>
    </row>
    <row r="634" spans="1:2" x14ac:dyDescent="0.35">
      <c r="A634" s="2">
        <v>46310</v>
      </c>
      <c r="B634" s="1" t="s">
        <v>88</v>
      </c>
    </row>
    <row r="635" spans="1:2" x14ac:dyDescent="0.35">
      <c r="A635" s="2">
        <v>46310</v>
      </c>
      <c r="B635" s="1" t="s">
        <v>9</v>
      </c>
    </row>
    <row r="636" spans="1:2" x14ac:dyDescent="0.35">
      <c r="A636" s="2">
        <v>46311</v>
      </c>
      <c r="B636" s="1" t="s">
        <v>88</v>
      </c>
    </row>
    <row r="637" spans="1:2" x14ac:dyDescent="0.35">
      <c r="A637" s="2">
        <v>46311</v>
      </c>
      <c r="B637" s="1" t="s">
        <v>22</v>
      </c>
    </row>
    <row r="638" spans="1:2" x14ac:dyDescent="0.35">
      <c r="A638" s="2">
        <v>46311</v>
      </c>
      <c r="B638" s="1" t="s">
        <v>88</v>
      </c>
    </row>
    <row r="639" spans="1:2" x14ac:dyDescent="0.35">
      <c r="A639" s="2">
        <v>46311</v>
      </c>
      <c r="B639" s="1" t="s">
        <v>21</v>
      </c>
    </row>
    <row r="640" spans="1:2" x14ac:dyDescent="0.35">
      <c r="A640" s="2">
        <v>46311</v>
      </c>
      <c r="B640" s="1" t="s">
        <v>21</v>
      </c>
    </row>
    <row r="641" spans="1:2" x14ac:dyDescent="0.35">
      <c r="A641" s="2">
        <v>46311</v>
      </c>
      <c r="B641" s="1" t="s">
        <v>21</v>
      </c>
    </row>
    <row r="642" spans="1:2" x14ac:dyDescent="0.35">
      <c r="A642" s="2">
        <v>46311</v>
      </c>
      <c r="B642" s="1" t="s">
        <v>1038</v>
      </c>
    </row>
    <row r="643" spans="1:2" x14ac:dyDescent="0.35">
      <c r="A643" s="2">
        <v>46314</v>
      </c>
      <c r="B643" s="1" t="s">
        <v>5</v>
      </c>
    </row>
    <row r="644" spans="1:2" x14ac:dyDescent="0.35">
      <c r="A644" s="2">
        <v>46314</v>
      </c>
      <c r="B644" s="1" t="s">
        <v>3</v>
      </c>
    </row>
    <row r="645" spans="1:2" x14ac:dyDescent="0.35">
      <c r="A645" s="2">
        <v>46314</v>
      </c>
      <c r="B645" s="1" t="s">
        <v>3</v>
      </c>
    </row>
    <row r="646" spans="1:2" x14ac:dyDescent="0.35">
      <c r="A646" s="2">
        <v>46314</v>
      </c>
      <c r="B646" s="1" t="s">
        <v>1038</v>
      </c>
    </row>
    <row r="647" spans="1:2" x14ac:dyDescent="0.35">
      <c r="A647" s="2">
        <v>46315</v>
      </c>
      <c r="B647" s="1" t="s">
        <v>19</v>
      </c>
    </row>
    <row r="648" spans="1:2" x14ac:dyDescent="0.35">
      <c r="A648" s="2">
        <v>46315</v>
      </c>
      <c r="B648" s="1" t="s">
        <v>3</v>
      </c>
    </row>
    <row r="649" spans="1:2" x14ac:dyDescent="0.35">
      <c r="A649" s="2">
        <v>46315</v>
      </c>
      <c r="B649" s="1" t="s">
        <v>9</v>
      </c>
    </row>
    <row r="650" spans="1:2" x14ac:dyDescent="0.35">
      <c r="A650" s="2">
        <v>46315</v>
      </c>
      <c r="B650" s="1" t="s">
        <v>1038</v>
      </c>
    </row>
    <row r="651" spans="1:2" x14ac:dyDescent="0.35">
      <c r="A651" s="2">
        <v>46315</v>
      </c>
      <c r="B651" s="1" t="s">
        <v>1038</v>
      </c>
    </row>
    <row r="652" spans="1:2" x14ac:dyDescent="0.35">
      <c r="A652" s="2">
        <v>46315</v>
      </c>
      <c r="B652" s="1" t="s">
        <v>1038</v>
      </c>
    </row>
    <row r="653" spans="1:2" x14ac:dyDescent="0.35">
      <c r="A653" s="2">
        <v>46315</v>
      </c>
      <c r="B653" s="1" t="s">
        <v>1038</v>
      </c>
    </row>
    <row r="654" spans="1:2" x14ac:dyDescent="0.35">
      <c r="A654" s="2">
        <v>46315</v>
      </c>
      <c r="B654" s="1" t="s">
        <v>1038</v>
      </c>
    </row>
    <row r="655" spans="1:2" x14ac:dyDescent="0.35">
      <c r="A655" s="2">
        <v>46316</v>
      </c>
      <c r="B655" s="1" t="s">
        <v>3</v>
      </c>
    </row>
    <row r="656" spans="1:2" x14ac:dyDescent="0.35">
      <c r="A656" s="2">
        <v>46316</v>
      </c>
      <c r="B656" s="1" t="s">
        <v>9</v>
      </c>
    </row>
    <row r="657" spans="1:2" x14ac:dyDescent="0.35">
      <c r="A657" s="2">
        <v>46316</v>
      </c>
      <c r="B657" s="1" t="s">
        <v>19</v>
      </c>
    </row>
    <row r="658" spans="1:2" x14ac:dyDescent="0.35">
      <c r="A658" s="2">
        <v>46317</v>
      </c>
      <c r="B658" s="1" t="s">
        <v>9</v>
      </c>
    </row>
    <row r="659" spans="1:2" x14ac:dyDescent="0.35">
      <c r="A659" s="2">
        <v>46317</v>
      </c>
      <c r="B659" s="1" t="s">
        <v>1038</v>
      </c>
    </row>
    <row r="660" spans="1:2" x14ac:dyDescent="0.35">
      <c r="A660" s="2">
        <v>46317</v>
      </c>
      <c r="B660" s="1" t="s">
        <v>1038</v>
      </c>
    </row>
    <row r="661" spans="1:2" x14ac:dyDescent="0.35">
      <c r="A661" s="2">
        <v>46317</v>
      </c>
      <c r="B661" s="1" t="s">
        <v>1038</v>
      </c>
    </row>
    <row r="662" spans="1:2" x14ac:dyDescent="0.35">
      <c r="A662" s="2">
        <v>46321</v>
      </c>
      <c r="B662" s="1" t="s">
        <v>19</v>
      </c>
    </row>
    <row r="663" spans="1:2" x14ac:dyDescent="0.35">
      <c r="A663" s="2">
        <v>46321</v>
      </c>
      <c r="B663" s="1" t="s">
        <v>19</v>
      </c>
    </row>
    <row r="664" spans="1:2" x14ac:dyDescent="0.35">
      <c r="A664" s="2">
        <v>46321</v>
      </c>
      <c r="B664" s="1" t="s">
        <v>3</v>
      </c>
    </row>
    <row r="665" spans="1:2" x14ac:dyDescent="0.35">
      <c r="A665" s="2">
        <v>46321</v>
      </c>
      <c r="B665" s="1" t="s">
        <v>3</v>
      </c>
    </row>
    <row r="666" spans="1:2" x14ac:dyDescent="0.35">
      <c r="A666" s="2">
        <v>46322</v>
      </c>
      <c r="B666" s="1" t="s">
        <v>21</v>
      </c>
    </row>
    <row r="667" spans="1:2" x14ac:dyDescent="0.35">
      <c r="A667" s="2">
        <v>46322</v>
      </c>
      <c r="B667" s="1" t="s">
        <v>22</v>
      </c>
    </row>
    <row r="668" spans="1:2" x14ac:dyDescent="0.35">
      <c r="A668" s="2">
        <v>46323</v>
      </c>
      <c r="B668" s="1" t="s">
        <v>19</v>
      </c>
    </row>
    <row r="669" spans="1:2" x14ac:dyDescent="0.35">
      <c r="A669" s="2">
        <v>46323</v>
      </c>
      <c r="B669" s="1" t="s">
        <v>19</v>
      </c>
    </row>
    <row r="670" spans="1:2" x14ac:dyDescent="0.35">
      <c r="A670" s="2">
        <v>46323</v>
      </c>
      <c r="B670" s="1" t="s">
        <v>88</v>
      </c>
    </row>
    <row r="671" spans="1:2" x14ac:dyDescent="0.35">
      <c r="A671" s="2">
        <v>46323</v>
      </c>
      <c r="B671" s="1" t="s">
        <v>9</v>
      </c>
    </row>
    <row r="672" spans="1:2" x14ac:dyDescent="0.35">
      <c r="A672" s="2">
        <v>46323</v>
      </c>
      <c r="B672" s="1" t="s">
        <v>88</v>
      </c>
    </row>
    <row r="673" spans="1:2" x14ac:dyDescent="0.35">
      <c r="A673" s="2">
        <v>46323</v>
      </c>
      <c r="B673" s="1" t="s">
        <v>88</v>
      </c>
    </row>
    <row r="674" spans="1:2" x14ac:dyDescent="0.35">
      <c r="A674" s="2">
        <v>46323</v>
      </c>
      <c r="B674" s="1" t="s">
        <v>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4710D-45E4-4074-820E-EF2B36D2BED7}">
  <dimension ref="A1:C672"/>
  <sheetViews>
    <sheetView showGridLines="0" topLeftCell="A649" workbookViewId="0">
      <selection activeCell="A672" sqref="A672"/>
    </sheetView>
  </sheetViews>
  <sheetFormatPr defaultRowHeight="10.5" x14ac:dyDescent="0.35"/>
  <cols>
    <col min="1" max="1" width="7.36328125" style="2" bestFit="1" customWidth="1"/>
    <col min="2" max="2" width="26.6328125" style="1" bestFit="1" customWidth="1"/>
    <col min="3" max="3" width="3.26953125" style="1" bestFit="1" customWidth="1"/>
    <col min="4" max="16384" width="8.7265625" style="1"/>
  </cols>
  <sheetData>
    <row r="1" spans="1:3" x14ac:dyDescent="0.35">
      <c r="A1" s="2" t="s">
        <v>1</v>
      </c>
      <c r="B1" s="1" t="s">
        <v>2</v>
      </c>
      <c r="C1" s="1" t="s">
        <v>29</v>
      </c>
    </row>
    <row r="2" spans="1:3" x14ac:dyDescent="0.35">
      <c r="A2" s="2">
        <v>45708</v>
      </c>
      <c r="B2" s="1" t="s">
        <v>90</v>
      </c>
      <c r="C2" s="1">
        <f>MONTH(Tabela16[[#This Row],[DATA]])</f>
        <v>2</v>
      </c>
    </row>
    <row r="3" spans="1:3" x14ac:dyDescent="0.35">
      <c r="A3" s="2">
        <v>45708</v>
      </c>
      <c r="B3" s="1" t="s">
        <v>90</v>
      </c>
      <c r="C3" s="1">
        <f>MONTH(Tabela16[[#This Row],[DATA]])</f>
        <v>2</v>
      </c>
    </row>
    <row r="4" spans="1:3" x14ac:dyDescent="0.35">
      <c r="A4" s="2">
        <v>45708</v>
      </c>
      <c r="B4" s="1" t="s">
        <v>90</v>
      </c>
      <c r="C4" s="1">
        <f>MONTH(Tabela16[[#This Row],[DATA]])</f>
        <v>2</v>
      </c>
    </row>
    <row r="5" spans="1:3" x14ac:dyDescent="0.35">
      <c r="A5" s="2">
        <v>45708</v>
      </c>
      <c r="B5" s="1" t="s">
        <v>90</v>
      </c>
      <c r="C5" s="1">
        <f>MONTH(Tabela16[[#This Row],[DATA]])</f>
        <v>2</v>
      </c>
    </row>
    <row r="6" spans="1:3" x14ac:dyDescent="0.35">
      <c r="A6" s="2">
        <v>46027</v>
      </c>
      <c r="B6" s="1" t="s">
        <v>9</v>
      </c>
      <c r="C6" s="1">
        <f>MONTH(Tabela16[[#This Row],[DATA]])</f>
        <v>1</v>
      </c>
    </row>
    <row r="7" spans="1:3" x14ac:dyDescent="0.35">
      <c r="A7" s="2">
        <v>46030</v>
      </c>
      <c r="B7" s="1" t="s">
        <v>91</v>
      </c>
      <c r="C7" s="1">
        <f>MONTH(Tabela16[[#This Row],[DATA]])</f>
        <v>1</v>
      </c>
    </row>
    <row r="8" spans="1:3" x14ac:dyDescent="0.35">
      <c r="A8" s="2">
        <v>46030</v>
      </c>
      <c r="B8" s="1" t="s">
        <v>92</v>
      </c>
      <c r="C8" s="1">
        <f>MONTH(Tabela16[[#This Row],[DATA]])</f>
        <v>1</v>
      </c>
    </row>
    <row r="9" spans="1:3" x14ac:dyDescent="0.35">
      <c r="A9" s="2">
        <v>46030</v>
      </c>
      <c r="B9" s="1" t="s">
        <v>92</v>
      </c>
      <c r="C9" s="1">
        <f>MONTH(Tabela16[[#This Row],[DATA]])</f>
        <v>1</v>
      </c>
    </row>
    <row r="10" spans="1:3" x14ac:dyDescent="0.35">
      <c r="A10" s="2">
        <v>46030</v>
      </c>
      <c r="B10" s="1" t="s">
        <v>95</v>
      </c>
      <c r="C10" s="1">
        <f>MONTH(Tabela16[[#This Row],[DATA]])</f>
        <v>1</v>
      </c>
    </row>
    <row r="11" spans="1:3" x14ac:dyDescent="0.35">
      <c r="A11" s="2">
        <v>46030</v>
      </c>
      <c r="B11" s="1" t="s">
        <v>91</v>
      </c>
      <c r="C11" s="1">
        <f>MONTH(Tabela16[[#This Row],[DATA]])</f>
        <v>1</v>
      </c>
    </row>
    <row r="12" spans="1:3" x14ac:dyDescent="0.35">
      <c r="A12" s="2">
        <v>46031</v>
      </c>
      <c r="B12" s="1" t="s">
        <v>91</v>
      </c>
      <c r="C12" s="1">
        <f>MONTH(Tabela16[[#This Row],[DATA]])</f>
        <v>1</v>
      </c>
    </row>
    <row r="13" spans="1:3" x14ac:dyDescent="0.35">
      <c r="A13" s="2">
        <v>46031</v>
      </c>
      <c r="B13" s="1" t="s">
        <v>92</v>
      </c>
      <c r="C13" s="1">
        <f>MONTH(Tabela16[[#This Row],[DATA]])</f>
        <v>1</v>
      </c>
    </row>
    <row r="14" spans="1:3" x14ac:dyDescent="0.35">
      <c r="A14" s="2">
        <v>46031</v>
      </c>
      <c r="B14" s="1" t="s">
        <v>32</v>
      </c>
      <c r="C14" s="1">
        <f>MONTH(Tabela16[[#This Row],[DATA]])</f>
        <v>1</v>
      </c>
    </row>
    <row r="15" spans="1:3" x14ac:dyDescent="0.35">
      <c r="A15" s="2">
        <v>46034</v>
      </c>
      <c r="B15" s="1" t="s">
        <v>91</v>
      </c>
      <c r="C15" s="1">
        <f>MONTH(Tabela16[[#This Row],[DATA]])</f>
        <v>1</v>
      </c>
    </row>
    <row r="16" spans="1:3" x14ac:dyDescent="0.35">
      <c r="A16" s="2">
        <v>46034</v>
      </c>
      <c r="B16" s="1" t="s">
        <v>92</v>
      </c>
      <c r="C16" s="1">
        <f>MONTH(Tabela16[[#This Row],[DATA]])</f>
        <v>1</v>
      </c>
    </row>
    <row r="17" spans="1:3" x14ac:dyDescent="0.35">
      <c r="A17" s="2">
        <v>46035</v>
      </c>
      <c r="B17" s="1" t="s">
        <v>34</v>
      </c>
      <c r="C17" s="1">
        <f>MONTH(Tabela16[[#This Row],[DATA]])</f>
        <v>1</v>
      </c>
    </row>
    <row r="18" spans="1:3" x14ac:dyDescent="0.35">
      <c r="A18" s="2">
        <v>46035</v>
      </c>
      <c r="B18" s="1" t="s">
        <v>92</v>
      </c>
      <c r="C18" s="1">
        <f>MONTH(Tabela16[[#This Row],[DATA]])</f>
        <v>1</v>
      </c>
    </row>
    <row r="19" spans="1:3" x14ac:dyDescent="0.35">
      <c r="A19" s="2">
        <v>46037</v>
      </c>
      <c r="B19" s="1" t="s">
        <v>32</v>
      </c>
      <c r="C19" s="1">
        <f>MONTH(Tabela16[[#This Row],[DATA]])</f>
        <v>1</v>
      </c>
    </row>
    <row r="20" spans="1:3" x14ac:dyDescent="0.35">
      <c r="A20" s="2">
        <v>46038</v>
      </c>
      <c r="B20" s="1" t="s">
        <v>96</v>
      </c>
      <c r="C20" s="1">
        <f>MONTH(Tabela16[[#This Row],[DATA]])</f>
        <v>1</v>
      </c>
    </row>
    <row r="21" spans="1:3" x14ac:dyDescent="0.35">
      <c r="A21" s="2">
        <v>46038</v>
      </c>
      <c r="B21" s="1" t="s">
        <v>68</v>
      </c>
      <c r="C21" s="1">
        <f>MONTH(Tabela16[[#This Row],[DATA]])</f>
        <v>1</v>
      </c>
    </row>
    <row r="22" spans="1:3" x14ac:dyDescent="0.35">
      <c r="A22" s="2">
        <v>46038</v>
      </c>
      <c r="B22" s="1" t="s">
        <v>96</v>
      </c>
      <c r="C22" s="1">
        <f>MONTH(Tabela16[[#This Row],[DATA]])</f>
        <v>1</v>
      </c>
    </row>
    <row r="23" spans="1:3" x14ac:dyDescent="0.35">
      <c r="A23" s="2">
        <v>46041</v>
      </c>
      <c r="B23" s="1" t="s">
        <v>5</v>
      </c>
      <c r="C23" s="1">
        <f>MONTH(Tabela16[[#This Row],[DATA]])</f>
        <v>1</v>
      </c>
    </row>
    <row r="24" spans="1:3" x14ac:dyDescent="0.35">
      <c r="A24" s="2">
        <v>46043</v>
      </c>
      <c r="B24" s="1" t="s">
        <v>68</v>
      </c>
      <c r="C24" s="1">
        <f>MONTH(Tabela16[[#This Row],[DATA]])</f>
        <v>1</v>
      </c>
    </row>
    <row r="25" spans="1:3" x14ac:dyDescent="0.35">
      <c r="A25" s="2">
        <v>46043</v>
      </c>
      <c r="B25" s="1" t="s">
        <v>24</v>
      </c>
      <c r="C25" s="1">
        <f>MONTH(Tabela16[[#This Row],[DATA]])</f>
        <v>1</v>
      </c>
    </row>
    <row r="26" spans="1:3" x14ac:dyDescent="0.35">
      <c r="A26" s="2">
        <v>46044</v>
      </c>
      <c r="B26" s="1" t="s">
        <v>28</v>
      </c>
      <c r="C26" s="1">
        <f>MONTH(Tabela16[[#This Row],[DATA]])</f>
        <v>1</v>
      </c>
    </row>
    <row r="27" spans="1:3" x14ac:dyDescent="0.35">
      <c r="A27" s="2">
        <v>46044</v>
      </c>
      <c r="B27" s="1" t="s">
        <v>5</v>
      </c>
      <c r="C27" s="1">
        <f>MONTH(Tabela16[[#This Row],[DATA]])</f>
        <v>1</v>
      </c>
    </row>
    <row r="28" spans="1:3" x14ac:dyDescent="0.35">
      <c r="A28" s="2">
        <v>46045</v>
      </c>
      <c r="B28" s="1" t="s">
        <v>90</v>
      </c>
      <c r="C28" s="1">
        <f>MONTH(Tabela16[[#This Row],[DATA]])</f>
        <v>1</v>
      </c>
    </row>
    <row r="29" spans="1:3" x14ac:dyDescent="0.35">
      <c r="A29" s="2">
        <v>46045</v>
      </c>
      <c r="B29" s="1" t="s">
        <v>90</v>
      </c>
      <c r="C29" s="1">
        <f>MONTH(Tabela16[[#This Row],[DATA]])</f>
        <v>1</v>
      </c>
    </row>
    <row r="30" spans="1:3" x14ac:dyDescent="0.35">
      <c r="A30" s="2">
        <v>46045</v>
      </c>
      <c r="B30" s="1" t="s">
        <v>90</v>
      </c>
      <c r="C30" s="1">
        <f>MONTH(Tabela16[[#This Row],[DATA]])</f>
        <v>1</v>
      </c>
    </row>
    <row r="31" spans="1:3" x14ac:dyDescent="0.35">
      <c r="A31" s="2">
        <v>46045</v>
      </c>
      <c r="B31" s="1" t="s">
        <v>90</v>
      </c>
      <c r="C31" s="1">
        <f>MONTH(Tabela16[[#This Row],[DATA]])</f>
        <v>1</v>
      </c>
    </row>
    <row r="32" spans="1:3" x14ac:dyDescent="0.35">
      <c r="A32" s="2">
        <v>46045</v>
      </c>
      <c r="B32" s="1" t="s">
        <v>90</v>
      </c>
      <c r="C32" s="1">
        <f>MONTH(Tabela16[[#This Row],[DATA]])</f>
        <v>1</v>
      </c>
    </row>
    <row r="33" spans="1:3" x14ac:dyDescent="0.35">
      <c r="A33" s="2">
        <v>46045</v>
      </c>
      <c r="B33" s="1" t="s">
        <v>90</v>
      </c>
      <c r="C33" s="1">
        <f>MONTH(Tabela16[[#This Row],[DATA]])</f>
        <v>1</v>
      </c>
    </row>
    <row r="34" spans="1:3" x14ac:dyDescent="0.35">
      <c r="A34" s="2">
        <v>46048</v>
      </c>
      <c r="B34" s="1" t="s">
        <v>92</v>
      </c>
      <c r="C34" s="1">
        <f>MONTH(Tabela16[[#This Row],[DATA]])</f>
        <v>1</v>
      </c>
    </row>
    <row r="35" spans="1:3" x14ac:dyDescent="0.35">
      <c r="A35" s="2">
        <v>46048</v>
      </c>
      <c r="B35" s="1" t="s">
        <v>5</v>
      </c>
      <c r="C35" s="1">
        <f>MONTH(Tabela16[[#This Row],[DATA]])</f>
        <v>1</v>
      </c>
    </row>
    <row r="36" spans="1:3" x14ac:dyDescent="0.35">
      <c r="A36" s="2">
        <v>46048</v>
      </c>
      <c r="B36" s="1" t="s">
        <v>28</v>
      </c>
      <c r="C36" s="1">
        <f>MONTH(Tabela16[[#This Row],[DATA]])</f>
        <v>1</v>
      </c>
    </row>
    <row r="37" spans="1:3" x14ac:dyDescent="0.35">
      <c r="A37" s="2">
        <v>46048</v>
      </c>
      <c r="B37" s="1" t="s">
        <v>28</v>
      </c>
      <c r="C37" s="1">
        <f>MONTH(Tabela16[[#This Row],[DATA]])</f>
        <v>1</v>
      </c>
    </row>
    <row r="38" spans="1:3" x14ac:dyDescent="0.35">
      <c r="A38" s="2">
        <v>46048</v>
      </c>
      <c r="B38" s="1" t="s">
        <v>92</v>
      </c>
      <c r="C38" s="1">
        <f>MONTH(Tabela16[[#This Row],[DATA]])</f>
        <v>1</v>
      </c>
    </row>
    <row r="39" spans="1:3" x14ac:dyDescent="0.35">
      <c r="A39" s="2">
        <v>46048</v>
      </c>
      <c r="B39" s="1" t="s">
        <v>92</v>
      </c>
      <c r="C39" s="1">
        <f>MONTH(Tabela16[[#This Row],[DATA]])</f>
        <v>1</v>
      </c>
    </row>
    <row r="40" spans="1:3" x14ac:dyDescent="0.35">
      <c r="A40" s="2">
        <v>46048</v>
      </c>
      <c r="B40" s="1" t="s">
        <v>92</v>
      </c>
      <c r="C40" s="1">
        <f>MONTH(Tabela16[[#This Row],[DATA]])</f>
        <v>1</v>
      </c>
    </row>
    <row r="41" spans="1:3" x14ac:dyDescent="0.35">
      <c r="A41" s="2">
        <v>46048</v>
      </c>
      <c r="B41" s="1" t="s">
        <v>34</v>
      </c>
      <c r="C41" s="1">
        <f>MONTH(Tabela16[[#This Row],[DATA]])</f>
        <v>1</v>
      </c>
    </row>
    <row r="42" spans="1:3" x14ac:dyDescent="0.35">
      <c r="A42" s="2">
        <v>46048</v>
      </c>
      <c r="B42" s="1" t="s">
        <v>33</v>
      </c>
      <c r="C42" s="1">
        <f>MONTH(Tabela16[[#This Row],[DATA]])</f>
        <v>1</v>
      </c>
    </row>
    <row r="43" spans="1:3" x14ac:dyDescent="0.35">
      <c r="A43" s="2">
        <v>46048</v>
      </c>
      <c r="B43" s="1" t="s">
        <v>5</v>
      </c>
      <c r="C43" s="1">
        <f>MONTH(Tabela16[[#This Row],[DATA]])</f>
        <v>1</v>
      </c>
    </row>
    <row r="44" spans="1:3" x14ac:dyDescent="0.35">
      <c r="A44" s="2">
        <v>46048</v>
      </c>
      <c r="B44" s="1" t="s">
        <v>9</v>
      </c>
      <c r="C44" s="1">
        <f>MONTH(Tabela16[[#This Row],[DATA]])</f>
        <v>1</v>
      </c>
    </row>
    <row r="45" spans="1:3" x14ac:dyDescent="0.35">
      <c r="A45" s="2">
        <v>46048</v>
      </c>
      <c r="B45" s="1" t="s">
        <v>33</v>
      </c>
      <c r="C45" s="1">
        <f>MONTH(Tabela16[[#This Row],[DATA]])</f>
        <v>1</v>
      </c>
    </row>
    <row r="46" spans="1:3" x14ac:dyDescent="0.35">
      <c r="A46" s="2">
        <v>46048</v>
      </c>
      <c r="B46" s="1" t="s">
        <v>9</v>
      </c>
      <c r="C46" s="1">
        <f>MONTH(Tabela16[[#This Row],[DATA]])</f>
        <v>1</v>
      </c>
    </row>
    <row r="47" spans="1:3" x14ac:dyDescent="0.35">
      <c r="A47" s="2">
        <v>46049</v>
      </c>
      <c r="B47" s="1" t="s">
        <v>90</v>
      </c>
      <c r="C47" s="1">
        <f>MONTH(Tabela16[[#This Row],[DATA]])</f>
        <v>1</v>
      </c>
    </row>
    <row r="48" spans="1:3" x14ac:dyDescent="0.35">
      <c r="A48" s="2">
        <v>46049</v>
      </c>
      <c r="B48" s="1" t="s">
        <v>24</v>
      </c>
      <c r="C48" s="1">
        <f>MONTH(Tabela16[[#This Row],[DATA]])</f>
        <v>1</v>
      </c>
    </row>
    <row r="49" spans="1:3" x14ac:dyDescent="0.35">
      <c r="A49" s="2">
        <v>46049</v>
      </c>
      <c r="B49" s="1" t="s">
        <v>90</v>
      </c>
      <c r="C49" s="1">
        <f>MONTH(Tabela16[[#This Row],[DATA]])</f>
        <v>1</v>
      </c>
    </row>
    <row r="50" spans="1:3" x14ac:dyDescent="0.35">
      <c r="A50" s="2">
        <v>46049</v>
      </c>
      <c r="B50" s="1" t="s">
        <v>90</v>
      </c>
      <c r="C50" s="1">
        <f>MONTH(Tabela16[[#This Row],[DATA]])</f>
        <v>1</v>
      </c>
    </row>
    <row r="51" spans="1:3" x14ac:dyDescent="0.35">
      <c r="A51" s="2">
        <v>46049</v>
      </c>
      <c r="B51" s="1" t="s">
        <v>32</v>
      </c>
      <c r="C51" s="1">
        <f>MONTH(Tabela16[[#This Row],[DATA]])</f>
        <v>1</v>
      </c>
    </row>
    <row r="52" spans="1:3" x14ac:dyDescent="0.35">
      <c r="A52" s="2">
        <v>46050</v>
      </c>
      <c r="B52" s="1" t="s">
        <v>92</v>
      </c>
      <c r="C52" s="1">
        <f>MONTH(Tabela16[[#This Row],[DATA]])</f>
        <v>1</v>
      </c>
    </row>
    <row r="53" spans="1:3" x14ac:dyDescent="0.35">
      <c r="A53" s="2">
        <v>46050</v>
      </c>
      <c r="B53" s="1" t="s">
        <v>92</v>
      </c>
      <c r="C53" s="1">
        <f>MONTH(Tabela16[[#This Row],[DATA]])</f>
        <v>1</v>
      </c>
    </row>
    <row r="54" spans="1:3" x14ac:dyDescent="0.35">
      <c r="A54" s="2">
        <v>46051</v>
      </c>
      <c r="B54" s="1" t="s">
        <v>92</v>
      </c>
      <c r="C54" s="1">
        <f>MONTH(Tabela16[[#This Row],[DATA]])</f>
        <v>1</v>
      </c>
    </row>
    <row r="55" spans="1:3" x14ac:dyDescent="0.35">
      <c r="A55" s="2">
        <v>46051</v>
      </c>
      <c r="B55" s="1" t="s">
        <v>92</v>
      </c>
      <c r="C55" s="1">
        <f>MONTH(Tabela16[[#This Row],[DATA]])</f>
        <v>1</v>
      </c>
    </row>
    <row r="56" spans="1:3" x14ac:dyDescent="0.35">
      <c r="A56" s="2">
        <v>46052</v>
      </c>
      <c r="B56" s="1" t="s">
        <v>33</v>
      </c>
      <c r="C56" s="1">
        <f>MONTH(Tabela16[[#This Row],[DATA]])</f>
        <v>1</v>
      </c>
    </row>
    <row r="57" spans="1:3" x14ac:dyDescent="0.35">
      <c r="A57" s="2">
        <v>46052</v>
      </c>
      <c r="B57" s="1" t="s">
        <v>68</v>
      </c>
      <c r="C57" s="1">
        <f>MONTH(Tabela16[[#This Row],[DATA]])</f>
        <v>1</v>
      </c>
    </row>
    <row r="58" spans="1:3" x14ac:dyDescent="0.35">
      <c r="A58" s="2">
        <v>46052</v>
      </c>
      <c r="B58" s="1" t="s">
        <v>9</v>
      </c>
      <c r="C58" s="1">
        <f>MONTH(Tabela16[[#This Row],[DATA]])</f>
        <v>1</v>
      </c>
    </row>
    <row r="59" spans="1:3" x14ac:dyDescent="0.35">
      <c r="A59" s="2">
        <v>46052</v>
      </c>
      <c r="B59" s="1" t="s">
        <v>5</v>
      </c>
      <c r="C59" s="1">
        <f>MONTH(Tabela16[[#This Row],[DATA]])</f>
        <v>1</v>
      </c>
    </row>
    <row r="60" spans="1:3" x14ac:dyDescent="0.35">
      <c r="A60" s="2">
        <v>46052</v>
      </c>
      <c r="B60" s="1" t="s">
        <v>9</v>
      </c>
      <c r="C60" s="1">
        <f>MONTH(Tabela16[[#This Row],[DATA]])</f>
        <v>1</v>
      </c>
    </row>
    <row r="61" spans="1:3" x14ac:dyDescent="0.35">
      <c r="A61" s="2">
        <v>46052</v>
      </c>
      <c r="B61" s="1" t="s">
        <v>68</v>
      </c>
      <c r="C61" s="1">
        <f>MONTH(Tabela16[[#This Row],[DATA]])</f>
        <v>1</v>
      </c>
    </row>
    <row r="62" spans="1:3" x14ac:dyDescent="0.35">
      <c r="A62" s="2">
        <v>46052</v>
      </c>
      <c r="B62" s="1" t="s">
        <v>5</v>
      </c>
      <c r="C62" s="1">
        <f>MONTH(Tabela16[[#This Row],[DATA]])</f>
        <v>1</v>
      </c>
    </row>
    <row r="63" spans="1:3" x14ac:dyDescent="0.35">
      <c r="A63" s="2">
        <v>46052</v>
      </c>
      <c r="B63" s="1" t="s">
        <v>68</v>
      </c>
      <c r="C63" s="1">
        <f>MONTH(Tabela16[[#This Row],[DATA]])</f>
        <v>1</v>
      </c>
    </row>
    <row r="64" spans="1:3" x14ac:dyDescent="0.35">
      <c r="A64" s="2">
        <v>46052</v>
      </c>
      <c r="B64" s="1" t="s">
        <v>24</v>
      </c>
      <c r="C64" s="1">
        <f>MONTH(Tabela16[[#This Row],[DATA]])</f>
        <v>1</v>
      </c>
    </row>
    <row r="65" spans="1:3" x14ac:dyDescent="0.35">
      <c r="A65" s="2">
        <v>46052</v>
      </c>
      <c r="B65" s="1" t="s">
        <v>90</v>
      </c>
      <c r="C65" s="1">
        <f>MONTH(Tabela16[[#This Row],[DATA]])</f>
        <v>1</v>
      </c>
    </row>
    <row r="66" spans="1:3" x14ac:dyDescent="0.35">
      <c r="A66" s="2">
        <v>46052</v>
      </c>
      <c r="B66" s="1" t="s">
        <v>9</v>
      </c>
      <c r="C66" s="1">
        <f>MONTH(Tabela16[[#This Row],[DATA]])</f>
        <v>1</v>
      </c>
    </row>
    <row r="67" spans="1:3" x14ac:dyDescent="0.35">
      <c r="A67" s="2">
        <v>46052</v>
      </c>
      <c r="B67" s="1" t="s">
        <v>9</v>
      </c>
      <c r="C67" s="1">
        <f>MONTH(Tabela16[[#This Row],[DATA]])</f>
        <v>1</v>
      </c>
    </row>
    <row r="68" spans="1:3" x14ac:dyDescent="0.35">
      <c r="A68" s="2">
        <v>46055</v>
      </c>
      <c r="B68" s="1" t="s">
        <v>24</v>
      </c>
      <c r="C68" s="1">
        <f>MONTH(Tabela16[[#This Row],[DATA]])</f>
        <v>2</v>
      </c>
    </row>
    <row r="69" spans="1:3" x14ac:dyDescent="0.35">
      <c r="A69" s="2">
        <v>46055</v>
      </c>
      <c r="B69" s="1" t="s">
        <v>28</v>
      </c>
      <c r="C69" s="1">
        <f>MONTH(Tabela16[[#This Row],[DATA]])</f>
        <v>2</v>
      </c>
    </row>
    <row r="70" spans="1:3" x14ac:dyDescent="0.35">
      <c r="A70" s="2">
        <v>46055</v>
      </c>
      <c r="B70" s="1" t="s">
        <v>92</v>
      </c>
      <c r="C70" s="1">
        <f>MONTH(Tabela16[[#This Row],[DATA]])</f>
        <v>2</v>
      </c>
    </row>
    <row r="71" spans="1:3" x14ac:dyDescent="0.35">
      <c r="A71" s="2">
        <v>46056</v>
      </c>
      <c r="B71" s="1" t="s">
        <v>68</v>
      </c>
      <c r="C71" s="1">
        <f>MONTH(Tabela16[[#This Row],[DATA]])</f>
        <v>2</v>
      </c>
    </row>
    <row r="72" spans="1:3" x14ac:dyDescent="0.35">
      <c r="A72" s="2">
        <v>46056</v>
      </c>
      <c r="B72" s="1" t="s">
        <v>92</v>
      </c>
      <c r="C72" s="1">
        <f>MONTH(Tabela16[[#This Row],[DATA]])</f>
        <v>2</v>
      </c>
    </row>
    <row r="73" spans="1:3" x14ac:dyDescent="0.35">
      <c r="A73" s="2">
        <v>46056</v>
      </c>
      <c r="B73" s="1" t="s">
        <v>9</v>
      </c>
      <c r="C73" s="1">
        <f>MONTH(Tabela16[[#This Row],[DATA]])</f>
        <v>2</v>
      </c>
    </row>
    <row r="74" spans="1:3" x14ac:dyDescent="0.35">
      <c r="A74" s="2">
        <v>46056</v>
      </c>
      <c r="B74" s="1" t="s">
        <v>90</v>
      </c>
      <c r="C74" s="1">
        <f>MONTH(Tabela16[[#This Row],[DATA]])</f>
        <v>2</v>
      </c>
    </row>
    <row r="75" spans="1:3" x14ac:dyDescent="0.35">
      <c r="A75" s="2">
        <v>46056</v>
      </c>
      <c r="B75" s="1" t="s">
        <v>34</v>
      </c>
      <c r="C75" s="1">
        <f>MONTH(Tabela16[[#This Row],[DATA]])</f>
        <v>2</v>
      </c>
    </row>
    <row r="76" spans="1:3" x14ac:dyDescent="0.35">
      <c r="A76" s="2">
        <v>46056</v>
      </c>
      <c r="B76" s="1" t="s">
        <v>90</v>
      </c>
      <c r="C76" s="1">
        <f>MONTH(Tabela16[[#This Row],[DATA]])</f>
        <v>2</v>
      </c>
    </row>
    <row r="77" spans="1:3" x14ac:dyDescent="0.35">
      <c r="A77" s="2">
        <v>46057</v>
      </c>
      <c r="B77" s="1" t="s">
        <v>9</v>
      </c>
      <c r="C77" s="1">
        <f>MONTH(Tabela16[[#This Row],[DATA]])</f>
        <v>2</v>
      </c>
    </row>
    <row r="78" spans="1:3" x14ac:dyDescent="0.35">
      <c r="A78" s="2">
        <v>46057</v>
      </c>
      <c r="B78" s="1" t="s">
        <v>9</v>
      </c>
      <c r="C78" s="1">
        <f>MONTH(Tabela16[[#This Row],[DATA]])</f>
        <v>2</v>
      </c>
    </row>
    <row r="79" spans="1:3" x14ac:dyDescent="0.35">
      <c r="A79" s="2">
        <v>46057</v>
      </c>
      <c r="B79" s="1" t="s">
        <v>9</v>
      </c>
      <c r="C79" s="1">
        <f>MONTH(Tabela16[[#This Row],[DATA]])</f>
        <v>2</v>
      </c>
    </row>
    <row r="80" spans="1:3" x14ac:dyDescent="0.35">
      <c r="A80" s="2">
        <v>46058</v>
      </c>
      <c r="B80" s="1" t="s">
        <v>92</v>
      </c>
      <c r="C80" s="1">
        <f>MONTH(Tabela16[[#This Row],[DATA]])</f>
        <v>2</v>
      </c>
    </row>
    <row r="81" spans="1:3" x14ac:dyDescent="0.35">
      <c r="A81" s="2">
        <v>46059</v>
      </c>
      <c r="B81" s="1" t="s">
        <v>9</v>
      </c>
      <c r="C81" s="1">
        <f>MONTH(Tabela16[[#This Row],[DATA]])</f>
        <v>2</v>
      </c>
    </row>
    <row r="82" spans="1:3" x14ac:dyDescent="0.35">
      <c r="A82" s="2">
        <v>46062</v>
      </c>
      <c r="B82" s="1" t="s">
        <v>24</v>
      </c>
      <c r="C82" s="1">
        <f>MONTH(Tabela16[[#This Row],[DATA]])</f>
        <v>2</v>
      </c>
    </row>
    <row r="83" spans="1:3" x14ac:dyDescent="0.35">
      <c r="A83" s="2">
        <v>46062</v>
      </c>
      <c r="B83" s="1" t="s">
        <v>24</v>
      </c>
      <c r="C83" s="1">
        <f>MONTH(Tabela16[[#This Row],[DATA]])</f>
        <v>2</v>
      </c>
    </row>
    <row r="84" spans="1:3" x14ac:dyDescent="0.35">
      <c r="A84" s="2">
        <v>46062</v>
      </c>
      <c r="B84" s="1" t="s">
        <v>9</v>
      </c>
      <c r="C84" s="1">
        <f>MONTH(Tabela16[[#This Row],[DATA]])</f>
        <v>2</v>
      </c>
    </row>
    <row r="85" spans="1:3" x14ac:dyDescent="0.35">
      <c r="A85" s="2">
        <v>46062</v>
      </c>
      <c r="B85" s="1" t="s">
        <v>32</v>
      </c>
      <c r="C85" s="1">
        <f>MONTH(Tabela16[[#This Row],[DATA]])</f>
        <v>2</v>
      </c>
    </row>
    <row r="86" spans="1:3" x14ac:dyDescent="0.35">
      <c r="A86" s="2">
        <v>46062</v>
      </c>
      <c r="B86" s="1" t="s">
        <v>92</v>
      </c>
      <c r="C86" s="1">
        <f>MONTH(Tabela16[[#This Row],[DATA]])</f>
        <v>2</v>
      </c>
    </row>
    <row r="87" spans="1:3" x14ac:dyDescent="0.35">
      <c r="A87" s="2">
        <v>46062</v>
      </c>
      <c r="B87" s="1" t="s">
        <v>24</v>
      </c>
      <c r="C87" s="1">
        <f>MONTH(Tabela16[[#This Row],[DATA]])</f>
        <v>2</v>
      </c>
    </row>
    <row r="88" spans="1:3" x14ac:dyDescent="0.35">
      <c r="A88" s="2">
        <v>46063</v>
      </c>
      <c r="B88" s="1" t="s">
        <v>92</v>
      </c>
      <c r="C88" s="1">
        <f>MONTH(Tabela16[[#This Row],[DATA]])</f>
        <v>2</v>
      </c>
    </row>
    <row r="89" spans="1:3" x14ac:dyDescent="0.35">
      <c r="A89" s="2">
        <v>46063</v>
      </c>
      <c r="B89" s="1" t="s">
        <v>92</v>
      </c>
      <c r="C89" s="1">
        <f>MONTH(Tabela16[[#This Row],[DATA]])</f>
        <v>2</v>
      </c>
    </row>
    <row r="90" spans="1:3" x14ac:dyDescent="0.35">
      <c r="A90" s="2">
        <v>46063</v>
      </c>
      <c r="B90" s="1" t="s">
        <v>22</v>
      </c>
      <c r="C90" s="1">
        <f>MONTH(Tabela16[[#This Row],[DATA]])</f>
        <v>2</v>
      </c>
    </row>
    <row r="91" spans="1:3" x14ac:dyDescent="0.35">
      <c r="A91" s="2">
        <v>46063</v>
      </c>
      <c r="B91" s="1" t="s">
        <v>24</v>
      </c>
      <c r="C91" s="1">
        <f>MONTH(Tabela16[[#This Row],[DATA]])</f>
        <v>2</v>
      </c>
    </row>
    <row r="92" spans="1:3" x14ac:dyDescent="0.35">
      <c r="A92" s="2">
        <v>46064</v>
      </c>
      <c r="B92" s="1" t="s">
        <v>9</v>
      </c>
      <c r="C92" s="1">
        <f>MONTH(Tabela16[[#This Row],[DATA]])</f>
        <v>2</v>
      </c>
    </row>
    <row r="93" spans="1:3" x14ac:dyDescent="0.35">
      <c r="A93" s="2">
        <v>46069</v>
      </c>
      <c r="B93" s="1" t="s">
        <v>34</v>
      </c>
      <c r="C93" s="1">
        <f>MONTH(Tabela16[[#This Row],[DATA]])</f>
        <v>2</v>
      </c>
    </row>
    <row r="94" spans="1:3" x14ac:dyDescent="0.35">
      <c r="A94" s="2">
        <v>46071</v>
      </c>
      <c r="B94" s="1" t="s">
        <v>92</v>
      </c>
      <c r="C94" s="1">
        <f>MONTH(Tabela16[[#This Row],[DATA]])</f>
        <v>2</v>
      </c>
    </row>
    <row r="95" spans="1:3" x14ac:dyDescent="0.35">
      <c r="A95" s="2">
        <v>46071</v>
      </c>
      <c r="B95" s="1" t="s">
        <v>92</v>
      </c>
      <c r="C95" s="1">
        <f>MONTH(Tabela16[[#This Row],[DATA]])</f>
        <v>2</v>
      </c>
    </row>
    <row r="96" spans="1:3" x14ac:dyDescent="0.35">
      <c r="A96" s="2">
        <v>46071</v>
      </c>
      <c r="B96" s="1" t="s">
        <v>92</v>
      </c>
      <c r="C96" s="1">
        <f>MONTH(Tabela16[[#This Row],[DATA]])</f>
        <v>2</v>
      </c>
    </row>
    <row r="97" spans="1:3" x14ac:dyDescent="0.35">
      <c r="A97" s="2">
        <v>46071</v>
      </c>
      <c r="B97" s="1" t="s">
        <v>92</v>
      </c>
      <c r="C97" s="1">
        <f>MONTH(Tabela16[[#This Row],[DATA]])</f>
        <v>2</v>
      </c>
    </row>
    <row r="98" spans="1:3" x14ac:dyDescent="0.35">
      <c r="A98" s="2">
        <v>46071</v>
      </c>
      <c r="B98" s="1" t="s">
        <v>92</v>
      </c>
      <c r="C98" s="1">
        <f>MONTH(Tabela16[[#This Row],[DATA]])</f>
        <v>2</v>
      </c>
    </row>
    <row r="99" spans="1:3" x14ac:dyDescent="0.35">
      <c r="A99" s="2">
        <v>46071</v>
      </c>
      <c r="B99" s="1" t="s">
        <v>92</v>
      </c>
      <c r="C99" s="1">
        <f>MONTH(Tabela16[[#This Row],[DATA]])</f>
        <v>2</v>
      </c>
    </row>
    <row r="100" spans="1:3" x14ac:dyDescent="0.35">
      <c r="A100" s="2">
        <v>46071</v>
      </c>
      <c r="B100" s="1" t="s">
        <v>92</v>
      </c>
      <c r="C100" s="1">
        <f>MONTH(Tabela16[[#This Row],[DATA]])</f>
        <v>2</v>
      </c>
    </row>
    <row r="101" spans="1:3" x14ac:dyDescent="0.35">
      <c r="A101" s="2">
        <v>46071</v>
      </c>
      <c r="B101" s="1" t="s">
        <v>92</v>
      </c>
      <c r="C101" s="1">
        <f>MONTH(Tabela16[[#This Row],[DATA]])</f>
        <v>2</v>
      </c>
    </row>
    <row r="102" spans="1:3" x14ac:dyDescent="0.35">
      <c r="A102" s="2">
        <v>46076</v>
      </c>
      <c r="B102" s="1" t="s">
        <v>90</v>
      </c>
      <c r="C102" s="1">
        <f>MONTH(Tabela16[[#This Row],[DATA]])</f>
        <v>2</v>
      </c>
    </row>
    <row r="103" spans="1:3" x14ac:dyDescent="0.35">
      <c r="A103" s="2">
        <v>46076</v>
      </c>
      <c r="B103" s="1" t="s">
        <v>90</v>
      </c>
      <c r="C103" s="1">
        <f>MONTH(Tabela16[[#This Row],[DATA]])</f>
        <v>2</v>
      </c>
    </row>
    <row r="104" spans="1:3" x14ac:dyDescent="0.35">
      <c r="A104" s="2">
        <v>46076</v>
      </c>
      <c r="B104" s="1" t="s">
        <v>90</v>
      </c>
      <c r="C104" s="1">
        <f>MONTH(Tabela16[[#This Row],[DATA]])</f>
        <v>2</v>
      </c>
    </row>
    <row r="105" spans="1:3" x14ac:dyDescent="0.35">
      <c r="A105" s="2">
        <v>46076</v>
      </c>
      <c r="B105" s="1" t="s">
        <v>22</v>
      </c>
      <c r="C105" s="1">
        <f>MONTH(Tabela16[[#This Row],[DATA]])</f>
        <v>2</v>
      </c>
    </row>
    <row r="106" spans="1:3" x14ac:dyDescent="0.35">
      <c r="A106" s="2">
        <v>46076</v>
      </c>
      <c r="B106" s="1" t="s">
        <v>22</v>
      </c>
      <c r="C106" s="1">
        <f>MONTH(Tabela16[[#This Row],[DATA]])</f>
        <v>2</v>
      </c>
    </row>
    <row r="107" spans="1:3" x14ac:dyDescent="0.35">
      <c r="A107" s="2">
        <v>46076</v>
      </c>
      <c r="B107" s="1" t="s">
        <v>9</v>
      </c>
      <c r="C107" s="1">
        <f>MONTH(Tabela16[[#This Row],[DATA]])</f>
        <v>2</v>
      </c>
    </row>
    <row r="108" spans="1:3" x14ac:dyDescent="0.35">
      <c r="A108" s="2">
        <v>46076</v>
      </c>
      <c r="B108" s="1" t="s">
        <v>90</v>
      </c>
      <c r="C108" s="1">
        <f>MONTH(Tabela16[[#This Row],[DATA]])</f>
        <v>2</v>
      </c>
    </row>
    <row r="109" spans="1:3" x14ac:dyDescent="0.35">
      <c r="A109" s="2">
        <v>46077</v>
      </c>
      <c r="B109" s="1" t="s">
        <v>9</v>
      </c>
      <c r="C109" s="1">
        <f>MONTH(Tabela16[[#This Row],[DATA]])</f>
        <v>2</v>
      </c>
    </row>
    <row r="110" spans="1:3" x14ac:dyDescent="0.35">
      <c r="A110" s="2">
        <v>46077</v>
      </c>
      <c r="B110" s="1" t="s">
        <v>34</v>
      </c>
      <c r="C110" s="1">
        <f>MONTH(Tabela16[[#This Row],[DATA]])</f>
        <v>2</v>
      </c>
    </row>
    <row r="111" spans="1:3" x14ac:dyDescent="0.35">
      <c r="A111" s="2">
        <v>46077</v>
      </c>
      <c r="B111" s="1" t="s">
        <v>34</v>
      </c>
      <c r="C111" s="1">
        <f>MONTH(Tabela16[[#This Row],[DATA]])</f>
        <v>2</v>
      </c>
    </row>
    <row r="112" spans="1:3" x14ac:dyDescent="0.35">
      <c r="A112" s="2">
        <v>46077</v>
      </c>
      <c r="B112" s="1" t="s">
        <v>9</v>
      </c>
      <c r="C112" s="1">
        <f>MONTH(Tabela16[[#This Row],[DATA]])</f>
        <v>2</v>
      </c>
    </row>
    <row r="113" spans="1:3" x14ac:dyDescent="0.35">
      <c r="A113" s="2">
        <v>46078</v>
      </c>
      <c r="B113" s="1" t="s">
        <v>22</v>
      </c>
      <c r="C113" s="1">
        <f>MONTH(Tabela16[[#This Row],[DATA]])</f>
        <v>2</v>
      </c>
    </row>
    <row r="114" spans="1:3" x14ac:dyDescent="0.35">
      <c r="A114" s="2">
        <v>46079</v>
      </c>
      <c r="B114" s="1" t="s">
        <v>90</v>
      </c>
      <c r="C114" s="1">
        <f>MONTH(Tabela16[[#This Row],[DATA]])</f>
        <v>2</v>
      </c>
    </row>
    <row r="115" spans="1:3" x14ac:dyDescent="0.35">
      <c r="A115" s="2">
        <v>46079</v>
      </c>
      <c r="B115" s="1" t="s">
        <v>93</v>
      </c>
      <c r="C115" s="1">
        <f>MONTH(Tabela16[[#This Row],[DATA]])</f>
        <v>2</v>
      </c>
    </row>
    <row r="116" spans="1:3" x14ac:dyDescent="0.35">
      <c r="A116" s="2">
        <v>46079</v>
      </c>
      <c r="B116" s="1" t="s">
        <v>22</v>
      </c>
      <c r="C116" s="1">
        <f>MONTH(Tabela16[[#This Row],[DATA]])</f>
        <v>2</v>
      </c>
    </row>
    <row r="117" spans="1:3" x14ac:dyDescent="0.35">
      <c r="A117" s="2">
        <v>46083</v>
      </c>
      <c r="B117" s="1" t="s">
        <v>5</v>
      </c>
      <c r="C117" s="1">
        <f>MONTH(Tabela16[[#This Row],[DATA]])</f>
        <v>3</v>
      </c>
    </row>
    <row r="118" spans="1:3" x14ac:dyDescent="0.35">
      <c r="A118" s="2">
        <v>46083</v>
      </c>
      <c r="B118" s="1" t="s">
        <v>5</v>
      </c>
      <c r="C118" s="1">
        <f>MONTH(Tabela16[[#This Row],[DATA]])</f>
        <v>3</v>
      </c>
    </row>
    <row r="119" spans="1:3" x14ac:dyDescent="0.35">
      <c r="A119" s="2">
        <v>46083</v>
      </c>
      <c r="B119" s="1" t="s">
        <v>9</v>
      </c>
      <c r="C119" s="1">
        <f>MONTH(Tabela16[[#This Row],[DATA]])</f>
        <v>3</v>
      </c>
    </row>
    <row r="120" spans="1:3" x14ac:dyDescent="0.35">
      <c r="A120" s="2">
        <v>46083</v>
      </c>
      <c r="B120" s="1" t="s">
        <v>22</v>
      </c>
      <c r="C120" s="1">
        <f>MONTH(Tabela16[[#This Row],[DATA]])</f>
        <v>3</v>
      </c>
    </row>
    <row r="121" spans="1:3" x14ac:dyDescent="0.35">
      <c r="A121" s="2">
        <v>46084</v>
      </c>
      <c r="B121" s="1" t="s">
        <v>28</v>
      </c>
      <c r="C121" s="1">
        <f>MONTH(Tabela16[[#This Row],[DATA]])</f>
        <v>3</v>
      </c>
    </row>
    <row r="122" spans="1:3" x14ac:dyDescent="0.35">
      <c r="A122" s="2">
        <v>46084</v>
      </c>
      <c r="B122" s="1" t="s">
        <v>9</v>
      </c>
      <c r="C122" s="1">
        <f>MONTH(Tabela16[[#This Row],[DATA]])</f>
        <v>3</v>
      </c>
    </row>
    <row r="123" spans="1:3" x14ac:dyDescent="0.35">
      <c r="A123" s="2">
        <v>46084</v>
      </c>
      <c r="B123" s="1" t="s">
        <v>22</v>
      </c>
      <c r="C123" s="1">
        <f>MONTH(Tabela16[[#This Row],[DATA]])</f>
        <v>3</v>
      </c>
    </row>
    <row r="124" spans="1:3" x14ac:dyDescent="0.35">
      <c r="A124" s="2">
        <v>46084</v>
      </c>
      <c r="B124" s="1" t="s">
        <v>28</v>
      </c>
      <c r="C124" s="1">
        <f>MONTH(Tabela16[[#This Row],[DATA]])</f>
        <v>3</v>
      </c>
    </row>
    <row r="125" spans="1:3" x14ac:dyDescent="0.35">
      <c r="A125" s="2">
        <v>46086</v>
      </c>
      <c r="B125" s="1" t="s">
        <v>90</v>
      </c>
      <c r="C125" s="1">
        <f>MONTH(Tabela16[[#This Row],[DATA]])</f>
        <v>3</v>
      </c>
    </row>
    <row r="126" spans="1:3" x14ac:dyDescent="0.35">
      <c r="A126" s="2">
        <v>46086</v>
      </c>
      <c r="B126" s="1" t="s">
        <v>21</v>
      </c>
      <c r="C126" s="1">
        <f>MONTH(Tabela16[[#This Row],[DATA]])</f>
        <v>3</v>
      </c>
    </row>
    <row r="127" spans="1:3" x14ac:dyDescent="0.35">
      <c r="A127" s="2">
        <v>46086</v>
      </c>
      <c r="B127" s="1" t="s">
        <v>28</v>
      </c>
      <c r="C127" s="1">
        <f>MONTH(Tabela16[[#This Row],[DATA]])</f>
        <v>3</v>
      </c>
    </row>
    <row r="128" spans="1:3" x14ac:dyDescent="0.35">
      <c r="A128" s="2">
        <v>46086</v>
      </c>
      <c r="B128" s="1" t="s">
        <v>22</v>
      </c>
      <c r="C128" s="1">
        <f>MONTH(Tabela16[[#This Row],[DATA]])</f>
        <v>3</v>
      </c>
    </row>
    <row r="129" spans="1:3" x14ac:dyDescent="0.35">
      <c r="A129" s="2">
        <v>46086</v>
      </c>
      <c r="B129" s="1" t="s">
        <v>32</v>
      </c>
      <c r="C129" s="1">
        <f>MONTH(Tabela16[[#This Row],[DATA]])</f>
        <v>3</v>
      </c>
    </row>
    <row r="130" spans="1:3" x14ac:dyDescent="0.35">
      <c r="A130" s="2">
        <v>46086</v>
      </c>
      <c r="B130" s="1" t="s">
        <v>9</v>
      </c>
      <c r="C130" s="1">
        <f>MONTH(Tabela16[[#This Row],[DATA]])</f>
        <v>3</v>
      </c>
    </row>
    <row r="131" spans="1:3" x14ac:dyDescent="0.35">
      <c r="A131" s="2">
        <v>46086</v>
      </c>
      <c r="B131" s="1" t="s">
        <v>90</v>
      </c>
      <c r="C131" s="1">
        <f>MONTH(Tabela16[[#This Row],[DATA]])</f>
        <v>3</v>
      </c>
    </row>
    <row r="132" spans="1:3" x14ac:dyDescent="0.35">
      <c r="A132" s="2">
        <v>46086</v>
      </c>
      <c r="B132" s="1" t="s">
        <v>90</v>
      </c>
      <c r="C132" s="1">
        <f>MONTH(Tabela16[[#This Row],[DATA]])</f>
        <v>3</v>
      </c>
    </row>
    <row r="133" spans="1:3" x14ac:dyDescent="0.35">
      <c r="A133" s="2">
        <v>46086</v>
      </c>
      <c r="B133" s="1" t="s">
        <v>9</v>
      </c>
      <c r="C133" s="1">
        <f>MONTH(Tabela16[[#This Row],[DATA]])</f>
        <v>3</v>
      </c>
    </row>
    <row r="134" spans="1:3" x14ac:dyDescent="0.35">
      <c r="A134" s="2">
        <v>46086</v>
      </c>
      <c r="B134" s="1" t="s">
        <v>21</v>
      </c>
      <c r="C134" s="1">
        <f>MONTH(Tabela16[[#This Row],[DATA]])</f>
        <v>3</v>
      </c>
    </row>
    <row r="135" spans="1:3" x14ac:dyDescent="0.35">
      <c r="A135" s="2">
        <v>46087</v>
      </c>
      <c r="B135" s="1" t="s">
        <v>28</v>
      </c>
      <c r="C135" s="1">
        <f>MONTH(Tabela16[[#This Row],[DATA]])</f>
        <v>3</v>
      </c>
    </row>
    <row r="136" spans="1:3" x14ac:dyDescent="0.35">
      <c r="A136" s="2">
        <v>46087</v>
      </c>
      <c r="B136" s="1" t="s">
        <v>21</v>
      </c>
      <c r="C136" s="1">
        <f>MONTH(Tabela16[[#This Row],[DATA]])</f>
        <v>3</v>
      </c>
    </row>
    <row r="137" spans="1:3" x14ac:dyDescent="0.35">
      <c r="A137" s="2">
        <v>46087</v>
      </c>
      <c r="B137" s="1" t="s">
        <v>32</v>
      </c>
      <c r="C137" s="1">
        <f>MONTH(Tabela16[[#This Row],[DATA]])</f>
        <v>3</v>
      </c>
    </row>
    <row r="138" spans="1:3" x14ac:dyDescent="0.35">
      <c r="A138" s="2">
        <v>46087</v>
      </c>
      <c r="B138" s="1" t="s">
        <v>24</v>
      </c>
      <c r="C138" s="1">
        <f>MONTH(Tabela16[[#This Row],[DATA]])</f>
        <v>3</v>
      </c>
    </row>
    <row r="139" spans="1:3" x14ac:dyDescent="0.35">
      <c r="A139" s="2">
        <v>46090</v>
      </c>
      <c r="B139" s="1" t="s">
        <v>24</v>
      </c>
      <c r="C139" s="1">
        <f>MONTH(Tabela16[[#This Row],[DATA]])</f>
        <v>3</v>
      </c>
    </row>
    <row r="140" spans="1:3" x14ac:dyDescent="0.35">
      <c r="A140" s="2">
        <v>46091</v>
      </c>
      <c r="B140" s="1" t="s">
        <v>28</v>
      </c>
      <c r="C140" s="1">
        <f>MONTH(Tabela16[[#This Row],[DATA]])</f>
        <v>3</v>
      </c>
    </row>
    <row r="141" spans="1:3" x14ac:dyDescent="0.35">
      <c r="A141" s="2">
        <v>46091</v>
      </c>
      <c r="B141" s="1" t="s">
        <v>32</v>
      </c>
      <c r="C141" s="1">
        <f>MONTH(Tabela16[[#This Row],[DATA]])</f>
        <v>3</v>
      </c>
    </row>
    <row r="142" spans="1:3" x14ac:dyDescent="0.35">
      <c r="A142" s="2">
        <v>46091</v>
      </c>
      <c r="B142" s="1" t="s">
        <v>94</v>
      </c>
      <c r="C142" s="1">
        <f>MONTH(Tabela16[[#This Row],[DATA]])</f>
        <v>3</v>
      </c>
    </row>
    <row r="143" spans="1:3" x14ac:dyDescent="0.35">
      <c r="A143" s="2">
        <v>46091</v>
      </c>
      <c r="B143" s="1" t="s">
        <v>94</v>
      </c>
      <c r="C143" s="1">
        <f>MONTH(Tabela16[[#This Row],[DATA]])</f>
        <v>3</v>
      </c>
    </row>
    <row r="144" spans="1:3" x14ac:dyDescent="0.35">
      <c r="A144" s="2">
        <v>46091</v>
      </c>
      <c r="B144" s="1" t="s">
        <v>21</v>
      </c>
      <c r="C144" s="1">
        <f>MONTH(Tabela16[[#This Row],[DATA]])</f>
        <v>3</v>
      </c>
    </row>
    <row r="145" spans="1:3" x14ac:dyDescent="0.35">
      <c r="A145" s="2">
        <v>46092</v>
      </c>
      <c r="B145" s="1" t="s">
        <v>94</v>
      </c>
      <c r="C145" s="1">
        <f>MONTH(Tabela16[[#This Row],[DATA]])</f>
        <v>3</v>
      </c>
    </row>
    <row r="146" spans="1:3" x14ac:dyDescent="0.35">
      <c r="A146" s="2">
        <v>46092</v>
      </c>
      <c r="B146" s="1" t="s">
        <v>94</v>
      </c>
      <c r="C146" s="1">
        <f>MONTH(Tabela16[[#This Row],[DATA]])</f>
        <v>3</v>
      </c>
    </row>
    <row r="147" spans="1:3" x14ac:dyDescent="0.35">
      <c r="A147" s="2">
        <v>46092</v>
      </c>
      <c r="B147" s="1" t="s">
        <v>94</v>
      </c>
      <c r="C147" s="1">
        <f>MONTH(Tabela16[[#This Row],[DATA]])</f>
        <v>3</v>
      </c>
    </row>
    <row r="148" spans="1:3" x14ac:dyDescent="0.35">
      <c r="A148" s="2">
        <v>46093</v>
      </c>
      <c r="B148" s="1" t="s">
        <v>32</v>
      </c>
      <c r="C148" s="1">
        <f>MONTH(Tabela16[[#This Row],[DATA]])</f>
        <v>3</v>
      </c>
    </row>
    <row r="149" spans="1:3" x14ac:dyDescent="0.35">
      <c r="A149" s="2">
        <v>46093</v>
      </c>
      <c r="B149" s="1" t="s">
        <v>32</v>
      </c>
      <c r="C149" s="1">
        <f>MONTH(Tabela16[[#This Row],[DATA]])</f>
        <v>3</v>
      </c>
    </row>
    <row r="150" spans="1:3" x14ac:dyDescent="0.35">
      <c r="A150" s="2">
        <v>46093</v>
      </c>
      <c r="B150" s="1" t="s">
        <v>21</v>
      </c>
      <c r="C150" s="1">
        <f>MONTH(Tabela16[[#This Row],[DATA]])</f>
        <v>3</v>
      </c>
    </row>
    <row r="151" spans="1:3" x14ac:dyDescent="0.35">
      <c r="A151" s="2">
        <v>46093</v>
      </c>
      <c r="B151" s="1" t="s">
        <v>24</v>
      </c>
      <c r="C151" s="1">
        <f>MONTH(Tabela16[[#This Row],[DATA]])</f>
        <v>3</v>
      </c>
    </row>
    <row r="152" spans="1:3" x14ac:dyDescent="0.35">
      <c r="A152" s="2">
        <v>46093</v>
      </c>
      <c r="B152" s="1" t="s">
        <v>32</v>
      </c>
      <c r="C152" s="1">
        <f>MONTH(Tabela16[[#This Row],[DATA]])</f>
        <v>3</v>
      </c>
    </row>
    <row r="153" spans="1:3" x14ac:dyDescent="0.35">
      <c r="A153" s="2">
        <v>46093</v>
      </c>
      <c r="B153" s="1" t="s">
        <v>5</v>
      </c>
      <c r="C153" s="1">
        <f>MONTH(Tabela16[[#This Row],[DATA]])</f>
        <v>3</v>
      </c>
    </row>
    <row r="154" spans="1:3" x14ac:dyDescent="0.35">
      <c r="A154" s="2">
        <v>46093</v>
      </c>
      <c r="B154" s="1" t="s">
        <v>21</v>
      </c>
      <c r="C154" s="1">
        <f>MONTH(Tabela16[[#This Row],[DATA]])</f>
        <v>3</v>
      </c>
    </row>
    <row r="155" spans="1:3" x14ac:dyDescent="0.35">
      <c r="A155" s="2">
        <v>46093</v>
      </c>
      <c r="B155" s="1" t="s">
        <v>32</v>
      </c>
      <c r="C155" s="1">
        <f>MONTH(Tabela16[[#This Row],[DATA]])</f>
        <v>3</v>
      </c>
    </row>
    <row r="156" spans="1:3" x14ac:dyDescent="0.35">
      <c r="A156" s="2">
        <v>46093</v>
      </c>
      <c r="B156" s="1" t="s">
        <v>94</v>
      </c>
      <c r="C156" s="1">
        <f>MONTH(Tabela16[[#This Row],[DATA]])</f>
        <v>3</v>
      </c>
    </row>
    <row r="157" spans="1:3" x14ac:dyDescent="0.35">
      <c r="A157" s="2">
        <v>46093</v>
      </c>
      <c r="B157" s="1" t="s">
        <v>5</v>
      </c>
      <c r="C157" s="1">
        <f>MONTH(Tabela16[[#This Row],[DATA]])</f>
        <v>3</v>
      </c>
    </row>
    <row r="158" spans="1:3" x14ac:dyDescent="0.35">
      <c r="A158" s="2">
        <v>46094</v>
      </c>
      <c r="B158" s="1" t="s">
        <v>94</v>
      </c>
      <c r="C158" s="1">
        <f>MONTH(Tabela16[[#This Row],[DATA]])</f>
        <v>3</v>
      </c>
    </row>
    <row r="159" spans="1:3" x14ac:dyDescent="0.35">
      <c r="A159" s="2">
        <v>46097</v>
      </c>
      <c r="B159" s="1" t="s">
        <v>32</v>
      </c>
      <c r="C159" s="1">
        <f>MONTH(Tabela16[[#This Row],[DATA]])</f>
        <v>3</v>
      </c>
    </row>
    <row r="160" spans="1:3" x14ac:dyDescent="0.35">
      <c r="A160" s="2">
        <v>46097</v>
      </c>
      <c r="B160" s="1" t="s">
        <v>5</v>
      </c>
      <c r="C160" s="1">
        <f>MONTH(Tabela16[[#This Row],[DATA]])</f>
        <v>3</v>
      </c>
    </row>
    <row r="161" spans="1:3" x14ac:dyDescent="0.35">
      <c r="A161" s="2">
        <v>46097</v>
      </c>
      <c r="B161" s="1" t="s">
        <v>32</v>
      </c>
      <c r="C161" s="1">
        <f>MONTH(Tabela16[[#This Row],[DATA]])</f>
        <v>3</v>
      </c>
    </row>
    <row r="162" spans="1:3" x14ac:dyDescent="0.35">
      <c r="A162" s="2">
        <v>46097</v>
      </c>
      <c r="B162" s="1" t="s">
        <v>94</v>
      </c>
      <c r="C162" s="1">
        <f>MONTH(Tabela16[[#This Row],[DATA]])</f>
        <v>3</v>
      </c>
    </row>
    <row r="163" spans="1:3" x14ac:dyDescent="0.35">
      <c r="A163" s="2">
        <v>46097</v>
      </c>
      <c r="B163" s="1" t="s">
        <v>94</v>
      </c>
      <c r="C163" s="1">
        <f>MONTH(Tabela16[[#This Row],[DATA]])</f>
        <v>3</v>
      </c>
    </row>
    <row r="164" spans="1:3" x14ac:dyDescent="0.35">
      <c r="A164" s="2">
        <v>46097</v>
      </c>
      <c r="B164" s="1" t="s">
        <v>22</v>
      </c>
      <c r="C164" s="1">
        <f>MONTH(Tabela16[[#This Row],[DATA]])</f>
        <v>3</v>
      </c>
    </row>
    <row r="165" spans="1:3" x14ac:dyDescent="0.35">
      <c r="A165" s="2">
        <v>46097</v>
      </c>
      <c r="B165" s="1" t="s">
        <v>34</v>
      </c>
      <c r="C165" s="1">
        <f>MONTH(Tabela16[[#This Row],[DATA]])</f>
        <v>3</v>
      </c>
    </row>
    <row r="166" spans="1:3" x14ac:dyDescent="0.35">
      <c r="A166" s="2">
        <v>46097</v>
      </c>
      <c r="B166" s="1" t="s">
        <v>94</v>
      </c>
      <c r="C166" s="1">
        <f>MONTH(Tabela16[[#This Row],[DATA]])</f>
        <v>3</v>
      </c>
    </row>
    <row r="167" spans="1:3" x14ac:dyDescent="0.35">
      <c r="A167" s="2">
        <v>46097</v>
      </c>
      <c r="B167" s="1" t="s">
        <v>94</v>
      </c>
      <c r="C167" s="1">
        <f>MONTH(Tabela16[[#This Row],[DATA]])</f>
        <v>3</v>
      </c>
    </row>
    <row r="168" spans="1:3" x14ac:dyDescent="0.35">
      <c r="A168" s="2">
        <v>46098</v>
      </c>
      <c r="B168" s="1" t="s">
        <v>94</v>
      </c>
      <c r="C168" s="1">
        <f>MONTH(Tabela16[[#This Row],[DATA]])</f>
        <v>3</v>
      </c>
    </row>
    <row r="169" spans="1:3" x14ac:dyDescent="0.35">
      <c r="A169" s="2">
        <v>46098</v>
      </c>
      <c r="B169" s="1" t="s">
        <v>9</v>
      </c>
      <c r="C169" s="1">
        <f>MONTH(Tabela16[[#This Row],[DATA]])</f>
        <v>3</v>
      </c>
    </row>
    <row r="170" spans="1:3" x14ac:dyDescent="0.35">
      <c r="A170" s="2">
        <v>46098</v>
      </c>
      <c r="B170" s="1" t="s">
        <v>94</v>
      </c>
      <c r="C170" s="1">
        <f>MONTH(Tabela16[[#This Row],[DATA]])</f>
        <v>3</v>
      </c>
    </row>
    <row r="171" spans="1:3" x14ac:dyDescent="0.35">
      <c r="A171" s="2">
        <v>46098</v>
      </c>
      <c r="B171" s="1" t="s">
        <v>94</v>
      </c>
      <c r="C171" s="1">
        <f>MONTH(Tabela16[[#This Row],[DATA]])</f>
        <v>3</v>
      </c>
    </row>
    <row r="172" spans="1:3" x14ac:dyDescent="0.35">
      <c r="A172" s="2">
        <v>46098</v>
      </c>
      <c r="B172" s="1" t="s">
        <v>32</v>
      </c>
      <c r="C172" s="1">
        <f>MONTH(Tabela16[[#This Row],[DATA]])</f>
        <v>3</v>
      </c>
    </row>
    <row r="173" spans="1:3" x14ac:dyDescent="0.35">
      <c r="A173" s="2">
        <v>46099</v>
      </c>
      <c r="B173" s="1" t="s">
        <v>94</v>
      </c>
      <c r="C173" s="1">
        <f>MONTH(Tabela16[[#This Row],[DATA]])</f>
        <v>3</v>
      </c>
    </row>
    <row r="174" spans="1:3" x14ac:dyDescent="0.35">
      <c r="A174" s="2">
        <v>46100</v>
      </c>
      <c r="B174" s="1" t="s">
        <v>94</v>
      </c>
      <c r="C174" s="1">
        <f>MONTH(Tabela16[[#This Row],[DATA]])</f>
        <v>3</v>
      </c>
    </row>
    <row r="175" spans="1:3" x14ac:dyDescent="0.35">
      <c r="A175" s="2">
        <v>46100</v>
      </c>
      <c r="B175" s="1" t="s">
        <v>5</v>
      </c>
      <c r="C175" s="1">
        <f>MONTH(Tabela16[[#This Row],[DATA]])</f>
        <v>3</v>
      </c>
    </row>
    <row r="176" spans="1:3" x14ac:dyDescent="0.35">
      <c r="A176" s="2">
        <v>46101</v>
      </c>
      <c r="B176" s="1" t="s">
        <v>9</v>
      </c>
      <c r="C176" s="1">
        <f>MONTH(Tabela16[[#This Row],[DATA]])</f>
        <v>3</v>
      </c>
    </row>
    <row r="177" spans="1:3" x14ac:dyDescent="0.35">
      <c r="A177" s="2">
        <v>46101</v>
      </c>
      <c r="B177" s="1" t="s">
        <v>32</v>
      </c>
      <c r="C177" s="1">
        <f>MONTH(Tabela16[[#This Row],[DATA]])</f>
        <v>3</v>
      </c>
    </row>
    <row r="178" spans="1:3" x14ac:dyDescent="0.35">
      <c r="A178" s="2">
        <v>46104</v>
      </c>
      <c r="B178" s="1" t="s">
        <v>28</v>
      </c>
      <c r="C178" s="1">
        <f>MONTH(Tabela16[[#This Row],[DATA]])</f>
        <v>3</v>
      </c>
    </row>
    <row r="179" spans="1:3" x14ac:dyDescent="0.35">
      <c r="A179" s="2">
        <v>46104</v>
      </c>
      <c r="B179" s="1" t="s">
        <v>5</v>
      </c>
      <c r="C179" s="1">
        <f>MONTH(Tabela16[[#This Row],[DATA]])</f>
        <v>3</v>
      </c>
    </row>
    <row r="180" spans="1:3" x14ac:dyDescent="0.35">
      <c r="A180" s="2">
        <v>46104</v>
      </c>
      <c r="B180" s="1" t="s">
        <v>9</v>
      </c>
      <c r="C180" s="1">
        <f>MONTH(Tabela16[[#This Row],[DATA]])</f>
        <v>3</v>
      </c>
    </row>
    <row r="181" spans="1:3" x14ac:dyDescent="0.35">
      <c r="A181" s="2">
        <v>46104</v>
      </c>
      <c r="B181" s="1" t="s">
        <v>22</v>
      </c>
      <c r="C181" s="1">
        <f>MONTH(Tabela16[[#This Row],[DATA]])</f>
        <v>3</v>
      </c>
    </row>
    <row r="182" spans="1:3" x14ac:dyDescent="0.35">
      <c r="A182" s="2">
        <v>46104</v>
      </c>
      <c r="B182" s="1" t="s">
        <v>21</v>
      </c>
      <c r="C182" s="1">
        <f>MONTH(Tabela16[[#This Row],[DATA]])</f>
        <v>3</v>
      </c>
    </row>
    <row r="183" spans="1:3" x14ac:dyDescent="0.35">
      <c r="A183" s="2">
        <v>46105</v>
      </c>
      <c r="B183" s="1" t="s">
        <v>94</v>
      </c>
      <c r="C183" s="1">
        <f>MONTH(Tabela16[[#This Row],[DATA]])</f>
        <v>3</v>
      </c>
    </row>
    <row r="184" spans="1:3" x14ac:dyDescent="0.35">
      <c r="A184" s="2">
        <v>46105</v>
      </c>
      <c r="B184" s="1" t="s">
        <v>99</v>
      </c>
      <c r="C184" s="1">
        <f>MONTH(Tabela16[[#This Row],[DATA]])</f>
        <v>3</v>
      </c>
    </row>
    <row r="185" spans="1:3" x14ac:dyDescent="0.35">
      <c r="A185" s="2">
        <v>46105</v>
      </c>
      <c r="B185" s="1" t="s">
        <v>94</v>
      </c>
      <c r="C185" s="1">
        <f>MONTH(Tabela16[[#This Row],[DATA]])</f>
        <v>3</v>
      </c>
    </row>
    <row r="186" spans="1:3" x14ac:dyDescent="0.35">
      <c r="A186" s="2">
        <v>46106</v>
      </c>
      <c r="B186" s="1" t="s">
        <v>94</v>
      </c>
      <c r="C186" s="1">
        <f>MONTH(Tabela16[[#This Row],[DATA]])</f>
        <v>3</v>
      </c>
    </row>
    <row r="187" spans="1:3" x14ac:dyDescent="0.35">
      <c r="A187" s="2">
        <v>46106</v>
      </c>
      <c r="B187" s="1" t="s">
        <v>32</v>
      </c>
      <c r="C187" s="1">
        <f>MONTH(Tabela16[[#This Row],[DATA]])</f>
        <v>3</v>
      </c>
    </row>
    <row r="188" spans="1:3" x14ac:dyDescent="0.35">
      <c r="A188" s="2">
        <v>46106</v>
      </c>
      <c r="B188" s="1" t="s">
        <v>9</v>
      </c>
      <c r="C188" s="1">
        <f>MONTH(Tabela16[[#This Row],[DATA]])</f>
        <v>3</v>
      </c>
    </row>
    <row r="189" spans="1:3" x14ac:dyDescent="0.35">
      <c r="A189" s="2">
        <v>46106</v>
      </c>
      <c r="B189" s="1" t="s">
        <v>32</v>
      </c>
      <c r="C189" s="1">
        <f>MONTH(Tabela16[[#This Row],[DATA]])</f>
        <v>3</v>
      </c>
    </row>
    <row r="190" spans="1:3" x14ac:dyDescent="0.35">
      <c r="A190" s="2">
        <v>46108</v>
      </c>
      <c r="B190" s="1" t="s">
        <v>9</v>
      </c>
      <c r="C190" s="1">
        <f>MONTH(Tabela16[[#This Row],[DATA]])</f>
        <v>3</v>
      </c>
    </row>
    <row r="191" spans="1:3" x14ac:dyDescent="0.35">
      <c r="A191" s="2">
        <v>46108</v>
      </c>
      <c r="B191" s="1" t="s">
        <v>5</v>
      </c>
      <c r="C191" s="1">
        <f>MONTH(Tabela16[[#This Row],[DATA]])</f>
        <v>3</v>
      </c>
    </row>
    <row r="192" spans="1:3" x14ac:dyDescent="0.35">
      <c r="A192" s="2">
        <v>46108</v>
      </c>
      <c r="B192" s="1" t="s">
        <v>5</v>
      </c>
      <c r="C192" s="1">
        <f>MONTH(Tabela16[[#This Row],[DATA]])</f>
        <v>3</v>
      </c>
    </row>
    <row r="193" spans="1:3" x14ac:dyDescent="0.35">
      <c r="A193" s="2">
        <v>46108</v>
      </c>
      <c r="B193" s="1" t="s">
        <v>94</v>
      </c>
      <c r="C193" s="1">
        <f>MONTH(Tabela16[[#This Row],[DATA]])</f>
        <v>3</v>
      </c>
    </row>
    <row r="194" spans="1:3" x14ac:dyDescent="0.35">
      <c r="A194" s="2">
        <v>46108</v>
      </c>
      <c r="B194" s="1" t="s">
        <v>94</v>
      </c>
      <c r="C194" s="1">
        <f>MONTH(Tabela16[[#This Row],[DATA]])</f>
        <v>3</v>
      </c>
    </row>
    <row r="195" spans="1:3" x14ac:dyDescent="0.35">
      <c r="A195" s="2">
        <v>46108</v>
      </c>
      <c r="B195" s="1" t="s">
        <v>94</v>
      </c>
      <c r="C195" s="1">
        <f>MONTH(Tabela16[[#This Row],[DATA]])</f>
        <v>3</v>
      </c>
    </row>
    <row r="196" spans="1:3" x14ac:dyDescent="0.35">
      <c r="A196" s="2">
        <v>46108</v>
      </c>
      <c r="B196" s="1" t="s">
        <v>94</v>
      </c>
      <c r="C196" s="1">
        <f>MONTH(Tabela16[[#This Row],[DATA]])</f>
        <v>3</v>
      </c>
    </row>
    <row r="197" spans="1:3" x14ac:dyDescent="0.35">
      <c r="A197" s="2">
        <v>46108</v>
      </c>
      <c r="B197" s="1" t="s">
        <v>94</v>
      </c>
      <c r="C197" s="1">
        <f>MONTH(Tabela16[[#This Row],[DATA]])</f>
        <v>3</v>
      </c>
    </row>
    <row r="198" spans="1:3" x14ac:dyDescent="0.35">
      <c r="A198" s="2">
        <v>46111</v>
      </c>
      <c r="B198" s="1" t="s">
        <v>22</v>
      </c>
      <c r="C198" s="1">
        <f>MONTH(Tabela16[[#This Row],[DATA]])</f>
        <v>3</v>
      </c>
    </row>
    <row r="199" spans="1:3" x14ac:dyDescent="0.35">
      <c r="A199" s="2">
        <v>46111</v>
      </c>
      <c r="B199" s="1" t="s">
        <v>94</v>
      </c>
      <c r="C199" s="1">
        <f>MONTH(Tabela16[[#This Row],[DATA]])</f>
        <v>3</v>
      </c>
    </row>
    <row r="200" spans="1:3" x14ac:dyDescent="0.35">
      <c r="A200" s="2">
        <v>46112</v>
      </c>
      <c r="B200" s="1" t="s">
        <v>94</v>
      </c>
      <c r="C200" s="1">
        <f>MONTH(Tabela16[[#This Row],[DATA]])</f>
        <v>3</v>
      </c>
    </row>
    <row r="201" spans="1:3" x14ac:dyDescent="0.35">
      <c r="A201" s="2">
        <v>46113</v>
      </c>
      <c r="B201" s="1" t="s">
        <v>22</v>
      </c>
      <c r="C201" s="1">
        <f>MONTH(Tabela16[[#This Row],[DATA]])</f>
        <v>4</v>
      </c>
    </row>
    <row r="202" spans="1:3" x14ac:dyDescent="0.35">
      <c r="A202" s="2">
        <v>46113</v>
      </c>
      <c r="B202" s="1" t="s">
        <v>94</v>
      </c>
      <c r="C202" s="1">
        <f>MONTH(Tabela16[[#This Row],[DATA]])</f>
        <v>4</v>
      </c>
    </row>
    <row r="203" spans="1:3" x14ac:dyDescent="0.35">
      <c r="A203" s="2">
        <v>46113</v>
      </c>
      <c r="B203" s="1" t="s">
        <v>5</v>
      </c>
      <c r="C203" s="1">
        <f>MONTH(Tabela16[[#This Row],[DATA]])</f>
        <v>4</v>
      </c>
    </row>
    <row r="204" spans="1:3" x14ac:dyDescent="0.35">
      <c r="A204" s="2">
        <v>46113</v>
      </c>
      <c r="B204" s="1" t="s">
        <v>21</v>
      </c>
      <c r="C204" s="1">
        <f>MONTH(Tabela16[[#This Row],[DATA]])</f>
        <v>4</v>
      </c>
    </row>
    <row r="205" spans="1:3" x14ac:dyDescent="0.35">
      <c r="A205" s="2">
        <v>46113</v>
      </c>
      <c r="B205" s="1" t="s">
        <v>28</v>
      </c>
      <c r="C205" s="1">
        <f>MONTH(Tabela16[[#This Row],[DATA]])</f>
        <v>4</v>
      </c>
    </row>
    <row r="206" spans="1:3" x14ac:dyDescent="0.35">
      <c r="A206" s="2">
        <v>46113</v>
      </c>
      <c r="B206" s="1" t="s">
        <v>21</v>
      </c>
      <c r="C206" s="1">
        <f>MONTH(Tabela16[[#This Row],[DATA]])</f>
        <v>4</v>
      </c>
    </row>
    <row r="207" spans="1:3" x14ac:dyDescent="0.35">
      <c r="A207" s="2">
        <v>46114</v>
      </c>
      <c r="B207" s="1" t="s">
        <v>28</v>
      </c>
      <c r="C207" s="1">
        <f>MONTH(Tabela16[[#This Row],[DATA]])</f>
        <v>4</v>
      </c>
    </row>
    <row r="208" spans="1:3" x14ac:dyDescent="0.35">
      <c r="A208" s="2">
        <v>46118</v>
      </c>
      <c r="B208" s="1" t="s">
        <v>94</v>
      </c>
      <c r="C208" s="1">
        <f>MONTH(Tabela16[[#This Row],[DATA]])</f>
        <v>4</v>
      </c>
    </row>
    <row r="209" spans="1:3" x14ac:dyDescent="0.35">
      <c r="A209" s="2">
        <v>46118</v>
      </c>
      <c r="B209" s="1" t="s">
        <v>5</v>
      </c>
      <c r="C209" s="1">
        <f>MONTH(Tabela16[[#This Row],[DATA]])</f>
        <v>4</v>
      </c>
    </row>
    <row r="210" spans="1:3" x14ac:dyDescent="0.35">
      <c r="A210" s="2">
        <v>46118</v>
      </c>
      <c r="B210" s="1" t="s">
        <v>21</v>
      </c>
      <c r="C210" s="1">
        <f>MONTH(Tabela16[[#This Row],[DATA]])</f>
        <v>4</v>
      </c>
    </row>
    <row r="211" spans="1:3" x14ac:dyDescent="0.35">
      <c r="A211" s="2">
        <v>46118</v>
      </c>
      <c r="B211" s="1" t="s">
        <v>24</v>
      </c>
      <c r="C211" s="1">
        <f>MONTH(Tabela16[[#This Row],[DATA]])</f>
        <v>4</v>
      </c>
    </row>
    <row r="212" spans="1:3" x14ac:dyDescent="0.35">
      <c r="A212" s="2">
        <v>46119</v>
      </c>
      <c r="B212" s="1" t="s">
        <v>5</v>
      </c>
      <c r="C212" s="1">
        <f>MONTH(Tabela16[[#This Row],[DATA]])</f>
        <v>4</v>
      </c>
    </row>
    <row r="213" spans="1:3" x14ac:dyDescent="0.35">
      <c r="A213" s="2">
        <v>46119</v>
      </c>
      <c r="B213" s="1" t="s">
        <v>24</v>
      </c>
      <c r="C213" s="1">
        <f>MONTH(Tabela16[[#This Row],[DATA]])</f>
        <v>4</v>
      </c>
    </row>
    <row r="214" spans="1:3" x14ac:dyDescent="0.35">
      <c r="A214" s="2">
        <v>46119</v>
      </c>
      <c r="B214" s="1" t="s">
        <v>32</v>
      </c>
      <c r="C214" s="1">
        <f>MONTH(Tabela16[[#This Row],[DATA]])</f>
        <v>4</v>
      </c>
    </row>
    <row r="215" spans="1:3" x14ac:dyDescent="0.35">
      <c r="A215" s="2">
        <v>46119</v>
      </c>
      <c r="B215" s="1" t="s">
        <v>5</v>
      </c>
      <c r="C215" s="1">
        <f>MONTH(Tabela16[[#This Row],[DATA]])</f>
        <v>4</v>
      </c>
    </row>
    <row r="216" spans="1:3" x14ac:dyDescent="0.35">
      <c r="A216" s="2">
        <v>46119</v>
      </c>
      <c r="B216" s="1" t="s">
        <v>24</v>
      </c>
      <c r="C216" s="1">
        <f>MONTH(Tabela16[[#This Row],[DATA]])</f>
        <v>4</v>
      </c>
    </row>
    <row r="217" spans="1:3" x14ac:dyDescent="0.35">
      <c r="A217" s="2">
        <v>46119</v>
      </c>
      <c r="B217" s="1" t="s">
        <v>94</v>
      </c>
      <c r="C217" s="1">
        <f>MONTH(Tabela16[[#This Row],[DATA]])</f>
        <v>4</v>
      </c>
    </row>
    <row r="218" spans="1:3" x14ac:dyDescent="0.35">
      <c r="A218" s="2">
        <v>46120</v>
      </c>
      <c r="B218" s="1" t="s">
        <v>94</v>
      </c>
      <c r="C218" s="1">
        <f>MONTH(Tabela16[[#This Row],[DATA]])</f>
        <v>4</v>
      </c>
    </row>
    <row r="219" spans="1:3" x14ac:dyDescent="0.35">
      <c r="A219" s="2">
        <v>46120</v>
      </c>
      <c r="B219" s="1" t="s">
        <v>94</v>
      </c>
      <c r="C219" s="1">
        <f>MONTH(Tabela16[[#This Row],[DATA]])</f>
        <v>4</v>
      </c>
    </row>
    <row r="220" spans="1:3" x14ac:dyDescent="0.35">
      <c r="A220" s="2">
        <v>46120</v>
      </c>
      <c r="B220" s="1" t="s">
        <v>94</v>
      </c>
      <c r="C220" s="1">
        <f>MONTH(Tabela16[[#This Row],[DATA]])</f>
        <v>4</v>
      </c>
    </row>
    <row r="221" spans="1:3" x14ac:dyDescent="0.35">
      <c r="A221" s="2">
        <v>46121</v>
      </c>
      <c r="B221" s="1" t="s">
        <v>28</v>
      </c>
      <c r="C221" s="1">
        <f>MONTH(Tabela16[[#This Row],[DATA]])</f>
        <v>4</v>
      </c>
    </row>
    <row r="222" spans="1:3" x14ac:dyDescent="0.35">
      <c r="A222" s="2">
        <v>46121</v>
      </c>
      <c r="B222" s="1" t="s">
        <v>22</v>
      </c>
      <c r="C222" s="1">
        <f>MONTH(Tabela16[[#This Row],[DATA]])</f>
        <v>4</v>
      </c>
    </row>
    <row r="223" spans="1:3" x14ac:dyDescent="0.35">
      <c r="A223" s="2">
        <v>46121</v>
      </c>
      <c r="B223" s="1" t="s">
        <v>5</v>
      </c>
      <c r="C223" s="1">
        <f>MONTH(Tabela16[[#This Row],[DATA]])</f>
        <v>4</v>
      </c>
    </row>
    <row r="224" spans="1:3" x14ac:dyDescent="0.35">
      <c r="A224" s="2">
        <v>46121</v>
      </c>
      <c r="B224" s="1" t="s">
        <v>5</v>
      </c>
      <c r="C224" s="1">
        <f>MONTH(Tabela16[[#This Row],[DATA]])</f>
        <v>4</v>
      </c>
    </row>
    <row r="225" spans="1:3" x14ac:dyDescent="0.35">
      <c r="A225" s="2">
        <v>46121</v>
      </c>
      <c r="B225" s="1" t="s">
        <v>24</v>
      </c>
      <c r="C225" s="1">
        <f>MONTH(Tabela16[[#This Row],[DATA]])</f>
        <v>4</v>
      </c>
    </row>
    <row r="226" spans="1:3" x14ac:dyDescent="0.35">
      <c r="A226" s="2">
        <v>46121</v>
      </c>
      <c r="B226" s="1" t="s">
        <v>5</v>
      </c>
      <c r="C226" s="1">
        <f>MONTH(Tabela16[[#This Row],[DATA]])</f>
        <v>4</v>
      </c>
    </row>
    <row r="227" spans="1:3" x14ac:dyDescent="0.35">
      <c r="A227" s="2">
        <v>46121</v>
      </c>
      <c r="B227" s="1" t="s">
        <v>28</v>
      </c>
      <c r="C227" s="1">
        <f>MONTH(Tabela16[[#This Row],[DATA]])</f>
        <v>4</v>
      </c>
    </row>
    <row r="228" spans="1:3" x14ac:dyDescent="0.35">
      <c r="A228" s="2">
        <v>46122</v>
      </c>
      <c r="B228" s="1" t="s">
        <v>24</v>
      </c>
      <c r="C228" s="1">
        <f>MONTH(Tabela16[[#This Row],[DATA]])</f>
        <v>4</v>
      </c>
    </row>
    <row r="229" spans="1:3" x14ac:dyDescent="0.35">
      <c r="A229" s="2">
        <v>46122</v>
      </c>
      <c r="B229" s="1" t="s">
        <v>94</v>
      </c>
      <c r="C229" s="1">
        <f>MONTH(Tabela16[[#This Row],[DATA]])</f>
        <v>4</v>
      </c>
    </row>
    <row r="230" spans="1:3" x14ac:dyDescent="0.35">
      <c r="A230" s="2">
        <v>46122</v>
      </c>
      <c r="B230" s="1" t="s">
        <v>5</v>
      </c>
      <c r="C230" s="1">
        <f>MONTH(Tabela16[[#This Row],[DATA]])</f>
        <v>4</v>
      </c>
    </row>
    <row r="231" spans="1:3" x14ac:dyDescent="0.35">
      <c r="A231" s="2">
        <v>46122</v>
      </c>
      <c r="B231" s="1" t="s">
        <v>24</v>
      </c>
      <c r="C231" s="1">
        <f>MONTH(Tabela16[[#This Row],[DATA]])</f>
        <v>4</v>
      </c>
    </row>
    <row r="232" spans="1:3" x14ac:dyDescent="0.35">
      <c r="A232" s="2">
        <v>46122</v>
      </c>
      <c r="B232" s="1" t="s">
        <v>32</v>
      </c>
      <c r="C232" s="1">
        <f>MONTH(Tabela16[[#This Row],[DATA]])</f>
        <v>4</v>
      </c>
    </row>
    <row r="233" spans="1:3" x14ac:dyDescent="0.35">
      <c r="A233" s="2">
        <v>46122</v>
      </c>
      <c r="B233" s="1" t="s">
        <v>32</v>
      </c>
      <c r="C233" s="1">
        <f>MONTH(Tabela16[[#This Row],[DATA]])</f>
        <v>4</v>
      </c>
    </row>
    <row r="234" spans="1:3" x14ac:dyDescent="0.35">
      <c r="A234" s="2">
        <v>46125</v>
      </c>
      <c r="B234" s="1" t="s">
        <v>5</v>
      </c>
      <c r="C234" s="1">
        <f>MONTH(Tabela16[[#This Row],[DATA]])</f>
        <v>4</v>
      </c>
    </row>
    <row r="235" spans="1:3" x14ac:dyDescent="0.35">
      <c r="A235" s="2">
        <v>46125</v>
      </c>
      <c r="B235" s="1" t="s">
        <v>94</v>
      </c>
      <c r="C235" s="1">
        <f>MONTH(Tabela16[[#This Row],[DATA]])</f>
        <v>4</v>
      </c>
    </row>
    <row r="236" spans="1:3" x14ac:dyDescent="0.35">
      <c r="A236" s="2">
        <v>46125</v>
      </c>
      <c r="B236" s="1" t="s">
        <v>94</v>
      </c>
      <c r="C236" s="1">
        <f>MONTH(Tabela16[[#This Row],[DATA]])</f>
        <v>4</v>
      </c>
    </row>
    <row r="237" spans="1:3" x14ac:dyDescent="0.35">
      <c r="A237" s="2">
        <v>46125</v>
      </c>
      <c r="B237" s="1" t="s">
        <v>94</v>
      </c>
      <c r="C237" s="1">
        <f>MONTH(Tabela16[[#This Row],[DATA]])</f>
        <v>4</v>
      </c>
    </row>
    <row r="238" spans="1:3" x14ac:dyDescent="0.35">
      <c r="A238" s="2">
        <v>46125</v>
      </c>
      <c r="B238" s="1" t="s">
        <v>24</v>
      </c>
      <c r="C238" s="1">
        <f>MONTH(Tabela16[[#This Row],[DATA]])</f>
        <v>4</v>
      </c>
    </row>
    <row r="239" spans="1:3" x14ac:dyDescent="0.35">
      <c r="A239" s="2">
        <v>46125</v>
      </c>
      <c r="B239" s="1" t="s">
        <v>28</v>
      </c>
      <c r="C239" s="1">
        <f>MONTH(Tabela16[[#This Row],[DATA]])</f>
        <v>4</v>
      </c>
    </row>
    <row r="240" spans="1:3" x14ac:dyDescent="0.35">
      <c r="A240" s="2">
        <v>46125</v>
      </c>
      <c r="B240" s="1" t="s">
        <v>24</v>
      </c>
      <c r="C240" s="1">
        <f>MONTH(Tabela16[[#This Row],[DATA]])</f>
        <v>4</v>
      </c>
    </row>
    <row r="241" spans="1:3" x14ac:dyDescent="0.35">
      <c r="A241" s="2">
        <v>46125</v>
      </c>
      <c r="B241" s="1" t="s">
        <v>32</v>
      </c>
      <c r="C241" s="1">
        <f>MONTH(Tabela16[[#This Row],[DATA]])</f>
        <v>4</v>
      </c>
    </row>
    <row r="242" spans="1:3" x14ac:dyDescent="0.35">
      <c r="A242" s="2">
        <v>46125</v>
      </c>
      <c r="B242" s="1" t="s">
        <v>5</v>
      </c>
      <c r="C242" s="1">
        <f>MONTH(Tabela16[[#This Row],[DATA]])</f>
        <v>4</v>
      </c>
    </row>
    <row r="243" spans="1:3" x14ac:dyDescent="0.35">
      <c r="A243" s="2">
        <v>46125</v>
      </c>
      <c r="B243" s="1" t="s">
        <v>24</v>
      </c>
      <c r="C243" s="1">
        <f>MONTH(Tabela16[[#This Row],[DATA]])</f>
        <v>4</v>
      </c>
    </row>
    <row r="244" spans="1:3" x14ac:dyDescent="0.35">
      <c r="A244" s="2">
        <v>46125</v>
      </c>
      <c r="B244" s="1" t="s">
        <v>5</v>
      </c>
      <c r="C244" s="1">
        <f>MONTH(Tabela16[[#This Row],[DATA]])</f>
        <v>4</v>
      </c>
    </row>
    <row r="245" spans="1:3" x14ac:dyDescent="0.35">
      <c r="A245" s="2">
        <v>46126</v>
      </c>
      <c r="B245" s="1" t="s">
        <v>21</v>
      </c>
      <c r="C245" s="1">
        <f>MONTH(Tabela16[[#This Row],[DATA]])</f>
        <v>4</v>
      </c>
    </row>
    <row r="246" spans="1:3" x14ac:dyDescent="0.35">
      <c r="A246" s="2">
        <v>46126</v>
      </c>
      <c r="B246" s="1" t="s">
        <v>5</v>
      </c>
      <c r="C246" s="1">
        <f>MONTH(Tabela16[[#This Row],[DATA]])</f>
        <v>4</v>
      </c>
    </row>
    <row r="247" spans="1:3" x14ac:dyDescent="0.35">
      <c r="A247" s="2">
        <v>46126</v>
      </c>
      <c r="B247" s="1" t="s">
        <v>28</v>
      </c>
      <c r="C247" s="1">
        <f>MONTH(Tabela16[[#This Row],[DATA]])</f>
        <v>4</v>
      </c>
    </row>
    <row r="248" spans="1:3" x14ac:dyDescent="0.35">
      <c r="A248" s="2">
        <v>46126</v>
      </c>
      <c r="B248" s="1" t="s">
        <v>28</v>
      </c>
      <c r="C248" s="1">
        <f>MONTH(Tabela16[[#This Row],[DATA]])</f>
        <v>4</v>
      </c>
    </row>
    <row r="249" spans="1:3" x14ac:dyDescent="0.35">
      <c r="A249" s="2">
        <v>46126</v>
      </c>
      <c r="B249" s="1" t="s">
        <v>5</v>
      </c>
      <c r="C249" s="1">
        <f>MONTH(Tabela16[[#This Row],[DATA]])</f>
        <v>4</v>
      </c>
    </row>
    <row r="250" spans="1:3" x14ac:dyDescent="0.35">
      <c r="A250" s="2">
        <v>46126</v>
      </c>
      <c r="B250" s="1" t="s">
        <v>24</v>
      </c>
      <c r="C250" s="1">
        <f>MONTH(Tabela16[[#This Row],[DATA]])</f>
        <v>4</v>
      </c>
    </row>
    <row r="251" spans="1:3" x14ac:dyDescent="0.35">
      <c r="A251" s="2">
        <v>46126</v>
      </c>
      <c r="B251" s="1" t="s">
        <v>24</v>
      </c>
      <c r="C251" s="1">
        <f>MONTH(Tabela16[[#This Row],[DATA]])</f>
        <v>4</v>
      </c>
    </row>
    <row r="252" spans="1:3" x14ac:dyDescent="0.35">
      <c r="A252" s="2">
        <v>46126</v>
      </c>
      <c r="B252" s="1" t="s">
        <v>22</v>
      </c>
      <c r="C252" s="1">
        <f>MONTH(Tabela16[[#This Row],[DATA]])</f>
        <v>4</v>
      </c>
    </row>
    <row r="253" spans="1:3" x14ac:dyDescent="0.35">
      <c r="A253" s="2">
        <v>46127</v>
      </c>
      <c r="B253" s="1" t="s">
        <v>22</v>
      </c>
      <c r="C253" s="1">
        <f>MONTH(Tabela16[[#This Row],[DATA]])</f>
        <v>4</v>
      </c>
    </row>
    <row r="254" spans="1:3" x14ac:dyDescent="0.35">
      <c r="A254" s="2">
        <v>46127</v>
      </c>
      <c r="B254" s="1" t="s">
        <v>32</v>
      </c>
      <c r="C254" s="1">
        <f>MONTH(Tabela16[[#This Row],[DATA]])</f>
        <v>4</v>
      </c>
    </row>
    <row r="255" spans="1:3" x14ac:dyDescent="0.35">
      <c r="A255" s="2">
        <v>46127</v>
      </c>
      <c r="B255" s="1" t="s">
        <v>5</v>
      </c>
      <c r="C255" s="1">
        <f>MONTH(Tabela16[[#This Row],[DATA]])</f>
        <v>4</v>
      </c>
    </row>
    <row r="256" spans="1:3" x14ac:dyDescent="0.35">
      <c r="A256" s="2">
        <v>46127</v>
      </c>
      <c r="B256" s="1" t="s">
        <v>24</v>
      </c>
      <c r="C256" s="1">
        <f>MONTH(Tabela16[[#This Row],[DATA]])</f>
        <v>4</v>
      </c>
    </row>
    <row r="257" spans="1:3" x14ac:dyDescent="0.35">
      <c r="A257" s="2">
        <v>46128</v>
      </c>
      <c r="B257" s="1" t="s">
        <v>28</v>
      </c>
      <c r="C257" s="1">
        <f>MONTH(Tabela16[[#This Row],[DATA]])</f>
        <v>4</v>
      </c>
    </row>
    <row r="258" spans="1:3" x14ac:dyDescent="0.35">
      <c r="A258" s="2">
        <v>46128</v>
      </c>
      <c r="B258" s="1" t="s">
        <v>24</v>
      </c>
      <c r="C258" s="1">
        <f>MONTH(Tabela16[[#This Row],[DATA]])</f>
        <v>4</v>
      </c>
    </row>
    <row r="259" spans="1:3" x14ac:dyDescent="0.35">
      <c r="A259" s="2">
        <v>46128</v>
      </c>
      <c r="B259" s="1" t="s">
        <v>33</v>
      </c>
      <c r="C259" s="1">
        <f>MONTH(Tabela16[[#This Row],[DATA]])</f>
        <v>4</v>
      </c>
    </row>
    <row r="260" spans="1:3" x14ac:dyDescent="0.35">
      <c r="A260" s="2">
        <v>46128</v>
      </c>
      <c r="B260" s="1" t="s">
        <v>94</v>
      </c>
      <c r="C260" s="1">
        <f>MONTH(Tabela16[[#This Row],[DATA]])</f>
        <v>4</v>
      </c>
    </row>
    <row r="261" spans="1:3" x14ac:dyDescent="0.35">
      <c r="A261" s="2">
        <v>46128</v>
      </c>
      <c r="B261" s="1" t="s">
        <v>5</v>
      </c>
      <c r="C261" s="1">
        <f>MONTH(Tabela16[[#This Row],[DATA]])</f>
        <v>4</v>
      </c>
    </row>
    <row r="262" spans="1:3" x14ac:dyDescent="0.35">
      <c r="A262" s="2">
        <v>46129</v>
      </c>
      <c r="B262" s="1" t="s">
        <v>9</v>
      </c>
      <c r="C262" s="1">
        <f>MONTH(Tabela16[[#This Row],[DATA]])</f>
        <v>4</v>
      </c>
    </row>
    <row r="263" spans="1:3" x14ac:dyDescent="0.35">
      <c r="A263" s="2">
        <v>46132</v>
      </c>
      <c r="B263" s="1" t="s">
        <v>33</v>
      </c>
      <c r="C263" s="1">
        <f>MONTH(Tabela16[[#This Row],[DATA]])</f>
        <v>4</v>
      </c>
    </row>
    <row r="264" spans="1:3" x14ac:dyDescent="0.35">
      <c r="A264" s="2">
        <v>46132</v>
      </c>
      <c r="B264" s="1" t="s">
        <v>5</v>
      </c>
      <c r="C264" s="1">
        <f>MONTH(Tabela16[[#This Row],[DATA]])</f>
        <v>4</v>
      </c>
    </row>
    <row r="265" spans="1:3" x14ac:dyDescent="0.35">
      <c r="A265" s="2">
        <v>46132</v>
      </c>
      <c r="B265" s="1" t="s">
        <v>33</v>
      </c>
      <c r="C265" s="1">
        <f>MONTH(Tabela16[[#This Row],[DATA]])</f>
        <v>4</v>
      </c>
    </row>
    <row r="266" spans="1:3" x14ac:dyDescent="0.35">
      <c r="A266" s="2">
        <v>46134</v>
      </c>
      <c r="B266" s="1" t="s">
        <v>5</v>
      </c>
      <c r="C266" s="1">
        <f>MONTH(Tabela16[[#This Row],[DATA]])</f>
        <v>4</v>
      </c>
    </row>
    <row r="267" spans="1:3" x14ac:dyDescent="0.35">
      <c r="A267" s="2">
        <v>46134</v>
      </c>
      <c r="B267" s="1" t="s">
        <v>94</v>
      </c>
      <c r="C267" s="1">
        <f>MONTH(Tabela16[[#This Row],[DATA]])</f>
        <v>4</v>
      </c>
    </row>
    <row r="268" spans="1:3" x14ac:dyDescent="0.35">
      <c r="A268" s="2">
        <v>46134</v>
      </c>
      <c r="B268" s="1" t="s">
        <v>32</v>
      </c>
      <c r="C268" s="1">
        <f>MONTH(Tabela16[[#This Row],[DATA]])</f>
        <v>4</v>
      </c>
    </row>
    <row r="269" spans="1:3" x14ac:dyDescent="0.35">
      <c r="A269" s="2">
        <v>46134</v>
      </c>
      <c r="B269" s="1" t="s">
        <v>5</v>
      </c>
      <c r="C269" s="1">
        <f>MONTH(Tabela16[[#This Row],[DATA]])</f>
        <v>4</v>
      </c>
    </row>
    <row r="270" spans="1:3" x14ac:dyDescent="0.35">
      <c r="A270" s="2">
        <v>46136</v>
      </c>
      <c r="B270" s="1" t="s">
        <v>94</v>
      </c>
      <c r="C270" s="1">
        <f>MONTH(Tabela16[[#This Row],[DATA]])</f>
        <v>4</v>
      </c>
    </row>
    <row r="271" spans="1:3" x14ac:dyDescent="0.35">
      <c r="A271" s="2">
        <v>46136</v>
      </c>
      <c r="B271" s="1" t="s">
        <v>32</v>
      </c>
      <c r="C271" s="1">
        <f>MONTH(Tabela16[[#This Row],[DATA]])</f>
        <v>4</v>
      </c>
    </row>
    <row r="272" spans="1:3" x14ac:dyDescent="0.35">
      <c r="A272" s="2">
        <v>46136</v>
      </c>
      <c r="B272" s="1" t="s">
        <v>9</v>
      </c>
      <c r="C272" s="1">
        <f>MONTH(Tabela16[[#This Row],[DATA]])</f>
        <v>4</v>
      </c>
    </row>
    <row r="273" spans="1:3" x14ac:dyDescent="0.35">
      <c r="A273" s="2">
        <v>46136</v>
      </c>
      <c r="B273" s="1" t="s">
        <v>5</v>
      </c>
      <c r="C273" s="1">
        <f>MONTH(Tabela16[[#This Row],[DATA]])</f>
        <v>4</v>
      </c>
    </row>
    <row r="274" spans="1:3" x14ac:dyDescent="0.35">
      <c r="A274" s="2">
        <v>46136</v>
      </c>
      <c r="B274" s="1" t="s">
        <v>21</v>
      </c>
      <c r="C274" s="1">
        <f>MONTH(Tabela16[[#This Row],[DATA]])</f>
        <v>4</v>
      </c>
    </row>
    <row r="275" spans="1:3" x14ac:dyDescent="0.35">
      <c r="A275" s="2">
        <v>46136</v>
      </c>
      <c r="B275" s="1" t="s">
        <v>24</v>
      </c>
      <c r="C275" s="1">
        <f>MONTH(Tabela16[[#This Row],[DATA]])</f>
        <v>4</v>
      </c>
    </row>
    <row r="276" spans="1:3" x14ac:dyDescent="0.35">
      <c r="A276" s="2">
        <v>46139</v>
      </c>
      <c r="B276" s="1" t="s">
        <v>102</v>
      </c>
      <c r="C276" s="1">
        <f>MONTH(Tabela16[[#This Row],[DATA]])</f>
        <v>4</v>
      </c>
    </row>
    <row r="277" spans="1:3" x14ac:dyDescent="0.35">
      <c r="A277" s="2">
        <v>46139</v>
      </c>
      <c r="B277" s="1" t="s">
        <v>102</v>
      </c>
      <c r="C277" s="1">
        <f>MONTH(Tabela16[[#This Row],[DATA]])</f>
        <v>4</v>
      </c>
    </row>
    <row r="278" spans="1:3" x14ac:dyDescent="0.35">
      <c r="A278" s="2">
        <v>46139</v>
      </c>
      <c r="B278" s="1" t="s">
        <v>33</v>
      </c>
      <c r="C278" s="1">
        <f>MONTH(Tabela16[[#This Row],[DATA]])</f>
        <v>4</v>
      </c>
    </row>
    <row r="279" spans="1:3" x14ac:dyDescent="0.35">
      <c r="A279" s="2">
        <v>46139</v>
      </c>
      <c r="B279" s="1" t="s">
        <v>22</v>
      </c>
      <c r="C279" s="1">
        <f>MONTH(Tabela16[[#This Row],[DATA]])</f>
        <v>4</v>
      </c>
    </row>
    <row r="280" spans="1:3" x14ac:dyDescent="0.35">
      <c r="A280" s="2">
        <v>46140</v>
      </c>
      <c r="B280" s="1" t="s">
        <v>88</v>
      </c>
      <c r="C280" s="1">
        <f>MONTH(Tabela16[[#This Row],[DATA]])</f>
        <v>4</v>
      </c>
    </row>
    <row r="281" spans="1:3" x14ac:dyDescent="0.35">
      <c r="A281" s="2">
        <v>46140</v>
      </c>
      <c r="B281" s="1" t="s">
        <v>5</v>
      </c>
      <c r="C281" s="1">
        <f>MONTH(Tabela16[[#This Row],[DATA]])</f>
        <v>4</v>
      </c>
    </row>
    <row r="282" spans="1:3" x14ac:dyDescent="0.35">
      <c r="A282" s="2">
        <v>46140</v>
      </c>
      <c r="B282" s="1" t="s">
        <v>5</v>
      </c>
      <c r="C282" s="1">
        <f>MONTH(Tabela16[[#This Row],[DATA]])</f>
        <v>4</v>
      </c>
    </row>
    <row r="283" spans="1:3" x14ac:dyDescent="0.35">
      <c r="A283" s="2">
        <v>46140</v>
      </c>
      <c r="B283" s="1" t="s">
        <v>32</v>
      </c>
      <c r="C283" s="1">
        <f>MONTH(Tabela16[[#This Row],[DATA]])</f>
        <v>4</v>
      </c>
    </row>
    <row r="284" spans="1:3" x14ac:dyDescent="0.35">
      <c r="A284" s="2">
        <v>46140</v>
      </c>
      <c r="B284" s="1" t="s">
        <v>32</v>
      </c>
      <c r="C284" s="1">
        <f>MONTH(Tabela16[[#This Row],[DATA]])</f>
        <v>4</v>
      </c>
    </row>
    <row r="285" spans="1:3" x14ac:dyDescent="0.35">
      <c r="A285" s="2">
        <v>46140</v>
      </c>
      <c r="B285" s="1" t="s">
        <v>22</v>
      </c>
      <c r="C285" s="1">
        <f>MONTH(Tabela16[[#This Row],[DATA]])</f>
        <v>4</v>
      </c>
    </row>
    <row r="286" spans="1:3" x14ac:dyDescent="0.35">
      <c r="A286" s="2">
        <v>46141</v>
      </c>
      <c r="B286" s="1" t="s">
        <v>5</v>
      </c>
      <c r="C286" s="1">
        <f>MONTH(Tabela16[[#This Row],[DATA]])</f>
        <v>4</v>
      </c>
    </row>
    <row r="287" spans="1:3" x14ac:dyDescent="0.35">
      <c r="A287" s="2">
        <v>46141</v>
      </c>
      <c r="B287" s="1" t="s">
        <v>32</v>
      </c>
      <c r="C287" s="1">
        <f>MONTH(Tabela16[[#This Row],[DATA]])</f>
        <v>4</v>
      </c>
    </row>
    <row r="288" spans="1:3" x14ac:dyDescent="0.35">
      <c r="A288" s="2">
        <v>46141</v>
      </c>
      <c r="B288" s="1" t="s">
        <v>24</v>
      </c>
      <c r="C288" s="1">
        <f>MONTH(Tabela16[[#This Row],[DATA]])</f>
        <v>4</v>
      </c>
    </row>
    <row r="289" spans="1:3" x14ac:dyDescent="0.35">
      <c r="A289" s="2">
        <v>46141</v>
      </c>
      <c r="B289" s="1" t="s">
        <v>5</v>
      </c>
      <c r="C289" s="1">
        <f>MONTH(Tabela16[[#This Row],[DATA]])</f>
        <v>4</v>
      </c>
    </row>
    <row r="290" spans="1:3" x14ac:dyDescent="0.35">
      <c r="A290" s="2">
        <v>46141</v>
      </c>
      <c r="B290" s="1" t="s">
        <v>9</v>
      </c>
      <c r="C290" s="1">
        <f>MONTH(Tabela16[[#This Row],[DATA]])</f>
        <v>4</v>
      </c>
    </row>
    <row r="291" spans="1:3" x14ac:dyDescent="0.35">
      <c r="A291" s="2">
        <v>46141</v>
      </c>
      <c r="B291" s="1" t="s">
        <v>5</v>
      </c>
      <c r="C291" s="1">
        <f>MONTH(Tabela16[[#This Row],[DATA]])</f>
        <v>4</v>
      </c>
    </row>
    <row r="292" spans="1:3" x14ac:dyDescent="0.35">
      <c r="A292" s="2">
        <v>46142</v>
      </c>
      <c r="B292" s="1" t="s">
        <v>32</v>
      </c>
      <c r="C292" s="1">
        <f>MONTH(Tabela16[[#This Row],[DATA]])</f>
        <v>4</v>
      </c>
    </row>
    <row r="293" spans="1:3" x14ac:dyDescent="0.35">
      <c r="A293" s="2">
        <v>46142</v>
      </c>
      <c r="B293" s="1" t="s">
        <v>28</v>
      </c>
      <c r="C293" s="1">
        <f>MONTH(Tabela16[[#This Row],[DATA]])</f>
        <v>4</v>
      </c>
    </row>
    <row r="294" spans="1:3" x14ac:dyDescent="0.35">
      <c r="A294" s="2">
        <v>46146</v>
      </c>
      <c r="B294" s="1" t="s">
        <v>33</v>
      </c>
      <c r="C294" s="1">
        <f>MONTH(Tabela16[[#This Row],[DATA]])</f>
        <v>5</v>
      </c>
    </row>
    <row r="295" spans="1:3" x14ac:dyDescent="0.35">
      <c r="A295" s="2">
        <v>46146</v>
      </c>
      <c r="B295" s="1" t="s">
        <v>24</v>
      </c>
      <c r="C295" s="1">
        <f>MONTH(Tabela16[[#This Row],[DATA]])</f>
        <v>5</v>
      </c>
    </row>
    <row r="296" spans="1:3" x14ac:dyDescent="0.35">
      <c r="A296" s="2">
        <v>46146</v>
      </c>
      <c r="B296" s="1" t="s">
        <v>5</v>
      </c>
      <c r="C296" s="1">
        <f>MONTH(Tabela16[[#This Row],[DATA]])</f>
        <v>5</v>
      </c>
    </row>
    <row r="297" spans="1:3" x14ac:dyDescent="0.35">
      <c r="A297" s="2">
        <v>46146</v>
      </c>
      <c r="B297" s="1" t="s">
        <v>9</v>
      </c>
      <c r="C297" s="1">
        <f>MONTH(Tabela16[[#This Row],[DATA]])</f>
        <v>5</v>
      </c>
    </row>
    <row r="298" spans="1:3" x14ac:dyDescent="0.35">
      <c r="A298" s="2">
        <v>46146</v>
      </c>
      <c r="B298" s="1" t="s">
        <v>24</v>
      </c>
      <c r="C298" s="1">
        <f>MONTH(Tabela16[[#This Row],[DATA]])</f>
        <v>5</v>
      </c>
    </row>
    <row r="299" spans="1:3" x14ac:dyDescent="0.35">
      <c r="A299" s="2">
        <v>46147</v>
      </c>
      <c r="B299" s="1" t="s">
        <v>32</v>
      </c>
      <c r="C299" s="1">
        <f>MONTH(Tabela16[[#This Row],[DATA]])</f>
        <v>5</v>
      </c>
    </row>
    <row r="300" spans="1:3" x14ac:dyDescent="0.35">
      <c r="A300" s="2">
        <v>46147</v>
      </c>
      <c r="B300" s="1" t="s">
        <v>5</v>
      </c>
      <c r="C300" s="1">
        <f>MONTH(Tabela16[[#This Row],[DATA]])</f>
        <v>5</v>
      </c>
    </row>
    <row r="301" spans="1:3" x14ac:dyDescent="0.35">
      <c r="A301" s="2">
        <v>46147</v>
      </c>
      <c r="B301" s="1" t="s">
        <v>24</v>
      </c>
      <c r="C301" s="1">
        <f>MONTH(Tabela16[[#This Row],[DATA]])</f>
        <v>5</v>
      </c>
    </row>
    <row r="302" spans="1:3" x14ac:dyDescent="0.35">
      <c r="A302" s="2">
        <v>46147</v>
      </c>
      <c r="B302" s="1" t="s">
        <v>32</v>
      </c>
      <c r="C302" s="1">
        <f>MONTH(Tabela16[[#This Row],[DATA]])</f>
        <v>5</v>
      </c>
    </row>
    <row r="303" spans="1:3" x14ac:dyDescent="0.35">
      <c r="A303" s="2">
        <v>46147</v>
      </c>
      <c r="B303" s="1" t="s">
        <v>33</v>
      </c>
      <c r="C303" s="1">
        <f>MONTH(Tabela16[[#This Row],[DATA]])</f>
        <v>5</v>
      </c>
    </row>
    <row r="304" spans="1:3" x14ac:dyDescent="0.35">
      <c r="A304" s="2">
        <v>46148</v>
      </c>
      <c r="B304" s="1" t="s">
        <v>28</v>
      </c>
      <c r="C304" s="1">
        <f>MONTH(Tabela16[[#This Row],[DATA]])</f>
        <v>5</v>
      </c>
    </row>
    <row r="305" spans="1:3" x14ac:dyDescent="0.35">
      <c r="A305" s="2">
        <v>46148</v>
      </c>
      <c r="B305" s="1" t="s">
        <v>5</v>
      </c>
      <c r="C305" s="1">
        <f>MONTH(Tabela16[[#This Row],[DATA]])</f>
        <v>5</v>
      </c>
    </row>
    <row r="306" spans="1:3" x14ac:dyDescent="0.35">
      <c r="A306" s="2">
        <v>46148</v>
      </c>
      <c r="B306" s="1" t="s">
        <v>24</v>
      </c>
      <c r="C306" s="1">
        <f>MONTH(Tabela16[[#This Row],[DATA]])</f>
        <v>5</v>
      </c>
    </row>
    <row r="307" spans="1:3" x14ac:dyDescent="0.35">
      <c r="A307" s="2">
        <v>46148</v>
      </c>
      <c r="B307" s="1" t="s">
        <v>24</v>
      </c>
      <c r="C307" s="1">
        <f>MONTH(Tabela16[[#This Row],[DATA]])</f>
        <v>5</v>
      </c>
    </row>
    <row r="308" spans="1:3" x14ac:dyDescent="0.35">
      <c r="A308" s="2">
        <v>46149</v>
      </c>
      <c r="B308" s="1" t="s">
        <v>24</v>
      </c>
      <c r="C308" s="1">
        <f>MONTH(Tabela16[[#This Row],[DATA]])</f>
        <v>5</v>
      </c>
    </row>
    <row r="309" spans="1:3" x14ac:dyDescent="0.35">
      <c r="A309" s="2">
        <v>46149</v>
      </c>
      <c r="B309" s="1" t="s">
        <v>32</v>
      </c>
      <c r="C309" s="1">
        <f>MONTH(Tabela16[[#This Row],[DATA]])</f>
        <v>5</v>
      </c>
    </row>
    <row r="310" spans="1:3" x14ac:dyDescent="0.35">
      <c r="A310" s="2">
        <v>46149</v>
      </c>
      <c r="B310" s="1" t="s">
        <v>32</v>
      </c>
      <c r="C310" s="1">
        <f>MONTH(Tabela16[[#This Row],[DATA]])</f>
        <v>5</v>
      </c>
    </row>
    <row r="311" spans="1:3" x14ac:dyDescent="0.35">
      <c r="A311" s="2">
        <v>46150</v>
      </c>
      <c r="B311" s="1" t="s">
        <v>28</v>
      </c>
      <c r="C311" s="1">
        <f>MONTH(Tabela16[[#This Row],[DATA]])</f>
        <v>5</v>
      </c>
    </row>
    <row r="312" spans="1:3" x14ac:dyDescent="0.35">
      <c r="A312" s="2">
        <v>46150</v>
      </c>
      <c r="B312" s="1" t="s">
        <v>33</v>
      </c>
      <c r="C312" s="1">
        <f>MONTH(Tabela16[[#This Row],[DATA]])</f>
        <v>5</v>
      </c>
    </row>
    <row r="313" spans="1:3" x14ac:dyDescent="0.35">
      <c r="A313" s="2">
        <v>46150</v>
      </c>
      <c r="B313" s="1" t="s">
        <v>24</v>
      </c>
      <c r="C313" s="1">
        <f>MONTH(Tabela16[[#This Row],[DATA]])</f>
        <v>5</v>
      </c>
    </row>
    <row r="314" spans="1:3" x14ac:dyDescent="0.35">
      <c r="A314" s="2">
        <v>46150</v>
      </c>
      <c r="B314" s="1" t="s">
        <v>9</v>
      </c>
      <c r="C314" s="1">
        <f>MONTH(Tabela16[[#This Row],[DATA]])</f>
        <v>5</v>
      </c>
    </row>
    <row r="315" spans="1:3" x14ac:dyDescent="0.35">
      <c r="A315" s="2">
        <v>46150</v>
      </c>
      <c r="B315" s="1" t="s">
        <v>28</v>
      </c>
      <c r="C315" s="1">
        <f>MONTH(Tabela16[[#This Row],[DATA]])</f>
        <v>5</v>
      </c>
    </row>
    <row r="316" spans="1:3" x14ac:dyDescent="0.35">
      <c r="A316" s="2">
        <v>46153</v>
      </c>
      <c r="B316" s="1" t="s">
        <v>24</v>
      </c>
      <c r="C316" s="1">
        <f>MONTH(Tabela16[[#This Row],[DATA]])</f>
        <v>5</v>
      </c>
    </row>
    <row r="317" spans="1:3" x14ac:dyDescent="0.35">
      <c r="A317" s="2">
        <v>46153</v>
      </c>
      <c r="B317" s="1" t="s">
        <v>98</v>
      </c>
      <c r="C317" s="1">
        <f>MONTH(Tabela16[[#This Row],[DATA]])</f>
        <v>5</v>
      </c>
    </row>
    <row r="318" spans="1:3" x14ac:dyDescent="0.35">
      <c r="A318" s="2">
        <v>46153</v>
      </c>
      <c r="B318" s="1" t="s">
        <v>28</v>
      </c>
      <c r="C318" s="1">
        <f>MONTH(Tabela16[[#This Row],[DATA]])</f>
        <v>5</v>
      </c>
    </row>
    <row r="319" spans="1:3" x14ac:dyDescent="0.35">
      <c r="A319" s="2">
        <v>46153</v>
      </c>
      <c r="B319" s="1" t="s">
        <v>22</v>
      </c>
      <c r="C319" s="1">
        <f>MONTH(Tabela16[[#This Row],[DATA]])</f>
        <v>5</v>
      </c>
    </row>
    <row r="320" spans="1:3" x14ac:dyDescent="0.35">
      <c r="A320" s="2">
        <v>46154</v>
      </c>
      <c r="B320" s="1" t="s">
        <v>32</v>
      </c>
      <c r="C320" s="1">
        <f>MONTH(Tabela16[[#This Row],[DATA]])</f>
        <v>5</v>
      </c>
    </row>
    <row r="321" spans="1:3" x14ac:dyDescent="0.35">
      <c r="A321" s="2">
        <v>46154</v>
      </c>
      <c r="B321" s="1" t="s">
        <v>9</v>
      </c>
      <c r="C321" s="1">
        <f>MONTH(Tabela16[[#This Row],[DATA]])</f>
        <v>5</v>
      </c>
    </row>
    <row r="322" spans="1:3" x14ac:dyDescent="0.35">
      <c r="A322" s="2">
        <v>46154</v>
      </c>
      <c r="B322" s="1" t="s">
        <v>9</v>
      </c>
      <c r="C322" s="1">
        <f>MONTH(Tabela16[[#This Row],[DATA]])</f>
        <v>5</v>
      </c>
    </row>
    <row r="323" spans="1:3" x14ac:dyDescent="0.35">
      <c r="A323" s="2">
        <v>46154</v>
      </c>
      <c r="B323" s="1" t="s">
        <v>32</v>
      </c>
      <c r="C323" s="1">
        <f>MONTH(Tabela16[[#This Row],[DATA]])</f>
        <v>5</v>
      </c>
    </row>
    <row r="324" spans="1:3" x14ac:dyDescent="0.35">
      <c r="A324" s="2">
        <v>46154</v>
      </c>
      <c r="B324" s="1" t="s">
        <v>98</v>
      </c>
      <c r="C324" s="1">
        <f>MONTH(Tabela16[[#This Row],[DATA]])</f>
        <v>5</v>
      </c>
    </row>
    <row r="325" spans="1:3" x14ac:dyDescent="0.35">
      <c r="A325" s="2">
        <v>46155</v>
      </c>
      <c r="B325" s="1" t="s">
        <v>24</v>
      </c>
      <c r="C325" s="1">
        <f>MONTH(Tabela16[[#This Row],[DATA]])</f>
        <v>5</v>
      </c>
    </row>
    <row r="326" spans="1:3" x14ac:dyDescent="0.35">
      <c r="A326" s="2">
        <v>46156</v>
      </c>
      <c r="B326" s="1" t="s">
        <v>94</v>
      </c>
      <c r="C326" s="1">
        <f>MONTH(Tabela16[[#This Row],[DATA]])</f>
        <v>5</v>
      </c>
    </row>
    <row r="327" spans="1:3" x14ac:dyDescent="0.35">
      <c r="A327" s="2">
        <v>46156</v>
      </c>
      <c r="B327" s="1" t="s">
        <v>98</v>
      </c>
      <c r="C327" s="1">
        <f>MONTH(Tabela16[[#This Row],[DATA]])</f>
        <v>5</v>
      </c>
    </row>
    <row r="328" spans="1:3" x14ac:dyDescent="0.35">
      <c r="A328" s="2">
        <v>46156</v>
      </c>
      <c r="B328" s="1" t="s">
        <v>33</v>
      </c>
      <c r="C328" s="1">
        <f>MONTH(Tabela16[[#This Row],[DATA]])</f>
        <v>5</v>
      </c>
    </row>
    <row r="329" spans="1:3" x14ac:dyDescent="0.35">
      <c r="A329" s="2">
        <v>46158</v>
      </c>
      <c r="B329" s="1" t="s">
        <v>101</v>
      </c>
      <c r="C329" s="1">
        <f>MONTH(Tabela16[[#This Row],[DATA]])</f>
        <v>5</v>
      </c>
    </row>
    <row r="330" spans="1:3" x14ac:dyDescent="0.35">
      <c r="A330" s="2">
        <v>46160</v>
      </c>
      <c r="B330" s="1" t="s">
        <v>9</v>
      </c>
      <c r="C330" s="1">
        <f>MONTH(Tabela16[[#This Row],[DATA]])</f>
        <v>5</v>
      </c>
    </row>
    <row r="331" spans="1:3" x14ac:dyDescent="0.35">
      <c r="A331" s="2">
        <v>46160</v>
      </c>
      <c r="B331" s="1" t="s">
        <v>33</v>
      </c>
      <c r="C331" s="1">
        <f>MONTH(Tabela16[[#This Row],[DATA]])</f>
        <v>5</v>
      </c>
    </row>
    <row r="332" spans="1:3" x14ac:dyDescent="0.35">
      <c r="A332" s="2">
        <v>46160</v>
      </c>
      <c r="B332" s="1" t="s">
        <v>24</v>
      </c>
      <c r="C332" s="1">
        <f>MONTH(Tabela16[[#This Row],[DATA]])</f>
        <v>5</v>
      </c>
    </row>
    <row r="333" spans="1:3" x14ac:dyDescent="0.35">
      <c r="A333" s="2">
        <v>46162</v>
      </c>
      <c r="B333" s="1" t="s">
        <v>94</v>
      </c>
      <c r="C333" s="1">
        <f>MONTH(Tabela16[[#This Row],[DATA]])</f>
        <v>5</v>
      </c>
    </row>
    <row r="334" spans="1:3" x14ac:dyDescent="0.35">
      <c r="A334" s="2">
        <v>46163</v>
      </c>
      <c r="B334" s="1" t="s">
        <v>33</v>
      </c>
      <c r="C334" s="1">
        <f>MONTH(Tabela16[[#This Row],[DATA]])</f>
        <v>5</v>
      </c>
    </row>
    <row r="335" spans="1:3" x14ac:dyDescent="0.35">
      <c r="A335" s="2">
        <v>46164</v>
      </c>
      <c r="B335" s="1" t="s">
        <v>22</v>
      </c>
      <c r="C335" s="1">
        <f>MONTH(Tabela16[[#This Row],[DATA]])</f>
        <v>5</v>
      </c>
    </row>
    <row r="336" spans="1:3" x14ac:dyDescent="0.35">
      <c r="A336" s="2">
        <v>46168</v>
      </c>
      <c r="B336" s="1" t="s">
        <v>22</v>
      </c>
      <c r="C336" s="1">
        <f>MONTH(Tabela16[[#This Row],[DATA]])</f>
        <v>5</v>
      </c>
    </row>
    <row r="337" spans="1:3" x14ac:dyDescent="0.35">
      <c r="A337" s="2">
        <v>46168</v>
      </c>
      <c r="B337" s="1" t="s">
        <v>24</v>
      </c>
      <c r="C337" s="1">
        <f>MONTH(Tabela16[[#This Row],[DATA]])</f>
        <v>5</v>
      </c>
    </row>
    <row r="338" spans="1:3" x14ac:dyDescent="0.35">
      <c r="A338" s="2">
        <v>46168</v>
      </c>
      <c r="B338" s="1" t="s">
        <v>24</v>
      </c>
      <c r="C338" s="1">
        <f>MONTH(Tabela16[[#This Row],[DATA]])</f>
        <v>5</v>
      </c>
    </row>
    <row r="339" spans="1:3" x14ac:dyDescent="0.35">
      <c r="A339" s="2">
        <v>46171</v>
      </c>
      <c r="B339" s="1" t="s">
        <v>97</v>
      </c>
      <c r="C339" s="1">
        <f>MONTH(Tabela16[[#This Row],[DATA]])</f>
        <v>5</v>
      </c>
    </row>
    <row r="340" spans="1:3" x14ac:dyDescent="0.35">
      <c r="A340" s="2">
        <v>46171</v>
      </c>
      <c r="B340" s="1" t="s">
        <v>24</v>
      </c>
      <c r="C340" s="1">
        <f>MONTH(Tabela16[[#This Row],[DATA]])</f>
        <v>5</v>
      </c>
    </row>
    <row r="341" spans="1:3" x14ac:dyDescent="0.35">
      <c r="A341" s="2">
        <v>46171</v>
      </c>
      <c r="B341" s="1" t="s">
        <v>22</v>
      </c>
      <c r="C341" s="1">
        <f>MONTH(Tabela16[[#This Row],[DATA]])</f>
        <v>5</v>
      </c>
    </row>
    <row r="342" spans="1:3" x14ac:dyDescent="0.35">
      <c r="A342" s="2">
        <v>46175</v>
      </c>
      <c r="B342" s="1" t="s">
        <v>21</v>
      </c>
      <c r="C342" s="1">
        <f>MONTH(Tabela16[[#This Row],[DATA]])</f>
        <v>6</v>
      </c>
    </row>
    <row r="343" spans="1:3" x14ac:dyDescent="0.35">
      <c r="A343" s="2">
        <v>46175</v>
      </c>
      <c r="B343" s="1" t="s">
        <v>9</v>
      </c>
      <c r="C343" s="1">
        <f>MONTH(Tabela16[[#This Row],[DATA]])</f>
        <v>6</v>
      </c>
    </row>
    <row r="344" spans="1:3" x14ac:dyDescent="0.35">
      <c r="A344" s="2">
        <v>46176</v>
      </c>
      <c r="B344" s="1" t="s">
        <v>22</v>
      </c>
      <c r="C344" s="1">
        <f>MONTH(Tabela16[[#This Row],[DATA]])</f>
        <v>6</v>
      </c>
    </row>
    <row r="345" spans="1:3" x14ac:dyDescent="0.35">
      <c r="A345" s="2">
        <v>46176</v>
      </c>
      <c r="B345" s="1" t="s">
        <v>22</v>
      </c>
      <c r="C345" s="1">
        <f>MONTH(Tabela16[[#This Row],[DATA]])</f>
        <v>6</v>
      </c>
    </row>
    <row r="346" spans="1:3" x14ac:dyDescent="0.35">
      <c r="A346" s="2">
        <v>46181</v>
      </c>
      <c r="B346" s="1" t="s">
        <v>22</v>
      </c>
      <c r="C346" s="1">
        <f>MONTH(Tabela16[[#This Row],[DATA]])</f>
        <v>6</v>
      </c>
    </row>
    <row r="347" spans="1:3" x14ac:dyDescent="0.35">
      <c r="A347" s="2">
        <v>46181</v>
      </c>
      <c r="B347" s="1" t="s">
        <v>24</v>
      </c>
      <c r="C347" s="1">
        <f>MONTH(Tabela16[[#This Row],[DATA]])</f>
        <v>6</v>
      </c>
    </row>
    <row r="348" spans="1:3" x14ac:dyDescent="0.35">
      <c r="A348" s="2">
        <v>46182</v>
      </c>
      <c r="B348" s="1" t="s">
        <v>24</v>
      </c>
      <c r="C348" s="1">
        <f>MONTH(Tabela16[[#This Row],[DATA]])</f>
        <v>6</v>
      </c>
    </row>
    <row r="349" spans="1:3" x14ac:dyDescent="0.35">
      <c r="A349" s="2">
        <v>46182</v>
      </c>
      <c r="B349" s="1" t="s">
        <v>88</v>
      </c>
      <c r="C349" s="1">
        <f>MONTH(Tabela16[[#This Row],[DATA]])</f>
        <v>6</v>
      </c>
    </row>
    <row r="350" spans="1:3" x14ac:dyDescent="0.35">
      <c r="A350" s="2">
        <v>46184</v>
      </c>
      <c r="B350" s="1" t="s">
        <v>97</v>
      </c>
      <c r="C350" s="1">
        <f>MONTH(Tabela16[[#This Row],[DATA]])</f>
        <v>6</v>
      </c>
    </row>
    <row r="351" spans="1:3" x14ac:dyDescent="0.35">
      <c r="A351" s="2">
        <v>46185</v>
      </c>
      <c r="B351" s="1" t="s">
        <v>21</v>
      </c>
      <c r="C351" s="1">
        <f>MONTH(Tabela16[[#This Row],[DATA]])</f>
        <v>6</v>
      </c>
    </row>
    <row r="352" spans="1:3" x14ac:dyDescent="0.35">
      <c r="A352" s="2">
        <v>46188</v>
      </c>
      <c r="B352" s="1" t="s">
        <v>88</v>
      </c>
      <c r="C352" s="1">
        <f>MONTH(Tabela16[[#This Row],[DATA]])</f>
        <v>6</v>
      </c>
    </row>
    <row r="353" spans="1:3" x14ac:dyDescent="0.35">
      <c r="A353" s="2">
        <v>46188</v>
      </c>
      <c r="B353" s="1" t="s">
        <v>88</v>
      </c>
      <c r="C353" s="1">
        <f>MONTH(Tabela16[[#This Row],[DATA]])</f>
        <v>6</v>
      </c>
    </row>
    <row r="354" spans="1:3" x14ac:dyDescent="0.35">
      <c r="A354" s="2">
        <v>46189</v>
      </c>
      <c r="B354" s="1" t="s">
        <v>21</v>
      </c>
      <c r="C354" s="1">
        <f>MONTH(Tabela16[[#This Row],[DATA]])</f>
        <v>6</v>
      </c>
    </row>
    <row r="355" spans="1:3" x14ac:dyDescent="0.35">
      <c r="A355" s="2">
        <v>46189</v>
      </c>
      <c r="B355" s="1" t="s">
        <v>97</v>
      </c>
      <c r="C355" s="1">
        <f>MONTH(Tabela16[[#This Row],[DATA]])</f>
        <v>6</v>
      </c>
    </row>
    <row r="356" spans="1:3" x14ac:dyDescent="0.35">
      <c r="A356" s="2">
        <v>46189</v>
      </c>
      <c r="B356" s="1" t="s">
        <v>22</v>
      </c>
      <c r="C356" s="1">
        <f>MONTH(Tabela16[[#This Row],[DATA]])</f>
        <v>6</v>
      </c>
    </row>
    <row r="357" spans="1:3" x14ac:dyDescent="0.35">
      <c r="A357" s="2">
        <v>46189</v>
      </c>
      <c r="B357" s="1" t="s">
        <v>9</v>
      </c>
      <c r="C357" s="1">
        <f>MONTH(Tabela16[[#This Row],[DATA]])</f>
        <v>6</v>
      </c>
    </row>
    <row r="358" spans="1:3" x14ac:dyDescent="0.35">
      <c r="A358" s="2">
        <v>46190</v>
      </c>
      <c r="B358" s="1" t="s">
        <v>5</v>
      </c>
      <c r="C358" s="1">
        <f>MONTH(Tabela16[[#This Row],[DATA]])</f>
        <v>6</v>
      </c>
    </row>
    <row r="359" spans="1:3" x14ac:dyDescent="0.35">
      <c r="A359" s="2">
        <v>46190</v>
      </c>
      <c r="B359" s="1" t="s">
        <v>88</v>
      </c>
      <c r="C359" s="1">
        <f>MONTH(Tabela16[[#This Row],[DATA]])</f>
        <v>6</v>
      </c>
    </row>
    <row r="360" spans="1:3" x14ac:dyDescent="0.35">
      <c r="A360" s="2">
        <v>46190</v>
      </c>
      <c r="B360" s="1" t="s">
        <v>5</v>
      </c>
      <c r="C360" s="1">
        <f>MONTH(Tabela16[[#This Row],[DATA]])</f>
        <v>6</v>
      </c>
    </row>
    <row r="361" spans="1:3" x14ac:dyDescent="0.35">
      <c r="A361" s="2">
        <v>46191</v>
      </c>
      <c r="B361" s="1" t="s">
        <v>21</v>
      </c>
      <c r="C361" s="1">
        <f>MONTH(Tabela16[[#This Row],[DATA]])</f>
        <v>6</v>
      </c>
    </row>
    <row r="362" spans="1:3" x14ac:dyDescent="0.35">
      <c r="A362" s="2">
        <v>46192</v>
      </c>
      <c r="B362" s="1" t="s">
        <v>88</v>
      </c>
      <c r="C362" s="1">
        <f>MONTH(Tabela16[[#This Row],[DATA]])</f>
        <v>6</v>
      </c>
    </row>
    <row r="363" spans="1:3" x14ac:dyDescent="0.35">
      <c r="A363" s="2">
        <v>46195</v>
      </c>
      <c r="B363" s="1" t="s">
        <v>21</v>
      </c>
      <c r="C363" s="1">
        <f>MONTH(Tabela16[[#This Row],[DATA]])</f>
        <v>6</v>
      </c>
    </row>
    <row r="364" spans="1:3" x14ac:dyDescent="0.35">
      <c r="A364" s="2">
        <v>46195</v>
      </c>
      <c r="B364" s="1" t="s">
        <v>88</v>
      </c>
      <c r="C364" s="1">
        <f>MONTH(Tabela16[[#This Row],[DATA]])</f>
        <v>6</v>
      </c>
    </row>
    <row r="365" spans="1:3" x14ac:dyDescent="0.35">
      <c r="A365" s="2">
        <v>46195</v>
      </c>
      <c r="B365" s="1" t="s">
        <v>9</v>
      </c>
      <c r="C365" s="1">
        <f>MONTH(Tabela16[[#This Row],[DATA]])</f>
        <v>6</v>
      </c>
    </row>
    <row r="366" spans="1:3" x14ac:dyDescent="0.35">
      <c r="A366" s="2">
        <v>46196</v>
      </c>
      <c r="B366" s="1" t="s">
        <v>9</v>
      </c>
      <c r="C366" s="1">
        <f>MONTH(Tabela16[[#This Row],[DATA]])</f>
        <v>6</v>
      </c>
    </row>
    <row r="367" spans="1:3" x14ac:dyDescent="0.35">
      <c r="A367" s="2">
        <v>46196</v>
      </c>
      <c r="B367" s="1" t="s">
        <v>5</v>
      </c>
      <c r="C367" s="1">
        <f>MONTH(Tabela16[[#This Row],[DATA]])</f>
        <v>6</v>
      </c>
    </row>
    <row r="368" spans="1:3" x14ac:dyDescent="0.35">
      <c r="A368" s="2">
        <v>46197</v>
      </c>
      <c r="B368" s="1" t="s">
        <v>94</v>
      </c>
      <c r="C368" s="1">
        <f>MONTH(Tabela16[[#This Row],[DATA]])</f>
        <v>6</v>
      </c>
    </row>
    <row r="369" spans="1:3" x14ac:dyDescent="0.35">
      <c r="A369" s="2">
        <v>46197</v>
      </c>
      <c r="B369" s="1" t="s">
        <v>9</v>
      </c>
      <c r="C369" s="1">
        <f>MONTH(Tabela16[[#This Row],[DATA]])</f>
        <v>6</v>
      </c>
    </row>
    <row r="370" spans="1:3" x14ac:dyDescent="0.35">
      <c r="A370" s="2">
        <v>46198</v>
      </c>
      <c r="B370" s="1" t="s">
        <v>5</v>
      </c>
      <c r="C370" s="1">
        <f>MONTH(Tabela16[[#This Row],[DATA]])</f>
        <v>6</v>
      </c>
    </row>
    <row r="371" spans="1:3" x14ac:dyDescent="0.35">
      <c r="A371" s="2">
        <v>46198</v>
      </c>
      <c r="B371" s="1" t="s">
        <v>9</v>
      </c>
      <c r="C371" s="1">
        <f>MONTH(Tabela16[[#This Row],[DATA]])</f>
        <v>6</v>
      </c>
    </row>
    <row r="372" spans="1:3" x14ac:dyDescent="0.35">
      <c r="A372" s="2">
        <v>46198</v>
      </c>
      <c r="B372" s="1" t="s">
        <v>5</v>
      </c>
      <c r="C372" s="1">
        <f>MONTH(Tabela16[[#This Row],[DATA]])</f>
        <v>6</v>
      </c>
    </row>
    <row r="373" spans="1:3" x14ac:dyDescent="0.35">
      <c r="A373" s="2">
        <v>46199</v>
      </c>
      <c r="B373" s="1" t="s">
        <v>9</v>
      </c>
      <c r="C373" s="1">
        <f>MONTH(Tabela16[[#This Row],[DATA]])</f>
        <v>6</v>
      </c>
    </row>
    <row r="374" spans="1:3" x14ac:dyDescent="0.35">
      <c r="A374" s="2">
        <v>46199</v>
      </c>
      <c r="B374" s="1" t="s">
        <v>21</v>
      </c>
      <c r="C374" s="1">
        <f>MONTH(Tabela16[[#This Row],[DATA]])</f>
        <v>6</v>
      </c>
    </row>
    <row r="375" spans="1:3" x14ac:dyDescent="0.35">
      <c r="A375" s="2">
        <v>46202</v>
      </c>
      <c r="B375" s="1" t="s">
        <v>21</v>
      </c>
      <c r="C375" s="1">
        <f>MONTH(Tabela16[[#This Row],[DATA]])</f>
        <v>6</v>
      </c>
    </row>
    <row r="376" spans="1:3" x14ac:dyDescent="0.35">
      <c r="A376" s="2">
        <v>46202</v>
      </c>
      <c r="B376" s="1" t="s">
        <v>22</v>
      </c>
      <c r="C376" s="1">
        <f>MONTH(Tabela16[[#This Row],[DATA]])</f>
        <v>6</v>
      </c>
    </row>
    <row r="377" spans="1:3" x14ac:dyDescent="0.35">
      <c r="A377" s="2">
        <v>46202</v>
      </c>
      <c r="B377" s="1" t="s">
        <v>22</v>
      </c>
      <c r="C377" s="1">
        <f>MONTH(Tabela16[[#This Row],[DATA]])</f>
        <v>6</v>
      </c>
    </row>
    <row r="378" spans="1:3" x14ac:dyDescent="0.35">
      <c r="A378" s="2">
        <v>46202</v>
      </c>
      <c r="B378" s="1" t="s">
        <v>5</v>
      </c>
      <c r="C378" s="1">
        <f>MONTH(Tabela16[[#This Row],[DATA]])</f>
        <v>6</v>
      </c>
    </row>
    <row r="379" spans="1:3" x14ac:dyDescent="0.35">
      <c r="A379" s="2">
        <v>46203</v>
      </c>
      <c r="B379" s="1" t="s">
        <v>88</v>
      </c>
      <c r="C379" s="1">
        <f>MONTH(Tabela16[[#This Row],[DATA]])</f>
        <v>6</v>
      </c>
    </row>
    <row r="380" spans="1:3" x14ac:dyDescent="0.35">
      <c r="A380" s="2">
        <v>46203</v>
      </c>
      <c r="B380" s="1" t="s">
        <v>94</v>
      </c>
      <c r="C380" s="1">
        <f>MONTH(Tabela16[[#This Row],[DATA]])</f>
        <v>6</v>
      </c>
    </row>
    <row r="381" spans="1:3" x14ac:dyDescent="0.35">
      <c r="A381" s="2">
        <v>46204</v>
      </c>
      <c r="B381" s="1" t="s">
        <v>9</v>
      </c>
      <c r="C381" s="1">
        <f>MONTH(Tabela16[[#This Row],[DATA]])</f>
        <v>7</v>
      </c>
    </row>
    <row r="382" spans="1:3" x14ac:dyDescent="0.35">
      <c r="A382" s="2">
        <v>46204</v>
      </c>
      <c r="B382" s="1" t="s">
        <v>21</v>
      </c>
      <c r="C382" s="1">
        <f>MONTH(Tabela16[[#This Row],[DATA]])</f>
        <v>7</v>
      </c>
    </row>
    <row r="383" spans="1:3" x14ac:dyDescent="0.35">
      <c r="A383" s="2">
        <v>46205</v>
      </c>
      <c r="B383" s="1" t="s">
        <v>89</v>
      </c>
      <c r="C383" s="1">
        <f>MONTH(Tabela16[[#This Row],[DATA]])</f>
        <v>7</v>
      </c>
    </row>
    <row r="384" spans="1:3" x14ac:dyDescent="0.35">
      <c r="A384" s="2">
        <v>46205</v>
      </c>
      <c r="B384" s="1" t="s">
        <v>5</v>
      </c>
      <c r="C384" s="1">
        <f>MONTH(Tabela16[[#This Row],[DATA]])</f>
        <v>7</v>
      </c>
    </row>
    <row r="385" spans="1:3" x14ac:dyDescent="0.35">
      <c r="A385" s="2">
        <v>46205</v>
      </c>
      <c r="B385" s="1" t="s">
        <v>22</v>
      </c>
      <c r="C385" s="1">
        <f>MONTH(Tabela16[[#This Row],[DATA]])</f>
        <v>7</v>
      </c>
    </row>
    <row r="386" spans="1:3" x14ac:dyDescent="0.35">
      <c r="A386" s="2">
        <v>46205</v>
      </c>
      <c r="B386" s="1" t="s">
        <v>22</v>
      </c>
      <c r="C386" s="1">
        <f>MONTH(Tabela16[[#This Row],[DATA]])</f>
        <v>7</v>
      </c>
    </row>
    <row r="387" spans="1:3" x14ac:dyDescent="0.35">
      <c r="A387" s="2">
        <v>46205</v>
      </c>
      <c r="B387" s="1" t="s">
        <v>88</v>
      </c>
      <c r="C387" s="1">
        <f>MONTH(Tabela16[[#This Row],[DATA]])</f>
        <v>7</v>
      </c>
    </row>
    <row r="388" spans="1:3" x14ac:dyDescent="0.35">
      <c r="A388" s="2">
        <v>46206</v>
      </c>
      <c r="B388" s="1" t="s">
        <v>9</v>
      </c>
      <c r="C388" s="1">
        <f>MONTH(Tabela16[[#This Row],[DATA]])</f>
        <v>7</v>
      </c>
    </row>
    <row r="389" spans="1:3" x14ac:dyDescent="0.35">
      <c r="A389" s="2">
        <v>46206</v>
      </c>
      <c r="B389" s="1" t="s">
        <v>89</v>
      </c>
      <c r="C389" s="1">
        <f>MONTH(Tabela16[[#This Row],[DATA]])</f>
        <v>7</v>
      </c>
    </row>
    <row r="390" spans="1:3" x14ac:dyDescent="0.35">
      <c r="A390" s="2">
        <v>46206</v>
      </c>
      <c r="B390" s="1" t="s">
        <v>9</v>
      </c>
      <c r="C390" s="1">
        <f>MONTH(Tabela16[[#This Row],[DATA]])</f>
        <v>7</v>
      </c>
    </row>
    <row r="391" spans="1:3" x14ac:dyDescent="0.35">
      <c r="A391" s="2">
        <v>46206</v>
      </c>
      <c r="B391" s="1" t="s">
        <v>9</v>
      </c>
      <c r="C391" s="1">
        <f>MONTH(Tabela16[[#This Row],[DATA]])</f>
        <v>7</v>
      </c>
    </row>
    <row r="392" spans="1:3" x14ac:dyDescent="0.35">
      <c r="A392" s="2">
        <v>46206</v>
      </c>
      <c r="B392" s="1" t="s">
        <v>5</v>
      </c>
      <c r="C392" s="1">
        <f>MONTH(Tabela16[[#This Row],[DATA]])</f>
        <v>7</v>
      </c>
    </row>
    <row r="393" spans="1:3" x14ac:dyDescent="0.35">
      <c r="A393" s="2">
        <v>46209</v>
      </c>
      <c r="B393" s="1" t="s">
        <v>9</v>
      </c>
      <c r="C393" s="1">
        <f>MONTH(Tabela16[[#This Row],[DATA]])</f>
        <v>7</v>
      </c>
    </row>
    <row r="394" spans="1:3" x14ac:dyDescent="0.35">
      <c r="A394" s="2">
        <v>46209</v>
      </c>
      <c r="B394" s="1" t="s">
        <v>94</v>
      </c>
      <c r="C394" s="1">
        <f>MONTH(Tabela16[[#This Row],[DATA]])</f>
        <v>7</v>
      </c>
    </row>
    <row r="395" spans="1:3" x14ac:dyDescent="0.35">
      <c r="A395" s="2">
        <v>46209</v>
      </c>
      <c r="B395" s="1" t="s">
        <v>9</v>
      </c>
      <c r="C395" s="1">
        <f>MONTH(Tabela16[[#This Row],[DATA]])</f>
        <v>7</v>
      </c>
    </row>
    <row r="396" spans="1:3" x14ac:dyDescent="0.35">
      <c r="A396" s="2">
        <v>46210</v>
      </c>
      <c r="B396" s="1" t="s">
        <v>22</v>
      </c>
      <c r="C396" s="1">
        <f>MONTH(Tabela16[[#This Row],[DATA]])</f>
        <v>7</v>
      </c>
    </row>
    <row r="397" spans="1:3" x14ac:dyDescent="0.35">
      <c r="A397" s="2">
        <v>46210</v>
      </c>
      <c r="B397" s="1" t="s">
        <v>88</v>
      </c>
      <c r="C397" s="1">
        <f>MONTH(Tabela16[[#This Row],[DATA]])</f>
        <v>7</v>
      </c>
    </row>
    <row r="398" spans="1:3" x14ac:dyDescent="0.35">
      <c r="A398" s="2">
        <v>46210</v>
      </c>
      <c r="B398" s="1" t="s">
        <v>22</v>
      </c>
      <c r="C398" s="1">
        <f>MONTH(Tabela16[[#This Row],[DATA]])</f>
        <v>7</v>
      </c>
    </row>
    <row r="399" spans="1:3" x14ac:dyDescent="0.35">
      <c r="A399" s="2">
        <v>46210</v>
      </c>
      <c r="B399" s="1" t="s">
        <v>5</v>
      </c>
      <c r="C399" s="1">
        <f>MONTH(Tabela16[[#This Row],[DATA]])</f>
        <v>7</v>
      </c>
    </row>
    <row r="400" spans="1:3" x14ac:dyDescent="0.35">
      <c r="A400" s="2">
        <v>46210</v>
      </c>
      <c r="B400" s="1" t="s">
        <v>88</v>
      </c>
      <c r="C400" s="1">
        <f>MONTH(Tabela16[[#This Row],[DATA]])</f>
        <v>7</v>
      </c>
    </row>
    <row r="401" spans="1:3" x14ac:dyDescent="0.35">
      <c r="A401" s="2">
        <v>46210</v>
      </c>
      <c r="B401" s="1" t="s">
        <v>88</v>
      </c>
      <c r="C401" s="1">
        <f>MONTH(Tabela16[[#This Row],[DATA]])</f>
        <v>7</v>
      </c>
    </row>
    <row r="402" spans="1:3" x14ac:dyDescent="0.35">
      <c r="A402" s="2">
        <v>46210</v>
      </c>
      <c r="B402" s="1" t="s">
        <v>94</v>
      </c>
      <c r="C402" s="1">
        <f>MONTH(Tabela16[[#This Row],[DATA]])</f>
        <v>7</v>
      </c>
    </row>
    <row r="403" spans="1:3" x14ac:dyDescent="0.35">
      <c r="A403" s="2">
        <v>46210</v>
      </c>
      <c r="B403" s="1" t="s">
        <v>88</v>
      </c>
      <c r="C403" s="1">
        <f>MONTH(Tabela16[[#This Row],[DATA]])</f>
        <v>7</v>
      </c>
    </row>
    <row r="404" spans="1:3" x14ac:dyDescent="0.35">
      <c r="A404" s="2">
        <v>46211</v>
      </c>
      <c r="B404" s="1" t="s">
        <v>21</v>
      </c>
      <c r="C404" s="1">
        <f>MONTH(Tabela16[[#This Row],[DATA]])</f>
        <v>7</v>
      </c>
    </row>
    <row r="405" spans="1:3" x14ac:dyDescent="0.35">
      <c r="A405" s="2">
        <v>46211</v>
      </c>
      <c r="B405" s="1" t="s">
        <v>22</v>
      </c>
      <c r="C405" s="1">
        <f>MONTH(Tabela16[[#This Row],[DATA]])</f>
        <v>7</v>
      </c>
    </row>
    <row r="406" spans="1:3" x14ac:dyDescent="0.35">
      <c r="A406" s="2">
        <v>46213</v>
      </c>
      <c r="B406" s="1" t="s">
        <v>19</v>
      </c>
      <c r="C406" s="1">
        <f>MONTH(Tabela16[[#This Row],[DATA]])</f>
        <v>7</v>
      </c>
    </row>
    <row r="407" spans="1:3" x14ac:dyDescent="0.35">
      <c r="A407" s="2">
        <v>46216</v>
      </c>
      <c r="B407" s="1" t="s">
        <v>22</v>
      </c>
      <c r="C407" s="1">
        <f>MONTH(Tabela16[[#This Row],[DATA]])</f>
        <v>7</v>
      </c>
    </row>
    <row r="408" spans="1:3" x14ac:dyDescent="0.35">
      <c r="A408" s="2">
        <v>46216</v>
      </c>
      <c r="B408" s="1" t="s">
        <v>3</v>
      </c>
      <c r="C408" s="1">
        <f>MONTH(Tabela16[[#This Row],[DATA]])</f>
        <v>7</v>
      </c>
    </row>
    <row r="409" spans="1:3" x14ac:dyDescent="0.35">
      <c r="A409" s="2">
        <v>46216</v>
      </c>
      <c r="B409" s="1" t="s">
        <v>88</v>
      </c>
      <c r="C409" s="1">
        <f>MONTH(Tabela16[[#This Row],[DATA]])</f>
        <v>7</v>
      </c>
    </row>
    <row r="410" spans="1:3" x14ac:dyDescent="0.35">
      <c r="A410" s="2">
        <v>46216</v>
      </c>
      <c r="B410" s="1" t="s">
        <v>88</v>
      </c>
      <c r="C410" s="1">
        <f>MONTH(Tabela16[[#This Row],[DATA]])</f>
        <v>7</v>
      </c>
    </row>
    <row r="411" spans="1:3" x14ac:dyDescent="0.35">
      <c r="A411" s="2">
        <v>46217</v>
      </c>
      <c r="B411" s="1" t="s">
        <v>88</v>
      </c>
      <c r="C411" s="1">
        <f>MONTH(Tabela16[[#This Row],[DATA]])</f>
        <v>7</v>
      </c>
    </row>
    <row r="412" spans="1:3" x14ac:dyDescent="0.35">
      <c r="A412" s="2">
        <v>46217</v>
      </c>
      <c r="B412" s="1" t="s">
        <v>88</v>
      </c>
      <c r="C412" s="1">
        <f>MONTH(Tabela16[[#This Row],[DATA]])</f>
        <v>7</v>
      </c>
    </row>
    <row r="413" spans="1:3" x14ac:dyDescent="0.35">
      <c r="A413" s="2">
        <v>46218</v>
      </c>
      <c r="B413" s="1" t="s">
        <v>19</v>
      </c>
      <c r="C413" s="1">
        <f>MONTH(Tabela16[[#This Row],[DATA]])</f>
        <v>7</v>
      </c>
    </row>
    <row r="414" spans="1:3" x14ac:dyDescent="0.35">
      <c r="A414" s="2">
        <v>46218</v>
      </c>
      <c r="B414" s="1" t="s">
        <v>88</v>
      </c>
      <c r="C414" s="1">
        <f>MONTH(Tabela16[[#This Row],[DATA]])</f>
        <v>7</v>
      </c>
    </row>
    <row r="415" spans="1:3" x14ac:dyDescent="0.35">
      <c r="A415" s="2">
        <v>46218</v>
      </c>
      <c r="B415" s="1" t="s">
        <v>3</v>
      </c>
      <c r="C415" s="1">
        <f>MONTH(Tabela16[[#This Row],[DATA]])</f>
        <v>7</v>
      </c>
    </row>
    <row r="416" spans="1:3" x14ac:dyDescent="0.35">
      <c r="A416" s="2">
        <v>46218</v>
      </c>
      <c r="B416" s="1" t="s">
        <v>3</v>
      </c>
      <c r="C416" s="1">
        <f>MONTH(Tabela16[[#This Row],[DATA]])</f>
        <v>7</v>
      </c>
    </row>
    <row r="417" spans="1:3" x14ac:dyDescent="0.35">
      <c r="A417" s="2">
        <v>46218</v>
      </c>
      <c r="B417" s="1" t="s">
        <v>94</v>
      </c>
      <c r="C417" s="1">
        <f>MONTH(Tabela16[[#This Row],[DATA]])</f>
        <v>7</v>
      </c>
    </row>
    <row r="418" spans="1:3" x14ac:dyDescent="0.35">
      <c r="A418" s="2">
        <v>46218</v>
      </c>
      <c r="B418" s="1" t="s">
        <v>88</v>
      </c>
      <c r="C418" s="1">
        <f>MONTH(Tabela16[[#This Row],[DATA]])</f>
        <v>7</v>
      </c>
    </row>
    <row r="419" spans="1:3" x14ac:dyDescent="0.35">
      <c r="A419" s="2">
        <v>46218</v>
      </c>
      <c r="B419" s="1" t="s">
        <v>9</v>
      </c>
      <c r="C419" s="1">
        <f>MONTH(Tabela16[[#This Row],[DATA]])</f>
        <v>7</v>
      </c>
    </row>
    <row r="420" spans="1:3" x14ac:dyDescent="0.35">
      <c r="A420" s="2">
        <v>46219</v>
      </c>
      <c r="B420" s="1" t="s">
        <v>88</v>
      </c>
      <c r="C420" s="1">
        <f>MONTH(Tabela16[[#This Row],[DATA]])</f>
        <v>7</v>
      </c>
    </row>
    <row r="421" spans="1:3" x14ac:dyDescent="0.35">
      <c r="A421" s="2">
        <v>46219</v>
      </c>
      <c r="B421" s="1" t="s">
        <v>88</v>
      </c>
      <c r="C421" s="1">
        <f>MONTH(Tabela16[[#This Row],[DATA]])</f>
        <v>7</v>
      </c>
    </row>
    <row r="422" spans="1:3" x14ac:dyDescent="0.35">
      <c r="A422" s="2">
        <v>46219</v>
      </c>
      <c r="B422" s="1" t="s">
        <v>88</v>
      </c>
      <c r="C422" s="1">
        <f>MONTH(Tabela16[[#This Row],[DATA]])</f>
        <v>7</v>
      </c>
    </row>
    <row r="423" spans="1:3" x14ac:dyDescent="0.35">
      <c r="A423" s="2">
        <v>46223</v>
      </c>
      <c r="B423" s="1" t="s">
        <v>21</v>
      </c>
      <c r="C423" s="1">
        <f>MONTH(Tabela16[[#This Row],[DATA]])</f>
        <v>7</v>
      </c>
    </row>
    <row r="424" spans="1:3" x14ac:dyDescent="0.35">
      <c r="A424" s="2">
        <v>46223</v>
      </c>
      <c r="B424" s="1" t="s">
        <v>88</v>
      </c>
      <c r="C424" s="1">
        <f>MONTH(Tabela16[[#This Row],[DATA]])</f>
        <v>7</v>
      </c>
    </row>
    <row r="425" spans="1:3" x14ac:dyDescent="0.35">
      <c r="A425" s="2">
        <v>46224</v>
      </c>
      <c r="B425" s="1" t="s">
        <v>19</v>
      </c>
      <c r="C425" s="1">
        <f>MONTH(Tabela16[[#This Row],[DATA]])</f>
        <v>7</v>
      </c>
    </row>
    <row r="426" spans="1:3" x14ac:dyDescent="0.35">
      <c r="A426" s="2">
        <v>46224</v>
      </c>
      <c r="B426" s="1" t="s">
        <v>22</v>
      </c>
      <c r="C426" s="1">
        <f>MONTH(Tabela16[[#This Row],[DATA]])</f>
        <v>7</v>
      </c>
    </row>
    <row r="427" spans="1:3" x14ac:dyDescent="0.35">
      <c r="A427" s="2">
        <v>46224</v>
      </c>
      <c r="B427" s="1" t="s">
        <v>22</v>
      </c>
      <c r="C427" s="1">
        <f>MONTH(Tabela16[[#This Row],[DATA]])</f>
        <v>7</v>
      </c>
    </row>
    <row r="428" spans="1:3" x14ac:dyDescent="0.35">
      <c r="A428" s="2">
        <v>46226</v>
      </c>
      <c r="B428" s="1" t="s">
        <v>22</v>
      </c>
      <c r="C428" s="1">
        <f>MONTH(Tabela16[[#This Row],[DATA]])</f>
        <v>7</v>
      </c>
    </row>
    <row r="429" spans="1:3" x14ac:dyDescent="0.35">
      <c r="A429" s="2">
        <v>46226</v>
      </c>
      <c r="B429" s="1" t="s">
        <v>22</v>
      </c>
      <c r="C429" s="1">
        <f>MONTH(Tabela16[[#This Row],[DATA]])</f>
        <v>7</v>
      </c>
    </row>
    <row r="430" spans="1:3" x14ac:dyDescent="0.35">
      <c r="A430" s="2">
        <v>46226</v>
      </c>
      <c r="B430" s="1" t="s">
        <v>88</v>
      </c>
      <c r="C430" s="1">
        <f>MONTH(Tabela16[[#This Row],[DATA]])</f>
        <v>7</v>
      </c>
    </row>
    <row r="431" spans="1:3" x14ac:dyDescent="0.35">
      <c r="A431" s="2">
        <v>46227</v>
      </c>
      <c r="B431" s="1" t="s">
        <v>88</v>
      </c>
      <c r="C431" s="1">
        <f>MONTH(Tabela16[[#This Row],[DATA]])</f>
        <v>7</v>
      </c>
    </row>
    <row r="432" spans="1:3" x14ac:dyDescent="0.35">
      <c r="A432" s="2">
        <v>46227</v>
      </c>
      <c r="B432" s="1" t="s">
        <v>88</v>
      </c>
      <c r="C432" s="1">
        <f>MONTH(Tabela16[[#This Row],[DATA]])</f>
        <v>7</v>
      </c>
    </row>
    <row r="433" spans="1:3" x14ac:dyDescent="0.35">
      <c r="A433" s="2">
        <v>46230</v>
      </c>
      <c r="B433" s="1" t="s">
        <v>19</v>
      </c>
      <c r="C433" s="1">
        <f>MONTH(Tabela16[[#This Row],[DATA]])</f>
        <v>7</v>
      </c>
    </row>
    <row r="434" spans="1:3" x14ac:dyDescent="0.35">
      <c r="A434" s="2">
        <v>46230</v>
      </c>
      <c r="B434" s="1" t="s">
        <v>88</v>
      </c>
      <c r="C434" s="1">
        <f>MONTH(Tabela16[[#This Row],[DATA]])</f>
        <v>7</v>
      </c>
    </row>
    <row r="435" spans="1:3" x14ac:dyDescent="0.35">
      <c r="A435" s="2">
        <v>46231</v>
      </c>
      <c r="B435" s="1" t="s">
        <v>3</v>
      </c>
      <c r="C435" s="1">
        <f>MONTH(Tabela16[[#This Row],[DATA]])</f>
        <v>7</v>
      </c>
    </row>
    <row r="436" spans="1:3" x14ac:dyDescent="0.35">
      <c r="A436" s="2">
        <v>46231</v>
      </c>
      <c r="B436" s="1" t="s">
        <v>9</v>
      </c>
      <c r="C436" s="1">
        <f>MONTH(Tabela16[[#This Row],[DATA]])</f>
        <v>7</v>
      </c>
    </row>
    <row r="437" spans="1:3" x14ac:dyDescent="0.35">
      <c r="A437" s="2">
        <v>46233</v>
      </c>
      <c r="B437" s="1" t="s">
        <v>21</v>
      </c>
      <c r="C437" s="1">
        <f>MONTH(Tabela16[[#This Row],[DATA]])</f>
        <v>7</v>
      </c>
    </row>
    <row r="438" spans="1:3" x14ac:dyDescent="0.35">
      <c r="A438" s="2">
        <v>46233</v>
      </c>
      <c r="B438" s="1" t="s">
        <v>21</v>
      </c>
      <c r="C438" s="1">
        <f>MONTH(Tabela16[[#This Row],[DATA]])</f>
        <v>7</v>
      </c>
    </row>
    <row r="439" spans="1:3" x14ac:dyDescent="0.35">
      <c r="A439" s="2">
        <v>46233</v>
      </c>
      <c r="B439" s="1" t="s">
        <v>88</v>
      </c>
      <c r="C439" s="1">
        <f>MONTH(Tabela16[[#This Row],[DATA]])</f>
        <v>7</v>
      </c>
    </row>
    <row r="440" spans="1:3" x14ac:dyDescent="0.35">
      <c r="A440" s="2">
        <v>46234</v>
      </c>
      <c r="B440" s="1" t="s">
        <v>88</v>
      </c>
      <c r="C440" s="1">
        <f>MONTH(Tabela16[[#This Row],[DATA]])</f>
        <v>7</v>
      </c>
    </row>
    <row r="441" spans="1:3" x14ac:dyDescent="0.35">
      <c r="A441" s="2">
        <v>46237</v>
      </c>
      <c r="B441" s="1" t="s">
        <v>88</v>
      </c>
      <c r="C441" s="1">
        <f>MONTH(Tabela16[[#This Row],[DATA]])</f>
        <v>8</v>
      </c>
    </row>
    <row r="442" spans="1:3" x14ac:dyDescent="0.35">
      <c r="A442" s="2">
        <v>46237</v>
      </c>
      <c r="B442" s="1" t="s">
        <v>88</v>
      </c>
      <c r="C442" s="1">
        <f>MONTH(Tabela16[[#This Row],[DATA]])</f>
        <v>8</v>
      </c>
    </row>
    <row r="443" spans="1:3" x14ac:dyDescent="0.35">
      <c r="A443" s="2">
        <v>46237</v>
      </c>
      <c r="B443" s="1" t="s">
        <v>88</v>
      </c>
      <c r="C443" s="1">
        <f>MONTH(Tabela16[[#This Row],[DATA]])</f>
        <v>8</v>
      </c>
    </row>
    <row r="444" spans="1:3" x14ac:dyDescent="0.35">
      <c r="A444" s="2">
        <v>46237</v>
      </c>
      <c r="B444" s="1" t="s">
        <v>22</v>
      </c>
      <c r="C444" s="1">
        <f>MONTH(Tabela16[[#This Row],[DATA]])</f>
        <v>8</v>
      </c>
    </row>
    <row r="445" spans="1:3" x14ac:dyDescent="0.35">
      <c r="A445" s="2">
        <v>46237</v>
      </c>
      <c r="B445" s="1" t="s">
        <v>22</v>
      </c>
      <c r="C445" s="1">
        <f>MONTH(Tabela16[[#This Row],[DATA]])</f>
        <v>8</v>
      </c>
    </row>
    <row r="446" spans="1:3" x14ac:dyDescent="0.35">
      <c r="A446" s="2">
        <v>46237</v>
      </c>
      <c r="B446" s="1" t="s">
        <v>88</v>
      </c>
      <c r="C446" s="1">
        <f>MONTH(Tabela16[[#This Row],[DATA]])</f>
        <v>8</v>
      </c>
    </row>
    <row r="447" spans="1:3" x14ac:dyDescent="0.35">
      <c r="A447" s="2">
        <v>46238</v>
      </c>
      <c r="B447" s="1" t="s">
        <v>88</v>
      </c>
      <c r="C447" s="1">
        <f>MONTH(Tabela16[[#This Row],[DATA]])</f>
        <v>8</v>
      </c>
    </row>
    <row r="448" spans="1:3" x14ac:dyDescent="0.35">
      <c r="A448" s="2">
        <v>46240</v>
      </c>
      <c r="B448" s="1" t="s">
        <v>88</v>
      </c>
      <c r="C448" s="1">
        <f>MONTH(Tabela16[[#This Row],[DATA]])</f>
        <v>8</v>
      </c>
    </row>
    <row r="449" spans="1:3" x14ac:dyDescent="0.35">
      <c r="A449" s="2">
        <v>46240</v>
      </c>
      <c r="B449" s="1" t="s">
        <v>19</v>
      </c>
      <c r="C449" s="1">
        <f>MONTH(Tabela16[[#This Row],[DATA]])</f>
        <v>8</v>
      </c>
    </row>
    <row r="450" spans="1:3" x14ac:dyDescent="0.35">
      <c r="A450" s="2">
        <v>46244</v>
      </c>
      <c r="B450" s="1" t="s">
        <v>9</v>
      </c>
      <c r="C450" s="1">
        <f>MONTH(Tabela16[[#This Row],[DATA]])</f>
        <v>8</v>
      </c>
    </row>
    <row r="451" spans="1:3" x14ac:dyDescent="0.35">
      <c r="A451" s="2">
        <v>46244</v>
      </c>
      <c r="B451" s="1" t="s">
        <v>88</v>
      </c>
      <c r="C451" s="1">
        <f>MONTH(Tabela16[[#This Row],[DATA]])</f>
        <v>8</v>
      </c>
    </row>
    <row r="452" spans="1:3" x14ac:dyDescent="0.35">
      <c r="A452" s="2">
        <v>46244</v>
      </c>
      <c r="B452" s="1" t="s">
        <v>88</v>
      </c>
      <c r="C452" s="1">
        <f>MONTH(Tabela16[[#This Row],[DATA]])</f>
        <v>8</v>
      </c>
    </row>
    <row r="453" spans="1:3" x14ac:dyDescent="0.35">
      <c r="A453" s="2">
        <v>46246</v>
      </c>
      <c r="B453" s="1" t="s">
        <v>19</v>
      </c>
      <c r="C453" s="1">
        <f>MONTH(Tabela16[[#This Row],[DATA]])</f>
        <v>8</v>
      </c>
    </row>
    <row r="454" spans="1:3" x14ac:dyDescent="0.35">
      <c r="A454" s="2">
        <v>46246</v>
      </c>
      <c r="B454" s="1" t="s">
        <v>88</v>
      </c>
      <c r="C454" s="1">
        <f>MONTH(Tabela16[[#This Row],[DATA]])</f>
        <v>8</v>
      </c>
    </row>
    <row r="455" spans="1:3" x14ac:dyDescent="0.35">
      <c r="A455" s="2">
        <v>46247</v>
      </c>
      <c r="B455" s="1" t="s">
        <v>88</v>
      </c>
      <c r="C455" s="1">
        <f>MONTH(Tabela16[[#This Row],[DATA]])</f>
        <v>8</v>
      </c>
    </row>
    <row r="456" spans="1:3" x14ac:dyDescent="0.35">
      <c r="A456" s="2">
        <v>46247</v>
      </c>
      <c r="B456" s="1" t="s">
        <v>88</v>
      </c>
      <c r="C456" s="1">
        <f>MONTH(Tabela16[[#This Row],[DATA]])</f>
        <v>8</v>
      </c>
    </row>
    <row r="457" spans="1:3" x14ac:dyDescent="0.35">
      <c r="A457" s="2">
        <v>46248</v>
      </c>
      <c r="B457" s="1" t="s">
        <v>88</v>
      </c>
      <c r="C457" s="1">
        <f>MONTH(Tabela16[[#This Row],[DATA]])</f>
        <v>8</v>
      </c>
    </row>
    <row r="458" spans="1:3" x14ac:dyDescent="0.35">
      <c r="A458" s="2">
        <v>46251</v>
      </c>
      <c r="B458" s="1" t="s">
        <v>5</v>
      </c>
      <c r="C458" s="1">
        <f>MONTH(Tabela16[[#This Row],[DATA]])</f>
        <v>8</v>
      </c>
    </row>
    <row r="459" spans="1:3" x14ac:dyDescent="0.35">
      <c r="A459" s="2">
        <v>46251</v>
      </c>
      <c r="B459" s="1" t="s">
        <v>22</v>
      </c>
      <c r="C459" s="1">
        <f>MONTH(Tabela16[[#This Row],[DATA]])</f>
        <v>8</v>
      </c>
    </row>
    <row r="460" spans="1:3" x14ac:dyDescent="0.35">
      <c r="A460" s="2">
        <v>46251</v>
      </c>
      <c r="B460" s="1" t="s">
        <v>22</v>
      </c>
      <c r="C460" s="1">
        <f>MONTH(Tabela16[[#This Row],[DATA]])</f>
        <v>8</v>
      </c>
    </row>
    <row r="461" spans="1:3" x14ac:dyDescent="0.35">
      <c r="A461" s="2">
        <v>46251</v>
      </c>
      <c r="B461" s="1" t="s">
        <v>22</v>
      </c>
      <c r="C461" s="1">
        <f>MONTH(Tabela16[[#This Row],[DATA]])</f>
        <v>8</v>
      </c>
    </row>
    <row r="462" spans="1:3" x14ac:dyDescent="0.35">
      <c r="A462" s="2">
        <v>46251</v>
      </c>
      <c r="B462" s="1" t="s">
        <v>22</v>
      </c>
      <c r="C462" s="1">
        <f>MONTH(Tabela16[[#This Row],[DATA]])</f>
        <v>8</v>
      </c>
    </row>
    <row r="463" spans="1:3" x14ac:dyDescent="0.35">
      <c r="A463" s="2">
        <v>46251</v>
      </c>
      <c r="B463" s="1" t="s">
        <v>9</v>
      </c>
      <c r="C463" s="1">
        <f>MONTH(Tabela16[[#This Row],[DATA]])</f>
        <v>8</v>
      </c>
    </row>
    <row r="464" spans="1:3" x14ac:dyDescent="0.35">
      <c r="A464" s="2">
        <v>46251</v>
      </c>
      <c r="B464" s="1" t="s">
        <v>9</v>
      </c>
      <c r="C464" s="1">
        <f>MONTH(Tabela16[[#This Row],[DATA]])</f>
        <v>8</v>
      </c>
    </row>
    <row r="465" spans="1:3" x14ac:dyDescent="0.35">
      <c r="A465" s="2">
        <v>46251</v>
      </c>
      <c r="B465" s="1" t="s">
        <v>21</v>
      </c>
      <c r="C465" s="1">
        <f>MONTH(Tabela16[[#This Row],[DATA]])</f>
        <v>8</v>
      </c>
    </row>
    <row r="466" spans="1:3" x14ac:dyDescent="0.35">
      <c r="A466" s="2">
        <v>46251</v>
      </c>
      <c r="B466" s="1" t="s">
        <v>22</v>
      </c>
      <c r="C466" s="1">
        <f>MONTH(Tabela16[[#This Row],[DATA]])</f>
        <v>8</v>
      </c>
    </row>
    <row r="467" spans="1:3" x14ac:dyDescent="0.35">
      <c r="A467" s="2">
        <v>46251</v>
      </c>
      <c r="B467" s="1" t="s">
        <v>3</v>
      </c>
      <c r="C467" s="1">
        <f>MONTH(Tabela16[[#This Row],[DATA]])</f>
        <v>8</v>
      </c>
    </row>
    <row r="468" spans="1:3" x14ac:dyDescent="0.35">
      <c r="A468" s="2">
        <v>46251</v>
      </c>
      <c r="B468" s="1" t="s">
        <v>19</v>
      </c>
      <c r="C468" s="1">
        <f>MONTH(Tabela16[[#This Row],[DATA]])</f>
        <v>8</v>
      </c>
    </row>
    <row r="469" spans="1:3" x14ac:dyDescent="0.35">
      <c r="A469" s="2">
        <v>46251</v>
      </c>
      <c r="B469" s="1" t="s">
        <v>88</v>
      </c>
      <c r="C469" s="1">
        <f>MONTH(Tabela16[[#This Row],[DATA]])</f>
        <v>8</v>
      </c>
    </row>
    <row r="470" spans="1:3" x14ac:dyDescent="0.35">
      <c r="A470" s="2">
        <v>46252</v>
      </c>
      <c r="B470" s="1" t="s">
        <v>5</v>
      </c>
      <c r="C470" s="1">
        <f>MONTH(Tabela16[[#This Row],[DATA]])</f>
        <v>8</v>
      </c>
    </row>
    <row r="471" spans="1:3" x14ac:dyDescent="0.35">
      <c r="A471" s="2">
        <v>46252</v>
      </c>
      <c r="B471" s="1" t="s">
        <v>5</v>
      </c>
      <c r="C471" s="1">
        <f>MONTH(Tabela16[[#This Row],[DATA]])</f>
        <v>8</v>
      </c>
    </row>
    <row r="472" spans="1:3" x14ac:dyDescent="0.35">
      <c r="A472" s="2">
        <v>46253</v>
      </c>
      <c r="B472" s="1" t="s">
        <v>21</v>
      </c>
      <c r="C472" s="1">
        <f>MONTH(Tabela16[[#This Row],[DATA]])</f>
        <v>8</v>
      </c>
    </row>
    <row r="473" spans="1:3" x14ac:dyDescent="0.35">
      <c r="A473" s="2">
        <v>46253</v>
      </c>
      <c r="B473" s="1" t="s">
        <v>22</v>
      </c>
      <c r="C473" s="1">
        <f>MONTH(Tabela16[[#This Row],[DATA]])</f>
        <v>8</v>
      </c>
    </row>
    <row r="474" spans="1:3" x14ac:dyDescent="0.35">
      <c r="A474" s="2">
        <v>46253</v>
      </c>
      <c r="B474" s="1" t="s">
        <v>3</v>
      </c>
      <c r="C474" s="1">
        <f>MONTH(Tabela16[[#This Row],[DATA]])</f>
        <v>8</v>
      </c>
    </row>
    <row r="475" spans="1:3" x14ac:dyDescent="0.35">
      <c r="A475" s="2">
        <v>46254</v>
      </c>
      <c r="B475" s="1" t="s">
        <v>3</v>
      </c>
      <c r="C475" s="1">
        <f>MONTH(Tabela16[[#This Row],[DATA]])</f>
        <v>8</v>
      </c>
    </row>
    <row r="476" spans="1:3" x14ac:dyDescent="0.35">
      <c r="A476" s="2">
        <v>46254</v>
      </c>
      <c r="B476" s="1" t="s">
        <v>24</v>
      </c>
      <c r="C476" s="1">
        <f>MONTH(Tabela16[[#This Row],[DATA]])</f>
        <v>8</v>
      </c>
    </row>
    <row r="477" spans="1:3" x14ac:dyDescent="0.35">
      <c r="A477" s="2">
        <v>46254</v>
      </c>
      <c r="B477" s="1" t="s">
        <v>3</v>
      </c>
      <c r="C477" s="1">
        <f>MONTH(Tabela16[[#This Row],[DATA]])</f>
        <v>8</v>
      </c>
    </row>
    <row r="478" spans="1:3" x14ac:dyDescent="0.35">
      <c r="A478" s="2">
        <v>46254</v>
      </c>
      <c r="B478" s="1" t="s">
        <v>19</v>
      </c>
      <c r="C478" s="1">
        <f>MONTH(Tabela16[[#This Row],[DATA]])</f>
        <v>8</v>
      </c>
    </row>
    <row r="479" spans="1:3" x14ac:dyDescent="0.35">
      <c r="A479" s="2">
        <v>46255</v>
      </c>
      <c r="B479" s="1" t="s">
        <v>21</v>
      </c>
      <c r="C479" s="1">
        <f>MONTH(Tabela16[[#This Row],[DATA]])</f>
        <v>8</v>
      </c>
    </row>
    <row r="480" spans="1:3" x14ac:dyDescent="0.35">
      <c r="A480" s="2">
        <v>46255</v>
      </c>
      <c r="B480" s="1" t="s">
        <v>9</v>
      </c>
      <c r="C480" s="1">
        <f>MONTH(Tabela16[[#This Row],[DATA]])</f>
        <v>8</v>
      </c>
    </row>
    <row r="481" spans="1:3" x14ac:dyDescent="0.35">
      <c r="A481" s="2">
        <v>46255</v>
      </c>
      <c r="B481" s="1" t="s">
        <v>3</v>
      </c>
      <c r="C481" s="1">
        <f>MONTH(Tabela16[[#This Row],[DATA]])</f>
        <v>8</v>
      </c>
    </row>
    <row r="482" spans="1:3" x14ac:dyDescent="0.35">
      <c r="A482" s="2">
        <v>46255</v>
      </c>
      <c r="B482" s="1" t="s">
        <v>19</v>
      </c>
      <c r="C482" s="1">
        <f>MONTH(Tabela16[[#This Row],[DATA]])</f>
        <v>8</v>
      </c>
    </row>
    <row r="483" spans="1:3" x14ac:dyDescent="0.35">
      <c r="A483" s="2">
        <v>46258</v>
      </c>
      <c r="B483" s="1" t="s">
        <v>9</v>
      </c>
      <c r="C483" s="1">
        <f>MONTH(Tabela16[[#This Row],[DATA]])</f>
        <v>8</v>
      </c>
    </row>
    <row r="484" spans="1:3" x14ac:dyDescent="0.35">
      <c r="A484" s="2">
        <v>46258</v>
      </c>
      <c r="B484" s="1" t="s">
        <v>22</v>
      </c>
      <c r="C484" s="1">
        <f>MONTH(Tabela16[[#This Row],[DATA]])</f>
        <v>8</v>
      </c>
    </row>
    <row r="485" spans="1:3" x14ac:dyDescent="0.35">
      <c r="A485" s="2">
        <v>46258</v>
      </c>
      <c r="B485" s="1" t="s">
        <v>22</v>
      </c>
      <c r="C485" s="1">
        <f>MONTH(Tabela16[[#This Row],[DATA]])</f>
        <v>8</v>
      </c>
    </row>
    <row r="486" spans="1:3" x14ac:dyDescent="0.35">
      <c r="A486" s="2">
        <v>46258</v>
      </c>
      <c r="B486" s="1" t="s">
        <v>3</v>
      </c>
      <c r="C486" s="1">
        <f>MONTH(Tabela16[[#This Row],[DATA]])</f>
        <v>8</v>
      </c>
    </row>
    <row r="487" spans="1:3" x14ac:dyDescent="0.35">
      <c r="A487" s="2">
        <v>46258</v>
      </c>
      <c r="B487" s="1" t="s">
        <v>88</v>
      </c>
      <c r="C487" s="1">
        <f>MONTH(Tabela16[[#This Row],[DATA]])</f>
        <v>8</v>
      </c>
    </row>
    <row r="488" spans="1:3" x14ac:dyDescent="0.35">
      <c r="A488" s="2">
        <v>46259</v>
      </c>
      <c r="B488" s="1" t="s">
        <v>22</v>
      </c>
      <c r="C488" s="1">
        <f>MONTH(Tabela16[[#This Row],[DATA]])</f>
        <v>8</v>
      </c>
    </row>
    <row r="489" spans="1:3" x14ac:dyDescent="0.35">
      <c r="A489" s="2">
        <v>46259</v>
      </c>
      <c r="B489" s="1" t="s">
        <v>88</v>
      </c>
      <c r="C489" s="1">
        <f>MONTH(Tabela16[[#This Row],[DATA]])</f>
        <v>8</v>
      </c>
    </row>
    <row r="490" spans="1:3" x14ac:dyDescent="0.35">
      <c r="A490" s="2">
        <v>46260</v>
      </c>
      <c r="B490" s="1" t="s">
        <v>22</v>
      </c>
      <c r="C490" s="1">
        <f>MONTH(Tabela16[[#This Row],[DATA]])</f>
        <v>8</v>
      </c>
    </row>
    <row r="491" spans="1:3" x14ac:dyDescent="0.35">
      <c r="A491" s="2">
        <v>46260</v>
      </c>
      <c r="B491" s="1" t="s">
        <v>21</v>
      </c>
      <c r="C491" s="1">
        <f>MONTH(Tabela16[[#This Row],[DATA]])</f>
        <v>8</v>
      </c>
    </row>
    <row r="492" spans="1:3" x14ac:dyDescent="0.35">
      <c r="A492" s="2">
        <v>46260</v>
      </c>
      <c r="B492" s="1" t="s">
        <v>24</v>
      </c>
      <c r="C492" s="1">
        <f>MONTH(Tabela16[[#This Row],[DATA]])</f>
        <v>8</v>
      </c>
    </row>
    <row r="493" spans="1:3" x14ac:dyDescent="0.35">
      <c r="A493" s="2">
        <v>46260</v>
      </c>
      <c r="B493" s="1" t="s">
        <v>22</v>
      </c>
      <c r="C493" s="1">
        <f>MONTH(Tabela16[[#This Row],[DATA]])</f>
        <v>8</v>
      </c>
    </row>
    <row r="494" spans="1:3" x14ac:dyDescent="0.35">
      <c r="A494" s="2">
        <v>46260</v>
      </c>
      <c r="B494" s="1" t="s">
        <v>24</v>
      </c>
      <c r="C494" s="1">
        <f>MONTH(Tabela16[[#This Row],[DATA]])</f>
        <v>8</v>
      </c>
    </row>
    <row r="495" spans="1:3" x14ac:dyDescent="0.35">
      <c r="A495" s="2">
        <v>46260</v>
      </c>
      <c r="B495" s="1" t="s">
        <v>24</v>
      </c>
      <c r="C495" s="1">
        <f>MONTH(Tabela16[[#This Row],[DATA]])</f>
        <v>8</v>
      </c>
    </row>
    <row r="496" spans="1:3" x14ac:dyDescent="0.35">
      <c r="A496" s="2">
        <v>46260</v>
      </c>
      <c r="B496" s="1" t="s">
        <v>24</v>
      </c>
      <c r="C496" s="1">
        <f>MONTH(Tabela16[[#This Row],[DATA]])</f>
        <v>8</v>
      </c>
    </row>
    <row r="497" spans="1:3" x14ac:dyDescent="0.35">
      <c r="A497" s="2">
        <v>46260</v>
      </c>
      <c r="B497" s="1" t="s">
        <v>88</v>
      </c>
      <c r="C497" s="1">
        <f>MONTH(Tabela16[[#This Row],[DATA]])</f>
        <v>8</v>
      </c>
    </row>
    <row r="498" spans="1:3" x14ac:dyDescent="0.35">
      <c r="A498" s="2">
        <v>46260</v>
      </c>
      <c r="B498" s="1" t="s">
        <v>88</v>
      </c>
      <c r="C498" s="1">
        <f>MONTH(Tabela16[[#This Row],[DATA]])</f>
        <v>8</v>
      </c>
    </row>
    <row r="499" spans="1:3" x14ac:dyDescent="0.35">
      <c r="A499" s="2">
        <v>46260</v>
      </c>
      <c r="B499" s="1" t="s">
        <v>24</v>
      </c>
      <c r="C499" s="1">
        <f>MONTH(Tabela16[[#This Row],[DATA]])</f>
        <v>8</v>
      </c>
    </row>
    <row r="500" spans="1:3" x14ac:dyDescent="0.35">
      <c r="A500" s="2">
        <v>46260</v>
      </c>
      <c r="B500" s="1" t="s">
        <v>88</v>
      </c>
      <c r="C500" s="1">
        <f>MONTH(Tabela16[[#This Row],[DATA]])</f>
        <v>8</v>
      </c>
    </row>
    <row r="501" spans="1:3" x14ac:dyDescent="0.35">
      <c r="A501" s="2">
        <v>46261</v>
      </c>
      <c r="B501" s="1" t="s">
        <v>22</v>
      </c>
      <c r="C501" s="1">
        <f>MONTH(Tabela16[[#This Row],[DATA]])</f>
        <v>8</v>
      </c>
    </row>
    <row r="502" spans="1:3" x14ac:dyDescent="0.35">
      <c r="A502" s="2">
        <v>46262</v>
      </c>
      <c r="B502" s="1" t="s">
        <v>21</v>
      </c>
      <c r="C502" s="1">
        <f>MONTH(Tabela16[[#This Row],[DATA]])</f>
        <v>8</v>
      </c>
    </row>
    <row r="503" spans="1:3" x14ac:dyDescent="0.35">
      <c r="A503" s="2">
        <v>46262</v>
      </c>
      <c r="B503" s="1" t="s">
        <v>22</v>
      </c>
      <c r="C503" s="1">
        <f>MONTH(Tabela16[[#This Row],[DATA]])</f>
        <v>8</v>
      </c>
    </row>
    <row r="504" spans="1:3" x14ac:dyDescent="0.35">
      <c r="A504" s="2">
        <v>46262</v>
      </c>
      <c r="B504" s="1" t="s">
        <v>22</v>
      </c>
      <c r="C504" s="1">
        <f>MONTH(Tabela16[[#This Row],[DATA]])</f>
        <v>8</v>
      </c>
    </row>
    <row r="505" spans="1:3" x14ac:dyDescent="0.35">
      <c r="A505" s="2">
        <v>46262</v>
      </c>
      <c r="B505" s="1" t="s">
        <v>22</v>
      </c>
      <c r="C505" s="1">
        <f>MONTH(Tabela16[[#This Row],[DATA]])</f>
        <v>8</v>
      </c>
    </row>
    <row r="506" spans="1:3" x14ac:dyDescent="0.35">
      <c r="A506" s="2">
        <v>46265</v>
      </c>
      <c r="B506" s="1" t="s">
        <v>22</v>
      </c>
      <c r="C506" s="1">
        <f>MONTH(Tabela16[[#This Row],[DATA]])</f>
        <v>8</v>
      </c>
    </row>
    <row r="507" spans="1:3" x14ac:dyDescent="0.35">
      <c r="A507" s="2">
        <v>46265</v>
      </c>
      <c r="B507" s="1" t="s">
        <v>88</v>
      </c>
      <c r="C507" s="1">
        <f>MONTH(Tabela16[[#This Row],[DATA]])</f>
        <v>8</v>
      </c>
    </row>
    <row r="508" spans="1:3" x14ac:dyDescent="0.35">
      <c r="A508" s="2">
        <v>46265</v>
      </c>
      <c r="B508" s="1" t="s">
        <v>9</v>
      </c>
      <c r="C508" s="1">
        <f>MONTH(Tabela16[[#This Row],[DATA]])</f>
        <v>8</v>
      </c>
    </row>
    <row r="509" spans="1:3" x14ac:dyDescent="0.35">
      <c r="A509" s="2">
        <v>46265</v>
      </c>
      <c r="B509" s="1" t="s">
        <v>19</v>
      </c>
      <c r="C509" s="1">
        <f>MONTH(Tabela16[[#This Row],[DATA]])</f>
        <v>8</v>
      </c>
    </row>
    <row r="510" spans="1:3" x14ac:dyDescent="0.35">
      <c r="A510" s="2">
        <v>46266</v>
      </c>
      <c r="B510" s="1" t="s">
        <v>88</v>
      </c>
      <c r="C510" s="1">
        <f>MONTH(Tabela16[[#This Row],[DATA]])</f>
        <v>9</v>
      </c>
    </row>
    <row r="511" spans="1:3" x14ac:dyDescent="0.35">
      <c r="A511" s="2">
        <v>46266</v>
      </c>
      <c r="B511" s="1" t="s">
        <v>22</v>
      </c>
      <c r="C511" s="1">
        <f>MONTH(Tabela16[[#This Row],[DATA]])</f>
        <v>9</v>
      </c>
    </row>
    <row r="512" spans="1:3" x14ac:dyDescent="0.35">
      <c r="A512" s="2">
        <v>46266</v>
      </c>
      <c r="B512" s="1" t="s">
        <v>88</v>
      </c>
      <c r="C512" s="1">
        <f>MONTH(Tabela16[[#This Row],[DATA]])</f>
        <v>9</v>
      </c>
    </row>
    <row r="513" spans="1:3" x14ac:dyDescent="0.35">
      <c r="A513" s="2">
        <v>46266</v>
      </c>
      <c r="B513" s="1" t="s">
        <v>88</v>
      </c>
      <c r="C513" s="1">
        <f>MONTH(Tabela16[[#This Row],[DATA]])</f>
        <v>9</v>
      </c>
    </row>
    <row r="514" spans="1:3" x14ac:dyDescent="0.35">
      <c r="A514" s="2">
        <v>46267</v>
      </c>
      <c r="B514" s="1" t="s">
        <v>88</v>
      </c>
      <c r="C514" s="1">
        <f>MONTH(Tabela16[[#This Row],[DATA]])</f>
        <v>9</v>
      </c>
    </row>
    <row r="515" spans="1:3" x14ac:dyDescent="0.35">
      <c r="A515" s="2">
        <v>46267</v>
      </c>
      <c r="B515" s="1" t="s">
        <v>22</v>
      </c>
      <c r="C515" s="1">
        <f>MONTH(Tabela16[[#This Row],[DATA]])</f>
        <v>9</v>
      </c>
    </row>
    <row r="516" spans="1:3" x14ac:dyDescent="0.35">
      <c r="A516" s="2">
        <v>46267</v>
      </c>
      <c r="B516" s="1" t="s">
        <v>88</v>
      </c>
      <c r="C516" s="1">
        <f>MONTH(Tabela16[[#This Row],[DATA]])</f>
        <v>9</v>
      </c>
    </row>
    <row r="517" spans="1:3" x14ac:dyDescent="0.35">
      <c r="A517" s="2">
        <v>46267</v>
      </c>
      <c r="B517" s="1" t="s">
        <v>88</v>
      </c>
      <c r="C517" s="1">
        <f>MONTH(Tabela16[[#This Row],[DATA]])</f>
        <v>9</v>
      </c>
    </row>
    <row r="518" spans="1:3" x14ac:dyDescent="0.35">
      <c r="A518" s="2">
        <v>46268</v>
      </c>
      <c r="B518" s="1" t="s">
        <v>22</v>
      </c>
      <c r="C518" s="1">
        <f>MONTH(Tabela16[[#This Row],[DATA]])</f>
        <v>9</v>
      </c>
    </row>
    <row r="519" spans="1:3" x14ac:dyDescent="0.35">
      <c r="A519" s="2">
        <v>46268</v>
      </c>
      <c r="B519" s="1" t="s">
        <v>22</v>
      </c>
      <c r="C519" s="1">
        <f>MONTH(Tabela16[[#This Row],[DATA]])</f>
        <v>9</v>
      </c>
    </row>
    <row r="520" spans="1:3" x14ac:dyDescent="0.35">
      <c r="A520" s="2">
        <v>46268</v>
      </c>
      <c r="B520" s="1" t="s">
        <v>22</v>
      </c>
      <c r="C520" s="1">
        <f>MONTH(Tabela16[[#This Row],[DATA]])</f>
        <v>9</v>
      </c>
    </row>
    <row r="521" spans="1:3" x14ac:dyDescent="0.35">
      <c r="A521" s="2">
        <v>46268</v>
      </c>
      <c r="B521" s="1" t="s">
        <v>22</v>
      </c>
      <c r="C521" s="1">
        <f>MONTH(Tabela16[[#This Row],[DATA]])</f>
        <v>9</v>
      </c>
    </row>
    <row r="522" spans="1:3" x14ac:dyDescent="0.35">
      <c r="A522" s="2">
        <v>46268</v>
      </c>
      <c r="B522" s="1" t="s">
        <v>88</v>
      </c>
      <c r="C522" s="1">
        <f>MONTH(Tabela16[[#This Row],[DATA]])</f>
        <v>9</v>
      </c>
    </row>
    <row r="523" spans="1:3" x14ac:dyDescent="0.35">
      <c r="A523" s="2">
        <v>46268</v>
      </c>
      <c r="B523" s="1" t="s">
        <v>5</v>
      </c>
      <c r="C523" s="1">
        <f>MONTH(Tabela16[[#This Row],[DATA]])</f>
        <v>9</v>
      </c>
    </row>
    <row r="524" spans="1:3" x14ac:dyDescent="0.35">
      <c r="A524" s="2">
        <v>46269</v>
      </c>
      <c r="B524" s="1" t="s">
        <v>88</v>
      </c>
      <c r="C524" s="1">
        <f>MONTH(Tabela16[[#This Row],[DATA]])</f>
        <v>9</v>
      </c>
    </row>
    <row r="525" spans="1:3" x14ac:dyDescent="0.35">
      <c r="A525" s="2">
        <v>46269</v>
      </c>
      <c r="B525" s="1" t="s">
        <v>88</v>
      </c>
      <c r="C525" s="1">
        <f>MONTH(Tabela16[[#This Row],[DATA]])</f>
        <v>9</v>
      </c>
    </row>
    <row r="526" spans="1:3" x14ac:dyDescent="0.35">
      <c r="A526" s="2">
        <v>46273</v>
      </c>
      <c r="B526" s="1" t="s">
        <v>22</v>
      </c>
      <c r="C526" s="1">
        <f>MONTH(Tabela16[[#This Row],[DATA]])</f>
        <v>9</v>
      </c>
    </row>
    <row r="527" spans="1:3" x14ac:dyDescent="0.35">
      <c r="A527" s="2">
        <v>46273</v>
      </c>
      <c r="C527" s="1">
        <f>MONTH(Tabela16[[#This Row],[DATA]])</f>
        <v>9</v>
      </c>
    </row>
    <row r="528" spans="1:3" x14ac:dyDescent="0.35">
      <c r="A528" s="2">
        <v>46273</v>
      </c>
      <c r="B528" s="1" t="s">
        <v>22</v>
      </c>
      <c r="C528" s="1">
        <f>MONTH(Tabela16[[#This Row],[DATA]])</f>
        <v>9</v>
      </c>
    </row>
    <row r="529" spans="1:3" x14ac:dyDescent="0.35">
      <c r="A529" s="2">
        <v>46273</v>
      </c>
      <c r="B529" s="1" t="s">
        <v>22</v>
      </c>
      <c r="C529" s="1">
        <f>MONTH(Tabela16[[#This Row],[DATA]])</f>
        <v>9</v>
      </c>
    </row>
    <row r="530" spans="1:3" x14ac:dyDescent="0.35">
      <c r="A530" s="2">
        <v>46273</v>
      </c>
      <c r="B530" s="1" t="s">
        <v>22</v>
      </c>
      <c r="C530" s="1">
        <f>MONTH(Tabela16[[#This Row],[DATA]])</f>
        <v>9</v>
      </c>
    </row>
    <row r="531" spans="1:3" x14ac:dyDescent="0.35">
      <c r="A531" s="2">
        <v>46275</v>
      </c>
      <c r="B531" s="1" t="s">
        <v>22</v>
      </c>
      <c r="C531" s="1">
        <f>MONTH(Tabela16[[#This Row],[DATA]])</f>
        <v>9</v>
      </c>
    </row>
    <row r="532" spans="1:3" x14ac:dyDescent="0.35">
      <c r="A532" s="2">
        <v>46275</v>
      </c>
      <c r="B532" s="1" t="s">
        <v>88</v>
      </c>
      <c r="C532" s="1">
        <f>MONTH(Tabela16[[#This Row],[DATA]])</f>
        <v>9</v>
      </c>
    </row>
    <row r="533" spans="1:3" x14ac:dyDescent="0.35">
      <c r="A533" s="2">
        <v>46275</v>
      </c>
      <c r="B533" s="1" t="s">
        <v>3</v>
      </c>
      <c r="C533" s="1">
        <f>MONTH(Tabela16[[#This Row],[DATA]])</f>
        <v>9</v>
      </c>
    </row>
    <row r="534" spans="1:3" x14ac:dyDescent="0.35">
      <c r="A534" s="2">
        <v>46276</v>
      </c>
      <c r="B534" s="1" t="s">
        <v>21</v>
      </c>
      <c r="C534" s="1">
        <f>MONTH(Tabela16[[#This Row],[DATA]])</f>
        <v>9</v>
      </c>
    </row>
    <row r="535" spans="1:3" x14ac:dyDescent="0.35">
      <c r="A535" s="2">
        <v>46276</v>
      </c>
      <c r="B535" s="1" t="s">
        <v>22</v>
      </c>
      <c r="C535" s="1">
        <f>MONTH(Tabela16[[#This Row],[DATA]])</f>
        <v>9</v>
      </c>
    </row>
    <row r="536" spans="1:3" x14ac:dyDescent="0.35">
      <c r="A536" s="2">
        <v>46276</v>
      </c>
      <c r="B536" s="1" t="s">
        <v>22</v>
      </c>
      <c r="C536" s="1">
        <f>MONTH(Tabela16[[#This Row],[DATA]])</f>
        <v>9</v>
      </c>
    </row>
    <row r="537" spans="1:3" x14ac:dyDescent="0.35">
      <c r="A537" s="2">
        <v>46276</v>
      </c>
      <c r="B537" s="1" t="s">
        <v>9</v>
      </c>
      <c r="C537" s="1">
        <f>MONTH(Tabela16[[#This Row],[DATA]])</f>
        <v>9</v>
      </c>
    </row>
    <row r="538" spans="1:3" x14ac:dyDescent="0.35">
      <c r="A538" s="2">
        <v>46276</v>
      </c>
      <c r="B538" s="1" t="s">
        <v>88</v>
      </c>
      <c r="C538" s="1">
        <f>MONTH(Tabela16[[#This Row],[DATA]])</f>
        <v>9</v>
      </c>
    </row>
    <row r="539" spans="1:3" x14ac:dyDescent="0.35">
      <c r="A539" s="2">
        <v>46276</v>
      </c>
      <c r="B539" s="1" t="s">
        <v>9</v>
      </c>
      <c r="C539" s="1">
        <f>MONTH(Tabela16[[#This Row],[DATA]])</f>
        <v>9</v>
      </c>
    </row>
    <row r="540" spans="1:3" x14ac:dyDescent="0.35">
      <c r="A540" s="2">
        <v>46276</v>
      </c>
      <c r="B540" s="1" t="s">
        <v>19</v>
      </c>
      <c r="C540" s="1">
        <f>MONTH(Tabela16[[#This Row],[DATA]])</f>
        <v>9</v>
      </c>
    </row>
    <row r="541" spans="1:3" x14ac:dyDescent="0.35">
      <c r="A541" s="2">
        <v>46279</v>
      </c>
      <c r="B541" s="1" t="s">
        <v>3</v>
      </c>
      <c r="C541" s="1">
        <f>MONTH(Tabela16[[#This Row],[DATA]])</f>
        <v>9</v>
      </c>
    </row>
    <row r="542" spans="1:3" x14ac:dyDescent="0.35">
      <c r="A542" s="2">
        <v>46279</v>
      </c>
      <c r="B542" s="1" t="s">
        <v>100</v>
      </c>
      <c r="C542" s="1">
        <f>MONTH(Tabela16[[#This Row],[DATA]])</f>
        <v>9</v>
      </c>
    </row>
    <row r="543" spans="1:3" x14ac:dyDescent="0.35">
      <c r="A543" s="2">
        <v>46279</v>
      </c>
      <c r="B543" s="1" t="s">
        <v>5</v>
      </c>
      <c r="C543" s="1">
        <f>MONTH(Tabela16[[#This Row],[DATA]])</f>
        <v>9</v>
      </c>
    </row>
    <row r="544" spans="1:3" x14ac:dyDescent="0.35">
      <c r="A544" s="2">
        <v>46279</v>
      </c>
      <c r="B544" s="1" t="s">
        <v>3</v>
      </c>
      <c r="C544" s="1">
        <f>MONTH(Tabela16[[#This Row],[DATA]])</f>
        <v>9</v>
      </c>
    </row>
    <row r="545" spans="1:3" x14ac:dyDescent="0.35">
      <c r="A545" s="2">
        <v>46279</v>
      </c>
      <c r="B545" s="1" t="s">
        <v>22</v>
      </c>
      <c r="C545" s="1">
        <f>MONTH(Tabela16[[#This Row],[DATA]])</f>
        <v>9</v>
      </c>
    </row>
    <row r="546" spans="1:3" x14ac:dyDescent="0.35">
      <c r="A546" s="2">
        <v>46280</v>
      </c>
      <c r="B546" s="1" t="s">
        <v>22</v>
      </c>
      <c r="C546" s="1">
        <f>MONTH(Tabela16[[#This Row],[DATA]])</f>
        <v>9</v>
      </c>
    </row>
    <row r="547" spans="1:3" x14ac:dyDescent="0.35">
      <c r="A547" s="2">
        <v>46280</v>
      </c>
      <c r="B547" s="1" t="s">
        <v>24</v>
      </c>
      <c r="C547" s="1">
        <f>MONTH(Tabela16[[#This Row],[DATA]])</f>
        <v>9</v>
      </c>
    </row>
    <row r="548" spans="1:3" x14ac:dyDescent="0.35">
      <c r="A548" s="2">
        <v>46280</v>
      </c>
      <c r="B548" s="1" t="s">
        <v>5</v>
      </c>
      <c r="C548" s="1">
        <f>MONTH(Tabela16[[#This Row],[DATA]])</f>
        <v>9</v>
      </c>
    </row>
    <row r="549" spans="1:3" x14ac:dyDescent="0.35">
      <c r="A549" s="2">
        <v>46281</v>
      </c>
      <c r="B549" s="1" t="s">
        <v>9</v>
      </c>
      <c r="C549" s="1">
        <f>MONTH(Tabela16[[#This Row],[DATA]])</f>
        <v>9</v>
      </c>
    </row>
    <row r="550" spans="1:3" x14ac:dyDescent="0.35">
      <c r="A550" s="2">
        <v>46281</v>
      </c>
      <c r="B550" s="1" t="s">
        <v>88</v>
      </c>
      <c r="C550" s="1">
        <f>MONTH(Tabela16[[#This Row],[DATA]])</f>
        <v>9</v>
      </c>
    </row>
    <row r="551" spans="1:3" x14ac:dyDescent="0.35">
      <c r="A551" s="2">
        <v>46281</v>
      </c>
      <c r="B551" s="1" t="s">
        <v>99</v>
      </c>
      <c r="C551" s="1">
        <f>MONTH(Tabela16[[#This Row],[DATA]])</f>
        <v>9</v>
      </c>
    </row>
    <row r="552" spans="1:3" x14ac:dyDescent="0.35">
      <c r="A552" s="2">
        <v>46281</v>
      </c>
      <c r="B552" s="1" t="s">
        <v>88</v>
      </c>
      <c r="C552" s="1">
        <f>MONTH(Tabela16[[#This Row],[DATA]])</f>
        <v>9</v>
      </c>
    </row>
    <row r="553" spans="1:3" x14ac:dyDescent="0.35">
      <c r="A553" s="2">
        <v>46282</v>
      </c>
      <c r="B553" s="1" t="s">
        <v>22</v>
      </c>
      <c r="C553" s="1">
        <f>MONTH(Tabela16[[#This Row],[DATA]])</f>
        <v>9</v>
      </c>
    </row>
    <row r="554" spans="1:3" x14ac:dyDescent="0.35">
      <c r="A554" s="2">
        <v>46282</v>
      </c>
      <c r="B554" s="1" t="s">
        <v>22</v>
      </c>
      <c r="C554" s="1">
        <f>MONTH(Tabela16[[#This Row],[DATA]])</f>
        <v>9</v>
      </c>
    </row>
    <row r="555" spans="1:3" x14ac:dyDescent="0.35">
      <c r="A555" s="2">
        <v>46283</v>
      </c>
      <c r="B555" s="1" t="s">
        <v>88</v>
      </c>
      <c r="C555" s="1">
        <f>MONTH(Tabela16[[#This Row],[DATA]])</f>
        <v>9</v>
      </c>
    </row>
    <row r="556" spans="1:3" x14ac:dyDescent="0.35">
      <c r="A556" s="2">
        <v>46286</v>
      </c>
      <c r="B556" s="1" t="s">
        <v>9</v>
      </c>
      <c r="C556" s="1">
        <f>MONTH(Tabela16[[#This Row],[DATA]])</f>
        <v>9</v>
      </c>
    </row>
    <row r="557" spans="1:3" x14ac:dyDescent="0.35">
      <c r="A557" s="2">
        <v>46286</v>
      </c>
      <c r="B557" s="1" t="s">
        <v>21</v>
      </c>
      <c r="C557" s="1">
        <f>MONTH(Tabela16[[#This Row],[DATA]])</f>
        <v>9</v>
      </c>
    </row>
    <row r="558" spans="1:3" x14ac:dyDescent="0.35">
      <c r="A558" s="2">
        <v>46286</v>
      </c>
      <c r="B558" s="1" t="s">
        <v>3</v>
      </c>
      <c r="C558" s="1">
        <f>MONTH(Tabela16[[#This Row],[DATA]])</f>
        <v>9</v>
      </c>
    </row>
    <row r="559" spans="1:3" x14ac:dyDescent="0.35">
      <c r="A559" s="2">
        <v>46286</v>
      </c>
      <c r="B559" s="1" t="s">
        <v>22</v>
      </c>
      <c r="C559" s="1">
        <f>MONTH(Tabela16[[#This Row],[DATA]])</f>
        <v>9</v>
      </c>
    </row>
    <row r="560" spans="1:3" x14ac:dyDescent="0.35">
      <c r="A560" s="2">
        <v>46286</v>
      </c>
      <c r="B560" s="1" t="s">
        <v>28</v>
      </c>
      <c r="C560" s="1">
        <f>MONTH(Tabela16[[#This Row],[DATA]])</f>
        <v>9</v>
      </c>
    </row>
    <row r="561" spans="1:3" x14ac:dyDescent="0.35">
      <c r="A561" s="2">
        <v>46286</v>
      </c>
      <c r="B561" s="1" t="s">
        <v>3</v>
      </c>
      <c r="C561" s="1">
        <f>MONTH(Tabela16[[#This Row],[DATA]])</f>
        <v>9</v>
      </c>
    </row>
    <row r="562" spans="1:3" x14ac:dyDescent="0.35">
      <c r="A562" s="2">
        <v>46286</v>
      </c>
      <c r="B562" s="1" t="s">
        <v>88</v>
      </c>
      <c r="C562" s="1">
        <f>MONTH(Tabela16[[#This Row],[DATA]])</f>
        <v>9</v>
      </c>
    </row>
    <row r="563" spans="1:3" x14ac:dyDescent="0.35">
      <c r="A563" s="2">
        <v>46286</v>
      </c>
      <c r="B563" s="1" t="s">
        <v>88</v>
      </c>
      <c r="C563" s="1">
        <f>MONTH(Tabela16[[#This Row],[DATA]])</f>
        <v>9</v>
      </c>
    </row>
    <row r="564" spans="1:3" x14ac:dyDescent="0.35">
      <c r="A564" s="2">
        <v>46286</v>
      </c>
      <c r="B564" s="1" t="s">
        <v>19</v>
      </c>
      <c r="C564" s="1">
        <f>MONTH(Tabela16[[#This Row],[DATA]])</f>
        <v>9</v>
      </c>
    </row>
    <row r="565" spans="1:3" x14ac:dyDescent="0.35">
      <c r="A565" s="2">
        <v>46287</v>
      </c>
      <c r="B565" s="1" t="s">
        <v>9</v>
      </c>
      <c r="C565" s="1">
        <f>MONTH(Tabela16[[#This Row],[DATA]])</f>
        <v>9</v>
      </c>
    </row>
    <row r="566" spans="1:3" x14ac:dyDescent="0.35">
      <c r="A566" s="2">
        <v>46287</v>
      </c>
      <c r="B566" s="1" t="s">
        <v>22</v>
      </c>
      <c r="C566" s="1">
        <f>MONTH(Tabela16[[#This Row],[DATA]])</f>
        <v>9</v>
      </c>
    </row>
    <row r="567" spans="1:3" x14ac:dyDescent="0.35">
      <c r="A567" s="2">
        <v>46287</v>
      </c>
      <c r="B567" s="1" t="s">
        <v>88</v>
      </c>
      <c r="C567" s="1">
        <f>MONTH(Tabela16[[#This Row],[DATA]])</f>
        <v>9</v>
      </c>
    </row>
    <row r="568" spans="1:3" x14ac:dyDescent="0.35">
      <c r="A568" s="2">
        <v>46287</v>
      </c>
      <c r="B568" s="1" t="s">
        <v>22</v>
      </c>
      <c r="C568" s="1">
        <f>MONTH(Tabela16[[#This Row],[DATA]])</f>
        <v>9</v>
      </c>
    </row>
    <row r="569" spans="1:3" x14ac:dyDescent="0.35">
      <c r="A569" s="2">
        <v>46288</v>
      </c>
      <c r="B569" s="1" t="s">
        <v>28</v>
      </c>
      <c r="C569" s="1">
        <f>MONTH(Tabela16[[#This Row],[DATA]])</f>
        <v>9</v>
      </c>
    </row>
    <row r="570" spans="1:3" x14ac:dyDescent="0.35">
      <c r="A570" s="2">
        <v>46288</v>
      </c>
      <c r="B570" s="1" t="s">
        <v>88</v>
      </c>
      <c r="C570" s="1">
        <f>MONTH(Tabela16[[#This Row],[DATA]])</f>
        <v>9</v>
      </c>
    </row>
    <row r="571" spans="1:3" x14ac:dyDescent="0.35">
      <c r="A571" s="2">
        <v>46288</v>
      </c>
      <c r="B571" s="1" t="s">
        <v>88</v>
      </c>
      <c r="C571" s="1">
        <f>MONTH(Tabela16[[#This Row],[DATA]])</f>
        <v>9</v>
      </c>
    </row>
    <row r="572" spans="1:3" x14ac:dyDescent="0.35">
      <c r="A572" s="2">
        <v>46288</v>
      </c>
      <c r="B572" s="1" t="s">
        <v>22</v>
      </c>
      <c r="C572" s="1">
        <f>MONTH(Tabela16[[#This Row],[DATA]])</f>
        <v>9</v>
      </c>
    </row>
    <row r="573" spans="1:3" x14ac:dyDescent="0.35">
      <c r="A573" s="2">
        <v>46288</v>
      </c>
      <c r="B573" s="1" t="s">
        <v>21</v>
      </c>
      <c r="C573" s="1">
        <f>MONTH(Tabela16[[#This Row],[DATA]])</f>
        <v>9</v>
      </c>
    </row>
    <row r="574" spans="1:3" x14ac:dyDescent="0.35">
      <c r="A574" s="2">
        <v>46288</v>
      </c>
      <c r="B574" s="1" t="s">
        <v>9</v>
      </c>
      <c r="C574" s="1">
        <f>MONTH(Tabela16[[#This Row],[DATA]])</f>
        <v>9</v>
      </c>
    </row>
    <row r="575" spans="1:3" x14ac:dyDescent="0.35">
      <c r="A575" s="2">
        <v>46288</v>
      </c>
      <c r="B575" s="1" t="s">
        <v>28</v>
      </c>
      <c r="C575" s="1">
        <f>MONTH(Tabela16[[#This Row],[DATA]])</f>
        <v>9</v>
      </c>
    </row>
    <row r="576" spans="1:3" x14ac:dyDescent="0.35">
      <c r="A576" s="2">
        <v>46288</v>
      </c>
      <c r="B576" s="1" t="s">
        <v>88</v>
      </c>
      <c r="C576" s="1">
        <f>MONTH(Tabela16[[#This Row],[DATA]])</f>
        <v>9</v>
      </c>
    </row>
    <row r="577" spans="1:3" x14ac:dyDescent="0.35">
      <c r="A577" s="2">
        <v>46289</v>
      </c>
      <c r="B577" s="1" t="s">
        <v>88</v>
      </c>
      <c r="C577" s="1">
        <f>MONTH(Tabela16[[#This Row],[DATA]])</f>
        <v>9</v>
      </c>
    </row>
    <row r="578" spans="1:3" x14ac:dyDescent="0.35">
      <c r="A578" s="2">
        <v>46290</v>
      </c>
      <c r="B578" s="1" t="s">
        <v>88</v>
      </c>
      <c r="C578" s="1">
        <f>MONTH(Tabela16[[#This Row],[DATA]])</f>
        <v>9</v>
      </c>
    </row>
    <row r="579" spans="1:3" x14ac:dyDescent="0.35">
      <c r="A579" s="2">
        <v>46290</v>
      </c>
      <c r="B579" s="1" t="s">
        <v>88</v>
      </c>
      <c r="C579" s="1">
        <f>MONTH(Tabela16[[#This Row],[DATA]])</f>
        <v>9</v>
      </c>
    </row>
    <row r="580" spans="1:3" x14ac:dyDescent="0.35">
      <c r="A580" s="2">
        <v>46290</v>
      </c>
      <c r="B580" s="1" t="s">
        <v>3</v>
      </c>
      <c r="C580" s="1">
        <f>MONTH(Tabela16[[#This Row],[DATA]])</f>
        <v>9</v>
      </c>
    </row>
    <row r="581" spans="1:3" x14ac:dyDescent="0.35">
      <c r="A581" s="2">
        <v>46290</v>
      </c>
      <c r="B581" s="1" t="s">
        <v>88</v>
      </c>
      <c r="C581" s="1">
        <f>MONTH(Tabela16[[#This Row],[DATA]])</f>
        <v>9</v>
      </c>
    </row>
    <row r="582" spans="1:3" x14ac:dyDescent="0.35">
      <c r="A582" s="2">
        <v>46293</v>
      </c>
      <c r="B582" s="1" t="s">
        <v>19</v>
      </c>
      <c r="C582" s="1">
        <f>MONTH(Tabela16[[#This Row],[DATA]])</f>
        <v>9</v>
      </c>
    </row>
    <row r="583" spans="1:3" x14ac:dyDescent="0.35">
      <c r="A583" s="2">
        <v>46293</v>
      </c>
      <c r="B583" s="1" t="s">
        <v>88</v>
      </c>
      <c r="C583" s="1">
        <f>MONTH(Tabela16[[#This Row],[DATA]])</f>
        <v>9</v>
      </c>
    </row>
    <row r="584" spans="1:3" x14ac:dyDescent="0.35">
      <c r="A584" s="2">
        <v>46294</v>
      </c>
      <c r="B584" s="1" t="s">
        <v>88</v>
      </c>
      <c r="C584" s="1">
        <f>MONTH(Tabela16[[#This Row],[DATA]])</f>
        <v>9</v>
      </c>
    </row>
    <row r="585" spans="1:3" x14ac:dyDescent="0.35">
      <c r="A585" s="2">
        <v>46294</v>
      </c>
      <c r="B585" s="1" t="s">
        <v>88</v>
      </c>
      <c r="C585" s="1">
        <f>MONTH(Tabela16[[#This Row],[DATA]])</f>
        <v>9</v>
      </c>
    </row>
    <row r="586" spans="1:3" x14ac:dyDescent="0.35">
      <c r="A586" s="2">
        <v>46294</v>
      </c>
      <c r="B586" s="1" t="s">
        <v>88</v>
      </c>
      <c r="C586" s="1">
        <f>MONTH(Tabela16[[#This Row],[DATA]])</f>
        <v>9</v>
      </c>
    </row>
    <row r="587" spans="1:3" x14ac:dyDescent="0.35">
      <c r="A587" s="2">
        <v>46294</v>
      </c>
      <c r="B587" s="1" t="s">
        <v>88</v>
      </c>
      <c r="C587" s="1">
        <f>MONTH(Tabela16[[#This Row],[DATA]])</f>
        <v>9</v>
      </c>
    </row>
    <row r="588" spans="1:3" x14ac:dyDescent="0.35">
      <c r="A588" s="2">
        <v>46295</v>
      </c>
      <c r="B588" s="1" t="s">
        <v>88</v>
      </c>
      <c r="C588" s="1">
        <f>MONTH(Tabela16[[#This Row],[DATA]])</f>
        <v>9</v>
      </c>
    </row>
    <row r="589" spans="1:3" x14ac:dyDescent="0.35">
      <c r="A589" s="2">
        <v>46295</v>
      </c>
      <c r="B589" s="1" t="s">
        <v>24</v>
      </c>
      <c r="C589" s="1">
        <f>MONTH(Tabela16[[#This Row],[DATA]])</f>
        <v>9</v>
      </c>
    </row>
    <row r="590" spans="1:3" x14ac:dyDescent="0.35">
      <c r="A590" s="2">
        <v>46296</v>
      </c>
      <c r="B590" s="1" t="s">
        <v>28</v>
      </c>
      <c r="C590" s="1">
        <f>MONTH(Tabela16[[#This Row],[DATA]])</f>
        <v>10</v>
      </c>
    </row>
    <row r="591" spans="1:3" x14ac:dyDescent="0.35">
      <c r="A591" s="2">
        <v>46296</v>
      </c>
      <c r="B591" s="1" t="s">
        <v>22</v>
      </c>
      <c r="C591" s="1">
        <f>MONTH(Tabela16[[#This Row],[DATA]])</f>
        <v>10</v>
      </c>
    </row>
    <row r="592" spans="1:3" x14ac:dyDescent="0.35">
      <c r="A592" s="2">
        <v>46296</v>
      </c>
      <c r="B592" s="1" t="s">
        <v>28</v>
      </c>
      <c r="C592" s="1">
        <f>MONTH(Tabela16[[#This Row],[DATA]])</f>
        <v>10</v>
      </c>
    </row>
    <row r="593" spans="1:3" x14ac:dyDescent="0.35">
      <c r="A593" s="2">
        <v>46300</v>
      </c>
      <c r="B593" s="1" t="s">
        <v>9</v>
      </c>
      <c r="C593" s="1">
        <f>MONTH(Tabela16[[#This Row],[DATA]])</f>
        <v>10</v>
      </c>
    </row>
    <row r="594" spans="1:3" x14ac:dyDescent="0.35">
      <c r="A594" s="2">
        <v>46300</v>
      </c>
      <c r="B594" s="1" t="s">
        <v>88</v>
      </c>
      <c r="C594" s="1">
        <f>MONTH(Tabela16[[#This Row],[DATA]])</f>
        <v>10</v>
      </c>
    </row>
    <row r="595" spans="1:3" x14ac:dyDescent="0.35">
      <c r="A595" s="2">
        <v>46301</v>
      </c>
      <c r="B595" s="1" t="s">
        <v>88</v>
      </c>
      <c r="C595" s="1">
        <f>MONTH(Tabela16[[#This Row],[DATA]])</f>
        <v>10</v>
      </c>
    </row>
    <row r="596" spans="1:3" x14ac:dyDescent="0.35">
      <c r="A596" s="2">
        <v>46301</v>
      </c>
      <c r="B596" s="1" t="s">
        <v>21</v>
      </c>
      <c r="C596" s="1">
        <f>MONTH(Tabela16[[#This Row],[DATA]])</f>
        <v>10</v>
      </c>
    </row>
    <row r="597" spans="1:3" x14ac:dyDescent="0.35">
      <c r="A597" s="2">
        <v>46301</v>
      </c>
      <c r="B597" s="1" t="s">
        <v>88</v>
      </c>
      <c r="C597" s="1">
        <f>MONTH(Tabela16[[#This Row],[DATA]])</f>
        <v>10</v>
      </c>
    </row>
    <row r="598" spans="1:3" x14ac:dyDescent="0.35">
      <c r="A598" s="2">
        <v>46301</v>
      </c>
      <c r="B598" s="1" t="s">
        <v>22</v>
      </c>
      <c r="C598" s="1">
        <f>MONTH(Tabela16[[#This Row],[DATA]])</f>
        <v>10</v>
      </c>
    </row>
    <row r="599" spans="1:3" x14ac:dyDescent="0.35">
      <c r="A599" s="2">
        <v>46302</v>
      </c>
      <c r="B599" s="1" t="s">
        <v>88</v>
      </c>
      <c r="C599" s="1">
        <f>MONTH(Tabela16[[#This Row],[DATA]])</f>
        <v>10</v>
      </c>
    </row>
    <row r="600" spans="1:3" x14ac:dyDescent="0.35">
      <c r="A600" s="2">
        <v>46302</v>
      </c>
      <c r="B600" s="1" t="s">
        <v>9</v>
      </c>
      <c r="C600" s="1">
        <f>MONTH(Tabela16[[#This Row],[DATA]])</f>
        <v>10</v>
      </c>
    </row>
    <row r="601" spans="1:3" x14ac:dyDescent="0.35">
      <c r="A601" s="2">
        <v>46302</v>
      </c>
      <c r="B601" s="1" t="s">
        <v>28</v>
      </c>
      <c r="C601" s="1">
        <f>MONTH(Tabela16[[#This Row],[DATA]])</f>
        <v>10</v>
      </c>
    </row>
    <row r="602" spans="1:3" x14ac:dyDescent="0.35">
      <c r="A602" s="2">
        <v>46302</v>
      </c>
      <c r="B602" s="1" t="s">
        <v>22</v>
      </c>
      <c r="C602" s="1">
        <f>MONTH(Tabela16[[#This Row],[DATA]])</f>
        <v>10</v>
      </c>
    </row>
    <row r="603" spans="1:3" x14ac:dyDescent="0.35">
      <c r="A603" s="2">
        <v>46303</v>
      </c>
      <c r="B603" s="1" t="s">
        <v>24</v>
      </c>
      <c r="C603" s="1">
        <f>MONTH(Tabela16[[#This Row],[DATA]])</f>
        <v>10</v>
      </c>
    </row>
    <row r="604" spans="1:3" x14ac:dyDescent="0.35">
      <c r="A604" s="2">
        <v>46303</v>
      </c>
      <c r="B604" s="1" t="s">
        <v>22</v>
      </c>
      <c r="C604" s="1">
        <f>MONTH(Tabela16[[#This Row],[DATA]])</f>
        <v>10</v>
      </c>
    </row>
    <row r="605" spans="1:3" x14ac:dyDescent="0.35">
      <c r="A605" s="2">
        <v>46303</v>
      </c>
      <c r="B605" s="1" t="s">
        <v>24</v>
      </c>
      <c r="C605" s="1">
        <f>MONTH(Tabela16[[#This Row],[DATA]])</f>
        <v>10</v>
      </c>
    </row>
    <row r="606" spans="1:3" x14ac:dyDescent="0.35">
      <c r="A606" s="2">
        <v>46303</v>
      </c>
      <c r="B606" s="1" t="s">
        <v>22</v>
      </c>
      <c r="C606" s="1">
        <f>MONTH(Tabela16[[#This Row],[DATA]])</f>
        <v>10</v>
      </c>
    </row>
    <row r="607" spans="1:3" x14ac:dyDescent="0.35">
      <c r="A607" s="2">
        <v>46303</v>
      </c>
      <c r="B607" s="1" t="s">
        <v>88</v>
      </c>
      <c r="C607" s="1">
        <f>MONTH(Tabela16[[#This Row],[DATA]])</f>
        <v>10</v>
      </c>
    </row>
    <row r="608" spans="1:3" x14ac:dyDescent="0.35">
      <c r="A608" s="2">
        <v>46303</v>
      </c>
      <c r="B608" s="1" t="s">
        <v>21</v>
      </c>
      <c r="C608" s="1">
        <f>MONTH(Tabela16[[#This Row],[DATA]])</f>
        <v>10</v>
      </c>
    </row>
    <row r="609" spans="1:3" x14ac:dyDescent="0.35">
      <c r="A609" s="2">
        <v>46303</v>
      </c>
      <c r="B609" s="1" t="s">
        <v>21</v>
      </c>
      <c r="C609" s="1">
        <f>MONTH(Tabela16[[#This Row],[DATA]])</f>
        <v>10</v>
      </c>
    </row>
    <row r="610" spans="1:3" x14ac:dyDescent="0.35">
      <c r="A610" s="2">
        <v>46304</v>
      </c>
      <c r="B610" s="1" t="s">
        <v>19</v>
      </c>
      <c r="C610" s="1">
        <f>MONTH(Tabela16[[#This Row],[DATA]])</f>
        <v>10</v>
      </c>
    </row>
    <row r="611" spans="1:3" x14ac:dyDescent="0.35">
      <c r="A611" s="2">
        <v>46304</v>
      </c>
      <c r="B611" s="1" t="s">
        <v>19</v>
      </c>
      <c r="C611" s="1">
        <f>MONTH(Tabela16[[#This Row],[DATA]])</f>
        <v>10</v>
      </c>
    </row>
    <row r="612" spans="1:3" x14ac:dyDescent="0.35">
      <c r="A612" s="2">
        <v>46304</v>
      </c>
      <c r="B612" s="1" t="s">
        <v>19</v>
      </c>
      <c r="C612" s="1">
        <f>MONTH(Tabela16[[#This Row],[DATA]])</f>
        <v>10</v>
      </c>
    </row>
    <row r="613" spans="1:3" x14ac:dyDescent="0.35">
      <c r="A613" s="2">
        <v>46304</v>
      </c>
      <c r="B613" s="1" t="s">
        <v>9</v>
      </c>
      <c r="C613" s="1">
        <f>MONTH(Tabela16[[#This Row],[DATA]])</f>
        <v>10</v>
      </c>
    </row>
    <row r="614" spans="1:3" x14ac:dyDescent="0.35">
      <c r="A614" s="2">
        <v>46304</v>
      </c>
      <c r="B614" s="1" t="s">
        <v>28</v>
      </c>
      <c r="C614" s="1">
        <f>MONTH(Tabela16[[#This Row],[DATA]])</f>
        <v>10</v>
      </c>
    </row>
    <row r="615" spans="1:3" x14ac:dyDescent="0.35">
      <c r="A615" s="2">
        <v>46304</v>
      </c>
      <c r="B615" s="1" t="s">
        <v>19</v>
      </c>
      <c r="C615" s="1">
        <f>MONTH(Tabela16[[#This Row],[DATA]])</f>
        <v>10</v>
      </c>
    </row>
    <row r="616" spans="1:3" x14ac:dyDescent="0.35">
      <c r="A616" s="2">
        <v>46304</v>
      </c>
      <c r="B616" s="1" t="s">
        <v>21</v>
      </c>
      <c r="C616" s="1">
        <f>MONTH(Tabela16[[#This Row],[DATA]])</f>
        <v>10</v>
      </c>
    </row>
    <row r="617" spans="1:3" x14ac:dyDescent="0.35">
      <c r="A617" s="2">
        <v>46304</v>
      </c>
      <c r="B617" s="1" t="s">
        <v>9</v>
      </c>
      <c r="C617" s="1">
        <f>MONTH(Tabela16[[#This Row],[DATA]])</f>
        <v>10</v>
      </c>
    </row>
    <row r="618" spans="1:3" x14ac:dyDescent="0.35">
      <c r="A618" s="2">
        <v>46304</v>
      </c>
      <c r="B618" s="1" t="s">
        <v>3</v>
      </c>
      <c r="C618" s="1">
        <f>MONTH(Tabela16[[#This Row],[DATA]])</f>
        <v>10</v>
      </c>
    </row>
    <row r="619" spans="1:3" x14ac:dyDescent="0.35">
      <c r="A619" s="2">
        <v>46308</v>
      </c>
      <c r="B619" s="1" t="s">
        <v>88</v>
      </c>
      <c r="C619" s="1">
        <f>MONTH(Tabela16[[#This Row],[DATA]])</f>
        <v>10</v>
      </c>
    </row>
    <row r="620" spans="1:3" x14ac:dyDescent="0.35">
      <c r="A620" s="2">
        <v>46308</v>
      </c>
      <c r="B620" s="1" t="s">
        <v>28</v>
      </c>
      <c r="C620" s="1">
        <f>MONTH(Tabela16[[#This Row],[DATA]])</f>
        <v>10</v>
      </c>
    </row>
    <row r="621" spans="1:3" x14ac:dyDescent="0.35">
      <c r="A621" s="2">
        <v>46308</v>
      </c>
      <c r="B621" s="1" t="s">
        <v>24</v>
      </c>
      <c r="C621" s="1">
        <f>MONTH(Tabela16[[#This Row],[DATA]])</f>
        <v>10</v>
      </c>
    </row>
    <row r="622" spans="1:3" x14ac:dyDescent="0.35">
      <c r="A622" s="2">
        <v>46308</v>
      </c>
      <c r="B622" s="1" t="s">
        <v>19</v>
      </c>
      <c r="C622" s="1">
        <f>MONTH(Tabela16[[#This Row],[DATA]])</f>
        <v>10</v>
      </c>
    </row>
    <row r="623" spans="1:3" x14ac:dyDescent="0.35">
      <c r="A623" s="2">
        <v>46308</v>
      </c>
      <c r="B623" s="1" t="s">
        <v>22</v>
      </c>
      <c r="C623" s="1">
        <f>MONTH(Tabela16[[#This Row],[DATA]])</f>
        <v>10</v>
      </c>
    </row>
    <row r="624" spans="1:3" x14ac:dyDescent="0.35">
      <c r="A624" s="2">
        <v>46308</v>
      </c>
      <c r="B624" s="1" t="s">
        <v>9</v>
      </c>
      <c r="C624" s="1">
        <f>MONTH(Tabela16[[#This Row],[DATA]])</f>
        <v>10</v>
      </c>
    </row>
    <row r="625" spans="1:3" x14ac:dyDescent="0.35">
      <c r="A625" s="2">
        <v>46309</v>
      </c>
      <c r="B625" s="1" t="s">
        <v>88</v>
      </c>
      <c r="C625" s="1">
        <f>MONTH(Tabela16[[#This Row],[DATA]])</f>
        <v>10</v>
      </c>
    </row>
    <row r="626" spans="1:3" x14ac:dyDescent="0.35">
      <c r="A626" s="2">
        <v>46309</v>
      </c>
      <c r="B626" s="1" t="s">
        <v>28</v>
      </c>
      <c r="C626" s="1">
        <f>MONTH(Tabela16[[#This Row],[DATA]])</f>
        <v>10</v>
      </c>
    </row>
    <row r="627" spans="1:3" x14ac:dyDescent="0.35">
      <c r="A627" s="2">
        <v>46309</v>
      </c>
      <c r="B627" s="1" t="s">
        <v>88</v>
      </c>
      <c r="C627" s="1">
        <f>MONTH(Tabela16[[#This Row],[DATA]])</f>
        <v>10</v>
      </c>
    </row>
    <row r="628" spans="1:3" x14ac:dyDescent="0.35">
      <c r="A628" s="2">
        <v>46310</v>
      </c>
      <c r="B628" s="1" t="s">
        <v>19</v>
      </c>
      <c r="C628" s="1">
        <f>MONTH(Tabela16[[#This Row],[DATA]])</f>
        <v>10</v>
      </c>
    </row>
    <row r="629" spans="1:3" x14ac:dyDescent="0.35">
      <c r="A629" s="2">
        <v>46310</v>
      </c>
      <c r="B629" s="1" t="s">
        <v>21</v>
      </c>
      <c r="C629" s="1">
        <f>MONTH(Tabela16[[#This Row],[DATA]])</f>
        <v>10</v>
      </c>
    </row>
    <row r="630" spans="1:3" x14ac:dyDescent="0.35">
      <c r="A630" s="2">
        <v>46310</v>
      </c>
      <c r="B630" s="1" t="s">
        <v>3</v>
      </c>
      <c r="C630" s="1">
        <f>MONTH(Tabela16[[#This Row],[DATA]])</f>
        <v>10</v>
      </c>
    </row>
    <row r="631" spans="1:3" x14ac:dyDescent="0.35">
      <c r="A631" s="2">
        <v>46310</v>
      </c>
      <c r="B631" s="1" t="s">
        <v>88</v>
      </c>
      <c r="C631" s="1">
        <f>MONTH(Tabela16[[#This Row],[DATA]])</f>
        <v>10</v>
      </c>
    </row>
    <row r="632" spans="1:3" x14ac:dyDescent="0.35">
      <c r="A632" s="2">
        <v>46310</v>
      </c>
      <c r="B632" s="1" t="s">
        <v>88</v>
      </c>
      <c r="C632" s="1">
        <f>MONTH(Tabela16[[#This Row],[DATA]])</f>
        <v>10</v>
      </c>
    </row>
    <row r="633" spans="1:3" x14ac:dyDescent="0.35">
      <c r="A633" s="2">
        <v>46310</v>
      </c>
      <c r="B633" s="1" t="s">
        <v>88</v>
      </c>
      <c r="C633" s="1">
        <f>MONTH(Tabela16[[#This Row],[DATA]])</f>
        <v>10</v>
      </c>
    </row>
    <row r="634" spans="1:3" x14ac:dyDescent="0.35">
      <c r="A634" s="2">
        <v>46310</v>
      </c>
      <c r="B634" s="1" t="s">
        <v>9</v>
      </c>
      <c r="C634" s="1">
        <f>MONTH(Tabela16[[#This Row],[DATA]])</f>
        <v>10</v>
      </c>
    </row>
    <row r="635" spans="1:3" x14ac:dyDescent="0.35">
      <c r="A635" s="2">
        <v>46310</v>
      </c>
      <c r="B635" s="1" t="s">
        <v>21</v>
      </c>
      <c r="C635" s="1">
        <f>MONTH(Tabela16[[#This Row],[DATA]])</f>
        <v>10</v>
      </c>
    </row>
    <row r="636" spans="1:3" x14ac:dyDescent="0.35">
      <c r="A636" s="2">
        <v>46311</v>
      </c>
      <c r="B636" s="1" t="s">
        <v>88</v>
      </c>
      <c r="C636" s="1">
        <f>MONTH(Tabela16[[#This Row],[DATA]])</f>
        <v>10</v>
      </c>
    </row>
    <row r="637" spans="1:3" x14ac:dyDescent="0.35">
      <c r="A637" s="2">
        <v>46311</v>
      </c>
      <c r="B637" s="1" t="s">
        <v>22</v>
      </c>
      <c r="C637" s="1">
        <f>MONTH(Tabela16[[#This Row],[DATA]])</f>
        <v>10</v>
      </c>
    </row>
    <row r="638" spans="1:3" x14ac:dyDescent="0.35">
      <c r="A638" s="2">
        <v>46311</v>
      </c>
      <c r="B638" s="1" t="s">
        <v>88</v>
      </c>
      <c r="C638" s="1">
        <f>MONTH(Tabela16[[#This Row],[DATA]])</f>
        <v>10</v>
      </c>
    </row>
    <row r="639" spans="1:3" x14ac:dyDescent="0.35">
      <c r="A639" s="2">
        <v>46311</v>
      </c>
      <c r="B639" s="1" t="s">
        <v>21</v>
      </c>
      <c r="C639" s="1">
        <f>MONTH(Tabela16[[#This Row],[DATA]])</f>
        <v>10</v>
      </c>
    </row>
    <row r="640" spans="1:3" x14ac:dyDescent="0.35">
      <c r="A640" s="2">
        <v>46311</v>
      </c>
      <c r="B640" s="1" t="s">
        <v>21</v>
      </c>
      <c r="C640" s="1">
        <f>MONTH(Tabela16[[#This Row],[DATA]])</f>
        <v>10</v>
      </c>
    </row>
    <row r="641" spans="1:3" x14ac:dyDescent="0.35">
      <c r="A641" s="2">
        <v>46311</v>
      </c>
      <c r="B641" s="1" t="s">
        <v>21</v>
      </c>
      <c r="C641" s="1">
        <f>MONTH(Tabela16[[#This Row],[DATA]])</f>
        <v>10</v>
      </c>
    </row>
    <row r="642" spans="1:3" x14ac:dyDescent="0.35">
      <c r="A642" s="2">
        <v>46314</v>
      </c>
      <c r="B642" s="1" t="s">
        <v>5</v>
      </c>
      <c r="C642" s="1">
        <f>MONTH(Tabela16[[#This Row],[DATA]])</f>
        <v>10</v>
      </c>
    </row>
    <row r="643" spans="1:3" x14ac:dyDescent="0.35">
      <c r="A643" s="2">
        <v>46314</v>
      </c>
      <c r="B643" s="1" t="s">
        <v>3</v>
      </c>
      <c r="C643" s="1">
        <f>MONTH(Tabela16[[#This Row],[DATA]])</f>
        <v>10</v>
      </c>
    </row>
    <row r="644" spans="1:3" x14ac:dyDescent="0.35">
      <c r="A644" s="2">
        <v>46314</v>
      </c>
      <c r="B644" s="1" t="s">
        <v>3</v>
      </c>
      <c r="C644" s="1">
        <f>MONTH(Tabela16[[#This Row],[DATA]])</f>
        <v>10</v>
      </c>
    </row>
    <row r="645" spans="1:3" x14ac:dyDescent="0.35">
      <c r="A645" s="2">
        <v>46315</v>
      </c>
      <c r="B645" s="1" t="s">
        <v>19</v>
      </c>
      <c r="C645" s="1">
        <f>MONTH(Tabela16[[#This Row],[DATA]])</f>
        <v>10</v>
      </c>
    </row>
    <row r="646" spans="1:3" x14ac:dyDescent="0.35">
      <c r="A646" s="2">
        <v>46315</v>
      </c>
      <c r="B646" s="1" t="s">
        <v>3</v>
      </c>
      <c r="C646" s="1">
        <f>MONTH(Tabela16[[#This Row],[DATA]])</f>
        <v>10</v>
      </c>
    </row>
    <row r="647" spans="1:3" x14ac:dyDescent="0.35">
      <c r="A647" s="2">
        <v>46315</v>
      </c>
      <c r="B647" s="1" t="s">
        <v>9</v>
      </c>
      <c r="C647" s="1">
        <f>MONTH(Tabela16[[#This Row],[DATA]])</f>
        <v>10</v>
      </c>
    </row>
    <row r="648" spans="1:3" x14ac:dyDescent="0.35">
      <c r="A648" s="2">
        <v>46315</v>
      </c>
      <c r="B648" s="1" t="s">
        <v>1038</v>
      </c>
      <c r="C648" s="1">
        <f>MONTH(Tabela16[[#This Row],[DATA]])</f>
        <v>10</v>
      </c>
    </row>
    <row r="649" spans="1:3" x14ac:dyDescent="0.35">
      <c r="A649" s="2">
        <v>46315</v>
      </c>
      <c r="B649" s="1" t="s">
        <v>1038</v>
      </c>
      <c r="C649" s="1">
        <f>MONTH(Tabela16[[#This Row],[DATA]])</f>
        <v>10</v>
      </c>
    </row>
    <row r="650" spans="1:3" x14ac:dyDescent="0.35">
      <c r="A650" s="2">
        <v>46315</v>
      </c>
      <c r="B650" s="1" t="s">
        <v>1038</v>
      </c>
      <c r="C650" s="1">
        <f>MONTH(Tabela16[[#This Row],[DATA]])</f>
        <v>10</v>
      </c>
    </row>
    <row r="651" spans="1:3" x14ac:dyDescent="0.35">
      <c r="A651" s="2">
        <v>46315</v>
      </c>
      <c r="B651" s="1" t="s">
        <v>1038</v>
      </c>
      <c r="C651" s="1">
        <f>MONTH(Tabela16[[#This Row],[DATA]])</f>
        <v>10</v>
      </c>
    </row>
    <row r="652" spans="1:3" x14ac:dyDescent="0.35">
      <c r="A652" s="2">
        <v>46315</v>
      </c>
      <c r="B652" s="1" t="s">
        <v>1038</v>
      </c>
      <c r="C652" s="1">
        <f>MONTH(Tabela16[[#This Row],[DATA]])</f>
        <v>10</v>
      </c>
    </row>
    <row r="653" spans="1:3" x14ac:dyDescent="0.35">
      <c r="A653" s="2">
        <v>46316</v>
      </c>
      <c r="B653" s="1" t="s">
        <v>3</v>
      </c>
      <c r="C653" s="1">
        <f>MONTH(Tabela16[[#This Row],[DATA]])</f>
        <v>10</v>
      </c>
    </row>
    <row r="654" spans="1:3" x14ac:dyDescent="0.35">
      <c r="A654" s="2">
        <v>46316</v>
      </c>
      <c r="B654" s="1" t="s">
        <v>9</v>
      </c>
      <c r="C654" s="1">
        <f>MONTH(Tabela16[[#This Row],[DATA]])</f>
        <v>10</v>
      </c>
    </row>
    <row r="655" spans="1:3" x14ac:dyDescent="0.35">
      <c r="A655" s="2">
        <v>46316</v>
      </c>
      <c r="B655" s="1" t="s">
        <v>19</v>
      </c>
      <c r="C655" s="1">
        <f>MONTH(Tabela16[[#This Row],[DATA]])</f>
        <v>10</v>
      </c>
    </row>
    <row r="656" spans="1:3" x14ac:dyDescent="0.35">
      <c r="A656" s="2">
        <v>46317</v>
      </c>
      <c r="B656" s="1" t="s">
        <v>9</v>
      </c>
      <c r="C656" s="1">
        <f>MONTH(Tabela16[[#This Row],[DATA]])</f>
        <v>10</v>
      </c>
    </row>
    <row r="657" spans="1:3" x14ac:dyDescent="0.35">
      <c r="A657" s="2">
        <v>46317</v>
      </c>
      <c r="B657" s="1" t="s">
        <v>1038</v>
      </c>
      <c r="C657" s="1">
        <f>MONTH(Tabela16[[#This Row],[DATA]])</f>
        <v>10</v>
      </c>
    </row>
    <row r="658" spans="1:3" x14ac:dyDescent="0.35">
      <c r="A658" s="2">
        <v>46317</v>
      </c>
      <c r="B658" s="1" t="s">
        <v>1038</v>
      </c>
      <c r="C658" s="1">
        <f>MONTH(Tabela16[[#This Row],[DATA]])</f>
        <v>10</v>
      </c>
    </row>
    <row r="659" spans="1:3" x14ac:dyDescent="0.35">
      <c r="A659" s="2">
        <v>46317</v>
      </c>
      <c r="B659" s="1" t="s">
        <v>1038</v>
      </c>
      <c r="C659" s="1">
        <f>MONTH(Tabela16[[#This Row],[DATA]])</f>
        <v>10</v>
      </c>
    </row>
    <row r="660" spans="1:3" x14ac:dyDescent="0.35">
      <c r="A660" s="2">
        <v>46321</v>
      </c>
      <c r="B660" s="1" t="s">
        <v>19</v>
      </c>
      <c r="C660" s="1">
        <f>MONTH(Tabela16[[#This Row],[DATA]])</f>
        <v>10</v>
      </c>
    </row>
    <row r="661" spans="1:3" x14ac:dyDescent="0.35">
      <c r="A661" s="2">
        <v>46321</v>
      </c>
      <c r="B661" s="1" t="s">
        <v>19</v>
      </c>
      <c r="C661" s="1">
        <f>MONTH(Tabela16[[#This Row],[DATA]])</f>
        <v>10</v>
      </c>
    </row>
    <row r="662" spans="1:3" x14ac:dyDescent="0.35">
      <c r="A662" s="2">
        <v>46321</v>
      </c>
      <c r="B662" s="1" t="s">
        <v>3</v>
      </c>
      <c r="C662" s="1">
        <f>MONTH(Tabela16[[#This Row],[DATA]])</f>
        <v>10</v>
      </c>
    </row>
    <row r="663" spans="1:3" x14ac:dyDescent="0.35">
      <c r="A663" s="2">
        <v>46321</v>
      </c>
      <c r="B663" s="1" t="s">
        <v>3</v>
      </c>
      <c r="C663" s="1">
        <f>MONTH(Tabela16[[#This Row],[DATA]])</f>
        <v>10</v>
      </c>
    </row>
    <row r="664" spans="1:3" x14ac:dyDescent="0.35">
      <c r="A664" s="2">
        <v>46322</v>
      </c>
      <c r="B664" s="1" t="s">
        <v>21</v>
      </c>
      <c r="C664" s="1">
        <f>MONTH(Tabela16[[#This Row],[DATA]])</f>
        <v>10</v>
      </c>
    </row>
    <row r="665" spans="1:3" x14ac:dyDescent="0.35">
      <c r="A665" s="2">
        <v>46322</v>
      </c>
      <c r="B665" s="1" t="s">
        <v>22</v>
      </c>
      <c r="C665" s="1">
        <f>MONTH(Tabela16[[#This Row],[DATA]])</f>
        <v>10</v>
      </c>
    </row>
    <row r="666" spans="1:3" x14ac:dyDescent="0.35">
      <c r="A666" s="2">
        <v>46323</v>
      </c>
      <c r="B666" s="1" t="s">
        <v>19</v>
      </c>
      <c r="C666" s="1">
        <f>MONTH(Tabela16[[#This Row],[DATA]])</f>
        <v>10</v>
      </c>
    </row>
    <row r="667" spans="1:3" x14ac:dyDescent="0.35">
      <c r="A667" s="2">
        <v>46323</v>
      </c>
      <c r="B667" s="1" t="s">
        <v>19</v>
      </c>
      <c r="C667" s="1">
        <f>MONTH(Tabela16[[#This Row],[DATA]])</f>
        <v>10</v>
      </c>
    </row>
    <row r="668" spans="1:3" x14ac:dyDescent="0.35">
      <c r="A668" s="2">
        <v>46323</v>
      </c>
      <c r="B668" s="1" t="s">
        <v>88</v>
      </c>
      <c r="C668" s="1">
        <f>MONTH(Tabela16[[#This Row],[DATA]])</f>
        <v>10</v>
      </c>
    </row>
    <row r="669" spans="1:3" x14ac:dyDescent="0.35">
      <c r="A669" s="2">
        <v>46323</v>
      </c>
      <c r="B669" s="1" t="s">
        <v>9</v>
      </c>
      <c r="C669" s="1">
        <f>MONTH(Tabela16[[#This Row],[DATA]])</f>
        <v>10</v>
      </c>
    </row>
    <row r="670" spans="1:3" x14ac:dyDescent="0.35">
      <c r="A670" s="2">
        <v>46323</v>
      </c>
      <c r="B670" s="1" t="s">
        <v>88</v>
      </c>
      <c r="C670" s="1">
        <f>MONTH(Tabela16[[#This Row],[DATA]])</f>
        <v>10</v>
      </c>
    </row>
    <row r="671" spans="1:3" x14ac:dyDescent="0.35">
      <c r="A671" s="2">
        <v>46323</v>
      </c>
      <c r="B671" s="1" t="s">
        <v>88</v>
      </c>
      <c r="C671" s="1">
        <f>MONTH(Tabela16[[#This Row],[DATA]])</f>
        <v>10</v>
      </c>
    </row>
    <row r="672" spans="1:3" x14ac:dyDescent="0.35">
      <c r="A672" s="2">
        <v>46323</v>
      </c>
      <c r="B672" s="1" t="s">
        <v>88</v>
      </c>
      <c r="C672" s="1">
        <f>MONTH(Tabela16[[#This Row],[DATA]])</f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127A-34F6-4616-A9E3-9D26E6907975}">
  <dimension ref="A1:AB304"/>
  <sheetViews>
    <sheetView showGridLines="0" workbookViewId="0">
      <selection sqref="A1:AB304"/>
    </sheetView>
  </sheetViews>
  <sheetFormatPr defaultRowHeight="10.5" x14ac:dyDescent="0.35"/>
  <cols>
    <col min="1" max="1" width="8.6328125" style="1" bestFit="1" customWidth="1"/>
    <col min="2" max="2" width="11.81640625" style="1" bestFit="1" customWidth="1"/>
    <col min="3" max="3" width="9.1796875" style="1" bestFit="1" customWidth="1"/>
    <col min="4" max="4" width="12.1796875" style="1" bestFit="1" customWidth="1"/>
    <col min="5" max="5" width="11" style="1" bestFit="1" customWidth="1"/>
    <col min="6" max="6" width="2.6328125" style="1" bestFit="1" customWidth="1"/>
    <col min="7" max="7" width="45.08984375" style="1" bestFit="1" customWidth="1"/>
    <col min="8" max="8" width="7.6328125" style="1" bestFit="1" customWidth="1"/>
    <col min="9" max="9" width="6.453125" style="1" bestFit="1" customWidth="1"/>
    <col min="10" max="10" width="6.54296875" style="1" bestFit="1" customWidth="1"/>
    <col min="11" max="11" width="36.36328125" style="1" bestFit="1" customWidth="1"/>
    <col min="12" max="12" width="40.6328125" style="1" bestFit="1" customWidth="1"/>
    <col min="13" max="13" width="11.08984375" style="1" bestFit="1" customWidth="1"/>
    <col min="14" max="14" width="25.453125" style="1" bestFit="1" customWidth="1"/>
    <col min="15" max="15" width="11.6328125" style="1" bestFit="1" customWidth="1"/>
    <col min="16" max="16" width="19.6328125" style="1" bestFit="1" customWidth="1"/>
    <col min="17" max="17" width="8" style="1" bestFit="1" customWidth="1"/>
    <col min="18" max="18" width="54.90625" style="1" bestFit="1" customWidth="1"/>
    <col min="19" max="19" width="5.81640625" style="1" bestFit="1" customWidth="1"/>
    <col min="20" max="20" width="6.26953125" style="1" bestFit="1" customWidth="1"/>
    <col min="21" max="21" width="3" style="1" bestFit="1" customWidth="1"/>
    <col min="22" max="22" width="9.6328125" style="1" bestFit="1" customWidth="1"/>
    <col min="23" max="23" width="3.54296875" style="1" bestFit="1" customWidth="1"/>
    <col min="24" max="24" width="5.54296875" style="1" bestFit="1" customWidth="1"/>
    <col min="25" max="25" width="6.08984375" style="1" bestFit="1" customWidth="1"/>
    <col min="26" max="26" width="5.6328125" style="1" bestFit="1" customWidth="1"/>
    <col min="27" max="27" width="6.7265625" style="1" bestFit="1" customWidth="1"/>
    <col min="28" max="28" width="3.26953125" style="1" bestFit="1" customWidth="1"/>
    <col min="29" max="16384" width="8.7265625" style="1"/>
  </cols>
  <sheetData>
    <row r="1" spans="1:28" x14ac:dyDescent="0.3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29</v>
      </c>
    </row>
    <row r="2" spans="1:28" x14ac:dyDescent="0.35">
      <c r="A2" s="1">
        <v>853745</v>
      </c>
      <c r="B2" s="1" t="s">
        <v>132</v>
      </c>
      <c r="C2" s="1" t="s">
        <v>138</v>
      </c>
      <c r="D2" s="1" t="s">
        <v>134</v>
      </c>
      <c r="E2" s="2">
        <v>46140</v>
      </c>
      <c r="F2" s="1" t="s">
        <v>139</v>
      </c>
      <c r="G2" s="1" t="s">
        <v>397</v>
      </c>
      <c r="H2" s="1">
        <v>923</v>
      </c>
      <c r="I2" s="1" t="s">
        <v>398</v>
      </c>
      <c r="J2" s="1">
        <v>43</v>
      </c>
      <c r="K2" s="1" t="s">
        <v>399</v>
      </c>
      <c r="L2" s="1" t="s">
        <v>400</v>
      </c>
      <c r="M2" s="2">
        <v>45786</v>
      </c>
      <c r="N2" s="1" t="s">
        <v>3</v>
      </c>
      <c r="O2" s="1" t="s">
        <v>145</v>
      </c>
      <c r="P2" s="1" t="s">
        <v>137</v>
      </c>
      <c r="Q2" s="2"/>
      <c r="R2" s="1" t="s">
        <v>382</v>
      </c>
      <c r="S2" s="1">
        <v>1</v>
      </c>
      <c r="T2" s="1">
        <v>0</v>
      </c>
      <c r="U2" s="1">
        <v>1</v>
      </c>
      <c r="V2" s="1">
        <v>0</v>
      </c>
      <c r="W2" s="1">
        <v>2026</v>
      </c>
      <c r="X2" s="1">
        <v>18</v>
      </c>
      <c r="Y2" s="1">
        <v>4</v>
      </c>
      <c r="Z2" s="1">
        <v>28</v>
      </c>
      <c r="AB2" s="1">
        <f t="shared" ref="AB2:AB65" si="0">MONTH(M2)</f>
        <v>5</v>
      </c>
    </row>
    <row r="3" spans="1:28" x14ac:dyDescent="0.35">
      <c r="A3" s="1">
        <v>1502648</v>
      </c>
      <c r="B3" s="1" t="s">
        <v>132</v>
      </c>
      <c r="C3" s="1" t="s">
        <v>428</v>
      </c>
      <c r="D3" s="1" t="s">
        <v>134</v>
      </c>
      <c r="E3" s="2">
        <v>46226</v>
      </c>
      <c r="F3" s="1" t="s">
        <v>155</v>
      </c>
      <c r="G3" s="1" t="s">
        <v>528</v>
      </c>
      <c r="H3" s="1">
        <v>2202</v>
      </c>
      <c r="I3" s="1" t="s">
        <v>529</v>
      </c>
      <c r="J3" s="1">
        <v>31</v>
      </c>
      <c r="K3" s="1" t="s">
        <v>530</v>
      </c>
      <c r="L3" s="1" t="s">
        <v>531</v>
      </c>
      <c r="M3" s="2">
        <v>45872</v>
      </c>
      <c r="N3" s="1" t="s">
        <v>3</v>
      </c>
      <c r="O3" s="1" t="s">
        <v>137</v>
      </c>
      <c r="P3" s="1" t="s">
        <v>137</v>
      </c>
      <c r="Q3" s="2"/>
      <c r="S3" s="1">
        <v>1</v>
      </c>
      <c r="T3" s="1">
        <v>0</v>
      </c>
      <c r="U3" s="1">
        <v>0</v>
      </c>
      <c r="V3" s="1">
        <v>0</v>
      </c>
      <c r="W3" s="1">
        <v>2026</v>
      </c>
      <c r="X3" s="1">
        <v>30</v>
      </c>
      <c r="Y3" s="1">
        <v>7</v>
      </c>
      <c r="Z3" s="1">
        <v>23</v>
      </c>
      <c r="AB3" s="1">
        <f t="shared" si="0"/>
        <v>8</v>
      </c>
    </row>
    <row r="4" spans="1:28" x14ac:dyDescent="0.35">
      <c r="A4" s="1">
        <v>1356392</v>
      </c>
      <c r="B4" s="1" t="s">
        <v>132</v>
      </c>
      <c r="C4" s="1" t="s">
        <v>138</v>
      </c>
      <c r="D4" s="1" t="s">
        <v>134</v>
      </c>
      <c r="E4" s="2">
        <v>46055</v>
      </c>
      <c r="F4" s="1" t="s">
        <v>149</v>
      </c>
      <c r="G4" s="1" t="s">
        <v>199</v>
      </c>
      <c r="H4" s="1">
        <v>591</v>
      </c>
      <c r="I4" s="1" t="s">
        <v>254</v>
      </c>
      <c r="J4" s="1">
        <v>19</v>
      </c>
      <c r="K4" s="1" t="s">
        <v>208</v>
      </c>
      <c r="M4" s="2">
        <v>46057</v>
      </c>
      <c r="N4" s="1" t="s">
        <v>28</v>
      </c>
      <c r="O4" s="1" t="s">
        <v>137</v>
      </c>
      <c r="P4" s="1" t="s">
        <v>255</v>
      </c>
      <c r="Q4" s="2"/>
      <c r="S4" s="1">
        <v>0</v>
      </c>
      <c r="T4" s="1">
        <v>0</v>
      </c>
      <c r="U4" s="1">
        <v>0</v>
      </c>
      <c r="V4" s="1">
        <v>0</v>
      </c>
      <c r="W4" s="1">
        <v>2026</v>
      </c>
      <c r="X4" s="1">
        <v>6</v>
      </c>
      <c r="Y4" s="1">
        <v>2</v>
      </c>
      <c r="Z4" s="1">
        <v>2</v>
      </c>
      <c r="AB4" s="1">
        <f t="shared" si="0"/>
        <v>2</v>
      </c>
    </row>
    <row r="5" spans="1:28" x14ac:dyDescent="0.35">
      <c r="A5" s="1">
        <v>55753</v>
      </c>
      <c r="B5" s="1" t="s">
        <v>132</v>
      </c>
      <c r="C5" s="1" t="s">
        <v>133</v>
      </c>
      <c r="D5" s="1" t="s">
        <v>134</v>
      </c>
      <c r="E5" s="2">
        <v>46055</v>
      </c>
      <c r="F5" s="1" t="s">
        <v>135</v>
      </c>
      <c r="G5" s="1" t="s">
        <v>248</v>
      </c>
      <c r="H5" s="1">
        <v>342</v>
      </c>
      <c r="I5" s="1" t="s">
        <v>249</v>
      </c>
      <c r="J5" s="1">
        <v>79</v>
      </c>
      <c r="K5" s="1" t="s">
        <v>250</v>
      </c>
      <c r="M5" s="2">
        <v>46065</v>
      </c>
      <c r="N5" s="1" t="s">
        <v>22</v>
      </c>
      <c r="O5" s="1" t="s">
        <v>137</v>
      </c>
      <c r="P5" s="1" t="s">
        <v>137</v>
      </c>
      <c r="Q5" s="2"/>
      <c r="S5" s="1">
        <v>1</v>
      </c>
      <c r="T5" s="1">
        <v>0</v>
      </c>
      <c r="U5" s="1">
        <v>0</v>
      </c>
      <c r="V5" s="1">
        <v>0</v>
      </c>
      <c r="W5" s="1">
        <v>2026</v>
      </c>
      <c r="X5" s="1">
        <v>6</v>
      </c>
      <c r="Y5" s="1">
        <v>2</v>
      </c>
      <c r="Z5" s="1">
        <v>2</v>
      </c>
      <c r="AB5" s="1">
        <f t="shared" si="0"/>
        <v>2</v>
      </c>
    </row>
    <row r="6" spans="1:28" x14ac:dyDescent="0.35">
      <c r="A6" s="1">
        <v>1425699</v>
      </c>
      <c r="B6" s="1" t="s">
        <v>132</v>
      </c>
      <c r="C6" s="1" t="s">
        <v>133</v>
      </c>
      <c r="D6" s="1" t="s">
        <v>134</v>
      </c>
      <c r="E6" s="2">
        <v>46055</v>
      </c>
      <c r="F6" s="1" t="s">
        <v>135</v>
      </c>
      <c r="G6" s="1" t="s">
        <v>174</v>
      </c>
      <c r="H6" s="1">
        <v>1300</v>
      </c>
      <c r="I6" s="1" t="s">
        <v>256</v>
      </c>
      <c r="J6" s="1">
        <v>99</v>
      </c>
      <c r="K6" s="1" t="s">
        <v>257</v>
      </c>
      <c r="M6" s="2">
        <v>46065</v>
      </c>
      <c r="N6" s="1" t="s">
        <v>22</v>
      </c>
      <c r="O6" s="1" t="s">
        <v>136</v>
      </c>
      <c r="P6" s="1" t="s">
        <v>137</v>
      </c>
      <c r="Q6" s="2"/>
      <c r="S6" s="1">
        <v>1</v>
      </c>
      <c r="T6" s="1">
        <v>0</v>
      </c>
      <c r="U6" s="1">
        <v>0</v>
      </c>
      <c r="V6" s="1">
        <v>1</v>
      </c>
      <c r="W6" s="1">
        <v>2026</v>
      </c>
      <c r="X6" s="1">
        <v>6</v>
      </c>
      <c r="Y6" s="1">
        <v>2</v>
      </c>
      <c r="Z6" s="1">
        <v>2</v>
      </c>
      <c r="AB6" s="1">
        <f t="shared" si="0"/>
        <v>2</v>
      </c>
    </row>
    <row r="7" spans="1:28" x14ac:dyDescent="0.35">
      <c r="A7" s="1">
        <v>1449656</v>
      </c>
      <c r="B7" s="1" t="s">
        <v>132</v>
      </c>
      <c r="C7" s="1" t="s">
        <v>138</v>
      </c>
      <c r="D7" s="1" t="s">
        <v>134</v>
      </c>
      <c r="E7" s="2">
        <v>46045</v>
      </c>
      <c r="F7" s="1" t="s">
        <v>149</v>
      </c>
      <c r="G7" s="1" t="s">
        <v>234</v>
      </c>
      <c r="H7" s="1">
        <v>55</v>
      </c>
      <c r="I7" s="1" t="s">
        <v>221</v>
      </c>
      <c r="J7" s="1">
        <v>89</v>
      </c>
      <c r="K7" s="1" t="s">
        <v>235</v>
      </c>
      <c r="M7" s="2">
        <v>46066</v>
      </c>
      <c r="N7" s="1" t="s">
        <v>24</v>
      </c>
      <c r="O7" s="1" t="s">
        <v>137</v>
      </c>
      <c r="P7" s="1" t="s">
        <v>236</v>
      </c>
      <c r="Q7" s="2"/>
      <c r="S7" s="1">
        <v>0</v>
      </c>
      <c r="T7" s="1">
        <v>0</v>
      </c>
      <c r="U7" s="1">
        <v>0</v>
      </c>
      <c r="V7" s="1">
        <v>0</v>
      </c>
      <c r="W7" s="1">
        <v>2026</v>
      </c>
      <c r="X7" s="1">
        <v>4</v>
      </c>
      <c r="Y7" s="1">
        <v>1</v>
      </c>
      <c r="Z7" s="1">
        <v>23</v>
      </c>
      <c r="AB7" s="1">
        <f t="shared" si="0"/>
        <v>2</v>
      </c>
    </row>
    <row r="8" spans="1:28" x14ac:dyDescent="0.35">
      <c r="A8" s="1">
        <v>1497385</v>
      </c>
      <c r="B8" s="1" t="s">
        <v>132</v>
      </c>
      <c r="C8" s="1" t="s">
        <v>138</v>
      </c>
      <c r="D8" s="1" t="s">
        <v>134</v>
      </c>
      <c r="E8" s="2">
        <v>46055</v>
      </c>
      <c r="F8" s="1" t="s">
        <v>153</v>
      </c>
      <c r="G8" s="1" t="s">
        <v>237</v>
      </c>
      <c r="H8" s="1">
        <v>693</v>
      </c>
      <c r="I8" s="1" t="s">
        <v>162</v>
      </c>
      <c r="J8" s="1">
        <v>101</v>
      </c>
      <c r="K8" s="1" t="s">
        <v>205</v>
      </c>
      <c r="M8" s="2">
        <v>46069</v>
      </c>
      <c r="N8" s="1" t="s">
        <v>5</v>
      </c>
      <c r="O8" s="1" t="s">
        <v>137</v>
      </c>
      <c r="P8" s="1" t="s">
        <v>152</v>
      </c>
      <c r="Q8" s="2"/>
      <c r="S8" s="1">
        <v>0</v>
      </c>
      <c r="T8" s="1">
        <v>1</v>
      </c>
      <c r="U8" s="1">
        <v>0</v>
      </c>
      <c r="V8" s="1">
        <v>0</v>
      </c>
      <c r="W8" s="1">
        <v>2026</v>
      </c>
      <c r="X8" s="1">
        <v>6</v>
      </c>
      <c r="Y8" s="1">
        <v>2</v>
      </c>
      <c r="Z8" s="1">
        <v>2</v>
      </c>
      <c r="AB8" s="1">
        <f t="shared" si="0"/>
        <v>2</v>
      </c>
    </row>
    <row r="9" spans="1:28" x14ac:dyDescent="0.35">
      <c r="A9" s="1">
        <v>1369405</v>
      </c>
      <c r="B9" s="1" t="s">
        <v>132</v>
      </c>
      <c r="C9" s="1" t="s">
        <v>133</v>
      </c>
      <c r="D9" s="1" t="s">
        <v>134</v>
      </c>
      <c r="E9" s="2">
        <v>46055</v>
      </c>
      <c r="F9" s="1" t="s">
        <v>146</v>
      </c>
      <c r="G9" s="1" t="s">
        <v>243</v>
      </c>
      <c r="H9" s="1">
        <v>420</v>
      </c>
      <c r="I9" s="1" t="s">
        <v>228</v>
      </c>
      <c r="J9" s="1">
        <v>81</v>
      </c>
      <c r="K9" s="1" t="s">
        <v>244</v>
      </c>
      <c r="M9" s="2">
        <v>46069</v>
      </c>
      <c r="N9" s="1" t="s">
        <v>9</v>
      </c>
      <c r="O9" s="1" t="s">
        <v>137</v>
      </c>
      <c r="P9" s="1" t="s">
        <v>137</v>
      </c>
      <c r="Q9" s="2"/>
      <c r="S9" s="1">
        <v>1</v>
      </c>
      <c r="T9" s="1">
        <v>0</v>
      </c>
      <c r="U9" s="1">
        <v>0</v>
      </c>
      <c r="V9" s="1">
        <v>0</v>
      </c>
      <c r="W9" s="1">
        <v>2026</v>
      </c>
      <c r="X9" s="1">
        <v>6</v>
      </c>
      <c r="Y9" s="1">
        <v>2</v>
      </c>
      <c r="Z9" s="1">
        <v>2</v>
      </c>
      <c r="AB9" s="1">
        <f t="shared" si="0"/>
        <v>2</v>
      </c>
    </row>
    <row r="10" spans="1:28" x14ac:dyDescent="0.35">
      <c r="A10" s="1">
        <v>1369405</v>
      </c>
      <c r="B10" s="1" t="s">
        <v>132</v>
      </c>
      <c r="C10" s="1" t="s">
        <v>133</v>
      </c>
      <c r="D10" s="1" t="s">
        <v>134</v>
      </c>
      <c r="E10" s="2">
        <v>46055</v>
      </c>
      <c r="F10" s="1" t="s">
        <v>146</v>
      </c>
      <c r="G10" s="1" t="s">
        <v>243</v>
      </c>
      <c r="H10" s="1">
        <v>420</v>
      </c>
      <c r="I10" s="1" t="s">
        <v>228</v>
      </c>
      <c r="J10" s="1">
        <v>85</v>
      </c>
      <c r="K10" s="1" t="s">
        <v>244</v>
      </c>
      <c r="M10" s="2">
        <v>46069</v>
      </c>
      <c r="N10" s="1" t="s">
        <v>9</v>
      </c>
      <c r="O10" s="1" t="s">
        <v>137</v>
      </c>
      <c r="P10" s="1" t="s">
        <v>137</v>
      </c>
      <c r="Q10" s="2"/>
      <c r="S10" s="1">
        <v>1</v>
      </c>
      <c r="T10" s="1">
        <v>0</v>
      </c>
      <c r="U10" s="1">
        <v>0</v>
      </c>
      <c r="V10" s="1">
        <v>0</v>
      </c>
      <c r="W10" s="1">
        <v>2026</v>
      </c>
      <c r="X10" s="1">
        <v>6</v>
      </c>
      <c r="Y10" s="1">
        <v>2</v>
      </c>
      <c r="Z10" s="1">
        <v>2</v>
      </c>
      <c r="AB10" s="1">
        <f t="shared" si="0"/>
        <v>2</v>
      </c>
    </row>
    <row r="11" spans="1:28" x14ac:dyDescent="0.35">
      <c r="A11" s="1">
        <v>1369405</v>
      </c>
      <c r="B11" s="1" t="s">
        <v>132</v>
      </c>
      <c r="C11" s="1" t="s">
        <v>133</v>
      </c>
      <c r="D11" s="1" t="s">
        <v>134</v>
      </c>
      <c r="E11" s="2">
        <v>46055</v>
      </c>
      <c r="F11" s="1" t="s">
        <v>146</v>
      </c>
      <c r="G11" s="1" t="s">
        <v>243</v>
      </c>
      <c r="H11" s="1">
        <v>420</v>
      </c>
      <c r="I11" s="1" t="s">
        <v>228</v>
      </c>
      <c r="J11" s="1">
        <v>83</v>
      </c>
      <c r="K11" s="1" t="s">
        <v>208</v>
      </c>
      <c r="M11" s="2">
        <v>46069</v>
      </c>
      <c r="N11" s="1" t="s">
        <v>9</v>
      </c>
      <c r="O11" s="1" t="s">
        <v>137</v>
      </c>
      <c r="P11" s="1" t="s">
        <v>137</v>
      </c>
      <c r="Q11" s="2"/>
      <c r="S11" s="1">
        <v>1</v>
      </c>
      <c r="T11" s="1">
        <v>0</v>
      </c>
      <c r="U11" s="1">
        <v>0</v>
      </c>
      <c r="V11" s="1">
        <v>0</v>
      </c>
      <c r="W11" s="1">
        <v>2026</v>
      </c>
      <c r="X11" s="1">
        <v>6</v>
      </c>
      <c r="Y11" s="1">
        <v>2</v>
      </c>
      <c r="Z11" s="1">
        <v>2</v>
      </c>
      <c r="AB11" s="1">
        <f t="shared" si="0"/>
        <v>2</v>
      </c>
    </row>
    <row r="12" spans="1:28" x14ac:dyDescent="0.35">
      <c r="A12" s="1">
        <v>1395518</v>
      </c>
      <c r="B12" s="1" t="s">
        <v>132</v>
      </c>
      <c r="C12" s="1" t="s">
        <v>133</v>
      </c>
      <c r="D12" s="1" t="s">
        <v>134</v>
      </c>
      <c r="E12" s="2">
        <v>46055</v>
      </c>
      <c r="F12" s="1" t="s">
        <v>153</v>
      </c>
      <c r="G12" s="1" t="s">
        <v>264</v>
      </c>
      <c r="H12" s="1">
        <v>257</v>
      </c>
      <c r="I12" s="1" t="s">
        <v>154</v>
      </c>
      <c r="J12" s="1">
        <v>58</v>
      </c>
      <c r="K12" s="1" t="s">
        <v>265</v>
      </c>
      <c r="M12" s="2">
        <v>46069</v>
      </c>
      <c r="N12" s="1" t="s">
        <v>5</v>
      </c>
      <c r="O12" s="1" t="s">
        <v>145</v>
      </c>
      <c r="P12" s="1" t="s">
        <v>266</v>
      </c>
      <c r="Q12" s="2"/>
      <c r="S12" s="1">
        <v>0</v>
      </c>
      <c r="T12" s="1">
        <v>0</v>
      </c>
      <c r="U12" s="1">
        <v>1</v>
      </c>
      <c r="V12" s="1">
        <v>0</v>
      </c>
      <c r="W12" s="1">
        <v>2026</v>
      </c>
      <c r="X12" s="1">
        <v>6</v>
      </c>
      <c r="Y12" s="1">
        <v>2</v>
      </c>
      <c r="Z12" s="1">
        <v>2</v>
      </c>
      <c r="AB12" s="1">
        <f t="shared" si="0"/>
        <v>2</v>
      </c>
    </row>
    <row r="13" spans="1:28" x14ac:dyDescent="0.35">
      <c r="A13" s="1">
        <v>1395518</v>
      </c>
      <c r="B13" s="1" t="s">
        <v>132</v>
      </c>
      <c r="C13" s="1" t="s">
        <v>133</v>
      </c>
      <c r="D13" s="1" t="s">
        <v>134</v>
      </c>
      <c r="E13" s="2">
        <v>46055</v>
      </c>
      <c r="F13" s="1" t="s">
        <v>153</v>
      </c>
      <c r="G13" s="1" t="s">
        <v>264</v>
      </c>
      <c r="H13" s="1">
        <v>257</v>
      </c>
      <c r="I13" s="1" t="s">
        <v>154</v>
      </c>
      <c r="J13" s="1">
        <v>51</v>
      </c>
      <c r="K13" s="1" t="s">
        <v>267</v>
      </c>
      <c r="M13" s="2">
        <v>46069</v>
      </c>
      <c r="N13" s="1" t="s">
        <v>24</v>
      </c>
      <c r="O13" s="1" t="s">
        <v>145</v>
      </c>
      <c r="P13" s="1" t="s">
        <v>266</v>
      </c>
      <c r="Q13" s="2"/>
      <c r="S13" s="1">
        <v>0</v>
      </c>
      <c r="T13" s="1">
        <v>0</v>
      </c>
      <c r="U13" s="1">
        <v>1</v>
      </c>
      <c r="V13" s="1">
        <v>0</v>
      </c>
      <c r="W13" s="1">
        <v>2026</v>
      </c>
      <c r="X13" s="1">
        <v>6</v>
      </c>
      <c r="Y13" s="1">
        <v>2</v>
      </c>
      <c r="Z13" s="1">
        <v>2</v>
      </c>
      <c r="AB13" s="1">
        <f t="shared" si="0"/>
        <v>2</v>
      </c>
    </row>
    <row r="14" spans="1:28" x14ac:dyDescent="0.35">
      <c r="A14" s="1">
        <v>1407284</v>
      </c>
      <c r="B14" s="1" t="s">
        <v>132</v>
      </c>
      <c r="C14" s="1" t="s">
        <v>133</v>
      </c>
      <c r="D14" s="1" t="s">
        <v>134</v>
      </c>
      <c r="E14" s="2">
        <v>46059</v>
      </c>
      <c r="F14" s="1" t="s">
        <v>146</v>
      </c>
      <c r="G14" s="1" t="s">
        <v>272</v>
      </c>
      <c r="H14" s="1">
        <v>128</v>
      </c>
      <c r="I14" s="1" t="s">
        <v>273</v>
      </c>
      <c r="J14" s="1">
        <v>47</v>
      </c>
      <c r="K14" s="1" t="s">
        <v>274</v>
      </c>
      <c r="M14" s="2">
        <v>46069</v>
      </c>
      <c r="N14" s="1" t="s">
        <v>9</v>
      </c>
      <c r="O14" s="1" t="s">
        <v>137</v>
      </c>
      <c r="P14" s="1" t="s">
        <v>137</v>
      </c>
      <c r="Q14" s="2"/>
      <c r="S14" s="1">
        <v>1</v>
      </c>
      <c r="T14" s="1">
        <v>0</v>
      </c>
      <c r="U14" s="1">
        <v>0</v>
      </c>
      <c r="V14" s="1">
        <v>0</v>
      </c>
      <c r="W14" s="1">
        <v>2026</v>
      </c>
      <c r="X14" s="1">
        <v>6</v>
      </c>
      <c r="Y14" s="1">
        <v>2</v>
      </c>
      <c r="Z14" s="1">
        <v>6</v>
      </c>
      <c r="AB14" s="1">
        <f t="shared" si="0"/>
        <v>2</v>
      </c>
    </row>
    <row r="15" spans="1:28" x14ac:dyDescent="0.35">
      <c r="A15" s="1">
        <v>1407284</v>
      </c>
      <c r="B15" s="1" t="s">
        <v>132</v>
      </c>
      <c r="C15" s="1" t="s">
        <v>133</v>
      </c>
      <c r="D15" s="1" t="s">
        <v>134</v>
      </c>
      <c r="E15" s="2">
        <v>46059</v>
      </c>
      <c r="F15" s="1" t="s">
        <v>146</v>
      </c>
      <c r="G15" s="1" t="s">
        <v>272</v>
      </c>
      <c r="H15" s="1">
        <v>128</v>
      </c>
      <c r="I15" s="1" t="s">
        <v>273</v>
      </c>
      <c r="J15" s="1">
        <v>45</v>
      </c>
      <c r="K15" s="1" t="s">
        <v>244</v>
      </c>
      <c r="M15" s="2">
        <v>46069</v>
      </c>
      <c r="N15" s="1" t="s">
        <v>9</v>
      </c>
      <c r="O15" s="1" t="s">
        <v>137</v>
      </c>
      <c r="P15" s="1" t="s">
        <v>137</v>
      </c>
      <c r="Q15" s="2"/>
      <c r="S15" s="1">
        <v>1</v>
      </c>
      <c r="T15" s="1">
        <v>0</v>
      </c>
      <c r="U15" s="1">
        <v>0</v>
      </c>
      <c r="V15" s="1">
        <v>0</v>
      </c>
      <c r="W15" s="1">
        <v>2026</v>
      </c>
      <c r="X15" s="1">
        <v>6</v>
      </c>
      <c r="Y15" s="1">
        <v>2</v>
      </c>
      <c r="Z15" s="1">
        <v>6</v>
      </c>
      <c r="AB15" s="1">
        <f t="shared" si="0"/>
        <v>2</v>
      </c>
    </row>
    <row r="16" spans="1:28" x14ac:dyDescent="0.35">
      <c r="A16" s="1">
        <v>1453038</v>
      </c>
      <c r="B16" s="1" t="s">
        <v>132</v>
      </c>
      <c r="C16" s="1" t="s">
        <v>133</v>
      </c>
      <c r="D16" s="1" t="s">
        <v>134</v>
      </c>
      <c r="E16" s="2">
        <v>46060</v>
      </c>
      <c r="F16" s="1" t="s">
        <v>146</v>
      </c>
      <c r="G16" s="1" t="s">
        <v>283</v>
      </c>
      <c r="H16" s="1">
        <v>1038</v>
      </c>
      <c r="I16" s="1" t="s">
        <v>273</v>
      </c>
      <c r="J16" s="1">
        <v>119</v>
      </c>
      <c r="K16" s="1" t="s">
        <v>284</v>
      </c>
      <c r="M16" s="2">
        <v>46069</v>
      </c>
      <c r="N16" s="1" t="s">
        <v>9</v>
      </c>
      <c r="O16" s="1" t="s">
        <v>137</v>
      </c>
      <c r="P16" s="1" t="s">
        <v>137</v>
      </c>
      <c r="Q16" s="2"/>
      <c r="S16" s="1">
        <v>1</v>
      </c>
      <c r="T16" s="1">
        <v>0</v>
      </c>
      <c r="U16" s="1">
        <v>0</v>
      </c>
      <c r="V16" s="1">
        <v>0</v>
      </c>
      <c r="W16" s="1">
        <v>2026</v>
      </c>
      <c r="X16" s="1">
        <v>6</v>
      </c>
      <c r="Y16" s="1">
        <v>2</v>
      </c>
      <c r="Z16" s="1">
        <v>7</v>
      </c>
      <c r="AB16" s="1">
        <f t="shared" si="0"/>
        <v>2</v>
      </c>
    </row>
    <row r="17" spans="1:28" x14ac:dyDescent="0.35">
      <c r="A17" s="1">
        <v>1159533</v>
      </c>
      <c r="B17" s="1" t="s">
        <v>132</v>
      </c>
      <c r="C17" s="1" t="s">
        <v>133</v>
      </c>
      <c r="D17" s="1" t="s">
        <v>134</v>
      </c>
      <c r="E17" s="2">
        <v>46060</v>
      </c>
      <c r="F17" s="1" t="s">
        <v>146</v>
      </c>
      <c r="G17" s="1" t="s">
        <v>286</v>
      </c>
      <c r="H17" s="1">
        <v>90</v>
      </c>
      <c r="I17" s="1" t="s">
        <v>287</v>
      </c>
      <c r="J17" s="1">
        <v>61</v>
      </c>
      <c r="K17" s="1" t="s">
        <v>288</v>
      </c>
      <c r="M17" s="2">
        <v>46069</v>
      </c>
      <c r="N17" s="1" t="s">
        <v>9</v>
      </c>
      <c r="O17" s="1" t="s">
        <v>136</v>
      </c>
      <c r="P17" s="1" t="s">
        <v>289</v>
      </c>
      <c r="Q17" s="2"/>
      <c r="S17" s="1">
        <v>0</v>
      </c>
      <c r="T17" s="1">
        <v>0</v>
      </c>
      <c r="U17" s="1">
        <v>0</v>
      </c>
      <c r="V17" s="1">
        <v>1</v>
      </c>
      <c r="W17" s="1">
        <v>2026</v>
      </c>
      <c r="X17" s="1">
        <v>6</v>
      </c>
      <c r="Y17" s="1">
        <v>2</v>
      </c>
      <c r="Z17" s="1">
        <v>7</v>
      </c>
      <c r="AB17" s="1">
        <f t="shared" si="0"/>
        <v>2</v>
      </c>
    </row>
    <row r="18" spans="1:28" x14ac:dyDescent="0.35">
      <c r="A18" s="1">
        <v>1453038</v>
      </c>
      <c r="B18" s="1" t="s">
        <v>132</v>
      </c>
      <c r="C18" s="1" t="s">
        <v>133</v>
      </c>
      <c r="D18" s="1" t="s">
        <v>134</v>
      </c>
      <c r="E18" s="2">
        <v>46060</v>
      </c>
      <c r="F18" s="1" t="s">
        <v>146</v>
      </c>
      <c r="G18" s="1" t="s">
        <v>283</v>
      </c>
      <c r="H18" s="1">
        <v>1038</v>
      </c>
      <c r="I18" s="1" t="s">
        <v>273</v>
      </c>
      <c r="J18" s="1">
        <v>121</v>
      </c>
      <c r="K18" s="1" t="s">
        <v>290</v>
      </c>
      <c r="M18" s="2">
        <v>46069</v>
      </c>
      <c r="N18" s="1" t="s">
        <v>9</v>
      </c>
      <c r="O18" s="1" t="s">
        <v>137</v>
      </c>
      <c r="P18" s="1" t="s">
        <v>137</v>
      </c>
      <c r="Q18" s="2"/>
      <c r="S18" s="1">
        <v>1</v>
      </c>
      <c r="T18" s="1">
        <v>0</v>
      </c>
      <c r="U18" s="1">
        <v>0</v>
      </c>
      <c r="V18" s="1">
        <v>0</v>
      </c>
      <c r="W18" s="1">
        <v>2026</v>
      </c>
      <c r="X18" s="1">
        <v>6</v>
      </c>
      <c r="Y18" s="1">
        <v>2</v>
      </c>
      <c r="Z18" s="1">
        <v>7</v>
      </c>
      <c r="AB18" s="1">
        <f t="shared" si="0"/>
        <v>2</v>
      </c>
    </row>
    <row r="19" spans="1:28" x14ac:dyDescent="0.35">
      <c r="A19" s="1">
        <v>1485904</v>
      </c>
      <c r="B19" s="1" t="s">
        <v>132</v>
      </c>
      <c r="C19" s="1" t="s">
        <v>133</v>
      </c>
      <c r="D19" s="1" t="s">
        <v>134</v>
      </c>
      <c r="E19" s="2">
        <v>46059</v>
      </c>
      <c r="F19" s="1" t="s">
        <v>155</v>
      </c>
      <c r="G19" s="1" t="s">
        <v>159</v>
      </c>
      <c r="H19" s="1">
        <v>211</v>
      </c>
      <c r="I19" s="1" t="s">
        <v>277</v>
      </c>
      <c r="J19" s="1">
        <v>114</v>
      </c>
      <c r="K19" s="1" t="s">
        <v>142</v>
      </c>
      <c r="M19" s="2">
        <v>46076</v>
      </c>
      <c r="N19" s="1" t="s">
        <v>67</v>
      </c>
      <c r="O19" s="1" t="s">
        <v>137</v>
      </c>
      <c r="P19" s="1" t="s">
        <v>137</v>
      </c>
      <c r="Q19" s="2"/>
      <c r="S19" s="1">
        <v>1</v>
      </c>
      <c r="T19" s="1">
        <v>0</v>
      </c>
      <c r="U19" s="1">
        <v>0</v>
      </c>
      <c r="V19" s="1">
        <v>0</v>
      </c>
      <c r="W19" s="1">
        <v>2026</v>
      </c>
      <c r="X19" s="1">
        <v>6</v>
      </c>
      <c r="Y19" s="1">
        <v>2</v>
      </c>
      <c r="Z19" s="1">
        <v>6</v>
      </c>
      <c r="AB19" s="1">
        <f t="shared" si="0"/>
        <v>2</v>
      </c>
    </row>
    <row r="20" spans="1:28" x14ac:dyDescent="0.35">
      <c r="A20" s="1">
        <v>1422308</v>
      </c>
      <c r="B20" s="1" t="s">
        <v>132</v>
      </c>
      <c r="C20" s="1" t="s">
        <v>133</v>
      </c>
      <c r="D20" s="1" t="s">
        <v>134</v>
      </c>
      <c r="E20" s="2">
        <v>46064</v>
      </c>
      <c r="F20" s="1" t="s">
        <v>155</v>
      </c>
      <c r="G20" s="1" t="s">
        <v>296</v>
      </c>
      <c r="H20" s="1">
        <v>1074</v>
      </c>
      <c r="M20" s="2">
        <v>46076</v>
      </c>
      <c r="N20" s="1" t="s">
        <v>67</v>
      </c>
      <c r="O20" s="1" t="s">
        <v>137</v>
      </c>
      <c r="P20" s="1" t="s">
        <v>137</v>
      </c>
      <c r="Q20" s="2"/>
      <c r="S20" s="1">
        <v>1</v>
      </c>
      <c r="T20" s="1">
        <v>0</v>
      </c>
      <c r="U20" s="1">
        <v>0</v>
      </c>
      <c r="V20" s="1">
        <v>0</v>
      </c>
      <c r="W20" s="1">
        <v>2026</v>
      </c>
      <c r="X20" s="1">
        <v>7</v>
      </c>
      <c r="Y20" s="1">
        <v>2</v>
      </c>
      <c r="Z20" s="1">
        <v>11</v>
      </c>
      <c r="AB20" s="1">
        <f t="shared" si="0"/>
        <v>2</v>
      </c>
    </row>
    <row r="21" spans="1:28" x14ac:dyDescent="0.35">
      <c r="A21" s="1">
        <v>1218659</v>
      </c>
      <c r="B21" s="1" t="s">
        <v>132</v>
      </c>
      <c r="C21" s="1" t="s">
        <v>133</v>
      </c>
      <c r="D21" s="1" t="s">
        <v>134</v>
      </c>
      <c r="E21" s="2">
        <v>46064</v>
      </c>
      <c r="F21" s="1" t="s">
        <v>155</v>
      </c>
      <c r="G21" s="1" t="s">
        <v>297</v>
      </c>
      <c r="H21" s="1">
        <v>201</v>
      </c>
      <c r="M21" s="2">
        <v>46076</v>
      </c>
      <c r="N21" s="1" t="s">
        <v>67</v>
      </c>
      <c r="O21" s="1" t="s">
        <v>136</v>
      </c>
      <c r="P21" s="1" t="s">
        <v>137</v>
      </c>
      <c r="Q21" s="2"/>
      <c r="S21" s="1">
        <v>1</v>
      </c>
      <c r="T21" s="1">
        <v>0</v>
      </c>
      <c r="U21" s="1">
        <v>0</v>
      </c>
      <c r="V21" s="1">
        <v>1</v>
      </c>
      <c r="W21" s="1">
        <v>2026</v>
      </c>
      <c r="X21" s="1">
        <v>7</v>
      </c>
      <c r="Y21" s="1">
        <v>2</v>
      </c>
      <c r="Z21" s="1">
        <v>11</v>
      </c>
      <c r="AB21" s="1">
        <f t="shared" si="0"/>
        <v>2</v>
      </c>
    </row>
    <row r="22" spans="1:28" x14ac:dyDescent="0.35">
      <c r="A22" s="1">
        <v>1407183</v>
      </c>
      <c r="B22" s="1" t="s">
        <v>132</v>
      </c>
      <c r="C22" s="1" t="s">
        <v>133</v>
      </c>
      <c r="D22" s="1" t="s">
        <v>134</v>
      </c>
      <c r="E22" s="2">
        <v>46063</v>
      </c>
      <c r="F22" s="1" t="s">
        <v>139</v>
      </c>
      <c r="G22" s="1" t="s">
        <v>292</v>
      </c>
      <c r="H22" s="1">
        <v>262</v>
      </c>
      <c r="I22" s="1" t="s">
        <v>185</v>
      </c>
      <c r="J22" s="1">
        <v>27</v>
      </c>
      <c r="K22" s="1" t="s">
        <v>293</v>
      </c>
      <c r="M22" s="2">
        <v>46090</v>
      </c>
      <c r="N22" s="1" t="s">
        <v>67</v>
      </c>
      <c r="O22" s="1" t="s">
        <v>137</v>
      </c>
      <c r="P22" s="1" t="s">
        <v>294</v>
      </c>
      <c r="Q22" s="2">
        <v>46091</v>
      </c>
      <c r="R22" s="1" t="s">
        <v>242</v>
      </c>
      <c r="S22" s="1">
        <v>0</v>
      </c>
      <c r="T22" s="1">
        <v>0</v>
      </c>
      <c r="U22" s="1">
        <v>0</v>
      </c>
      <c r="V22" s="1">
        <v>0</v>
      </c>
      <c r="W22" s="1">
        <v>2026</v>
      </c>
      <c r="X22" s="1">
        <v>7</v>
      </c>
      <c r="Y22" s="1">
        <v>2</v>
      </c>
      <c r="Z22" s="1">
        <v>10</v>
      </c>
      <c r="AB22" s="1">
        <f t="shared" si="0"/>
        <v>3</v>
      </c>
    </row>
    <row r="23" spans="1:28" x14ac:dyDescent="0.35">
      <c r="A23" s="1">
        <v>1407183</v>
      </c>
      <c r="B23" s="1" t="s">
        <v>132</v>
      </c>
      <c r="C23" s="1" t="s">
        <v>133</v>
      </c>
      <c r="D23" s="1" t="s">
        <v>134</v>
      </c>
      <c r="E23" s="2">
        <v>46064</v>
      </c>
      <c r="F23" s="1" t="s">
        <v>165</v>
      </c>
      <c r="G23" s="1" t="s">
        <v>292</v>
      </c>
      <c r="H23" s="1">
        <v>262</v>
      </c>
      <c r="I23" s="1" t="s">
        <v>185</v>
      </c>
      <c r="J23" s="1">
        <v>108</v>
      </c>
      <c r="K23" s="1" t="s">
        <v>244</v>
      </c>
      <c r="M23" s="2">
        <v>46090</v>
      </c>
      <c r="N23" s="1" t="s">
        <v>67</v>
      </c>
      <c r="O23" s="1" t="s">
        <v>137</v>
      </c>
      <c r="P23" s="1" t="s">
        <v>137</v>
      </c>
      <c r="Q23" s="2"/>
      <c r="S23" s="1">
        <v>1</v>
      </c>
      <c r="T23" s="1">
        <v>0</v>
      </c>
      <c r="U23" s="1">
        <v>0</v>
      </c>
      <c r="V23" s="1">
        <v>0</v>
      </c>
      <c r="W23" s="1">
        <v>2026</v>
      </c>
      <c r="X23" s="1">
        <v>7</v>
      </c>
      <c r="Y23" s="1">
        <v>2</v>
      </c>
      <c r="Z23" s="1">
        <v>11</v>
      </c>
      <c r="AB23" s="1">
        <f t="shared" si="0"/>
        <v>3</v>
      </c>
    </row>
    <row r="24" spans="1:28" x14ac:dyDescent="0.35">
      <c r="A24" s="1">
        <v>1106195</v>
      </c>
      <c r="B24" s="1" t="s">
        <v>132</v>
      </c>
      <c r="C24" s="1" t="s">
        <v>133</v>
      </c>
      <c r="D24" s="1" t="s">
        <v>134</v>
      </c>
      <c r="E24" s="2">
        <v>46059</v>
      </c>
      <c r="F24" s="1" t="s">
        <v>139</v>
      </c>
      <c r="G24" s="1" t="s">
        <v>271</v>
      </c>
      <c r="H24" s="1">
        <v>895</v>
      </c>
      <c r="I24" s="1" t="s">
        <v>158</v>
      </c>
      <c r="J24" s="1">
        <v>97</v>
      </c>
      <c r="K24" s="1" t="s">
        <v>205</v>
      </c>
      <c r="M24" s="2">
        <v>46091</v>
      </c>
      <c r="N24" s="1" t="s">
        <v>67</v>
      </c>
      <c r="O24" s="1" t="s">
        <v>136</v>
      </c>
      <c r="P24" s="1" t="s">
        <v>137</v>
      </c>
      <c r="Q24" s="2"/>
      <c r="S24" s="1">
        <v>1</v>
      </c>
      <c r="T24" s="1">
        <v>0</v>
      </c>
      <c r="U24" s="1">
        <v>0</v>
      </c>
      <c r="V24" s="1">
        <v>1</v>
      </c>
      <c r="W24" s="1">
        <v>2026</v>
      </c>
      <c r="X24" s="1">
        <v>6</v>
      </c>
      <c r="Y24" s="1">
        <v>2</v>
      </c>
      <c r="Z24" s="1">
        <v>6</v>
      </c>
      <c r="AB24" s="1">
        <f t="shared" si="0"/>
        <v>3</v>
      </c>
    </row>
    <row r="25" spans="1:28" x14ac:dyDescent="0.35">
      <c r="A25" s="1">
        <v>1497136</v>
      </c>
      <c r="B25" s="1" t="s">
        <v>132</v>
      </c>
      <c r="C25" s="1" t="s">
        <v>138</v>
      </c>
      <c r="D25" s="1" t="s">
        <v>134</v>
      </c>
      <c r="E25" s="2">
        <v>46059</v>
      </c>
      <c r="F25" s="1" t="s">
        <v>139</v>
      </c>
      <c r="G25" s="1" t="s">
        <v>271</v>
      </c>
      <c r="H25" s="1">
        <v>1633</v>
      </c>
      <c r="I25" s="1" t="s">
        <v>143</v>
      </c>
      <c r="J25" s="1">
        <v>53</v>
      </c>
      <c r="K25" s="1" t="s">
        <v>278</v>
      </c>
      <c r="M25" s="2">
        <v>46091</v>
      </c>
      <c r="N25" s="1" t="s">
        <v>67</v>
      </c>
      <c r="O25" s="1" t="s">
        <v>279</v>
      </c>
      <c r="P25" s="1" t="s">
        <v>137</v>
      </c>
      <c r="Q25" s="2"/>
      <c r="S25" s="1">
        <v>1</v>
      </c>
      <c r="T25" s="1">
        <v>0</v>
      </c>
      <c r="U25" s="1">
        <v>0</v>
      </c>
      <c r="V25" s="1">
        <v>0</v>
      </c>
      <c r="W25" s="1">
        <v>2026</v>
      </c>
      <c r="X25" s="1">
        <v>6</v>
      </c>
      <c r="Y25" s="1">
        <v>2</v>
      </c>
      <c r="Z25" s="1">
        <v>6</v>
      </c>
      <c r="AB25" s="1">
        <f t="shared" si="0"/>
        <v>3</v>
      </c>
    </row>
    <row r="26" spans="1:28" x14ac:dyDescent="0.35">
      <c r="A26" s="1">
        <v>37004</v>
      </c>
      <c r="B26" s="1" t="s">
        <v>132</v>
      </c>
      <c r="C26" s="1" t="s">
        <v>138</v>
      </c>
      <c r="D26" s="1" t="s">
        <v>134</v>
      </c>
      <c r="E26" s="2">
        <v>46055</v>
      </c>
      <c r="F26" s="1" t="s">
        <v>139</v>
      </c>
      <c r="G26" s="1" t="s">
        <v>174</v>
      </c>
      <c r="H26" s="1">
        <v>725</v>
      </c>
      <c r="I26" s="1" t="s">
        <v>262</v>
      </c>
      <c r="J26" s="1">
        <v>68</v>
      </c>
      <c r="K26" s="1" t="s">
        <v>263</v>
      </c>
      <c r="M26" s="2">
        <v>46097</v>
      </c>
      <c r="N26" s="1" t="s">
        <v>67</v>
      </c>
      <c r="O26" s="1" t="s">
        <v>136</v>
      </c>
      <c r="P26" s="1" t="s">
        <v>137</v>
      </c>
      <c r="Q26" s="2"/>
      <c r="S26" s="1">
        <v>1</v>
      </c>
      <c r="T26" s="1">
        <v>0</v>
      </c>
      <c r="U26" s="1">
        <v>0</v>
      </c>
      <c r="V26" s="1">
        <v>1</v>
      </c>
      <c r="W26" s="1">
        <v>2026</v>
      </c>
      <c r="X26" s="1">
        <v>6</v>
      </c>
      <c r="Y26" s="1">
        <v>2</v>
      </c>
      <c r="Z26" s="1">
        <v>2</v>
      </c>
      <c r="AB26" s="1">
        <f t="shared" si="0"/>
        <v>3</v>
      </c>
    </row>
    <row r="27" spans="1:28" x14ac:dyDescent="0.35">
      <c r="A27" s="1">
        <v>65280</v>
      </c>
      <c r="B27" s="1" t="s">
        <v>132</v>
      </c>
      <c r="C27" s="1" t="s">
        <v>138</v>
      </c>
      <c r="D27" s="1" t="s">
        <v>134</v>
      </c>
      <c r="E27" s="2">
        <v>46066</v>
      </c>
      <c r="F27" s="1" t="s">
        <v>165</v>
      </c>
      <c r="G27" s="1" t="s">
        <v>175</v>
      </c>
      <c r="H27" s="1">
        <v>1972</v>
      </c>
      <c r="M27" s="2">
        <v>46097</v>
      </c>
      <c r="N27" s="1" t="s">
        <v>67</v>
      </c>
      <c r="O27" s="1" t="s">
        <v>279</v>
      </c>
      <c r="P27" s="1" t="s">
        <v>137</v>
      </c>
      <c r="Q27" s="2"/>
      <c r="S27" s="1">
        <v>1</v>
      </c>
      <c r="T27" s="1">
        <v>0</v>
      </c>
      <c r="U27" s="1">
        <v>0</v>
      </c>
      <c r="V27" s="1">
        <v>0</v>
      </c>
      <c r="W27" s="1">
        <v>2026</v>
      </c>
      <c r="X27" s="1">
        <v>7</v>
      </c>
      <c r="Y27" s="1">
        <v>2</v>
      </c>
      <c r="Z27" s="1">
        <v>13</v>
      </c>
      <c r="AB27" s="1">
        <f t="shared" si="0"/>
        <v>3</v>
      </c>
    </row>
    <row r="28" spans="1:28" x14ac:dyDescent="0.35">
      <c r="A28" s="1">
        <v>1423862</v>
      </c>
      <c r="B28" s="1" t="s">
        <v>132</v>
      </c>
      <c r="C28" s="1" t="s">
        <v>138</v>
      </c>
      <c r="D28" s="1" t="s">
        <v>134</v>
      </c>
      <c r="E28" s="2">
        <v>46027</v>
      </c>
      <c r="F28" s="1" t="s">
        <v>146</v>
      </c>
      <c r="G28" s="1" t="s">
        <v>230</v>
      </c>
      <c r="H28" s="1">
        <v>933</v>
      </c>
      <c r="I28" s="1" t="s">
        <v>231</v>
      </c>
      <c r="J28" s="1">
        <v>35</v>
      </c>
      <c r="K28" s="1" t="s">
        <v>191</v>
      </c>
      <c r="M28" s="2">
        <v>46098</v>
      </c>
      <c r="N28" s="1" t="s">
        <v>67</v>
      </c>
      <c r="O28" s="1" t="s">
        <v>137</v>
      </c>
      <c r="P28" s="1" t="s">
        <v>137</v>
      </c>
      <c r="Q28" s="2"/>
      <c r="S28" s="1">
        <v>1</v>
      </c>
      <c r="T28" s="1">
        <v>0</v>
      </c>
      <c r="U28" s="1">
        <v>0</v>
      </c>
      <c r="V28" s="1">
        <v>0</v>
      </c>
      <c r="W28" s="1">
        <v>2026</v>
      </c>
      <c r="X28" s="1">
        <v>2</v>
      </c>
      <c r="Y28" s="1">
        <v>1</v>
      </c>
      <c r="Z28" s="1">
        <v>5</v>
      </c>
      <c r="AB28" s="1">
        <f t="shared" si="0"/>
        <v>3</v>
      </c>
    </row>
    <row r="29" spans="1:28" x14ac:dyDescent="0.35">
      <c r="A29" s="1">
        <v>1497383</v>
      </c>
      <c r="B29" s="1" t="s">
        <v>132</v>
      </c>
      <c r="C29" s="1" t="s">
        <v>138</v>
      </c>
      <c r="D29" s="1" t="s">
        <v>134</v>
      </c>
      <c r="E29" s="2">
        <v>46055</v>
      </c>
      <c r="F29" s="1" t="s">
        <v>146</v>
      </c>
      <c r="G29" s="1" t="s">
        <v>238</v>
      </c>
      <c r="H29" s="1">
        <v>947</v>
      </c>
      <c r="I29" s="1" t="s">
        <v>231</v>
      </c>
      <c r="J29" s="1">
        <v>35</v>
      </c>
      <c r="K29" s="1" t="s">
        <v>205</v>
      </c>
      <c r="M29" s="2">
        <v>46098</v>
      </c>
      <c r="N29" s="1" t="s">
        <v>67</v>
      </c>
      <c r="O29" s="1" t="s">
        <v>137</v>
      </c>
      <c r="P29" s="1" t="s">
        <v>137</v>
      </c>
      <c r="Q29" s="2"/>
      <c r="S29" s="1">
        <v>1</v>
      </c>
      <c r="T29" s="1">
        <v>0</v>
      </c>
      <c r="U29" s="1">
        <v>0</v>
      </c>
      <c r="V29" s="1">
        <v>0</v>
      </c>
      <c r="W29" s="1">
        <v>2026</v>
      </c>
      <c r="X29" s="1">
        <v>6</v>
      </c>
      <c r="Y29" s="1">
        <v>2</v>
      </c>
      <c r="Z29" s="1">
        <v>2</v>
      </c>
      <c r="AB29" s="1">
        <f t="shared" si="0"/>
        <v>3</v>
      </c>
    </row>
    <row r="30" spans="1:28" x14ac:dyDescent="0.35">
      <c r="A30" s="1">
        <v>1432640</v>
      </c>
      <c r="B30" s="1" t="s">
        <v>132</v>
      </c>
      <c r="C30" s="1" t="s">
        <v>133</v>
      </c>
      <c r="D30" s="1" t="s">
        <v>134</v>
      </c>
      <c r="E30" s="2">
        <v>46055</v>
      </c>
      <c r="F30" s="1" t="s">
        <v>146</v>
      </c>
      <c r="G30" s="1" t="s">
        <v>230</v>
      </c>
      <c r="H30" s="1">
        <v>564</v>
      </c>
      <c r="I30" s="1" t="s">
        <v>228</v>
      </c>
      <c r="J30" s="1">
        <v>137</v>
      </c>
      <c r="K30" s="1" t="s">
        <v>251</v>
      </c>
      <c r="M30" s="2">
        <v>46098</v>
      </c>
      <c r="N30" s="1" t="s">
        <v>67</v>
      </c>
      <c r="O30" s="1" t="s">
        <v>137</v>
      </c>
      <c r="P30" s="1" t="s">
        <v>137</v>
      </c>
      <c r="Q30" s="2"/>
      <c r="S30" s="1">
        <v>1</v>
      </c>
      <c r="T30" s="1">
        <v>0</v>
      </c>
      <c r="U30" s="1">
        <v>0</v>
      </c>
      <c r="V30" s="1">
        <v>0</v>
      </c>
      <c r="W30" s="1">
        <v>2026</v>
      </c>
      <c r="X30" s="1">
        <v>6</v>
      </c>
      <c r="Y30" s="1">
        <v>2</v>
      </c>
      <c r="Z30" s="1">
        <v>2</v>
      </c>
      <c r="AB30" s="1">
        <f t="shared" si="0"/>
        <v>3</v>
      </c>
    </row>
    <row r="31" spans="1:28" x14ac:dyDescent="0.35">
      <c r="A31" s="1">
        <v>1470141</v>
      </c>
      <c r="B31" s="1" t="s">
        <v>132</v>
      </c>
      <c r="C31" s="1" t="s">
        <v>133</v>
      </c>
      <c r="D31" s="1" t="s">
        <v>134</v>
      </c>
      <c r="E31" s="2">
        <v>46055</v>
      </c>
      <c r="F31" s="1" t="s">
        <v>139</v>
      </c>
      <c r="G31" s="1" t="s">
        <v>195</v>
      </c>
      <c r="H31" s="1">
        <v>1351</v>
      </c>
      <c r="I31" s="1" t="s">
        <v>226</v>
      </c>
      <c r="J31" s="1">
        <v>140</v>
      </c>
      <c r="K31" s="1" t="s">
        <v>218</v>
      </c>
      <c r="M31" s="2">
        <v>46099</v>
      </c>
      <c r="N31" s="1" t="s">
        <v>67</v>
      </c>
      <c r="O31" s="1" t="s">
        <v>137</v>
      </c>
      <c r="P31" s="1" t="s">
        <v>137</v>
      </c>
      <c r="Q31" s="2"/>
      <c r="S31" s="1">
        <v>1</v>
      </c>
      <c r="T31" s="1">
        <v>0</v>
      </c>
      <c r="U31" s="1">
        <v>0</v>
      </c>
      <c r="V31" s="1">
        <v>0</v>
      </c>
      <c r="W31" s="1">
        <v>2026</v>
      </c>
      <c r="X31" s="1">
        <v>6</v>
      </c>
      <c r="Y31" s="1">
        <v>2</v>
      </c>
      <c r="Z31" s="1">
        <v>2</v>
      </c>
      <c r="AB31" s="1">
        <f t="shared" si="0"/>
        <v>3</v>
      </c>
    </row>
    <row r="32" spans="1:28" x14ac:dyDescent="0.35">
      <c r="A32" s="1">
        <v>1322985</v>
      </c>
      <c r="B32" s="1" t="s">
        <v>132</v>
      </c>
      <c r="C32" s="1" t="s">
        <v>133</v>
      </c>
      <c r="D32" s="1" t="s">
        <v>134</v>
      </c>
      <c r="E32" s="2">
        <v>46041</v>
      </c>
      <c r="F32" s="1" t="s">
        <v>135</v>
      </c>
      <c r="G32" s="1" t="s">
        <v>233</v>
      </c>
      <c r="H32" s="1">
        <v>66</v>
      </c>
      <c r="I32" s="1" t="s">
        <v>212</v>
      </c>
      <c r="J32" s="1">
        <v>113</v>
      </c>
      <c r="K32" s="1" t="s">
        <v>169</v>
      </c>
      <c r="M32" s="2">
        <v>46100</v>
      </c>
      <c r="N32" s="1" t="s">
        <v>67</v>
      </c>
      <c r="O32" s="1" t="s">
        <v>136</v>
      </c>
      <c r="P32" s="1" t="s">
        <v>137</v>
      </c>
      <c r="Q32" s="2"/>
      <c r="S32" s="1">
        <v>1</v>
      </c>
      <c r="T32" s="1">
        <v>0</v>
      </c>
      <c r="U32" s="1">
        <v>0</v>
      </c>
      <c r="V32" s="1">
        <v>1</v>
      </c>
      <c r="W32" s="1">
        <v>2026</v>
      </c>
      <c r="X32" s="1">
        <v>4</v>
      </c>
      <c r="Y32" s="1">
        <v>1</v>
      </c>
      <c r="Z32" s="1">
        <v>19</v>
      </c>
      <c r="AB32" s="1">
        <f t="shared" si="0"/>
        <v>3</v>
      </c>
    </row>
    <row r="33" spans="1:28" x14ac:dyDescent="0.35">
      <c r="A33" s="1">
        <v>1497834</v>
      </c>
      <c r="B33" s="1" t="s">
        <v>132</v>
      </c>
      <c r="C33" s="1" t="s">
        <v>133</v>
      </c>
      <c r="D33" s="1" t="s">
        <v>134</v>
      </c>
      <c r="E33" s="2">
        <v>46059</v>
      </c>
      <c r="F33" s="1" t="s">
        <v>146</v>
      </c>
      <c r="G33" s="1" t="s">
        <v>275</v>
      </c>
      <c r="H33" s="1">
        <v>220</v>
      </c>
      <c r="I33" s="1" t="s">
        <v>228</v>
      </c>
      <c r="J33" s="1">
        <v>87</v>
      </c>
      <c r="K33" s="1" t="s">
        <v>276</v>
      </c>
      <c r="M33" s="2">
        <v>46101</v>
      </c>
      <c r="N33" s="1" t="s">
        <v>67</v>
      </c>
      <c r="O33" s="1" t="s">
        <v>136</v>
      </c>
      <c r="P33" s="1" t="s">
        <v>137</v>
      </c>
      <c r="Q33" s="2"/>
      <c r="S33" s="1">
        <v>1</v>
      </c>
      <c r="T33" s="1">
        <v>0</v>
      </c>
      <c r="U33" s="1">
        <v>0</v>
      </c>
      <c r="V33" s="1">
        <v>1</v>
      </c>
      <c r="W33" s="1">
        <v>2026</v>
      </c>
      <c r="X33" s="1">
        <v>6</v>
      </c>
      <c r="Y33" s="1">
        <v>2</v>
      </c>
      <c r="Z33" s="1">
        <v>6</v>
      </c>
      <c r="AB33" s="1">
        <f t="shared" si="0"/>
        <v>3</v>
      </c>
    </row>
    <row r="34" spans="1:28" x14ac:dyDescent="0.35">
      <c r="A34" s="1">
        <v>1497834</v>
      </c>
      <c r="B34" s="1" t="s">
        <v>132</v>
      </c>
      <c r="C34" s="1" t="s">
        <v>133</v>
      </c>
      <c r="D34" s="1" t="s">
        <v>134</v>
      </c>
      <c r="E34" s="2">
        <v>46059</v>
      </c>
      <c r="F34" s="1" t="s">
        <v>146</v>
      </c>
      <c r="G34" s="1" t="s">
        <v>275</v>
      </c>
      <c r="H34" s="1">
        <v>220</v>
      </c>
      <c r="I34" s="1" t="s">
        <v>228</v>
      </c>
      <c r="J34" s="1">
        <v>83</v>
      </c>
      <c r="K34" s="1" t="s">
        <v>281</v>
      </c>
      <c r="M34" s="2">
        <v>46101</v>
      </c>
      <c r="N34" s="1" t="s">
        <v>67</v>
      </c>
      <c r="O34" s="1" t="s">
        <v>136</v>
      </c>
      <c r="P34" s="1" t="s">
        <v>137</v>
      </c>
      <c r="Q34" s="2"/>
      <c r="S34" s="1">
        <v>1</v>
      </c>
      <c r="T34" s="1">
        <v>0</v>
      </c>
      <c r="U34" s="1">
        <v>0</v>
      </c>
      <c r="V34" s="1">
        <v>1</v>
      </c>
      <c r="W34" s="1">
        <v>2026</v>
      </c>
      <c r="X34" s="1">
        <v>6</v>
      </c>
      <c r="Y34" s="1">
        <v>2</v>
      </c>
      <c r="Z34" s="1">
        <v>6</v>
      </c>
      <c r="AB34" s="1">
        <f t="shared" si="0"/>
        <v>3</v>
      </c>
    </row>
    <row r="35" spans="1:28" x14ac:dyDescent="0.35">
      <c r="A35" s="1">
        <v>1453236</v>
      </c>
      <c r="B35" s="1" t="s">
        <v>132</v>
      </c>
      <c r="C35" s="1" t="s">
        <v>138</v>
      </c>
      <c r="D35" s="1" t="s">
        <v>134</v>
      </c>
      <c r="E35" s="2">
        <v>46091</v>
      </c>
      <c r="F35" s="1" t="s">
        <v>135</v>
      </c>
      <c r="G35" s="1" t="s">
        <v>211</v>
      </c>
      <c r="H35" s="1">
        <v>105</v>
      </c>
      <c r="I35" s="1" t="s">
        <v>303</v>
      </c>
      <c r="J35" s="1">
        <v>109</v>
      </c>
      <c r="K35" s="1" t="s">
        <v>160</v>
      </c>
      <c r="L35" s="1" t="s">
        <v>304</v>
      </c>
      <c r="M35" s="2">
        <v>46101</v>
      </c>
      <c r="N35" s="1" t="s">
        <v>67</v>
      </c>
      <c r="O35" s="1" t="s">
        <v>136</v>
      </c>
      <c r="P35" s="1" t="s">
        <v>137</v>
      </c>
      <c r="Q35" s="2"/>
      <c r="S35" s="1">
        <v>1</v>
      </c>
      <c r="T35" s="1">
        <v>0</v>
      </c>
      <c r="U35" s="1">
        <v>0</v>
      </c>
      <c r="V35" s="1">
        <v>1</v>
      </c>
      <c r="W35" s="1">
        <v>2026</v>
      </c>
      <c r="X35" s="1">
        <v>11</v>
      </c>
      <c r="Y35" s="1">
        <v>3</v>
      </c>
      <c r="Z35" s="1">
        <v>10</v>
      </c>
      <c r="AB35" s="1">
        <f t="shared" si="0"/>
        <v>3</v>
      </c>
    </row>
    <row r="36" spans="1:28" x14ac:dyDescent="0.35">
      <c r="A36" s="1">
        <v>1453236</v>
      </c>
      <c r="B36" s="1" t="s">
        <v>132</v>
      </c>
      <c r="C36" s="1" t="s">
        <v>138</v>
      </c>
      <c r="D36" s="1" t="s">
        <v>134</v>
      </c>
      <c r="E36" s="2">
        <v>46091</v>
      </c>
      <c r="F36" s="1" t="s">
        <v>135</v>
      </c>
      <c r="G36" s="1" t="s">
        <v>211</v>
      </c>
      <c r="H36" s="1">
        <v>105</v>
      </c>
      <c r="I36" s="1" t="s">
        <v>303</v>
      </c>
      <c r="J36" s="1">
        <v>110</v>
      </c>
      <c r="K36" s="1" t="s">
        <v>160</v>
      </c>
      <c r="L36" s="1" t="s">
        <v>304</v>
      </c>
      <c r="M36" s="2">
        <v>46101</v>
      </c>
      <c r="N36" s="1" t="s">
        <v>67</v>
      </c>
      <c r="O36" s="1" t="s">
        <v>136</v>
      </c>
      <c r="P36" s="1" t="s">
        <v>137</v>
      </c>
      <c r="Q36" s="2"/>
      <c r="S36" s="1">
        <v>1</v>
      </c>
      <c r="T36" s="1">
        <v>0</v>
      </c>
      <c r="U36" s="1">
        <v>0</v>
      </c>
      <c r="V36" s="1">
        <v>1</v>
      </c>
      <c r="W36" s="1">
        <v>2026</v>
      </c>
      <c r="X36" s="1">
        <v>11</v>
      </c>
      <c r="Y36" s="1">
        <v>3</v>
      </c>
      <c r="Z36" s="1">
        <v>10</v>
      </c>
      <c r="AB36" s="1">
        <f t="shared" si="0"/>
        <v>3</v>
      </c>
    </row>
    <row r="37" spans="1:28" x14ac:dyDescent="0.35">
      <c r="A37" s="1">
        <v>1453236</v>
      </c>
      <c r="B37" s="1" t="s">
        <v>132</v>
      </c>
      <c r="C37" s="1" t="s">
        <v>138</v>
      </c>
      <c r="D37" s="1" t="s">
        <v>134</v>
      </c>
      <c r="E37" s="2">
        <v>46091</v>
      </c>
      <c r="F37" s="1" t="s">
        <v>135</v>
      </c>
      <c r="G37" s="1" t="s">
        <v>211</v>
      </c>
      <c r="H37" s="1">
        <v>105</v>
      </c>
      <c r="I37" s="1" t="s">
        <v>303</v>
      </c>
      <c r="J37" s="1">
        <v>111</v>
      </c>
      <c r="K37" s="1" t="s">
        <v>160</v>
      </c>
      <c r="L37" s="1" t="s">
        <v>304</v>
      </c>
      <c r="M37" s="2">
        <v>46101</v>
      </c>
      <c r="N37" s="1" t="s">
        <v>67</v>
      </c>
      <c r="O37" s="1" t="s">
        <v>136</v>
      </c>
      <c r="P37" s="1" t="s">
        <v>137</v>
      </c>
      <c r="Q37" s="2"/>
      <c r="S37" s="1">
        <v>1</v>
      </c>
      <c r="T37" s="1">
        <v>0</v>
      </c>
      <c r="U37" s="1">
        <v>0</v>
      </c>
      <c r="V37" s="1">
        <v>1</v>
      </c>
      <c r="W37" s="1">
        <v>2026</v>
      </c>
      <c r="X37" s="1">
        <v>11</v>
      </c>
      <c r="Y37" s="1">
        <v>3</v>
      </c>
      <c r="Z37" s="1">
        <v>10</v>
      </c>
      <c r="AB37" s="1">
        <f t="shared" si="0"/>
        <v>3</v>
      </c>
    </row>
    <row r="38" spans="1:28" x14ac:dyDescent="0.35">
      <c r="A38" s="1">
        <v>1463281</v>
      </c>
      <c r="B38" s="1" t="s">
        <v>132</v>
      </c>
      <c r="C38" s="1" t="s">
        <v>138</v>
      </c>
      <c r="D38" s="1" t="s">
        <v>134</v>
      </c>
      <c r="E38" s="2">
        <v>46092</v>
      </c>
      <c r="F38" s="1" t="s">
        <v>146</v>
      </c>
      <c r="G38" s="1" t="s">
        <v>306</v>
      </c>
      <c r="H38" s="1">
        <v>648</v>
      </c>
      <c r="I38" s="1" t="s">
        <v>231</v>
      </c>
      <c r="J38" s="1">
        <v>77</v>
      </c>
      <c r="K38" s="1" t="s">
        <v>163</v>
      </c>
      <c r="L38" s="1" t="s">
        <v>304</v>
      </c>
      <c r="M38" s="2">
        <v>46101</v>
      </c>
      <c r="N38" s="1" t="s">
        <v>67</v>
      </c>
      <c r="O38" s="1" t="s">
        <v>137</v>
      </c>
      <c r="P38" s="1" t="s">
        <v>137</v>
      </c>
      <c r="Q38" s="2"/>
      <c r="S38" s="1">
        <v>1</v>
      </c>
      <c r="T38" s="1">
        <v>0</v>
      </c>
      <c r="U38" s="1">
        <v>0</v>
      </c>
      <c r="V38" s="1">
        <v>0</v>
      </c>
      <c r="W38" s="1">
        <v>2026</v>
      </c>
      <c r="X38" s="1">
        <v>11</v>
      </c>
      <c r="Y38" s="1">
        <v>3</v>
      </c>
      <c r="Z38" s="1">
        <v>11</v>
      </c>
      <c r="AB38" s="1">
        <f t="shared" si="0"/>
        <v>3</v>
      </c>
    </row>
    <row r="39" spans="1:28" x14ac:dyDescent="0.35">
      <c r="A39" s="1">
        <v>1463366</v>
      </c>
      <c r="B39" s="1" t="s">
        <v>132</v>
      </c>
      <c r="C39" s="1" t="s">
        <v>138</v>
      </c>
      <c r="D39" s="1" t="s">
        <v>134</v>
      </c>
      <c r="E39" s="2">
        <v>46092</v>
      </c>
      <c r="F39" s="1" t="s">
        <v>146</v>
      </c>
      <c r="G39" s="1" t="s">
        <v>306</v>
      </c>
      <c r="H39" s="1">
        <v>1202</v>
      </c>
      <c r="I39" s="1" t="s">
        <v>231</v>
      </c>
      <c r="J39" s="1">
        <v>74</v>
      </c>
      <c r="K39" s="1" t="s">
        <v>307</v>
      </c>
      <c r="L39" s="1" t="s">
        <v>308</v>
      </c>
      <c r="M39" s="2">
        <v>46101</v>
      </c>
      <c r="N39" s="1" t="s">
        <v>67</v>
      </c>
      <c r="O39" s="1" t="s">
        <v>137</v>
      </c>
      <c r="P39" s="1" t="s">
        <v>137</v>
      </c>
      <c r="Q39" s="2"/>
      <c r="S39" s="1">
        <v>1</v>
      </c>
      <c r="T39" s="1">
        <v>0</v>
      </c>
      <c r="U39" s="1">
        <v>0</v>
      </c>
      <c r="V39" s="1">
        <v>0</v>
      </c>
      <c r="W39" s="1">
        <v>2026</v>
      </c>
      <c r="X39" s="1">
        <v>11</v>
      </c>
      <c r="Y39" s="1">
        <v>3</v>
      </c>
      <c r="Z39" s="1">
        <v>11</v>
      </c>
      <c r="AB39" s="1">
        <f t="shared" si="0"/>
        <v>3</v>
      </c>
    </row>
    <row r="40" spans="1:28" x14ac:dyDescent="0.35">
      <c r="A40" s="1">
        <v>1463402</v>
      </c>
      <c r="B40" s="1" t="s">
        <v>132</v>
      </c>
      <c r="C40" s="1" t="s">
        <v>138</v>
      </c>
      <c r="D40" s="1" t="s">
        <v>134</v>
      </c>
      <c r="E40" s="2">
        <v>46093</v>
      </c>
      <c r="F40" s="1" t="s">
        <v>146</v>
      </c>
      <c r="G40" s="1" t="s">
        <v>306</v>
      </c>
      <c r="H40" s="1">
        <v>539</v>
      </c>
      <c r="I40" s="1" t="s">
        <v>228</v>
      </c>
      <c r="J40" s="1">
        <v>133</v>
      </c>
      <c r="K40" s="1" t="s">
        <v>215</v>
      </c>
      <c r="L40" s="1" t="s">
        <v>309</v>
      </c>
      <c r="M40" s="2">
        <v>46101</v>
      </c>
      <c r="N40" s="1" t="s">
        <v>67</v>
      </c>
      <c r="O40" s="1" t="s">
        <v>310</v>
      </c>
      <c r="P40" s="1" t="s">
        <v>310</v>
      </c>
      <c r="Q40" s="2"/>
      <c r="S40" s="1">
        <v>1</v>
      </c>
      <c r="T40" s="1">
        <v>0</v>
      </c>
      <c r="U40" s="1">
        <v>0</v>
      </c>
      <c r="V40" s="1">
        <v>0</v>
      </c>
      <c r="W40" s="1">
        <v>2026</v>
      </c>
      <c r="X40" s="1">
        <v>11</v>
      </c>
      <c r="Y40" s="1">
        <v>3</v>
      </c>
      <c r="Z40" s="1">
        <v>12</v>
      </c>
      <c r="AB40" s="1">
        <f t="shared" si="0"/>
        <v>3</v>
      </c>
    </row>
    <row r="41" spans="1:28" x14ac:dyDescent="0.35">
      <c r="A41" s="1">
        <v>1407194</v>
      </c>
      <c r="B41" s="1" t="s">
        <v>132</v>
      </c>
      <c r="C41" s="1" t="s">
        <v>138</v>
      </c>
      <c r="D41" s="1" t="s">
        <v>134</v>
      </c>
      <c r="E41" s="2">
        <v>46093</v>
      </c>
      <c r="F41" s="1" t="s">
        <v>146</v>
      </c>
      <c r="G41" s="1" t="s">
        <v>306</v>
      </c>
      <c r="H41" s="1">
        <v>448</v>
      </c>
      <c r="I41" s="1" t="s">
        <v>231</v>
      </c>
      <c r="J41" s="1">
        <v>89</v>
      </c>
      <c r="K41" s="1" t="s">
        <v>312</v>
      </c>
      <c r="L41" s="1" t="s">
        <v>304</v>
      </c>
      <c r="M41" s="2">
        <v>46101</v>
      </c>
      <c r="N41" s="1" t="s">
        <v>67</v>
      </c>
      <c r="O41" s="1" t="s">
        <v>137</v>
      </c>
      <c r="P41" s="1" t="s">
        <v>137</v>
      </c>
      <c r="Q41" s="2"/>
      <c r="S41" s="1">
        <v>1</v>
      </c>
      <c r="T41" s="1">
        <v>0</v>
      </c>
      <c r="U41" s="1">
        <v>0</v>
      </c>
      <c r="V41" s="1">
        <v>0</v>
      </c>
      <c r="W41" s="1">
        <v>2026</v>
      </c>
      <c r="X41" s="1">
        <v>11</v>
      </c>
      <c r="Y41" s="1">
        <v>3</v>
      </c>
      <c r="Z41" s="1">
        <v>12</v>
      </c>
      <c r="AB41" s="1">
        <f t="shared" si="0"/>
        <v>3</v>
      </c>
    </row>
    <row r="42" spans="1:28" x14ac:dyDescent="0.35">
      <c r="A42" s="1">
        <v>1494969</v>
      </c>
      <c r="B42" s="1" t="s">
        <v>132</v>
      </c>
      <c r="C42" s="1" t="s">
        <v>138</v>
      </c>
      <c r="D42" s="1" t="s">
        <v>134</v>
      </c>
      <c r="E42" s="2">
        <v>46094</v>
      </c>
      <c r="F42" s="1" t="s">
        <v>135</v>
      </c>
      <c r="G42" s="1" t="s">
        <v>313</v>
      </c>
      <c r="H42" s="1">
        <v>185</v>
      </c>
      <c r="I42" s="1" t="s">
        <v>303</v>
      </c>
      <c r="J42" s="1">
        <v>88</v>
      </c>
      <c r="K42" s="1" t="s">
        <v>314</v>
      </c>
      <c r="L42" s="1" t="s">
        <v>315</v>
      </c>
      <c r="M42" s="2">
        <v>46101</v>
      </c>
      <c r="N42" s="1" t="s">
        <v>67</v>
      </c>
      <c r="O42" s="1" t="s">
        <v>137</v>
      </c>
      <c r="P42" s="1" t="s">
        <v>137</v>
      </c>
      <c r="Q42" s="2"/>
      <c r="S42" s="1">
        <v>1</v>
      </c>
      <c r="T42" s="1">
        <v>0</v>
      </c>
      <c r="U42" s="1">
        <v>0</v>
      </c>
      <c r="V42" s="1">
        <v>0</v>
      </c>
      <c r="W42" s="1">
        <v>2026</v>
      </c>
      <c r="X42" s="1">
        <v>11</v>
      </c>
      <c r="Y42" s="1">
        <v>3</v>
      </c>
      <c r="Z42" s="1">
        <v>13</v>
      </c>
      <c r="AB42" s="1">
        <f t="shared" si="0"/>
        <v>3</v>
      </c>
    </row>
    <row r="43" spans="1:28" x14ac:dyDescent="0.35">
      <c r="A43" s="1">
        <v>1494969</v>
      </c>
      <c r="B43" s="1" t="s">
        <v>132</v>
      </c>
      <c r="C43" s="1" t="s">
        <v>138</v>
      </c>
      <c r="D43" s="1" t="s">
        <v>134</v>
      </c>
      <c r="E43" s="2">
        <v>46094</v>
      </c>
      <c r="F43" s="1" t="s">
        <v>135</v>
      </c>
      <c r="G43" s="1" t="s">
        <v>313</v>
      </c>
      <c r="H43" s="1">
        <v>185</v>
      </c>
      <c r="I43" s="1" t="s">
        <v>303</v>
      </c>
      <c r="J43" s="1">
        <v>64</v>
      </c>
      <c r="K43" s="1" t="s">
        <v>160</v>
      </c>
      <c r="L43" s="1" t="s">
        <v>319</v>
      </c>
      <c r="M43" s="2">
        <v>46101</v>
      </c>
      <c r="N43" s="1" t="s">
        <v>67</v>
      </c>
      <c r="O43" s="1" t="s">
        <v>137</v>
      </c>
      <c r="P43" s="1" t="s">
        <v>137</v>
      </c>
      <c r="Q43" s="2"/>
      <c r="S43" s="1">
        <v>1</v>
      </c>
      <c r="T43" s="1">
        <v>0</v>
      </c>
      <c r="U43" s="1">
        <v>0</v>
      </c>
      <c r="V43" s="1">
        <v>0</v>
      </c>
      <c r="W43" s="1">
        <v>2026</v>
      </c>
      <c r="X43" s="1">
        <v>11</v>
      </c>
      <c r="Y43" s="1">
        <v>3</v>
      </c>
      <c r="Z43" s="1">
        <v>13</v>
      </c>
      <c r="AB43" s="1">
        <f t="shared" si="0"/>
        <v>3</v>
      </c>
    </row>
    <row r="44" spans="1:28" x14ac:dyDescent="0.35">
      <c r="A44" s="1">
        <v>1441356</v>
      </c>
      <c r="B44" s="1" t="s">
        <v>132</v>
      </c>
      <c r="C44" s="1" t="s">
        <v>138</v>
      </c>
      <c r="D44" s="1" t="s">
        <v>134</v>
      </c>
      <c r="E44" s="2">
        <v>46055</v>
      </c>
      <c r="F44" s="1" t="s">
        <v>146</v>
      </c>
      <c r="G44" s="1" t="s">
        <v>239</v>
      </c>
      <c r="H44" s="1">
        <v>1021</v>
      </c>
      <c r="I44" s="1" t="s">
        <v>240</v>
      </c>
      <c r="J44" s="1">
        <v>13</v>
      </c>
      <c r="K44" s="1" t="s">
        <v>206</v>
      </c>
      <c r="M44" s="2">
        <v>46104</v>
      </c>
      <c r="N44" s="1" t="s">
        <v>67</v>
      </c>
      <c r="O44" s="1" t="s">
        <v>145</v>
      </c>
      <c r="P44" s="1" t="s">
        <v>241</v>
      </c>
      <c r="Q44" s="2">
        <v>46105</v>
      </c>
      <c r="R44" s="1" t="s">
        <v>242</v>
      </c>
      <c r="S44" s="1">
        <v>0</v>
      </c>
      <c r="T44" s="1">
        <v>0</v>
      </c>
      <c r="U44" s="1">
        <v>1</v>
      </c>
      <c r="V44" s="1">
        <v>0</v>
      </c>
      <c r="W44" s="1">
        <v>2026</v>
      </c>
      <c r="X44" s="1">
        <v>6</v>
      </c>
      <c r="Y44" s="1">
        <v>2</v>
      </c>
      <c r="Z44" s="1">
        <v>2</v>
      </c>
      <c r="AB44" s="1">
        <f t="shared" si="0"/>
        <v>3</v>
      </c>
    </row>
    <row r="45" spans="1:28" x14ac:dyDescent="0.35">
      <c r="A45" s="1">
        <v>1425215</v>
      </c>
      <c r="B45" s="1" t="s">
        <v>132</v>
      </c>
      <c r="C45" s="1" t="s">
        <v>133</v>
      </c>
      <c r="D45" s="1" t="s">
        <v>134</v>
      </c>
      <c r="E45" s="2">
        <v>46060</v>
      </c>
      <c r="F45" s="1" t="s">
        <v>146</v>
      </c>
      <c r="G45" s="1" t="s">
        <v>232</v>
      </c>
      <c r="H45" s="1">
        <v>273</v>
      </c>
      <c r="I45" s="1" t="s">
        <v>228</v>
      </c>
      <c r="J45" s="1">
        <v>143</v>
      </c>
      <c r="K45" s="1" t="s">
        <v>290</v>
      </c>
      <c r="M45" s="2">
        <v>46104</v>
      </c>
      <c r="N45" s="1" t="s">
        <v>67</v>
      </c>
      <c r="O45" s="1" t="s">
        <v>136</v>
      </c>
      <c r="P45" s="1" t="s">
        <v>137</v>
      </c>
      <c r="Q45" s="2"/>
      <c r="S45" s="1">
        <v>1</v>
      </c>
      <c r="T45" s="1">
        <v>0</v>
      </c>
      <c r="U45" s="1">
        <v>0</v>
      </c>
      <c r="V45" s="1">
        <v>1</v>
      </c>
      <c r="W45" s="1">
        <v>2026</v>
      </c>
      <c r="X45" s="1">
        <v>6</v>
      </c>
      <c r="Y45" s="1">
        <v>2</v>
      </c>
      <c r="Z45" s="1">
        <v>7</v>
      </c>
      <c r="AB45" s="1">
        <f t="shared" si="0"/>
        <v>3</v>
      </c>
    </row>
    <row r="46" spans="1:28" x14ac:dyDescent="0.35">
      <c r="A46" s="1">
        <v>1395515</v>
      </c>
      <c r="B46" s="1" t="s">
        <v>132</v>
      </c>
      <c r="C46" s="1" t="s">
        <v>138</v>
      </c>
      <c r="D46" s="1" t="s">
        <v>134</v>
      </c>
      <c r="E46" s="2">
        <v>46066</v>
      </c>
      <c r="F46" s="1" t="s">
        <v>146</v>
      </c>
      <c r="G46" s="1" t="s">
        <v>298</v>
      </c>
      <c r="H46" s="1">
        <v>74</v>
      </c>
      <c r="M46" s="2">
        <v>46104</v>
      </c>
      <c r="N46" s="1" t="s">
        <v>67</v>
      </c>
      <c r="O46" s="1" t="s">
        <v>137</v>
      </c>
      <c r="P46" s="1" t="s">
        <v>137</v>
      </c>
      <c r="Q46" s="2"/>
      <c r="S46" s="1">
        <v>1</v>
      </c>
      <c r="T46" s="1">
        <v>0</v>
      </c>
      <c r="U46" s="1">
        <v>0</v>
      </c>
      <c r="V46" s="1">
        <v>0</v>
      </c>
      <c r="W46" s="1">
        <v>2026</v>
      </c>
      <c r="X46" s="1">
        <v>7</v>
      </c>
      <c r="Y46" s="1">
        <v>2</v>
      </c>
      <c r="Z46" s="1">
        <v>13</v>
      </c>
      <c r="AB46" s="1">
        <f t="shared" si="0"/>
        <v>3</v>
      </c>
    </row>
    <row r="47" spans="1:28" x14ac:dyDescent="0.35">
      <c r="A47" s="1">
        <v>1489201</v>
      </c>
      <c r="B47" s="1" t="s">
        <v>132</v>
      </c>
      <c r="C47" s="1" t="s">
        <v>138</v>
      </c>
      <c r="D47" s="1" t="s">
        <v>134</v>
      </c>
      <c r="E47" s="2">
        <v>46092</v>
      </c>
      <c r="F47" s="1" t="s">
        <v>146</v>
      </c>
      <c r="G47" s="1" t="s">
        <v>305</v>
      </c>
      <c r="H47" s="1">
        <v>126</v>
      </c>
      <c r="I47" s="1" t="s">
        <v>269</v>
      </c>
      <c r="J47" s="1">
        <v>125</v>
      </c>
      <c r="K47" s="1" t="s">
        <v>163</v>
      </c>
      <c r="L47" s="1" t="s">
        <v>304</v>
      </c>
      <c r="M47" s="2">
        <v>46104</v>
      </c>
      <c r="N47" s="1" t="s">
        <v>67</v>
      </c>
      <c r="O47" s="1" t="s">
        <v>137</v>
      </c>
      <c r="P47" s="1" t="s">
        <v>137</v>
      </c>
      <c r="Q47" s="2"/>
      <c r="S47" s="1">
        <v>1</v>
      </c>
      <c r="T47" s="1">
        <v>0</v>
      </c>
      <c r="U47" s="1">
        <v>0</v>
      </c>
      <c r="V47" s="1">
        <v>0</v>
      </c>
      <c r="W47" s="1">
        <v>2026</v>
      </c>
      <c r="X47" s="1">
        <v>11</v>
      </c>
      <c r="Y47" s="1">
        <v>3</v>
      </c>
      <c r="Z47" s="1">
        <v>11</v>
      </c>
      <c r="AB47" s="1">
        <f t="shared" si="0"/>
        <v>3</v>
      </c>
    </row>
    <row r="48" spans="1:28" x14ac:dyDescent="0.35">
      <c r="A48" s="1">
        <v>1214655</v>
      </c>
      <c r="B48" s="1" t="s">
        <v>132</v>
      </c>
      <c r="C48" s="1" t="s">
        <v>138</v>
      </c>
      <c r="D48" s="1" t="s">
        <v>134</v>
      </c>
      <c r="E48" s="2">
        <v>46093</v>
      </c>
      <c r="F48" s="1" t="s">
        <v>146</v>
      </c>
      <c r="G48" s="1" t="s">
        <v>210</v>
      </c>
      <c r="H48" s="1">
        <v>1213</v>
      </c>
      <c r="I48" s="1" t="s">
        <v>231</v>
      </c>
      <c r="J48" s="1">
        <v>77</v>
      </c>
      <c r="K48" s="1" t="s">
        <v>163</v>
      </c>
      <c r="L48" s="1" t="s">
        <v>311</v>
      </c>
      <c r="M48" s="2">
        <v>46104</v>
      </c>
      <c r="N48" s="1" t="s">
        <v>67</v>
      </c>
      <c r="O48" s="1" t="s">
        <v>136</v>
      </c>
      <c r="P48" s="1" t="s">
        <v>137</v>
      </c>
      <c r="Q48" s="2"/>
      <c r="S48" s="1">
        <v>1</v>
      </c>
      <c r="T48" s="1">
        <v>0</v>
      </c>
      <c r="U48" s="1">
        <v>0</v>
      </c>
      <c r="V48" s="1">
        <v>1</v>
      </c>
      <c r="W48" s="1">
        <v>2026</v>
      </c>
      <c r="X48" s="1">
        <v>11</v>
      </c>
      <c r="Y48" s="1">
        <v>3</v>
      </c>
      <c r="Z48" s="1">
        <v>12</v>
      </c>
      <c r="AB48" s="1">
        <f t="shared" si="0"/>
        <v>3</v>
      </c>
    </row>
    <row r="49" spans="1:28" x14ac:dyDescent="0.35">
      <c r="A49" s="1">
        <v>1371342</v>
      </c>
      <c r="B49" s="1" t="s">
        <v>132</v>
      </c>
      <c r="C49" s="1" t="s">
        <v>133</v>
      </c>
      <c r="D49" s="1" t="s">
        <v>134</v>
      </c>
      <c r="E49" s="2">
        <v>46059</v>
      </c>
      <c r="F49" s="1" t="s">
        <v>139</v>
      </c>
      <c r="G49" s="1" t="s">
        <v>159</v>
      </c>
      <c r="H49" s="1">
        <v>2335</v>
      </c>
      <c r="I49" s="1" t="s">
        <v>280</v>
      </c>
      <c r="J49" s="1">
        <v>92</v>
      </c>
      <c r="K49" s="1" t="s">
        <v>207</v>
      </c>
      <c r="M49" s="2">
        <v>46105</v>
      </c>
      <c r="N49" s="1" t="s">
        <v>67</v>
      </c>
      <c r="O49" s="1" t="s">
        <v>136</v>
      </c>
      <c r="P49" s="1" t="s">
        <v>137</v>
      </c>
      <c r="Q49" s="2"/>
      <c r="S49" s="1">
        <v>1</v>
      </c>
      <c r="T49" s="1">
        <v>0</v>
      </c>
      <c r="U49" s="1">
        <v>0</v>
      </c>
      <c r="V49" s="1">
        <v>1</v>
      </c>
      <c r="W49" s="1">
        <v>2026</v>
      </c>
      <c r="X49" s="1">
        <v>6</v>
      </c>
      <c r="Y49" s="1">
        <v>2</v>
      </c>
      <c r="Z49" s="1">
        <v>6</v>
      </c>
      <c r="AB49" s="1">
        <f t="shared" si="0"/>
        <v>3</v>
      </c>
    </row>
    <row r="50" spans="1:28" x14ac:dyDescent="0.35">
      <c r="A50" s="1">
        <v>1486378</v>
      </c>
      <c r="B50" s="1" t="s">
        <v>132</v>
      </c>
      <c r="C50" s="1" t="s">
        <v>133</v>
      </c>
      <c r="D50" s="1" t="s">
        <v>134</v>
      </c>
      <c r="E50" s="2">
        <v>46062</v>
      </c>
      <c r="F50" s="1" t="s">
        <v>146</v>
      </c>
      <c r="G50" s="1" t="s">
        <v>291</v>
      </c>
      <c r="H50" s="1">
        <v>171</v>
      </c>
      <c r="M50" s="2">
        <v>46105</v>
      </c>
      <c r="N50" s="1" t="s">
        <v>67</v>
      </c>
      <c r="O50" s="1" t="s">
        <v>136</v>
      </c>
      <c r="P50" s="1" t="s">
        <v>137</v>
      </c>
      <c r="Q50" s="2"/>
      <c r="S50" s="1">
        <v>1</v>
      </c>
      <c r="T50" s="1">
        <v>0</v>
      </c>
      <c r="U50" s="1">
        <v>0</v>
      </c>
      <c r="V50" s="1">
        <v>1</v>
      </c>
      <c r="W50" s="1">
        <v>2026</v>
      </c>
      <c r="X50" s="1">
        <v>7</v>
      </c>
      <c r="Y50" s="1">
        <v>2</v>
      </c>
      <c r="Z50" s="1">
        <v>9</v>
      </c>
      <c r="AB50" s="1">
        <f t="shared" si="0"/>
        <v>3</v>
      </c>
    </row>
    <row r="51" spans="1:28" x14ac:dyDescent="0.35">
      <c r="A51" s="1">
        <v>1493505</v>
      </c>
      <c r="B51" s="1" t="s">
        <v>132</v>
      </c>
      <c r="C51" s="1" t="s">
        <v>138</v>
      </c>
      <c r="D51" s="1" t="s">
        <v>134</v>
      </c>
      <c r="E51" s="2">
        <v>46055</v>
      </c>
      <c r="F51" s="1" t="s">
        <v>139</v>
      </c>
      <c r="G51" s="1" t="s">
        <v>252</v>
      </c>
      <c r="H51" s="1">
        <v>1005</v>
      </c>
      <c r="I51" s="1" t="s">
        <v>253</v>
      </c>
      <c r="J51" s="1">
        <v>11</v>
      </c>
      <c r="K51" s="1" t="s">
        <v>207</v>
      </c>
      <c r="M51" s="2">
        <v>46106</v>
      </c>
      <c r="N51" s="1" t="s">
        <v>67</v>
      </c>
      <c r="O51" s="1" t="s">
        <v>137</v>
      </c>
      <c r="P51" s="1" t="s">
        <v>137</v>
      </c>
      <c r="Q51" s="2"/>
      <c r="S51" s="1">
        <v>1</v>
      </c>
      <c r="T51" s="1">
        <v>0</v>
      </c>
      <c r="U51" s="1">
        <v>0</v>
      </c>
      <c r="V51" s="1">
        <v>0</v>
      </c>
      <c r="W51" s="1">
        <v>2026</v>
      </c>
      <c r="X51" s="1">
        <v>6</v>
      </c>
      <c r="Y51" s="1">
        <v>2</v>
      </c>
      <c r="Z51" s="1">
        <v>2</v>
      </c>
      <c r="AB51" s="1">
        <f t="shared" si="0"/>
        <v>3</v>
      </c>
    </row>
    <row r="52" spans="1:28" x14ac:dyDescent="0.35">
      <c r="A52" s="1">
        <v>1361130</v>
      </c>
      <c r="B52" s="1" t="s">
        <v>132</v>
      </c>
      <c r="C52" s="1" t="s">
        <v>138</v>
      </c>
      <c r="D52" s="1" t="s">
        <v>134</v>
      </c>
      <c r="E52" s="2">
        <v>46094</v>
      </c>
      <c r="F52" s="1" t="s">
        <v>139</v>
      </c>
      <c r="G52" s="1" t="s">
        <v>316</v>
      </c>
      <c r="H52" s="1">
        <v>151</v>
      </c>
      <c r="I52" s="1" t="s">
        <v>317</v>
      </c>
      <c r="J52" s="1">
        <v>131</v>
      </c>
      <c r="K52" s="1" t="s">
        <v>163</v>
      </c>
      <c r="L52" s="1" t="s">
        <v>318</v>
      </c>
      <c r="M52" s="2">
        <v>46106</v>
      </c>
      <c r="N52" s="1" t="s">
        <v>67</v>
      </c>
      <c r="O52" s="1" t="s">
        <v>137</v>
      </c>
      <c r="P52" s="1" t="s">
        <v>137</v>
      </c>
      <c r="Q52" s="2"/>
      <c r="S52" s="1">
        <v>1</v>
      </c>
      <c r="T52" s="1">
        <v>0</v>
      </c>
      <c r="U52" s="1">
        <v>0</v>
      </c>
      <c r="V52" s="1">
        <v>0</v>
      </c>
      <c r="W52" s="1">
        <v>2026</v>
      </c>
      <c r="X52" s="1">
        <v>11</v>
      </c>
      <c r="Y52" s="1">
        <v>3</v>
      </c>
      <c r="Z52" s="1">
        <v>13</v>
      </c>
      <c r="AB52" s="1">
        <f t="shared" si="0"/>
        <v>3</v>
      </c>
    </row>
    <row r="53" spans="1:28" x14ac:dyDescent="0.35">
      <c r="A53" s="1">
        <v>1463669</v>
      </c>
      <c r="B53" s="1" t="s">
        <v>132</v>
      </c>
      <c r="C53" s="1" t="s">
        <v>138</v>
      </c>
      <c r="D53" s="1" t="s">
        <v>134</v>
      </c>
      <c r="E53" s="2">
        <v>46101</v>
      </c>
      <c r="F53" s="1" t="s">
        <v>146</v>
      </c>
      <c r="G53" s="1" t="s">
        <v>188</v>
      </c>
      <c r="H53" s="1">
        <v>234</v>
      </c>
      <c r="I53" s="1" t="s">
        <v>186</v>
      </c>
      <c r="J53" s="1">
        <v>72</v>
      </c>
      <c r="K53" s="1" t="s">
        <v>151</v>
      </c>
      <c r="L53" s="1" t="s">
        <v>324</v>
      </c>
      <c r="M53" s="2">
        <v>46107</v>
      </c>
      <c r="N53" s="1" t="s">
        <v>67</v>
      </c>
      <c r="O53" s="1" t="s">
        <v>137</v>
      </c>
      <c r="P53" s="1" t="s">
        <v>137</v>
      </c>
      <c r="Q53" s="2"/>
      <c r="S53" s="1">
        <v>1</v>
      </c>
      <c r="T53" s="1">
        <v>0</v>
      </c>
      <c r="U53" s="1">
        <v>0</v>
      </c>
      <c r="V53" s="1">
        <v>0</v>
      </c>
      <c r="W53" s="1">
        <v>2026</v>
      </c>
      <c r="X53" s="1">
        <v>12</v>
      </c>
      <c r="Y53" s="1">
        <v>3</v>
      </c>
      <c r="Z53" s="1">
        <v>20</v>
      </c>
      <c r="AB53" s="1">
        <f t="shared" si="0"/>
        <v>3</v>
      </c>
    </row>
    <row r="54" spans="1:28" x14ac:dyDescent="0.35">
      <c r="A54" s="1">
        <v>715262</v>
      </c>
      <c r="B54" s="1" t="s">
        <v>132</v>
      </c>
      <c r="C54" s="1" t="s">
        <v>138</v>
      </c>
      <c r="D54" s="1" t="s">
        <v>134</v>
      </c>
      <c r="E54" s="2">
        <v>46101</v>
      </c>
      <c r="F54" s="1" t="s">
        <v>146</v>
      </c>
      <c r="G54" s="1" t="s">
        <v>342</v>
      </c>
      <c r="H54" s="1">
        <v>60</v>
      </c>
      <c r="I54" s="1" t="s">
        <v>228</v>
      </c>
      <c r="J54" s="1">
        <v>15</v>
      </c>
      <c r="K54" s="1" t="s">
        <v>167</v>
      </c>
      <c r="L54" s="1" t="s">
        <v>320</v>
      </c>
      <c r="M54" s="2">
        <v>46107</v>
      </c>
      <c r="N54" s="1" t="s">
        <v>67</v>
      </c>
      <c r="O54" s="1" t="s">
        <v>137</v>
      </c>
      <c r="P54" s="1" t="s">
        <v>137</v>
      </c>
      <c r="Q54" s="2"/>
      <c r="S54" s="1">
        <v>1</v>
      </c>
      <c r="T54" s="1">
        <v>0</v>
      </c>
      <c r="U54" s="1">
        <v>0</v>
      </c>
      <c r="V54" s="1">
        <v>0</v>
      </c>
      <c r="W54" s="1">
        <v>2026</v>
      </c>
      <c r="X54" s="1">
        <v>12</v>
      </c>
      <c r="Y54" s="1">
        <v>3</v>
      </c>
      <c r="Z54" s="1">
        <v>20</v>
      </c>
      <c r="AB54" s="1">
        <f t="shared" si="0"/>
        <v>3</v>
      </c>
    </row>
    <row r="55" spans="1:28" x14ac:dyDescent="0.35">
      <c r="A55" s="1">
        <v>1463370</v>
      </c>
      <c r="B55" s="1" t="s">
        <v>132</v>
      </c>
      <c r="C55" s="1" t="s">
        <v>138</v>
      </c>
      <c r="D55" s="1" t="s">
        <v>134</v>
      </c>
      <c r="E55" s="2">
        <v>46097</v>
      </c>
      <c r="F55" s="1" t="s">
        <v>146</v>
      </c>
      <c r="G55" s="1" t="s">
        <v>321</v>
      </c>
      <c r="H55" s="1">
        <v>566</v>
      </c>
      <c r="I55" s="1" t="s">
        <v>231</v>
      </c>
      <c r="J55" s="1">
        <v>77</v>
      </c>
      <c r="K55" s="1" t="s">
        <v>151</v>
      </c>
      <c r="L55" s="1" t="s">
        <v>322</v>
      </c>
      <c r="M55" s="2">
        <v>46108</v>
      </c>
      <c r="N55" s="1" t="s">
        <v>67</v>
      </c>
      <c r="O55" s="1" t="s">
        <v>137</v>
      </c>
      <c r="P55" s="1" t="s">
        <v>137</v>
      </c>
      <c r="Q55" s="2"/>
      <c r="S55" s="1">
        <v>1</v>
      </c>
      <c r="T55" s="1">
        <v>0</v>
      </c>
      <c r="U55" s="1">
        <v>0</v>
      </c>
      <c r="V55" s="1">
        <v>0</v>
      </c>
      <c r="W55" s="1">
        <v>2026</v>
      </c>
      <c r="X55" s="1">
        <v>12</v>
      </c>
      <c r="Y55" s="1">
        <v>3</v>
      </c>
      <c r="Z55" s="1">
        <v>16</v>
      </c>
      <c r="AB55" s="1">
        <f t="shared" si="0"/>
        <v>3</v>
      </c>
    </row>
    <row r="56" spans="1:28" x14ac:dyDescent="0.35">
      <c r="A56" s="1">
        <v>1463496</v>
      </c>
      <c r="B56" s="1" t="s">
        <v>132</v>
      </c>
      <c r="C56" s="1" t="s">
        <v>138</v>
      </c>
      <c r="D56" s="1" t="s">
        <v>134</v>
      </c>
      <c r="E56" s="2">
        <v>46098</v>
      </c>
      <c r="F56" s="1" t="s">
        <v>146</v>
      </c>
      <c r="G56" s="1" t="s">
        <v>210</v>
      </c>
      <c r="H56" s="1">
        <v>429</v>
      </c>
      <c r="I56" s="1" t="s">
        <v>186</v>
      </c>
      <c r="J56" s="1">
        <v>30</v>
      </c>
      <c r="K56" s="1" t="s">
        <v>181</v>
      </c>
      <c r="L56" s="1" t="s">
        <v>325</v>
      </c>
      <c r="M56" s="2">
        <v>46111</v>
      </c>
      <c r="N56" s="1" t="s">
        <v>67</v>
      </c>
      <c r="O56" s="1" t="s">
        <v>137</v>
      </c>
      <c r="P56" s="1" t="s">
        <v>137</v>
      </c>
      <c r="Q56" s="2"/>
      <c r="S56" s="1">
        <v>1</v>
      </c>
      <c r="T56" s="1">
        <v>0</v>
      </c>
      <c r="U56" s="1">
        <v>0</v>
      </c>
      <c r="V56" s="1">
        <v>0</v>
      </c>
      <c r="W56" s="1">
        <v>2026</v>
      </c>
      <c r="X56" s="1">
        <v>12</v>
      </c>
      <c r="Y56" s="1">
        <v>3</v>
      </c>
      <c r="Z56" s="1">
        <v>17</v>
      </c>
      <c r="AB56" s="1">
        <f t="shared" si="0"/>
        <v>3</v>
      </c>
    </row>
    <row r="57" spans="1:28" x14ac:dyDescent="0.35">
      <c r="A57" s="1">
        <v>13225</v>
      </c>
      <c r="B57" s="1" t="s">
        <v>132</v>
      </c>
      <c r="C57" s="1" t="s">
        <v>138</v>
      </c>
      <c r="D57" s="1" t="s">
        <v>134</v>
      </c>
      <c r="E57" s="2">
        <v>46100</v>
      </c>
      <c r="F57" s="1" t="s">
        <v>146</v>
      </c>
      <c r="G57" s="1" t="s">
        <v>333</v>
      </c>
      <c r="H57" s="1">
        <v>637</v>
      </c>
      <c r="I57" s="1" t="s">
        <v>334</v>
      </c>
      <c r="J57" s="1">
        <v>89</v>
      </c>
      <c r="K57" s="1" t="s">
        <v>163</v>
      </c>
      <c r="L57" s="1" t="s">
        <v>318</v>
      </c>
      <c r="M57" s="2">
        <v>46111</v>
      </c>
      <c r="N57" s="1" t="s">
        <v>67</v>
      </c>
      <c r="O57" s="1" t="s">
        <v>137</v>
      </c>
      <c r="P57" s="1" t="s">
        <v>137</v>
      </c>
      <c r="Q57" s="2"/>
      <c r="S57" s="1">
        <v>1</v>
      </c>
      <c r="T57" s="1">
        <v>0</v>
      </c>
      <c r="U57" s="1">
        <v>0</v>
      </c>
      <c r="V57" s="1">
        <v>0</v>
      </c>
      <c r="W57" s="1">
        <v>2026</v>
      </c>
      <c r="X57" s="1">
        <v>12</v>
      </c>
      <c r="Y57" s="1">
        <v>3</v>
      </c>
      <c r="Z57" s="1">
        <v>19</v>
      </c>
      <c r="AB57" s="1">
        <f t="shared" si="0"/>
        <v>3</v>
      </c>
    </row>
    <row r="58" spans="1:28" x14ac:dyDescent="0.35">
      <c r="A58" s="1">
        <v>1507332</v>
      </c>
      <c r="B58" s="1" t="s">
        <v>132</v>
      </c>
      <c r="C58" s="1" t="s">
        <v>138</v>
      </c>
      <c r="D58" s="1" t="s">
        <v>134</v>
      </c>
      <c r="E58" s="2">
        <v>46100</v>
      </c>
      <c r="F58" s="1" t="s">
        <v>146</v>
      </c>
      <c r="G58" s="1" t="s">
        <v>335</v>
      </c>
      <c r="H58" s="1">
        <v>14</v>
      </c>
      <c r="I58" s="1" t="s">
        <v>228</v>
      </c>
      <c r="J58" s="1">
        <v>63</v>
      </c>
      <c r="K58" s="1" t="s">
        <v>336</v>
      </c>
      <c r="L58" s="1" t="s">
        <v>337</v>
      </c>
      <c r="M58" s="2">
        <v>46111</v>
      </c>
      <c r="N58" s="1" t="s">
        <v>67</v>
      </c>
      <c r="O58" s="1" t="s">
        <v>145</v>
      </c>
      <c r="P58" s="1" t="s">
        <v>241</v>
      </c>
      <c r="Q58" s="2">
        <v>46111</v>
      </c>
      <c r="R58" s="1" t="s">
        <v>338</v>
      </c>
      <c r="S58" s="1">
        <v>0</v>
      </c>
      <c r="T58" s="1">
        <v>0</v>
      </c>
      <c r="U58" s="1">
        <v>1</v>
      </c>
      <c r="V58" s="1">
        <v>0</v>
      </c>
      <c r="W58" s="1">
        <v>2026</v>
      </c>
      <c r="X58" s="1">
        <v>12</v>
      </c>
      <c r="Y58" s="1">
        <v>3</v>
      </c>
      <c r="Z58" s="1">
        <v>19</v>
      </c>
      <c r="AB58" s="1">
        <f t="shared" si="0"/>
        <v>3</v>
      </c>
    </row>
    <row r="59" spans="1:28" x14ac:dyDescent="0.35">
      <c r="A59" s="1">
        <v>1425296</v>
      </c>
      <c r="B59" s="1" t="s">
        <v>132</v>
      </c>
      <c r="C59" s="1" t="s">
        <v>138</v>
      </c>
      <c r="D59" s="1" t="s">
        <v>134</v>
      </c>
      <c r="E59" s="2">
        <v>46055</v>
      </c>
      <c r="F59" s="1" t="s">
        <v>146</v>
      </c>
      <c r="G59" s="1" t="s">
        <v>245</v>
      </c>
      <c r="H59" s="1">
        <v>226</v>
      </c>
      <c r="I59" s="1" t="s">
        <v>246</v>
      </c>
      <c r="J59" s="1">
        <v>5</v>
      </c>
      <c r="K59" s="1" t="s">
        <v>244</v>
      </c>
      <c r="M59" s="2">
        <v>46112</v>
      </c>
      <c r="N59" s="1" t="s">
        <v>67</v>
      </c>
      <c r="O59" s="1" t="s">
        <v>137</v>
      </c>
      <c r="P59" s="1" t="s">
        <v>137</v>
      </c>
      <c r="Q59" s="2"/>
      <c r="S59" s="1">
        <v>1</v>
      </c>
      <c r="T59" s="1">
        <v>0</v>
      </c>
      <c r="U59" s="1">
        <v>0</v>
      </c>
      <c r="V59" s="1">
        <v>0</v>
      </c>
      <c r="W59" s="1">
        <v>2026</v>
      </c>
      <c r="X59" s="1">
        <v>6</v>
      </c>
      <c r="Y59" s="1">
        <v>2</v>
      </c>
      <c r="Z59" s="1">
        <v>2</v>
      </c>
      <c r="AB59" s="1">
        <f t="shared" si="0"/>
        <v>3</v>
      </c>
    </row>
    <row r="60" spans="1:28" x14ac:dyDescent="0.35">
      <c r="A60" s="1">
        <v>1425296</v>
      </c>
      <c r="B60" s="1" t="s">
        <v>132</v>
      </c>
      <c r="C60" s="1" t="s">
        <v>138</v>
      </c>
      <c r="D60" s="1" t="s">
        <v>134</v>
      </c>
      <c r="E60" s="2">
        <v>46055</v>
      </c>
      <c r="F60" s="1" t="s">
        <v>146</v>
      </c>
      <c r="G60" s="1" t="s">
        <v>245</v>
      </c>
      <c r="H60" s="1">
        <v>226</v>
      </c>
      <c r="I60" s="1" t="s">
        <v>246</v>
      </c>
      <c r="J60" s="1">
        <v>7</v>
      </c>
      <c r="K60" s="1" t="s">
        <v>244</v>
      </c>
      <c r="M60" s="2">
        <v>46112</v>
      </c>
      <c r="N60" s="1" t="s">
        <v>67</v>
      </c>
      <c r="O60" s="1" t="s">
        <v>137</v>
      </c>
      <c r="P60" s="1" t="s">
        <v>137</v>
      </c>
      <c r="Q60" s="2"/>
      <c r="S60" s="1">
        <v>1</v>
      </c>
      <c r="T60" s="1">
        <v>0</v>
      </c>
      <c r="U60" s="1">
        <v>0</v>
      </c>
      <c r="V60" s="1">
        <v>0</v>
      </c>
      <c r="W60" s="1">
        <v>2026</v>
      </c>
      <c r="X60" s="1">
        <v>6</v>
      </c>
      <c r="Y60" s="1">
        <v>2</v>
      </c>
      <c r="Z60" s="1">
        <v>2</v>
      </c>
      <c r="AB60" s="1">
        <f t="shared" si="0"/>
        <v>3</v>
      </c>
    </row>
    <row r="61" spans="1:28" x14ac:dyDescent="0.35">
      <c r="A61" s="1">
        <v>1426288</v>
      </c>
      <c r="B61" s="1" t="s">
        <v>132</v>
      </c>
      <c r="C61" s="1" t="s">
        <v>138</v>
      </c>
      <c r="D61" s="1" t="s">
        <v>134</v>
      </c>
      <c r="E61" s="2">
        <v>46078</v>
      </c>
      <c r="F61" s="1" t="s">
        <v>146</v>
      </c>
      <c r="G61" s="1" t="s">
        <v>301</v>
      </c>
      <c r="H61" s="1">
        <v>1210</v>
      </c>
      <c r="I61" s="1" t="s">
        <v>147</v>
      </c>
      <c r="J61" s="1">
        <v>35</v>
      </c>
      <c r="K61" s="1" t="s">
        <v>281</v>
      </c>
      <c r="M61" s="2">
        <v>46112</v>
      </c>
      <c r="N61" s="1" t="s">
        <v>67</v>
      </c>
      <c r="O61" s="1" t="s">
        <v>137</v>
      </c>
      <c r="P61" s="1" t="s">
        <v>137</v>
      </c>
      <c r="Q61" s="2"/>
      <c r="S61" s="1">
        <v>1</v>
      </c>
      <c r="T61" s="1">
        <v>0</v>
      </c>
      <c r="U61" s="1">
        <v>0</v>
      </c>
      <c r="V61" s="1">
        <v>0</v>
      </c>
      <c r="W61" s="1">
        <v>2026</v>
      </c>
      <c r="X61" s="1">
        <v>9</v>
      </c>
      <c r="Y61" s="1">
        <v>2</v>
      </c>
      <c r="Z61" s="1">
        <v>25</v>
      </c>
      <c r="AB61" s="1">
        <f t="shared" si="0"/>
        <v>3</v>
      </c>
    </row>
    <row r="62" spans="1:28" x14ac:dyDescent="0.35">
      <c r="A62" s="1">
        <v>1463475</v>
      </c>
      <c r="B62" s="1" t="s">
        <v>132</v>
      </c>
      <c r="C62" s="1" t="s">
        <v>133</v>
      </c>
      <c r="D62" s="1" t="s">
        <v>134</v>
      </c>
      <c r="E62" s="2">
        <v>46056</v>
      </c>
      <c r="F62" s="1" t="s">
        <v>146</v>
      </c>
      <c r="G62" s="1" t="s">
        <v>268</v>
      </c>
      <c r="H62" s="1">
        <v>2950</v>
      </c>
      <c r="I62" s="1" t="s">
        <v>269</v>
      </c>
      <c r="J62" s="1">
        <v>83</v>
      </c>
      <c r="K62" s="1" t="s">
        <v>244</v>
      </c>
      <c r="M62" s="2">
        <v>46113</v>
      </c>
      <c r="N62" s="1" t="s">
        <v>67</v>
      </c>
      <c r="O62" s="1" t="s">
        <v>145</v>
      </c>
      <c r="P62" s="1" t="s">
        <v>270</v>
      </c>
      <c r="Q62" s="2">
        <v>46119</v>
      </c>
      <c r="R62" s="1" t="s">
        <v>242</v>
      </c>
      <c r="S62" s="1">
        <v>0</v>
      </c>
      <c r="T62" s="1">
        <v>0</v>
      </c>
      <c r="U62" s="1">
        <v>1</v>
      </c>
      <c r="V62" s="1">
        <v>0</v>
      </c>
      <c r="W62" s="1">
        <v>2026</v>
      </c>
      <c r="X62" s="1">
        <v>6</v>
      </c>
      <c r="Y62" s="1">
        <v>2</v>
      </c>
      <c r="Z62" s="1">
        <v>3</v>
      </c>
      <c r="AB62" s="1">
        <f t="shared" si="0"/>
        <v>4</v>
      </c>
    </row>
    <row r="63" spans="1:28" x14ac:dyDescent="0.35">
      <c r="A63" s="1">
        <v>1444545</v>
      </c>
      <c r="B63" s="1" t="s">
        <v>132</v>
      </c>
      <c r="C63" s="1" t="s">
        <v>138</v>
      </c>
      <c r="D63" s="1" t="s">
        <v>134</v>
      </c>
      <c r="E63" s="2">
        <v>46099</v>
      </c>
      <c r="F63" s="1" t="s">
        <v>135</v>
      </c>
      <c r="G63" s="1" t="s">
        <v>204</v>
      </c>
      <c r="H63" s="1">
        <v>854</v>
      </c>
      <c r="I63" s="1" t="s">
        <v>327</v>
      </c>
      <c r="J63" s="1">
        <v>105</v>
      </c>
      <c r="K63" s="1" t="s">
        <v>142</v>
      </c>
      <c r="L63" s="1" t="s">
        <v>325</v>
      </c>
      <c r="M63" s="2">
        <v>46113</v>
      </c>
      <c r="N63" s="1" t="s">
        <v>67</v>
      </c>
      <c r="O63" s="1" t="s">
        <v>145</v>
      </c>
      <c r="P63" s="1" t="s">
        <v>329</v>
      </c>
      <c r="Q63" s="2">
        <v>46119</v>
      </c>
      <c r="R63" s="1" t="s">
        <v>330</v>
      </c>
      <c r="S63" s="1">
        <v>0</v>
      </c>
      <c r="T63" s="1">
        <v>0</v>
      </c>
      <c r="U63" s="1">
        <v>1</v>
      </c>
      <c r="V63" s="1">
        <v>0</v>
      </c>
      <c r="W63" s="1">
        <v>2026</v>
      </c>
      <c r="X63" s="1">
        <v>12</v>
      </c>
      <c r="Y63" s="1">
        <v>3</v>
      </c>
      <c r="Z63" s="1">
        <v>18</v>
      </c>
      <c r="AB63" s="1">
        <f t="shared" si="0"/>
        <v>4</v>
      </c>
    </row>
    <row r="64" spans="1:28" x14ac:dyDescent="0.35">
      <c r="A64" s="1">
        <v>1496317</v>
      </c>
      <c r="B64" s="1" t="s">
        <v>132</v>
      </c>
      <c r="C64" s="1" t="s">
        <v>138</v>
      </c>
      <c r="D64" s="1" t="s">
        <v>134</v>
      </c>
      <c r="E64" s="2">
        <v>46060</v>
      </c>
      <c r="F64" s="1" t="s">
        <v>135</v>
      </c>
      <c r="G64" s="1" t="s">
        <v>282</v>
      </c>
      <c r="H64" s="1">
        <v>100</v>
      </c>
      <c r="I64" s="1" t="s">
        <v>222</v>
      </c>
      <c r="J64" s="1">
        <v>16</v>
      </c>
      <c r="K64" s="1" t="s">
        <v>214</v>
      </c>
      <c r="M64" s="2">
        <v>46118</v>
      </c>
      <c r="N64" s="1" t="s">
        <v>67</v>
      </c>
      <c r="O64" s="1" t="s">
        <v>136</v>
      </c>
      <c r="P64" s="1" t="s">
        <v>137</v>
      </c>
      <c r="Q64" s="2"/>
      <c r="S64" s="1">
        <v>1</v>
      </c>
      <c r="T64" s="1">
        <v>0</v>
      </c>
      <c r="U64" s="1">
        <v>0</v>
      </c>
      <c r="V64" s="1">
        <v>1</v>
      </c>
      <c r="W64" s="1">
        <v>2026</v>
      </c>
      <c r="X64" s="1">
        <v>6</v>
      </c>
      <c r="Y64" s="1">
        <v>2</v>
      </c>
      <c r="Z64" s="1">
        <v>7</v>
      </c>
      <c r="AB64" s="1">
        <f t="shared" si="0"/>
        <v>4</v>
      </c>
    </row>
    <row r="65" spans="1:28" x14ac:dyDescent="0.35">
      <c r="A65" s="1">
        <v>1496316</v>
      </c>
      <c r="B65" s="1" t="s">
        <v>132</v>
      </c>
      <c r="C65" s="1" t="s">
        <v>138</v>
      </c>
      <c r="D65" s="1" t="s">
        <v>134</v>
      </c>
      <c r="E65" s="2">
        <v>46060</v>
      </c>
      <c r="F65" s="1" t="s">
        <v>135</v>
      </c>
      <c r="G65" s="1" t="s">
        <v>285</v>
      </c>
      <c r="H65" s="1">
        <v>100</v>
      </c>
      <c r="I65" s="1" t="s">
        <v>222</v>
      </c>
      <c r="J65" s="1">
        <v>16</v>
      </c>
      <c r="K65" s="1" t="s">
        <v>247</v>
      </c>
      <c r="M65" s="2">
        <v>46118</v>
      </c>
      <c r="N65" s="1" t="s">
        <v>67</v>
      </c>
      <c r="O65" s="1" t="s">
        <v>136</v>
      </c>
      <c r="P65" s="1" t="s">
        <v>137</v>
      </c>
      <c r="Q65" s="2"/>
      <c r="S65" s="1">
        <v>1</v>
      </c>
      <c r="T65" s="1">
        <v>0</v>
      </c>
      <c r="U65" s="1">
        <v>0</v>
      </c>
      <c r="V65" s="1">
        <v>1</v>
      </c>
      <c r="W65" s="1">
        <v>2026</v>
      </c>
      <c r="X65" s="1">
        <v>6</v>
      </c>
      <c r="Y65" s="1">
        <v>2</v>
      </c>
      <c r="Z65" s="1">
        <v>7</v>
      </c>
      <c r="AB65" s="1">
        <f t="shared" si="0"/>
        <v>4</v>
      </c>
    </row>
    <row r="66" spans="1:28" x14ac:dyDescent="0.35">
      <c r="A66" s="1">
        <v>1213436</v>
      </c>
      <c r="B66" s="1" t="s">
        <v>132</v>
      </c>
      <c r="C66" s="1" t="s">
        <v>138</v>
      </c>
      <c r="D66" s="1" t="s">
        <v>134</v>
      </c>
      <c r="E66" s="2">
        <v>46101</v>
      </c>
      <c r="F66" s="1" t="s">
        <v>165</v>
      </c>
      <c r="G66" s="1" t="s">
        <v>339</v>
      </c>
      <c r="H66" s="1">
        <v>390</v>
      </c>
      <c r="I66" s="1" t="s">
        <v>340</v>
      </c>
      <c r="J66" s="1">
        <v>39</v>
      </c>
      <c r="K66" s="1" t="s">
        <v>151</v>
      </c>
      <c r="L66" s="1" t="s">
        <v>325</v>
      </c>
      <c r="M66" s="2">
        <v>46118</v>
      </c>
      <c r="N66" s="1" t="s">
        <v>67</v>
      </c>
      <c r="O66" s="1" t="s">
        <v>136</v>
      </c>
      <c r="P66" s="1" t="s">
        <v>137</v>
      </c>
      <c r="Q66" s="2"/>
      <c r="S66" s="1">
        <v>1</v>
      </c>
      <c r="T66" s="1">
        <v>0</v>
      </c>
      <c r="U66" s="1">
        <v>0</v>
      </c>
      <c r="V66" s="1">
        <v>1</v>
      </c>
      <c r="W66" s="1">
        <v>2026</v>
      </c>
      <c r="X66" s="1">
        <v>12</v>
      </c>
      <c r="Y66" s="1">
        <v>3</v>
      </c>
      <c r="Z66" s="1">
        <v>20</v>
      </c>
      <c r="AB66" s="1">
        <f t="shared" ref="AB66:AB129" si="1">MONTH(M66)</f>
        <v>4</v>
      </c>
    </row>
    <row r="67" spans="1:28" x14ac:dyDescent="0.35">
      <c r="A67" s="1">
        <v>1444439</v>
      </c>
      <c r="B67" s="1" t="s">
        <v>132</v>
      </c>
      <c r="C67" s="1" t="s">
        <v>138</v>
      </c>
      <c r="D67" s="1" t="s">
        <v>134</v>
      </c>
      <c r="E67" s="2">
        <v>46099</v>
      </c>
      <c r="F67" s="1" t="s">
        <v>135</v>
      </c>
      <c r="G67" s="1" t="s">
        <v>326</v>
      </c>
      <c r="H67" s="1">
        <v>60</v>
      </c>
      <c r="I67" s="1" t="s">
        <v>225</v>
      </c>
      <c r="J67" s="1">
        <v>59</v>
      </c>
      <c r="K67" s="1" t="s">
        <v>163</v>
      </c>
      <c r="L67" s="1" t="s">
        <v>318</v>
      </c>
      <c r="M67" s="2">
        <v>46119</v>
      </c>
      <c r="N67" s="1" t="s">
        <v>67</v>
      </c>
      <c r="O67" s="1" t="s">
        <v>145</v>
      </c>
      <c r="P67" s="1" t="s">
        <v>255</v>
      </c>
      <c r="Q67" s="2">
        <v>46122</v>
      </c>
      <c r="S67" s="1">
        <v>0</v>
      </c>
      <c r="T67" s="1">
        <v>0</v>
      </c>
      <c r="U67" s="1">
        <v>1</v>
      </c>
      <c r="V67" s="1">
        <v>0</v>
      </c>
      <c r="W67" s="1">
        <v>2026</v>
      </c>
      <c r="X67" s="1">
        <v>12</v>
      </c>
      <c r="Y67" s="1">
        <v>3</v>
      </c>
      <c r="Z67" s="1">
        <v>18</v>
      </c>
      <c r="AB67" s="1">
        <f t="shared" si="1"/>
        <v>4</v>
      </c>
    </row>
    <row r="68" spans="1:28" x14ac:dyDescent="0.35">
      <c r="A68" s="1">
        <v>1444437</v>
      </c>
      <c r="B68" s="1" t="s">
        <v>132</v>
      </c>
      <c r="C68" s="1" t="s">
        <v>138</v>
      </c>
      <c r="D68" s="1" t="s">
        <v>134</v>
      </c>
      <c r="E68" s="2">
        <v>46101</v>
      </c>
      <c r="F68" s="1" t="s">
        <v>135</v>
      </c>
      <c r="G68" s="1" t="s">
        <v>326</v>
      </c>
      <c r="H68" s="1">
        <v>23</v>
      </c>
      <c r="I68" s="1" t="s">
        <v>225</v>
      </c>
      <c r="J68" s="1">
        <v>59</v>
      </c>
      <c r="K68" s="1" t="s">
        <v>191</v>
      </c>
      <c r="L68" s="1" t="s">
        <v>318</v>
      </c>
      <c r="M68" s="2">
        <v>46119</v>
      </c>
      <c r="N68" s="1" t="s">
        <v>67</v>
      </c>
      <c r="O68" s="1" t="s">
        <v>137</v>
      </c>
      <c r="P68" s="1" t="s">
        <v>137</v>
      </c>
      <c r="Q68" s="2"/>
      <c r="S68" s="1">
        <v>1</v>
      </c>
      <c r="T68" s="1">
        <v>0</v>
      </c>
      <c r="U68" s="1">
        <v>0</v>
      </c>
      <c r="V68" s="1">
        <v>0</v>
      </c>
      <c r="W68" s="1">
        <v>2026</v>
      </c>
      <c r="X68" s="1">
        <v>12</v>
      </c>
      <c r="Y68" s="1">
        <v>3</v>
      </c>
      <c r="Z68" s="1">
        <v>20</v>
      </c>
      <c r="AB68" s="1">
        <f t="shared" si="1"/>
        <v>4</v>
      </c>
    </row>
    <row r="69" spans="1:28" x14ac:dyDescent="0.35">
      <c r="A69" s="1">
        <v>1463417</v>
      </c>
      <c r="B69" s="1" t="s">
        <v>132</v>
      </c>
      <c r="C69" s="1" t="s">
        <v>138</v>
      </c>
      <c r="D69" s="1" t="s">
        <v>134</v>
      </c>
      <c r="E69" s="2">
        <v>46118</v>
      </c>
      <c r="F69" s="1" t="s">
        <v>146</v>
      </c>
      <c r="G69" s="1" t="s">
        <v>359</v>
      </c>
      <c r="H69" s="1">
        <v>270</v>
      </c>
      <c r="I69" s="1" t="s">
        <v>269</v>
      </c>
      <c r="J69" s="1">
        <v>3</v>
      </c>
      <c r="K69" s="1" t="s">
        <v>160</v>
      </c>
      <c r="M69" s="2">
        <v>46120</v>
      </c>
      <c r="N69" s="1" t="s">
        <v>67</v>
      </c>
      <c r="O69" s="1" t="s">
        <v>137</v>
      </c>
      <c r="P69" s="1" t="s">
        <v>137</v>
      </c>
      <c r="Q69" s="2"/>
      <c r="S69" s="1">
        <v>1</v>
      </c>
      <c r="T69" s="1">
        <v>0</v>
      </c>
      <c r="U69" s="1">
        <v>0</v>
      </c>
      <c r="V69" s="1">
        <v>0</v>
      </c>
      <c r="W69" s="1">
        <v>2026</v>
      </c>
      <c r="X69" s="1">
        <v>15</v>
      </c>
      <c r="Y69" s="1">
        <v>4</v>
      </c>
      <c r="Z69" s="1">
        <v>6</v>
      </c>
      <c r="AB69" s="1">
        <f t="shared" si="1"/>
        <v>4</v>
      </c>
    </row>
    <row r="70" spans="1:28" x14ac:dyDescent="0.35">
      <c r="A70" s="1">
        <v>1444551</v>
      </c>
      <c r="B70" s="1" t="s">
        <v>132</v>
      </c>
      <c r="C70" s="1" t="s">
        <v>138</v>
      </c>
      <c r="D70" s="1" t="s">
        <v>134</v>
      </c>
      <c r="E70" s="2">
        <v>46099</v>
      </c>
      <c r="F70" s="1" t="s">
        <v>135</v>
      </c>
      <c r="G70" s="1" t="s">
        <v>204</v>
      </c>
      <c r="H70" s="1">
        <v>1027</v>
      </c>
      <c r="I70" s="1" t="s">
        <v>327</v>
      </c>
      <c r="J70" s="1">
        <v>122</v>
      </c>
      <c r="K70" s="1" t="s">
        <v>151</v>
      </c>
      <c r="L70" s="1" t="s">
        <v>328</v>
      </c>
      <c r="M70" s="2">
        <v>46122</v>
      </c>
      <c r="N70" s="1" t="s">
        <v>67</v>
      </c>
      <c r="O70" s="1" t="s">
        <v>137</v>
      </c>
      <c r="P70" s="1" t="s">
        <v>137</v>
      </c>
      <c r="Q70" s="2"/>
      <c r="S70" s="1">
        <v>1</v>
      </c>
      <c r="T70" s="1">
        <v>0</v>
      </c>
      <c r="U70" s="1">
        <v>0</v>
      </c>
      <c r="V70" s="1">
        <v>0</v>
      </c>
      <c r="W70" s="1">
        <v>2026</v>
      </c>
      <c r="X70" s="1">
        <v>12</v>
      </c>
      <c r="Y70" s="1">
        <v>3</v>
      </c>
      <c r="Z70" s="1">
        <v>18</v>
      </c>
      <c r="AB70" s="1">
        <f t="shared" si="1"/>
        <v>4</v>
      </c>
    </row>
    <row r="71" spans="1:28" x14ac:dyDescent="0.35">
      <c r="A71" s="1">
        <v>1444680</v>
      </c>
      <c r="B71" s="1" t="s">
        <v>132</v>
      </c>
      <c r="C71" s="1" t="s">
        <v>138</v>
      </c>
      <c r="D71" s="1" t="s">
        <v>134</v>
      </c>
      <c r="E71" s="2">
        <v>46101</v>
      </c>
      <c r="F71" s="1" t="s">
        <v>135</v>
      </c>
      <c r="G71" s="1" t="s">
        <v>341</v>
      </c>
      <c r="H71" s="1">
        <v>112</v>
      </c>
      <c r="I71" s="1" t="s">
        <v>332</v>
      </c>
      <c r="J71" s="1">
        <v>59</v>
      </c>
      <c r="K71" s="1" t="s">
        <v>167</v>
      </c>
      <c r="L71" s="1" t="s">
        <v>325</v>
      </c>
      <c r="M71" s="2">
        <v>46122</v>
      </c>
      <c r="N71" s="1" t="s">
        <v>67</v>
      </c>
      <c r="O71" s="1" t="s">
        <v>137</v>
      </c>
      <c r="P71" s="1" t="s">
        <v>137</v>
      </c>
      <c r="Q71" s="2"/>
      <c r="S71" s="1">
        <v>1</v>
      </c>
      <c r="T71" s="1">
        <v>0</v>
      </c>
      <c r="U71" s="1">
        <v>0</v>
      </c>
      <c r="V71" s="1">
        <v>0</v>
      </c>
      <c r="W71" s="1">
        <v>2026</v>
      </c>
      <c r="X71" s="1">
        <v>12</v>
      </c>
      <c r="Y71" s="1">
        <v>3</v>
      </c>
      <c r="Z71" s="1">
        <v>20</v>
      </c>
      <c r="AB71" s="1">
        <f t="shared" si="1"/>
        <v>4</v>
      </c>
    </row>
    <row r="72" spans="1:28" x14ac:dyDescent="0.35">
      <c r="A72" s="1">
        <v>1500170</v>
      </c>
      <c r="B72" s="1" t="s">
        <v>132</v>
      </c>
      <c r="C72" s="1" t="s">
        <v>138</v>
      </c>
      <c r="D72" s="1" t="s">
        <v>134</v>
      </c>
      <c r="E72" s="2">
        <v>46118</v>
      </c>
      <c r="F72" s="1" t="s">
        <v>146</v>
      </c>
      <c r="G72" s="1" t="s">
        <v>353</v>
      </c>
      <c r="H72" s="1">
        <v>136</v>
      </c>
      <c r="I72" s="1" t="s">
        <v>246</v>
      </c>
      <c r="J72" s="1">
        <v>59</v>
      </c>
      <c r="K72" s="1" t="s">
        <v>351</v>
      </c>
      <c r="M72" s="2">
        <v>46122</v>
      </c>
      <c r="N72" s="1" t="s">
        <v>67</v>
      </c>
      <c r="O72" s="1" t="s">
        <v>137</v>
      </c>
      <c r="P72" s="1" t="s">
        <v>137</v>
      </c>
      <c r="Q72" s="2"/>
      <c r="S72" s="1">
        <v>1</v>
      </c>
      <c r="T72" s="1">
        <v>0</v>
      </c>
      <c r="U72" s="1">
        <v>0</v>
      </c>
      <c r="V72" s="1">
        <v>0</v>
      </c>
      <c r="W72" s="1">
        <v>2026</v>
      </c>
      <c r="X72" s="1">
        <v>15</v>
      </c>
      <c r="Y72" s="1">
        <v>4</v>
      </c>
      <c r="Z72" s="1">
        <v>6</v>
      </c>
      <c r="AB72" s="1">
        <f t="shared" si="1"/>
        <v>4</v>
      </c>
    </row>
    <row r="73" spans="1:28" x14ac:dyDescent="0.35">
      <c r="A73" s="1">
        <v>1500170</v>
      </c>
      <c r="B73" s="1" t="s">
        <v>132</v>
      </c>
      <c r="C73" s="1" t="s">
        <v>138</v>
      </c>
      <c r="D73" s="1" t="s">
        <v>134</v>
      </c>
      <c r="E73" s="2">
        <v>46118</v>
      </c>
      <c r="F73" s="1" t="s">
        <v>146</v>
      </c>
      <c r="G73" s="1" t="s">
        <v>353</v>
      </c>
      <c r="H73" s="1">
        <v>136</v>
      </c>
      <c r="I73" s="1" t="s">
        <v>246</v>
      </c>
      <c r="J73" s="1">
        <v>53</v>
      </c>
      <c r="K73" s="1" t="s">
        <v>360</v>
      </c>
      <c r="M73" s="2">
        <v>46122</v>
      </c>
      <c r="N73" s="1" t="s">
        <v>67</v>
      </c>
      <c r="O73" s="1" t="s">
        <v>137</v>
      </c>
      <c r="P73" s="1" t="s">
        <v>137</v>
      </c>
      <c r="Q73" s="2"/>
      <c r="S73" s="1">
        <v>1</v>
      </c>
      <c r="T73" s="1">
        <v>0</v>
      </c>
      <c r="U73" s="1">
        <v>0</v>
      </c>
      <c r="V73" s="1">
        <v>0</v>
      </c>
      <c r="W73" s="1">
        <v>2026</v>
      </c>
      <c r="X73" s="1">
        <v>15</v>
      </c>
      <c r="Y73" s="1">
        <v>4</v>
      </c>
      <c r="Z73" s="1">
        <v>6</v>
      </c>
      <c r="AB73" s="1">
        <f t="shared" si="1"/>
        <v>4</v>
      </c>
    </row>
    <row r="74" spans="1:28" x14ac:dyDescent="0.35">
      <c r="A74" s="1">
        <v>1500170</v>
      </c>
      <c r="B74" s="1" t="s">
        <v>132</v>
      </c>
      <c r="C74" s="1" t="s">
        <v>138</v>
      </c>
      <c r="D74" s="1" t="s">
        <v>134</v>
      </c>
      <c r="E74" s="2">
        <v>46118</v>
      </c>
      <c r="F74" s="1" t="s">
        <v>146</v>
      </c>
      <c r="G74" s="1" t="s">
        <v>353</v>
      </c>
      <c r="H74" s="1">
        <v>136</v>
      </c>
      <c r="I74" s="1" t="s">
        <v>246</v>
      </c>
      <c r="J74" s="1">
        <v>55</v>
      </c>
      <c r="K74" s="1" t="s">
        <v>360</v>
      </c>
      <c r="M74" s="2">
        <v>46122</v>
      </c>
      <c r="N74" s="1" t="s">
        <v>67</v>
      </c>
      <c r="O74" s="1" t="s">
        <v>137</v>
      </c>
      <c r="P74" s="1" t="s">
        <v>137</v>
      </c>
      <c r="Q74" s="2"/>
      <c r="S74" s="1">
        <v>1</v>
      </c>
      <c r="T74" s="1">
        <v>0</v>
      </c>
      <c r="U74" s="1">
        <v>0</v>
      </c>
      <c r="V74" s="1">
        <v>0</v>
      </c>
      <c r="W74" s="1">
        <v>2026</v>
      </c>
      <c r="X74" s="1">
        <v>15</v>
      </c>
      <c r="Y74" s="1">
        <v>4</v>
      </c>
      <c r="Z74" s="1">
        <v>6</v>
      </c>
      <c r="AB74" s="1">
        <f t="shared" si="1"/>
        <v>4</v>
      </c>
    </row>
    <row r="75" spans="1:28" x14ac:dyDescent="0.35">
      <c r="A75" s="1">
        <v>1500170</v>
      </c>
      <c r="B75" s="1" t="s">
        <v>132</v>
      </c>
      <c r="C75" s="1" t="s">
        <v>138</v>
      </c>
      <c r="D75" s="1" t="s">
        <v>134</v>
      </c>
      <c r="E75" s="2">
        <v>46118</v>
      </c>
      <c r="F75" s="1" t="s">
        <v>146</v>
      </c>
      <c r="G75" s="1" t="s">
        <v>353</v>
      </c>
      <c r="H75" s="1">
        <v>136</v>
      </c>
      <c r="I75" s="1" t="s">
        <v>246</v>
      </c>
      <c r="J75" s="1">
        <v>57</v>
      </c>
      <c r="K75" s="1" t="s">
        <v>360</v>
      </c>
      <c r="M75" s="2">
        <v>46122</v>
      </c>
      <c r="N75" s="1" t="s">
        <v>67</v>
      </c>
      <c r="O75" s="1" t="s">
        <v>137</v>
      </c>
      <c r="P75" s="1" t="s">
        <v>137</v>
      </c>
      <c r="Q75" s="2"/>
      <c r="S75" s="1">
        <v>1</v>
      </c>
      <c r="T75" s="1">
        <v>0</v>
      </c>
      <c r="U75" s="1">
        <v>0</v>
      </c>
      <c r="V75" s="1">
        <v>0</v>
      </c>
      <c r="W75" s="1">
        <v>2026</v>
      </c>
      <c r="X75" s="1">
        <v>15</v>
      </c>
      <c r="Y75" s="1">
        <v>4</v>
      </c>
      <c r="Z75" s="1">
        <v>6</v>
      </c>
      <c r="AB75" s="1">
        <f t="shared" si="1"/>
        <v>4</v>
      </c>
    </row>
    <row r="76" spans="1:28" x14ac:dyDescent="0.35">
      <c r="A76" s="1">
        <v>1485654</v>
      </c>
      <c r="B76" s="1" t="s">
        <v>132</v>
      </c>
      <c r="C76" s="1" t="s">
        <v>138</v>
      </c>
      <c r="D76" s="1" t="s">
        <v>134</v>
      </c>
      <c r="E76" s="2">
        <v>46055</v>
      </c>
      <c r="F76" s="1" t="s">
        <v>135</v>
      </c>
      <c r="G76" s="1" t="s">
        <v>259</v>
      </c>
      <c r="H76" s="1">
        <v>180</v>
      </c>
      <c r="I76" s="1" t="s">
        <v>222</v>
      </c>
      <c r="J76" s="1">
        <v>108</v>
      </c>
      <c r="K76" s="1" t="s">
        <v>260</v>
      </c>
      <c r="M76" s="2">
        <v>46126</v>
      </c>
      <c r="N76" s="1" t="s">
        <v>67</v>
      </c>
      <c r="O76" s="1" t="s">
        <v>136</v>
      </c>
      <c r="P76" s="1" t="s">
        <v>137</v>
      </c>
      <c r="Q76" s="2"/>
      <c r="S76" s="1">
        <v>1</v>
      </c>
      <c r="T76" s="1">
        <v>0</v>
      </c>
      <c r="U76" s="1">
        <v>0</v>
      </c>
      <c r="V76" s="1">
        <v>1</v>
      </c>
      <c r="W76" s="1">
        <v>2026</v>
      </c>
      <c r="X76" s="1">
        <v>6</v>
      </c>
      <c r="Y76" s="1">
        <v>2</v>
      </c>
      <c r="Z76" s="1">
        <v>2</v>
      </c>
      <c r="AB76" s="1">
        <f t="shared" si="1"/>
        <v>4</v>
      </c>
    </row>
    <row r="77" spans="1:28" x14ac:dyDescent="0.35">
      <c r="A77" s="1">
        <v>1447399</v>
      </c>
      <c r="B77" s="1" t="s">
        <v>132</v>
      </c>
      <c r="C77" s="1" t="s">
        <v>138</v>
      </c>
      <c r="D77" s="1" t="s">
        <v>134</v>
      </c>
      <c r="E77" s="2">
        <v>46118</v>
      </c>
      <c r="F77" s="1" t="s">
        <v>161</v>
      </c>
      <c r="G77" s="1" t="s">
        <v>295</v>
      </c>
      <c r="H77" s="1">
        <v>466</v>
      </c>
      <c r="I77" s="1" t="s">
        <v>164</v>
      </c>
      <c r="J77" s="1">
        <v>68</v>
      </c>
      <c r="K77" s="1" t="s">
        <v>191</v>
      </c>
      <c r="L77" s="1" t="s">
        <v>355</v>
      </c>
      <c r="M77" s="2">
        <v>46126</v>
      </c>
      <c r="N77" s="1" t="s">
        <v>67</v>
      </c>
      <c r="O77" s="1" t="s">
        <v>137</v>
      </c>
      <c r="P77" s="1" t="s">
        <v>137</v>
      </c>
      <c r="Q77" s="2"/>
      <c r="S77" s="1">
        <v>1</v>
      </c>
      <c r="T77" s="1">
        <v>0</v>
      </c>
      <c r="U77" s="1">
        <v>0</v>
      </c>
      <c r="V77" s="1">
        <v>0</v>
      </c>
      <c r="W77" s="1">
        <v>2026</v>
      </c>
      <c r="X77" s="1">
        <v>15</v>
      </c>
      <c r="Y77" s="1">
        <v>4</v>
      </c>
      <c r="Z77" s="1">
        <v>6</v>
      </c>
      <c r="AB77" s="1">
        <f t="shared" si="1"/>
        <v>4</v>
      </c>
    </row>
    <row r="78" spans="1:28" x14ac:dyDescent="0.35">
      <c r="A78" s="1">
        <v>1463300</v>
      </c>
      <c r="B78" s="1" t="s">
        <v>132</v>
      </c>
      <c r="C78" s="1" t="s">
        <v>138</v>
      </c>
      <c r="D78" s="1" t="s">
        <v>134</v>
      </c>
      <c r="E78" s="2">
        <v>46118</v>
      </c>
      <c r="F78" s="1" t="s">
        <v>146</v>
      </c>
      <c r="G78" s="1" t="s">
        <v>354</v>
      </c>
      <c r="H78" s="1">
        <v>572</v>
      </c>
      <c r="I78" s="1" t="s">
        <v>178</v>
      </c>
      <c r="J78" s="1">
        <v>61</v>
      </c>
      <c r="K78" s="1" t="s">
        <v>163</v>
      </c>
      <c r="M78" s="2">
        <v>46127</v>
      </c>
      <c r="N78" s="1" t="s">
        <v>67</v>
      </c>
      <c r="O78" s="1" t="s">
        <v>137</v>
      </c>
      <c r="P78" s="1" t="s">
        <v>137</v>
      </c>
      <c r="Q78" s="2"/>
      <c r="S78" s="1">
        <v>1</v>
      </c>
      <c r="T78" s="1">
        <v>0</v>
      </c>
      <c r="U78" s="1">
        <v>0</v>
      </c>
      <c r="V78" s="1">
        <v>0</v>
      </c>
      <c r="W78" s="1">
        <v>2026</v>
      </c>
      <c r="X78" s="1">
        <v>15</v>
      </c>
      <c r="Y78" s="1">
        <v>4</v>
      </c>
      <c r="Z78" s="1">
        <v>6</v>
      </c>
      <c r="AB78" s="1">
        <f t="shared" si="1"/>
        <v>4</v>
      </c>
    </row>
    <row r="79" spans="1:28" x14ac:dyDescent="0.35">
      <c r="A79" s="1">
        <v>1444526</v>
      </c>
      <c r="B79" s="1" t="s">
        <v>132</v>
      </c>
      <c r="C79" s="1" t="s">
        <v>138</v>
      </c>
      <c r="D79" s="1" t="s">
        <v>134</v>
      </c>
      <c r="E79" s="2">
        <v>46100</v>
      </c>
      <c r="F79" s="1" t="s">
        <v>135</v>
      </c>
      <c r="G79" s="1" t="s">
        <v>331</v>
      </c>
      <c r="H79" s="1">
        <v>372</v>
      </c>
      <c r="I79" s="1" t="s">
        <v>332</v>
      </c>
      <c r="J79" s="1">
        <v>124</v>
      </c>
      <c r="K79" s="1" t="s">
        <v>163</v>
      </c>
      <c r="L79" s="1" t="s">
        <v>325</v>
      </c>
      <c r="M79" s="2">
        <v>46128</v>
      </c>
      <c r="N79" s="1" t="s">
        <v>67</v>
      </c>
      <c r="O79" s="1" t="s">
        <v>137</v>
      </c>
      <c r="P79" s="1" t="s">
        <v>137</v>
      </c>
      <c r="Q79" s="2"/>
      <c r="S79" s="1">
        <v>1</v>
      </c>
      <c r="T79" s="1">
        <v>0</v>
      </c>
      <c r="U79" s="1">
        <v>0</v>
      </c>
      <c r="V79" s="1">
        <v>0</v>
      </c>
      <c r="W79" s="1">
        <v>2026</v>
      </c>
      <c r="X79" s="1">
        <v>12</v>
      </c>
      <c r="Y79" s="1">
        <v>3</v>
      </c>
      <c r="Z79" s="1">
        <v>19</v>
      </c>
      <c r="AB79" s="1">
        <f t="shared" si="1"/>
        <v>4</v>
      </c>
    </row>
    <row r="80" spans="1:28" x14ac:dyDescent="0.35">
      <c r="A80" s="1">
        <v>1515962</v>
      </c>
      <c r="B80" s="1" t="s">
        <v>132</v>
      </c>
      <c r="C80" s="1" t="s">
        <v>138</v>
      </c>
      <c r="D80" s="1" t="s">
        <v>134</v>
      </c>
      <c r="E80" s="2">
        <v>46118</v>
      </c>
      <c r="F80" s="1" t="s">
        <v>139</v>
      </c>
      <c r="G80" s="1" t="s">
        <v>357</v>
      </c>
      <c r="H80" s="1">
        <v>355</v>
      </c>
      <c r="I80" s="1" t="s">
        <v>143</v>
      </c>
      <c r="J80" s="1">
        <v>25</v>
      </c>
      <c r="K80" s="1" t="s">
        <v>181</v>
      </c>
      <c r="L80" s="1" t="s">
        <v>358</v>
      </c>
      <c r="M80" s="2">
        <v>46129</v>
      </c>
      <c r="N80" s="1" t="s">
        <v>22</v>
      </c>
      <c r="O80" s="1" t="s">
        <v>137</v>
      </c>
      <c r="P80" s="1" t="s">
        <v>137</v>
      </c>
      <c r="Q80" s="2"/>
      <c r="S80" s="1">
        <v>1</v>
      </c>
      <c r="T80" s="1">
        <v>0</v>
      </c>
      <c r="U80" s="1">
        <v>0</v>
      </c>
      <c r="V80" s="1">
        <v>0</v>
      </c>
      <c r="W80" s="1">
        <v>2026</v>
      </c>
      <c r="X80" s="1">
        <v>15</v>
      </c>
      <c r="Y80" s="1">
        <v>4</v>
      </c>
      <c r="Z80" s="1">
        <v>6</v>
      </c>
      <c r="AB80" s="1">
        <f t="shared" si="1"/>
        <v>4</v>
      </c>
    </row>
    <row r="81" spans="1:28" x14ac:dyDescent="0.35">
      <c r="A81" s="1">
        <v>1516416</v>
      </c>
      <c r="B81" s="1" t="s">
        <v>132</v>
      </c>
      <c r="C81" s="1" t="s">
        <v>138</v>
      </c>
      <c r="D81" s="1" t="s">
        <v>134</v>
      </c>
      <c r="E81" s="2">
        <v>46129</v>
      </c>
      <c r="F81" s="1" t="s">
        <v>139</v>
      </c>
      <c r="G81" s="1" t="s">
        <v>357</v>
      </c>
      <c r="H81" s="1">
        <v>455</v>
      </c>
      <c r="I81" s="1" t="s">
        <v>143</v>
      </c>
      <c r="J81" s="1">
        <v>25</v>
      </c>
      <c r="K81" s="1" t="s">
        <v>167</v>
      </c>
      <c r="L81" s="1" t="s">
        <v>358</v>
      </c>
      <c r="M81" s="2">
        <v>46129</v>
      </c>
      <c r="N81" s="1" t="s">
        <v>22</v>
      </c>
      <c r="O81" s="1" t="s">
        <v>137</v>
      </c>
      <c r="P81" s="1" t="s">
        <v>137</v>
      </c>
      <c r="Q81" s="2"/>
      <c r="S81" s="1">
        <v>1</v>
      </c>
      <c r="T81" s="1">
        <v>0</v>
      </c>
      <c r="U81" s="1">
        <v>0</v>
      </c>
      <c r="V81" s="1">
        <v>0</v>
      </c>
      <c r="W81" s="1">
        <v>2026</v>
      </c>
      <c r="X81" s="1">
        <v>16</v>
      </c>
      <c r="Y81" s="1">
        <v>4</v>
      </c>
      <c r="Z81" s="1">
        <v>17</v>
      </c>
      <c r="AB81" s="1">
        <f t="shared" si="1"/>
        <v>4</v>
      </c>
    </row>
    <row r="82" spans="1:28" x14ac:dyDescent="0.35">
      <c r="A82" s="1">
        <v>1522781</v>
      </c>
      <c r="B82" s="1" t="s">
        <v>132</v>
      </c>
      <c r="C82" s="1" t="s">
        <v>138</v>
      </c>
      <c r="D82" s="1" t="s">
        <v>134</v>
      </c>
      <c r="E82" s="2">
        <v>46134</v>
      </c>
      <c r="F82" s="1" t="s">
        <v>139</v>
      </c>
      <c r="G82" s="1" t="s">
        <v>174</v>
      </c>
      <c r="H82" s="1">
        <v>80</v>
      </c>
      <c r="I82" s="1" t="s">
        <v>141</v>
      </c>
      <c r="J82" s="1">
        <v>3</v>
      </c>
      <c r="K82" s="1" t="s">
        <v>169</v>
      </c>
      <c r="L82" s="1" t="s">
        <v>369</v>
      </c>
      <c r="M82" s="2">
        <v>46141</v>
      </c>
      <c r="N82" s="1" t="s">
        <v>21</v>
      </c>
      <c r="O82" s="1" t="s">
        <v>137</v>
      </c>
      <c r="P82" s="1" t="s">
        <v>137</v>
      </c>
      <c r="Q82" s="2"/>
      <c r="S82" s="1">
        <v>1</v>
      </c>
      <c r="T82" s="1">
        <v>0</v>
      </c>
      <c r="U82" s="1">
        <v>0</v>
      </c>
      <c r="V82" s="1">
        <v>0</v>
      </c>
      <c r="W82" s="1">
        <v>2026</v>
      </c>
      <c r="X82" s="1">
        <v>17</v>
      </c>
      <c r="Y82" s="1">
        <v>4</v>
      </c>
      <c r="Z82" s="1">
        <v>22</v>
      </c>
      <c r="AB82" s="1">
        <f t="shared" si="1"/>
        <v>4</v>
      </c>
    </row>
    <row r="83" spans="1:28" x14ac:dyDescent="0.35">
      <c r="A83" s="1">
        <v>1536955</v>
      </c>
      <c r="B83" s="1" t="s">
        <v>132</v>
      </c>
      <c r="C83" s="1" t="s">
        <v>138</v>
      </c>
      <c r="D83" s="1" t="s">
        <v>134</v>
      </c>
      <c r="E83" s="2">
        <v>46136</v>
      </c>
      <c r="F83" s="1" t="s">
        <v>139</v>
      </c>
      <c r="G83" s="1" t="s">
        <v>388</v>
      </c>
      <c r="H83" s="1">
        <v>455</v>
      </c>
      <c r="I83" s="1" t="s">
        <v>143</v>
      </c>
      <c r="J83" s="1">
        <v>25</v>
      </c>
      <c r="K83" s="1" t="s">
        <v>167</v>
      </c>
      <c r="L83" s="1" t="s">
        <v>348</v>
      </c>
      <c r="M83" s="2">
        <v>46142</v>
      </c>
      <c r="N83" s="1" t="s">
        <v>21</v>
      </c>
      <c r="O83" s="1" t="s">
        <v>137</v>
      </c>
      <c r="P83" s="1" t="s">
        <v>137</v>
      </c>
      <c r="Q83" s="2"/>
      <c r="S83" s="1">
        <v>1</v>
      </c>
      <c r="T83" s="1">
        <v>0</v>
      </c>
      <c r="U83" s="1">
        <v>0</v>
      </c>
      <c r="V83" s="1">
        <v>0</v>
      </c>
      <c r="W83" s="1">
        <v>2026</v>
      </c>
      <c r="X83" s="1">
        <v>17</v>
      </c>
      <c r="Y83" s="1">
        <v>4</v>
      </c>
      <c r="Z83" s="1">
        <v>24</v>
      </c>
      <c r="AB83" s="1">
        <f t="shared" si="1"/>
        <v>4</v>
      </c>
    </row>
    <row r="84" spans="1:28" x14ac:dyDescent="0.35">
      <c r="A84" s="1">
        <v>1453124</v>
      </c>
      <c r="B84" s="1" t="s">
        <v>132</v>
      </c>
      <c r="C84" s="1" t="s">
        <v>138</v>
      </c>
      <c r="D84" s="1" t="s">
        <v>134</v>
      </c>
      <c r="E84" s="2">
        <v>46134</v>
      </c>
      <c r="F84" s="1" t="s">
        <v>165</v>
      </c>
      <c r="G84" s="1" t="s">
        <v>373</v>
      </c>
      <c r="H84" s="1">
        <v>370</v>
      </c>
      <c r="I84" s="1" t="s">
        <v>374</v>
      </c>
      <c r="J84" s="1">
        <v>103</v>
      </c>
      <c r="K84" s="1" t="s">
        <v>235</v>
      </c>
      <c r="L84" s="1" t="s">
        <v>375</v>
      </c>
      <c r="M84" s="2">
        <v>46146</v>
      </c>
      <c r="N84" s="1" t="s">
        <v>33</v>
      </c>
      <c r="O84" s="1" t="s">
        <v>137</v>
      </c>
      <c r="P84" s="1" t="s">
        <v>137</v>
      </c>
      <c r="Q84" s="2"/>
      <c r="S84" s="1">
        <v>1</v>
      </c>
      <c r="T84" s="1">
        <v>0</v>
      </c>
      <c r="U84" s="1">
        <v>0</v>
      </c>
      <c r="V84" s="1">
        <v>0</v>
      </c>
      <c r="W84" s="1">
        <v>2026</v>
      </c>
      <c r="X84" s="1">
        <v>17</v>
      </c>
      <c r="Y84" s="1">
        <v>4</v>
      </c>
      <c r="Z84" s="1">
        <v>22</v>
      </c>
      <c r="AB84" s="1">
        <f t="shared" si="1"/>
        <v>5</v>
      </c>
    </row>
    <row r="85" spans="1:28" x14ac:dyDescent="0.35">
      <c r="A85" s="1">
        <v>1453124</v>
      </c>
      <c r="B85" s="1" t="s">
        <v>132</v>
      </c>
      <c r="C85" s="1" t="s">
        <v>138</v>
      </c>
      <c r="D85" s="1" t="s">
        <v>134</v>
      </c>
      <c r="E85" s="2">
        <v>46134</v>
      </c>
      <c r="F85" s="1" t="s">
        <v>165</v>
      </c>
      <c r="G85" s="1" t="s">
        <v>373</v>
      </c>
      <c r="H85" s="1">
        <v>370</v>
      </c>
      <c r="I85" s="1" t="s">
        <v>374</v>
      </c>
      <c r="J85" s="1">
        <v>106</v>
      </c>
      <c r="K85" s="1" t="s">
        <v>235</v>
      </c>
      <c r="L85" s="1" t="s">
        <v>376</v>
      </c>
      <c r="M85" s="2">
        <v>46146</v>
      </c>
      <c r="N85" s="1" t="s">
        <v>33</v>
      </c>
      <c r="O85" s="1" t="s">
        <v>137</v>
      </c>
      <c r="P85" s="1" t="s">
        <v>137</v>
      </c>
      <c r="Q85" s="2"/>
      <c r="S85" s="1">
        <v>1</v>
      </c>
      <c r="T85" s="1">
        <v>0</v>
      </c>
      <c r="U85" s="1">
        <v>0</v>
      </c>
      <c r="V85" s="1">
        <v>0</v>
      </c>
      <c r="W85" s="1">
        <v>2026</v>
      </c>
      <c r="X85" s="1">
        <v>17</v>
      </c>
      <c r="Y85" s="1">
        <v>4</v>
      </c>
      <c r="Z85" s="1">
        <v>22</v>
      </c>
      <c r="AB85" s="1">
        <f t="shared" si="1"/>
        <v>5</v>
      </c>
    </row>
    <row r="86" spans="1:28" x14ac:dyDescent="0.35">
      <c r="A86" s="1">
        <v>1453124</v>
      </c>
      <c r="B86" s="1" t="s">
        <v>132</v>
      </c>
      <c r="C86" s="1" t="s">
        <v>138</v>
      </c>
      <c r="D86" s="1" t="s">
        <v>134</v>
      </c>
      <c r="E86" s="2">
        <v>46134</v>
      </c>
      <c r="F86" s="1" t="s">
        <v>165</v>
      </c>
      <c r="G86" s="1" t="s">
        <v>373</v>
      </c>
      <c r="H86" s="1">
        <v>370</v>
      </c>
      <c r="I86" s="1" t="s">
        <v>374</v>
      </c>
      <c r="J86" s="1">
        <v>104</v>
      </c>
      <c r="K86" s="1" t="s">
        <v>377</v>
      </c>
      <c r="L86" s="1" t="s">
        <v>378</v>
      </c>
      <c r="M86" s="2">
        <v>46146</v>
      </c>
      <c r="N86" s="1" t="s">
        <v>33</v>
      </c>
      <c r="O86" s="1" t="s">
        <v>137</v>
      </c>
      <c r="P86" s="1" t="s">
        <v>137</v>
      </c>
      <c r="Q86" s="2"/>
      <c r="S86" s="1">
        <v>1</v>
      </c>
      <c r="T86" s="1">
        <v>0</v>
      </c>
      <c r="U86" s="1">
        <v>0</v>
      </c>
      <c r="V86" s="1">
        <v>0</v>
      </c>
      <c r="W86" s="1">
        <v>2026</v>
      </c>
      <c r="X86" s="1">
        <v>17</v>
      </c>
      <c r="Y86" s="1">
        <v>4</v>
      </c>
      <c r="Z86" s="1">
        <v>22</v>
      </c>
      <c r="AB86" s="1">
        <f t="shared" si="1"/>
        <v>5</v>
      </c>
    </row>
    <row r="87" spans="1:28" x14ac:dyDescent="0.35">
      <c r="A87" s="1">
        <v>1489478</v>
      </c>
      <c r="B87" s="1" t="s">
        <v>132</v>
      </c>
      <c r="C87" s="1" t="s">
        <v>138</v>
      </c>
      <c r="D87" s="1" t="s">
        <v>134</v>
      </c>
      <c r="E87" s="2">
        <v>46134</v>
      </c>
      <c r="F87" s="1" t="s">
        <v>146</v>
      </c>
      <c r="G87" s="1" t="s">
        <v>371</v>
      </c>
      <c r="H87" s="1">
        <v>125</v>
      </c>
      <c r="I87" s="1" t="s">
        <v>246</v>
      </c>
      <c r="J87" s="1">
        <v>27</v>
      </c>
      <c r="K87" s="1" t="s">
        <v>352</v>
      </c>
      <c r="L87" s="1" t="s">
        <v>372</v>
      </c>
      <c r="M87" s="2">
        <v>46147</v>
      </c>
      <c r="N87" s="1" t="s">
        <v>67</v>
      </c>
      <c r="O87" s="1" t="s">
        <v>136</v>
      </c>
      <c r="P87" s="1" t="s">
        <v>137</v>
      </c>
      <c r="Q87" s="2"/>
      <c r="S87" s="1">
        <v>1</v>
      </c>
      <c r="T87" s="1">
        <v>0</v>
      </c>
      <c r="U87" s="1">
        <v>0</v>
      </c>
      <c r="V87" s="1">
        <v>1</v>
      </c>
      <c r="W87" s="1">
        <v>2026</v>
      </c>
      <c r="X87" s="1">
        <v>17</v>
      </c>
      <c r="Y87" s="1">
        <v>4</v>
      </c>
      <c r="Z87" s="1">
        <v>22</v>
      </c>
      <c r="AB87" s="1">
        <f t="shared" si="1"/>
        <v>5</v>
      </c>
    </row>
    <row r="88" spans="1:28" x14ac:dyDescent="0.35">
      <c r="A88" s="1">
        <v>1463408</v>
      </c>
      <c r="B88" s="1" t="s">
        <v>132</v>
      </c>
      <c r="C88" s="1" t="s">
        <v>138</v>
      </c>
      <c r="D88" s="1" t="s">
        <v>134</v>
      </c>
      <c r="E88" s="2">
        <v>46134</v>
      </c>
      <c r="F88" s="1" t="s">
        <v>146</v>
      </c>
      <c r="G88" s="1" t="s">
        <v>300</v>
      </c>
      <c r="H88" s="1">
        <v>314</v>
      </c>
      <c r="I88" s="1" t="s">
        <v>379</v>
      </c>
      <c r="J88" s="1">
        <v>53</v>
      </c>
      <c r="K88" s="1" t="s">
        <v>361</v>
      </c>
      <c r="L88" s="1" t="s">
        <v>380</v>
      </c>
      <c r="M88" s="2">
        <v>46147</v>
      </c>
      <c r="N88" s="1" t="s">
        <v>67</v>
      </c>
      <c r="O88" s="1" t="s">
        <v>145</v>
      </c>
      <c r="P88" s="1" t="s">
        <v>381</v>
      </c>
      <c r="Q88" s="2"/>
      <c r="R88" s="1" t="s">
        <v>382</v>
      </c>
      <c r="S88" s="1">
        <v>0</v>
      </c>
      <c r="T88" s="1">
        <v>0</v>
      </c>
      <c r="U88" s="1">
        <v>1</v>
      </c>
      <c r="V88" s="1">
        <v>0</v>
      </c>
      <c r="W88" s="1">
        <v>2026</v>
      </c>
      <c r="X88" s="1">
        <v>17</v>
      </c>
      <c r="Y88" s="1">
        <v>4</v>
      </c>
      <c r="Z88" s="1">
        <v>22</v>
      </c>
      <c r="AB88" s="1">
        <f t="shared" si="1"/>
        <v>5</v>
      </c>
    </row>
    <row r="89" spans="1:28" x14ac:dyDescent="0.35">
      <c r="A89" s="1">
        <v>1463430</v>
      </c>
      <c r="B89" s="1" t="s">
        <v>132</v>
      </c>
      <c r="C89" s="1" t="s">
        <v>138</v>
      </c>
      <c r="D89" s="1" t="s">
        <v>134</v>
      </c>
      <c r="E89" s="2">
        <v>46136</v>
      </c>
      <c r="F89" s="1" t="s">
        <v>146</v>
      </c>
      <c r="G89" s="1" t="s">
        <v>385</v>
      </c>
      <c r="H89" s="1">
        <v>247</v>
      </c>
      <c r="I89" s="1" t="s">
        <v>246</v>
      </c>
      <c r="J89" s="1">
        <v>19</v>
      </c>
      <c r="K89" s="1" t="s">
        <v>384</v>
      </c>
      <c r="L89" s="1" t="s">
        <v>386</v>
      </c>
      <c r="M89" s="2">
        <v>46147</v>
      </c>
      <c r="N89" s="1" t="s">
        <v>67</v>
      </c>
      <c r="O89" s="1" t="s">
        <v>137</v>
      </c>
      <c r="P89" s="1" t="s">
        <v>137</v>
      </c>
      <c r="Q89" s="2"/>
      <c r="S89" s="1">
        <v>1</v>
      </c>
      <c r="T89" s="1">
        <v>0</v>
      </c>
      <c r="U89" s="1">
        <v>0</v>
      </c>
      <c r="V89" s="1">
        <v>0</v>
      </c>
      <c r="W89" s="1">
        <v>2026</v>
      </c>
      <c r="X89" s="1">
        <v>17</v>
      </c>
      <c r="Y89" s="1">
        <v>4</v>
      </c>
      <c r="Z89" s="1">
        <v>24</v>
      </c>
      <c r="AB89" s="1">
        <f t="shared" si="1"/>
        <v>5</v>
      </c>
    </row>
    <row r="90" spans="1:28" x14ac:dyDescent="0.35">
      <c r="A90" s="1">
        <v>1463430</v>
      </c>
      <c r="B90" s="1" t="s">
        <v>132</v>
      </c>
      <c r="C90" s="1" t="s">
        <v>138</v>
      </c>
      <c r="D90" s="1" t="s">
        <v>134</v>
      </c>
      <c r="E90" s="2">
        <v>46136</v>
      </c>
      <c r="F90" s="1" t="s">
        <v>146</v>
      </c>
      <c r="G90" s="1" t="s">
        <v>385</v>
      </c>
      <c r="H90" s="1">
        <v>247</v>
      </c>
      <c r="I90" s="1" t="s">
        <v>246</v>
      </c>
      <c r="J90" s="1">
        <v>21</v>
      </c>
      <c r="K90" s="1" t="s">
        <v>344</v>
      </c>
      <c r="L90" s="1" t="s">
        <v>387</v>
      </c>
      <c r="M90" s="2">
        <v>46147</v>
      </c>
      <c r="N90" s="1" t="s">
        <v>67</v>
      </c>
      <c r="O90" s="1" t="s">
        <v>137</v>
      </c>
      <c r="P90" s="1" t="s">
        <v>137</v>
      </c>
      <c r="Q90" s="2"/>
      <c r="S90" s="1">
        <v>1</v>
      </c>
      <c r="T90" s="1">
        <v>0</v>
      </c>
      <c r="U90" s="1">
        <v>0</v>
      </c>
      <c r="V90" s="1">
        <v>0</v>
      </c>
      <c r="W90" s="1">
        <v>2026</v>
      </c>
      <c r="X90" s="1">
        <v>17</v>
      </c>
      <c r="Y90" s="1">
        <v>4</v>
      </c>
      <c r="Z90" s="1">
        <v>24</v>
      </c>
      <c r="AB90" s="1">
        <f t="shared" si="1"/>
        <v>5</v>
      </c>
    </row>
    <row r="91" spans="1:28" x14ac:dyDescent="0.35">
      <c r="A91" s="1">
        <v>1463430</v>
      </c>
      <c r="B91" s="1" t="s">
        <v>132</v>
      </c>
      <c r="C91" s="1" t="s">
        <v>138</v>
      </c>
      <c r="D91" s="1" t="s">
        <v>134</v>
      </c>
      <c r="E91" s="2">
        <v>46136</v>
      </c>
      <c r="F91" s="1" t="s">
        <v>146</v>
      </c>
      <c r="G91" s="1" t="s">
        <v>385</v>
      </c>
      <c r="H91" s="1">
        <v>247</v>
      </c>
      <c r="I91" s="1" t="s">
        <v>246</v>
      </c>
      <c r="J91" s="1">
        <v>17</v>
      </c>
      <c r="K91" s="1" t="s">
        <v>389</v>
      </c>
      <c r="L91" s="1" t="s">
        <v>390</v>
      </c>
      <c r="M91" s="2">
        <v>46147</v>
      </c>
      <c r="N91" s="1" t="s">
        <v>67</v>
      </c>
      <c r="O91" s="1" t="s">
        <v>137</v>
      </c>
      <c r="P91" s="1" t="s">
        <v>137</v>
      </c>
      <c r="Q91" s="2"/>
      <c r="S91" s="1">
        <v>1</v>
      </c>
      <c r="T91" s="1">
        <v>0</v>
      </c>
      <c r="U91" s="1">
        <v>0</v>
      </c>
      <c r="V91" s="1">
        <v>0</v>
      </c>
      <c r="W91" s="1">
        <v>2026</v>
      </c>
      <c r="X91" s="1">
        <v>17</v>
      </c>
      <c r="Y91" s="1">
        <v>4</v>
      </c>
      <c r="Z91" s="1">
        <v>24</v>
      </c>
      <c r="AB91" s="1">
        <f t="shared" si="1"/>
        <v>5</v>
      </c>
    </row>
    <row r="92" spans="1:28" x14ac:dyDescent="0.35">
      <c r="A92" s="1">
        <v>42811</v>
      </c>
      <c r="B92" s="1" t="s">
        <v>132</v>
      </c>
      <c r="C92" s="1" t="s">
        <v>138</v>
      </c>
      <c r="D92" s="1" t="s">
        <v>134</v>
      </c>
      <c r="E92" s="2">
        <v>46142</v>
      </c>
      <c r="F92" s="1" t="s">
        <v>139</v>
      </c>
      <c r="G92" s="1" t="s">
        <v>203</v>
      </c>
      <c r="H92" s="1">
        <v>65</v>
      </c>
      <c r="I92" s="1" t="s">
        <v>261</v>
      </c>
      <c r="J92" s="1">
        <v>47</v>
      </c>
      <c r="K92" s="1" t="s">
        <v>404</v>
      </c>
      <c r="L92" s="1" t="s">
        <v>405</v>
      </c>
      <c r="M92" s="2">
        <v>46150</v>
      </c>
      <c r="N92" s="1" t="s">
        <v>28</v>
      </c>
      <c r="O92" s="1" t="s">
        <v>136</v>
      </c>
      <c r="P92" s="1" t="s">
        <v>137</v>
      </c>
      <c r="Q92" s="2"/>
      <c r="S92" s="1">
        <v>1</v>
      </c>
      <c r="T92" s="1">
        <v>0</v>
      </c>
      <c r="U92" s="1">
        <v>0</v>
      </c>
      <c r="V92" s="1">
        <v>1</v>
      </c>
      <c r="W92" s="1">
        <v>2026</v>
      </c>
      <c r="X92" s="1">
        <v>18</v>
      </c>
      <c r="Y92" s="1">
        <v>4</v>
      </c>
      <c r="Z92" s="1">
        <v>30</v>
      </c>
      <c r="AB92" s="1">
        <f t="shared" si="1"/>
        <v>5</v>
      </c>
    </row>
    <row r="93" spans="1:28" x14ac:dyDescent="0.35">
      <c r="A93" s="1">
        <v>1514240</v>
      </c>
      <c r="B93" s="1" t="s">
        <v>132</v>
      </c>
      <c r="C93" s="1" t="s">
        <v>138</v>
      </c>
      <c r="D93" s="1" t="s">
        <v>134</v>
      </c>
      <c r="E93" s="2">
        <v>46140</v>
      </c>
      <c r="F93" s="1" t="s">
        <v>139</v>
      </c>
      <c r="G93" s="1" t="s">
        <v>393</v>
      </c>
      <c r="H93" s="1">
        <v>647</v>
      </c>
      <c r="I93" s="1" t="s">
        <v>143</v>
      </c>
      <c r="J93" s="1">
        <v>26</v>
      </c>
      <c r="K93" s="1" t="s">
        <v>394</v>
      </c>
      <c r="L93" s="1" t="s">
        <v>391</v>
      </c>
      <c r="M93" s="2">
        <v>46151</v>
      </c>
      <c r="N93" s="1" t="s">
        <v>3</v>
      </c>
      <c r="O93" s="1" t="s">
        <v>137</v>
      </c>
      <c r="P93" s="1" t="s">
        <v>137</v>
      </c>
      <c r="Q93" s="2"/>
      <c r="R93" s="1" t="s">
        <v>395</v>
      </c>
      <c r="S93" s="1">
        <v>1</v>
      </c>
      <c r="T93" s="1">
        <v>0</v>
      </c>
      <c r="U93" s="1">
        <v>0</v>
      </c>
      <c r="V93" s="1">
        <v>0</v>
      </c>
      <c r="W93" s="1">
        <v>2026</v>
      </c>
      <c r="X93" s="1">
        <v>18</v>
      </c>
      <c r="Y93" s="1">
        <v>4</v>
      </c>
      <c r="Z93" s="1">
        <v>28</v>
      </c>
      <c r="AB93" s="1">
        <f t="shared" si="1"/>
        <v>5</v>
      </c>
    </row>
    <row r="94" spans="1:28" x14ac:dyDescent="0.35">
      <c r="A94" s="1">
        <v>1422284</v>
      </c>
      <c r="B94" s="1" t="s">
        <v>132</v>
      </c>
      <c r="C94" s="1" t="s">
        <v>138</v>
      </c>
      <c r="D94" s="1" t="s">
        <v>134</v>
      </c>
      <c r="E94" s="2">
        <v>46141</v>
      </c>
      <c r="F94" s="1" t="s">
        <v>139</v>
      </c>
      <c r="G94" s="1" t="s">
        <v>401</v>
      </c>
      <c r="H94" s="1">
        <v>802</v>
      </c>
      <c r="I94" s="1" t="s">
        <v>143</v>
      </c>
      <c r="J94" s="1">
        <v>143</v>
      </c>
      <c r="K94" s="1" t="s">
        <v>167</v>
      </c>
      <c r="L94" s="1" t="s">
        <v>356</v>
      </c>
      <c r="M94" s="2">
        <v>46151</v>
      </c>
      <c r="N94" s="1" t="s">
        <v>28</v>
      </c>
      <c r="O94" s="1" t="s">
        <v>136</v>
      </c>
      <c r="P94" s="1" t="s">
        <v>137</v>
      </c>
      <c r="Q94" s="2"/>
      <c r="R94" s="1" t="s">
        <v>402</v>
      </c>
      <c r="S94" s="1">
        <v>1</v>
      </c>
      <c r="T94" s="1">
        <v>0</v>
      </c>
      <c r="U94" s="1">
        <v>0</v>
      </c>
      <c r="V94" s="1">
        <v>1</v>
      </c>
      <c r="W94" s="1">
        <v>2026</v>
      </c>
      <c r="X94" s="1">
        <v>18</v>
      </c>
      <c r="Y94" s="1">
        <v>4</v>
      </c>
      <c r="Z94" s="1">
        <v>29</v>
      </c>
      <c r="AB94" s="1">
        <f t="shared" si="1"/>
        <v>5</v>
      </c>
    </row>
    <row r="95" spans="1:28" x14ac:dyDescent="0.35">
      <c r="A95" s="1">
        <v>1549581</v>
      </c>
      <c r="B95" s="1" t="s">
        <v>132</v>
      </c>
      <c r="C95" s="1" t="s">
        <v>138</v>
      </c>
      <c r="D95" s="1" t="s">
        <v>134</v>
      </c>
      <c r="E95" s="2">
        <v>46153</v>
      </c>
      <c r="F95" s="1" t="s">
        <v>155</v>
      </c>
      <c r="G95" s="1" t="s">
        <v>406</v>
      </c>
      <c r="H95" s="1">
        <v>550</v>
      </c>
      <c r="I95" s="1" t="s">
        <v>364</v>
      </c>
      <c r="J95" s="1">
        <v>9</v>
      </c>
      <c r="K95" s="1" t="s">
        <v>404</v>
      </c>
      <c r="L95" s="1" t="s">
        <v>407</v>
      </c>
      <c r="M95" s="2">
        <v>46167</v>
      </c>
      <c r="N95" s="1" t="s">
        <v>22</v>
      </c>
      <c r="O95" s="1" t="s">
        <v>137</v>
      </c>
      <c r="P95" s="1" t="s">
        <v>137</v>
      </c>
      <c r="Q95" s="2"/>
      <c r="S95" s="1">
        <v>1</v>
      </c>
      <c r="T95" s="1">
        <v>0</v>
      </c>
      <c r="U95" s="1">
        <v>0</v>
      </c>
      <c r="V95" s="1">
        <v>0</v>
      </c>
      <c r="W95" s="1">
        <v>2026</v>
      </c>
      <c r="X95" s="1">
        <v>20</v>
      </c>
      <c r="Y95" s="1">
        <v>5</v>
      </c>
      <c r="Z95" s="1">
        <v>11</v>
      </c>
      <c r="AB95" s="1">
        <f t="shared" si="1"/>
        <v>5</v>
      </c>
    </row>
    <row r="96" spans="1:28" x14ac:dyDescent="0.35">
      <c r="A96" s="1">
        <v>877532</v>
      </c>
      <c r="B96" s="1" t="s">
        <v>132</v>
      </c>
      <c r="C96" s="1" t="s">
        <v>138</v>
      </c>
      <c r="D96" s="1" t="s">
        <v>134</v>
      </c>
      <c r="E96" s="2">
        <v>46153</v>
      </c>
      <c r="F96" s="1" t="s">
        <v>155</v>
      </c>
      <c r="G96" s="1" t="s">
        <v>406</v>
      </c>
      <c r="H96" s="1">
        <v>550</v>
      </c>
      <c r="I96" s="1" t="s">
        <v>364</v>
      </c>
      <c r="J96" s="1">
        <v>7</v>
      </c>
      <c r="K96" s="1" t="s">
        <v>404</v>
      </c>
      <c r="L96" s="1" t="s">
        <v>408</v>
      </c>
      <c r="M96" s="2">
        <v>46167</v>
      </c>
      <c r="N96" s="1" t="s">
        <v>22</v>
      </c>
      <c r="O96" s="1" t="s">
        <v>137</v>
      </c>
      <c r="P96" s="1" t="s">
        <v>137</v>
      </c>
      <c r="Q96" s="2"/>
      <c r="S96" s="1">
        <v>1</v>
      </c>
      <c r="T96" s="1">
        <v>0</v>
      </c>
      <c r="U96" s="1">
        <v>0</v>
      </c>
      <c r="V96" s="1">
        <v>0</v>
      </c>
      <c r="W96" s="1">
        <v>2026</v>
      </c>
      <c r="X96" s="1">
        <v>20</v>
      </c>
      <c r="Y96" s="1">
        <v>5</v>
      </c>
      <c r="Z96" s="1">
        <v>11</v>
      </c>
      <c r="AB96" s="1">
        <f t="shared" si="1"/>
        <v>5</v>
      </c>
    </row>
    <row r="97" spans="1:28" x14ac:dyDescent="0.35">
      <c r="A97" s="1">
        <v>1427305</v>
      </c>
      <c r="B97" s="1" t="s">
        <v>132</v>
      </c>
      <c r="C97" s="1" t="s">
        <v>138</v>
      </c>
      <c r="D97" s="1" t="s">
        <v>134</v>
      </c>
      <c r="E97" s="2">
        <v>46154</v>
      </c>
      <c r="F97" s="1" t="s">
        <v>165</v>
      </c>
      <c r="G97" s="1" t="s">
        <v>412</v>
      </c>
      <c r="H97" s="1">
        <v>291</v>
      </c>
      <c r="I97" s="1" t="s">
        <v>166</v>
      </c>
      <c r="J97" s="1">
        <v>75</v>
      </c>
      <c r="K97" s="1" t="s">
        <v>413</v>
      </c>
      <c r="L97" s="1" t="s">
        <v>391</v>
      </c>
      <c r="M97" s="2">
        <v>46167</v>
      </c>
      <c r="N97" s="1" t="s">
        <v>33</v>
      </c>
      <c r="O97" s="1" t="s">
        <v>137</v>
      </c>
      <c r="P97" s="1" t="s">
        <v>137</v>
      </c>
      <c r="Q97" s="2"/>
      <c r="S97" s="1">
        <v>1</v>
      </c>
      <c r="T97" s="1">
        <v>0</v>
      </c>
      <c r="U97" s="1">
        <v>0</v>
      </c>
      <c r="V97" s="1">
        <v>0</v>
      </c>
      <c r="W97" s="1">
        <v>2026</v>
      </c>
      <c r="X97" s="1">
        <v>20</v>
      </c>
      <c r="Y97" s="1">
        <v>5</v>
      </c>
      <c r="Z97" s="1">
        <v>12</v>
      </c>
      <c r="AB97" s="1">
        <f t="shared" si="1"/>
        <v>5</v>
      </c>
    </row>
    <row r="98" spans="1:28" x14ac:dyDescent="0.35">
      <c r="A98" s="1">
        <v>1343461</v>
      </c>
      <c r="B98" s="1" t="s">
        <v>132</v>
      </c>
      <c r="C98" s="1" t="s">
        <v>138</v>
      </c>
      <c r="D98" s="1" t="s">
        <v>134</v>
      </c>
      <c r="E98" s="2">
        <v>46157</v>
      </c>
      <c r="F98" s="1" t="s">
        <v>149</v>
      </c>
      <c r="G98" s="1" t="s">
        <v>419</v>
      </c>
      <c r="H98" s="1">
        <v>105</v>
      </c>
      <c r="I98" s="1" t="s">
        <v>420</v>
      </c>
      <c r="J98" s="1">
        <v>132</v>
      </c>
      <c r="K98" s="1" t="s">
        <v>421</v>
      </c>
      <c r="L98" s="1" t="s">
        <v>422</v>
      </c>
      <c r="M98" s="2">
        <v>46169</v>
      </c>
      <c r="N98" s="1" t="s">
        <v>28</v>
      </c>
      <c r="O98" s="1" t="s">
        <v>137</v>
      </c>
      <c r="P98" s="1" t="s">
        <v>137</v>
      </c>
      <c r="Q98" s="2"/>
      <c r="S98" s="1">
        <v>1</v>
      </c>
      <c r="T98" s="1">
        <v>0</v>
      </c>
      <c r="U98" s="1">
        <v>0</v>
      </c>
      <c r="V98" s="1">
        <v>0</v>
      </c>
      <c r="W98" s="1">
        <v>2026</v>
      </c>
      <c r="X98" s="1">
        <v>20</v>
      </c>
      <c r="Y98" s="1">
        <v>5</v>
      </c>
      <c r="Z98" s="1">
        <v>15</v>
      </c>
      <c r="AB98" s="1">
        <f t="shared" si="1"/>
        <v>5</v>
      </c>
    </row>
    <row r="99" spans="1:28" x14ac:dyDescent="0.35">
      <c r="A99" s="1">
        <v>1343462</v>
      </c>
      <c r="B99" s="1" t="s">
        <v>132</v>
      </c>
      <c r="C99" s="1" t="s">
        <v>138</v>
      </c>
      <c r="D99" s="1" t="s">
        <v>134</v>
      </c>
      <c r="E99" s="2">
        <v>46157</v>
      </c>
      <c r="F99" s="1" t="s">
        <v>149</v>
      </c>
      <c r="G99" s="1" t="s">
        <v>419</v>
      </c>
      <c r="H99" s="1">
        <v>105</v>
      </c>
      <c r="I99" s="1" t="s">
        <v>420</v>
      </c>
      <c r="J99" s="1">
        <v>131</v>
      </c>
      <c r="K99" s="1" t="s">
        <v>423</v>
      </c>
      <c r="L99" s="1" t="s">
        <v>424</v>
      </c>
      <c r="M99" s="2">
        <v>46169</v>
      </c>
      <c r="N99" s="1" t="s">
        <v>28</v>
      </c>
      <c r="O99" s="1" t="s">
        <v>137</v>
      </c>
      <c r="P99" s="1" t="s">
        <v>137</v>
      </c>
      <c r="Q99" s="2"/>
      <c r="S99" s="1">
        <v>1</v>
      </c>
      <c r="T99" s="1">
        <v>0</v>
      </c>
      <c r="U99" s="1">
        <v>0</v>
      </c>
      <c r="V99" s="1">
        <v>0</v>
      </c>
      <c r="W99" s="1">
        <v>2026</v>
      </c>
      <c r="X99" s="1">
        <v>20</v>
      </c>
      <c r="Y99" s="1">
        <v>5</v>
      </c>
      <c r="Z99" s="1">
        <v>15</v>
      </c>
      <c r="AB99" s="1">
        <f t="shared" si="1"/>
        <v>5</v>
      </c>
    </row>
    <row r="100" spans="1:28" x14ac:dyDescent="0.35">
      <c r="A100" s="1">
        <v>1463481</v>
      </c>
      <c r="B100" s="1" t="s">
        <v>132</v>
      </c>
      <c r="C100" s="1" t="s">
        <v>138</v>
      </c>
      <c r="D100" s="1" t="s">
        <v>134</v>
      </c>
      <c r="E100" s="2">
        <v>46154</v>
      </c>
      <c r="F100" s="1" t="s">
        <v>139</v>
      </c>
      <c r="G100" s="1" t="s">
        <v>409</v>
      </c>
      <c r="H100" s="1">
        <v>436</v>
      </c>
      <c r="I100" s="1" t="s">
        <v>253</v>
      </c>
      <c r="J100" s="1">
        <v>111</v>
      </c>
      <c r="K100" s="1" t="s">
        <v>410</v>
      </c>
      <c r="L100" s="1" t="s">
        <v>411</v>
      </c>
      <c r="M100" s="2">
        <v>46183</v>
      </c>
      <c r="N100" s="1" t="s">
        <v>21</v>
      </c>
      <c r="O100" s="1" t="s">
        <v>137</v>
      </c>
      <c r="P100" s="1" t="s">
        <v>137</v>
      </c>
      <c r="Q100" s="2"/>
      <c r="S100" s="1">
        <v>1</v>
      </c>
      <c r="T100" s="1">
        <v>0</v>
      </c>
      <c r="U100" s="1">
        <v>0</v>
      </c>
      <c r="V100" s="1">
        <v>0</v>
      </c>
      <c r="W100" s="1">
        <v>2026</v>
      </c>
      <c r="X100" s="1">
        <v>20</v>
      </c>
      <c r="Y100" s="1">
        <v>5</v>
      </c>
      <c r="Z100" s="1">
        <v>12</v>
      </c>
      <c r="AB100" s="1">
        <f t="shared" si="1"/>
        <v>6</v>
      </c>
    </row>
    <row r="101" spans="1:28" x14ac:dyDescent="0.35">
      <c r="A101" s="1">
        <v>1551907</v>
      </c>
      <c r="B101" s="1" t="s">
        <v>132</v>
      </c>
      <c r="C101" s="1" t="s">
        <v>138</v>
      </c>
      <c r="D101" s="1" t="s">
        <v>134</v>
      </c>
      <c r="E101" s="2">
        <v>46154</v>
      </c>
      <c r="F101" s="1" t="s">
        <v>139</v>
      </c>
      <c r="G101" s="1" t="s">
        <v>409</v>
      </c>
      <c r="H101" s="1">
        <v>436</v>
      </c>
      <c r="I101" s="1" t="s">
        <v>253</v>
      </c>
      <c r="J101" s="1">
        <v>110</v>
      </c>
      <c r="K101" s="1" t="s">
        <v>414</v>
      </c>
      <c r="L101" s="1" t="s">
        <v>415</v>
      </c>
      <c r="M101" s="2">
        <v>46183</v>
      </c>
      <c r="N101" s="1" t="s">
        <v>21</v>
      </c>
      <c r="O101" s="1" t="s">
        <v>137</v>
      </c>
      <c r="P101" s="1" t="s">
        <v>137</v>
      </c>
      <c r="Q101" s="2"/>
      <c r="S101" s="1">
        <v>1</v>
      </c>
      <c r="T101" s="1">
        <v>0</v>
      </c>
      <c r="U101" s="1">
        <v>0</v>
      </c>
      <c r="V101" s="1">
        <v>0</v>
      </c>
      <c r="W101" s="1">
        <v>2026</v>
      </c>
      <c r="X101" s="1">
        <v>20</v>
      </c>
      <c r="Y101" s="1">
        <v>5</v>
      </c>
      <c r="Z101" s="1">
        <v>12</v>
      </c>
      <c r="AB101" s="1">
        <f t="shared" si="1"/>
        <v>6</v>
      </c>
    </row>
    <row r="102" spans="1:28" x14ac:dyDescent="0.35">
      <c r="A102" s="1">
        <v>654396</v>
      </c>
      <c r="B102" s="1" t="s">
        <v>132</v>
      </c>
      <c r="C102" s="1" t="s">
        <v>428</v>
      </c>
      <c r="D102" s="1" t="s">
        <v>134</v>
      </c>
      <c r="E102" s="2">
        <v>46181</v>
      </c>
      <c r="F102" s="1" t="s">
        <v>155</v>
      </c>
      <c r="G102" s="1" t="s">
        <v>439</v>
      </c>
      <c r="H102" s="1">
        <v>327</v>
      </c>
      <c r="I102" s="1" t="s">
        <v>440</v>
      </c>
      <c r="J102" s="1">
        <v>7</v>
      </c>
      <c r="K102" s="1" t="s">
        <v>366</v>
      </c>
      <c r="L102" s="1" t="s">
        <v>441</v>
      </c>
      <c r="M102" s="2">
        <v>46189</v>
      </c>
      <c r="N102" s="1" t="s">
        <v>9</v>
      </c>
      <c r="O102" s="1" t="s">
        <v>137</v>
      </c>
      <c r="P102" s="1" t="s">
        <v>137</v>
      </c>
      <c r="Q102" s="2"/>
      <c r="S102" s="1">
        <v>1</v>
      </c>
      <c r="T102" s="1">
        <v>0</v>
      </c>
      <c r="U102" s="1">
        <v>0</v>
      </c>
      <c r="V102" s="1">
        <v>0</v>
      </c>
      <c r="W102" s="1">
        <v>2026</v>
      </c>
      <c r="X102" s="1">
        <v>24</v>
      </c>
      <c r="Y102" s="1">
        <v>6</v>
      </c>
      <c r="Z102" s="1">
        <v>8</v>
      </c>
      <c r="AB102" s="1">
        <f t="shared" si="1"/>
        <v>6</v>
      </c>
    </row>
    <row r="103" spans="1:28" x14ac:dyDescent="0.35">
      <c r="A103" s="1">
        <v>1361146</v>
      </c>
      <c r="B103" s="1" t="s">
        <v>132</v>
      </c>
      <c r="C103" s="1" t="s">
        <v>428</v>
      </c>
      <c r="D103" s="1" t="s">
        <v>134</v>
      </c>
      <c r="E103" s="2">
        <v>46182</v>
      </c>
      <c r="F103" s="1" t="s">
        <v>139</v>
      </c>
      <c r="G103" s="1" t="s">
        <v>461</v>
      </c>
      <c r="H103" s="1">
        <v>655</v>
      </c>
      <c r="I103" s="1" t="s">
        <v>262</v>
      </c>
      <c r="J103" s="1">
        <v>61</v>
      </c>
      <c r="K103" s="1" t="s">
        <v>462</v>
      </c>
      <c r="L103" s="1" t="s">
        <v>463</v>
      </c>
      <c r="M103" s="2">
        <v>46189</v>
      </c>
      <c r="N103" s="1" t="s">
        <v>3</v>
      </c>
      <c r="O103" s="1" t="s">
        <v>137</v>
      </c>
      <c r="P103" s="1" t="s">
        <v>137</v>
      </c>
      <c r="Q103" s="2"/>
      <c r="S103" s="1">
        <v>1</v>
      </c>
      <c r="T103" s="1">
        <v>0</v>
      </c>
      <c r="U103" s="1">
        <v>0</v>
      </c>
      <c r="V103" s="1">
        <v>0</v>
      </c>
      <c r="W103" s="1">
        <v>2026</v>
      </c>
      <c r="X103" s="1">
        <v>24</v>
      </c>
      <c r="Y103" s="1">
        <v>6</v>
      </c>
      <c r="Z103" s="1">
        <v>9</v>
      </c>
      <c r="AB103" s="1">
        <f t="shared" si="1"/>
        <v>6</v>
      </c>
    </row>
    <row r="104" spans="1:28" x14ac:dyDescent="0.35">
      <c r="A104" s="1">
        <v>1499924</v>
      </c>
      <c r="B104" s="1" t="s">
        <v>132</v>
      </c>
      <c r="C104" s="1" t="s">
        <v>428</v>
      </c>
      <c r="D104" s="1" t="s">
        <v>134</v>
      </c>
      <c r="E104" s="2">
        <v>46182</v>
      </c>
      <c r="F104" s="1" t="s">
        <v>155</v>
      </c>
      <c r="G104" s="1" t="s">
        <v>454</v>
      </c>
      <c r="H104" s="1">
        <v>400</v>
      </c>
      <c r="I104" s="1" t="s">
        <v>455</v>
      </c>
      <c r="J104" s="1">
        <v>72</v>
      </c>
      <c r="K104" s="1" t="s">
        <v>181</v>
      </c>
      <c r="L104" s="1" t="s">
        <v>456</v>
      </c>
      <c r="M104" s="2">
        <v>46190</v>
      </c>
      <c r="N104" s="1" t="s">
        <v>9</v>
      </c>
      <c r="O104" s="1" t="s">
        <v>137</v>
      </c>
      <c r="P104" s="1" t="s">
        <v>137</v>
      </c>
      <c r="Q104" s="2"/>
      <c r="S104" s="1">
        <v>1</v>
      </c>
      <c r="T104" s="1">
        <v>0</v>
      </c>
      <c r="U104" s="1">
        <v>0</v>
      </c>
      <c r="V104" s="1">
        <v>0</v>
      </c>
      <c r="W104" s="1">
        <v>2026</v>
      </c>
      <c r="X104" s="1">
        <v>24</v>
      </c>
      <c r="Y104" s="1">
        <v>6</v>
      </c>
      <c r="Z104" s="1">
        <v>9</v>
      </c>
      <c r="AB104" s="1">
        <f t="shared" si="1"/>
        <v>6</v>
      </c>
    </row>
    <row r="105" spans="1:28" x14ac:dyDescent="0.35">
      <c r="A105" s="1">
        <v>1499888</v>
      </c>
      <c r="B105" s="1" t="s">
        <v>132</v>
      </c>
      <c r="C105" s="1" t="s">
        <v>428</v>
      </c>
      <c r="D105" s="1" t="s">
        <v>134</v>
      </c>
      <c r="E105" s="2">
        <v>46182</v>
      </c>
      <c r="F105" s="1" t="s">
        <v>155</v>
      </c>
      <c r="G105" s="1" t="s">
        <v>457</v>
      </c>
      <c r="H105" s="1">
        <v>434</v>
      </c>
      <c r="I105" s="1" t="s">
        <v>458</v>
      </c>
      <c r="J105" s="1">
        <v>45</v>
      </c>
      <c r="K105" s="1" t="s">
        <v>459</v>
      </c>
      <c r="L105" s="1" t="s">
        <v>460</v>
      </c>
      <c r="M105" s="2">
        <v>46190</v>
      </c>
      <c r="N105" s="1" t="s">
        <v>9</v>
      </c>
      <c r="O105" s="1" t="s">
        <v>137</v>
      </c>
      <c r="P105" s="1" t="s">
        <v>137</v>
      </c>
      <c r="Q105" s="2"/>
      <c r="S105" s="1">
        <v>1</v>
      </c>
      <c r="T105" s="1">
        <v>0</v>
      </c>
      <c r="U105" s="1">
        <v>0</v>
      </c>
      <c r="V105" s="1">
        <v>0</v>
      </c>
      <c r="W105" s="1">
        <v>2026</v>
      </c>
      <c r="X105" s="1">
        <v>24</v>
      </c>
      <c r="Y105" s="1">
        <v>6</v>
      </c>
      <c r="Z105" s="1">
        <v>9</v>
      </c>
      <c r="AB105" s="1">
        <f t="shared" si="1"/>
        <v>6</v>
      </c>
    </row>
    <row r="106" spans="1:28" x14ac:dyDescent="0.35">
      <c r="A106" s="1">
        <v>1513447</v>
      </c>
      <c r="B106" s="1" t="s">
        <v>132</v>
      </c>
      <c r="C106" s="1" t="s">
        <v>428</v>
      </c>
      <c r="D106" s="1" t="s">
        <v>134</v>
      </c>
      <c r="E106" s="2">
        <v>46182</v>
      </c>
      <c r="F106" s="1" t="s">
        <v>135</v>
      </c>
      <c r="G106" s="1" t="s">
        <v>467</v>
      </c>
      <c r="H106" s="1">
        <v>1060</v>
      </c>
      <c r="I106" s="1" t="s">
        <v>343</v>
      </c>
      <c r="J106" s="1">
        <v>28</v>
      </c>
      <c r="K106" s="1" t="s">
        <v>468</v>
      </c>
      <c r="L106" s="1" t="s">
        <v>144</v>
      </c>
      <c r="M106" s="2">
        <v>46190</v>
      </c>
      <c r="N106" s="1" t="s">
        <v>21</v>
      </c>
      <c r="O106" s="1" t="s">
        <v>137</v>
      </c>
      <c r="P106" s="1" t="s">
        <v>137</v>
      </c>
      <c r="Q106" s="2"/>
      <c r="S106" s="1">
        <v>1</v>
      </c>
      <c r="T106" s="1">
        <v>0</v>
      </c>
      <c r="U106" s="1">
        <v>0</v>
      </c>
      <c r="V106" s="1">
        <v>0</v>
      </c>
      <c r="W106" s="1">
        <v>2026</v>
      </c>
      <c r="X106" s="1">
        <v>24</v>
      </c>
      <c r="Y106" s="1">
        <v>6</v>
      </c>
      <c r="Z106" s="1">
        <v>9</v>
      </c>
      <c r="AB106" s="1">
        <f t="shared" si="1"/>
        <v>6</v>
      </c>
    </row>
    <row r="107" spans="1:28" x14ac:dyDescent="0.35">
      <c r="A107" s="1">
        <v>1513447</v>
      </c>
      <c r="B107" s="1" t="s">
        <v>132</v>
      </c>
      <c r="C107" s="1" t="s">
        <v>428</v>
      </c>
      <c r="D107" s="1" t="s">
        <v>134</v>
      </c>
      <c r="E107" s="2">
        <v>46182</v>
      </c>
      <c r="F107" s="1" t="s">
        <v>135</v>
      </c>
      <c r="G107" s="1" t="s">
        <v>467</v>
      </c>
      <c r="H107" s="1">
        <v>1060</v>
      </c>
      <c r="I107" s="1" t="s">
        <v>469</v>
      </c>
      <c r="J107" s="1">
        <v>65</v>
      </c>
      <c r="K107" s="1" t="s">
        <v>470</v>
      </c>
      <c r="L107" s="1" t="s">
        <v>471</v>
      </c>
      <c r="M107" s="2">
        <v>46190</v>
      </c>
      <c r="N107" s="1" t="s">
        <v>21</v>
      </c>
      <c r="O107" s="1" t="s">
        <v>137</v>
      </c>
      <c r="P107" s="1" t="s">
        <v>137</v>
      </c>
      <c r="Q107" s="2"/>
      <c r="S107" s="1">
        <v>1</v>
      </c>
      <c r="T107" s="1">
        <v>0</v>
      </c>
      <c r="U107" s="1">
        <v>0</v>
      </c>
      <c r="V107" s="1">
        <v>0</v>
      </c>
      <c r="W107" s="1">
        <v>2026</v>
      </c>
      <c r="X107" s="1">
        <v>24</v>
      </c>
      <c r="Y107" s="1">
        <v>6</v>
      </c>
      <c r="Z107" s="1">
        <v>9</v>
      </c>
      <c r="AB107" s="1">
        <f t="shared" si="1"/>
        <v>6</v>
      </c>
    </row>
    <row r="108" spans="1:28" x14ac:dyDescent="0.35">
      <c r="A108" s="1">
        <v>1423384</v>
      </c>
      <c r="B108" s="1" t="s">
        <v>132</v>
      </c>
      <c r="C108" s="1" t="s">
        <v>428</v>
      </c>
      <c r="D108" s="1" t="s">
        <v>134</v>
      </c>
      <c r="E108" s="2">
        <v>46184</v>
      </c>
      <c r="F108" s="1" t="s">
        <v>155</v>
      </c>
      <c r="G108" s="1" t="s">
        <v>156</v>
      </c>
      <c r="H108" s="1">
        <v>47</v>
      </c>
      <c r="I108" s="1" t="s">
        <v>472</v>
      </c>
      <c r="J108" s="1">
        <v>1</v>
      </c>
      <c r="K108" s="1" t="s">
        <v>251</v>
      </c>
      <c r="M108" s="2">
        <v>46190</v>
      </c>
      <c r="N108" s="1" t="s">
        <v>9</v>
      </c>
      <c r="O108" s="1" t="s">
        <v>137</v>
      </c>
      <c r="P108" s="1" t="s">
        <v>137</v>
      </c>
      <c r="Q108" s="2"/>
      <c r="S108" s="1">
        <v>1</v>
      </c>
      <c r="T108" s="1">
        <v>0</v>
      </c>
      <c r="U108" s="1">
        <v>0</v>
      </c>
      <c r="V108" s="1">
        <v>0</v>
      </c>
      <c r="W108" s="1">
        <v>2026</v>
      </c>
      <c r="X108" s="1">
        <v>24</v>
      </c>
      <c r="Y108" s="1">
        <v>6</v>
      </c>
      <c r="Z108" s="1">
        <v>11</v>
      </c>
      <c r="AB108" s="1">
        <f t="shared" si="1"/>
        <v>6</v>
      </c>
    </row>
    <row r="109" spans="1:28" x14ac:dyDescent="0.35">
      <c r="A109" s="1">
        <v>1379994</v>
      </c>
      <c r="B109" s="1" t="s">
        <v>132</v>
      </c>
      <c r="C109" s="1" t="s">
        <v>428</v>
      </c>
      <c r="D109" s="1" t="s">
        <v>134</v>
      </c>
      <c r="E109" s="2">
        <v>46184</v>
      </c>
      <c r="F109" s="1" t="s">
        <v>155</v>
      </c>
      <c r="G109" s="1" t="s">
        <v>475</v>
      </c>
      <c r="H109" s="1">
        <v>743</v>
      </c>
      <c r="I109" s="1" t="s">
        <v>455</v>
      </c>
      <c r="J109" s="1">
        <v>45</v>
      </c>
      <c r="K109" s="1" t="s">
        <v>170</v>
      </c>
      <c r="L109" s="1" t="s">
        <v>443</v>
      </c>
      <c r="M109" s="2">
        <v>46190</v>
      </c>
      <c r="N109" s="1" t="s">
        <v>9</v>
      </c>
      <c r="O109" s="1" t="s">
        <v>137</v>
      </c>
      <c r="P109" s="1" t="s">
        <v>137</v>
      </c>
      <c r="Q109" s="2"/>
      <c r="S109" s="1">
        <v>1</v>
      </c>
      <c r="T109" s="1">
        <v>0</v>
      </c>
      <c r="U109" s="1">
        <v>0</v>
      </c>
      <c r="V109" s="1">
        <v>0</v>
      </c>
      <c r="W109" s="1">
        <v>2026</v>
      </c>
      <c r="X109" s="1">
        <v>24</v>
      </c>
      <c r="Y109" s="1">
        <v>6</v>
      </c>
      <c r="Z109" s="1">
        <v>11</v>
      </c>
      <c r="AB109" s="1">
        <f t="shared" si="1"/>
        <v>6</v>
      </c>
    </row>
    <row r="110" spans="1:28" x14ac:dyDescent="0.35">
      <c r="A110" s="1">
        <v>1540864</v>
      </c>
      <c r="B110" s="1" t="s">
        <v>132</v>
      </c>
      <c r="C110" s="1" t="s">
        <v>428</v>
      </c>
      <c r="D110" s="1" t="s">
        <v>134</v>
      </c>
      <c r="E110" s="2">
        <v>46182</v>
      </c>
      <c r="F110" s="1" t="s">
        <v>153</v>
      </c>
      <c r="G110" s="1" t="s">
        <v>444</v>
      </c>
      <c r="H110" s="1">
        <v>76</v>
      </c>
      <c r="I110" s="1" t="s">
        <v>434</v>
      </c>
      <c r="J110" s="1">
        <v>23</v>
      </c>
      <c r="K110" s="1" t="s">
        <v>142</v>
      </c>
      <c r="L110" s="1" t="s">
        <v>431</v>
      </c>
      <c r="M110" s="2">
        <v>46192</v>
      </c>
      <c r="N110" s="1" t="s">
        <v>28</v>
      </c>
      <c r="O110" s="1" t="s">
        <v>137</v>
      </c>
      <c r="P110" s="1" t="s">
        <v>137</v>
      </c>
      <c r="Q110" s="2"/>
      <c r="S110" s="1">
        <v>1</v>
      </c>
      <c r="T110" s="1">
        <v>0</v>
      </c>
      <c r="U110" s="1">
        <v>0</v>
      </c>
      <c r="V110" s="1">
        <v>0</v>
      </c>
      <c r="W110" s="1">
        <v>2026</v>
      </c>
      <c r="X110" s="1">
        <v>24</v>
      </c>
      <c r="Y110" s="1">
        <v>6</v>
      </c>
      <c r="Z110" s="1">
        <v>9</v>
      </c>
      <c r="AB110" s="1">
        <f t="shared" si="1"/>
        <v>6</v>
      </c>
    </row>
    <row r="111" spans="1:28" x14ac:dyDescent="0.35">
      <c r="A111" s="1">
        <v>1426672</v>
      </c>
      <c r="B111" s="1" t="s">
        <v>132</v>
      </c>
      <c r="C111" s="1" t="s">
        <v>428</v>
      </c>
      <c r="D111" s="1" t="s">
        <v>134</v>
      </c>
      <c r="E111" s="2">
        <v>46184</v>
      </c>
      <c r="F111" s="1" t="s">
        <v>146</v>
      </c>
      <c r="G111" s="1" t="s">
        <v>473</v>
      </c>
      <c r="H111" s="1">
        <v>17</v>
      </c>
      <c r="I111" s="1" t="s">
        <v>474</v>
      </c>
      <c r="J111" s="1">
        <v>95</v>
      </c>
      <c r="K111" s="1" t="s">
        <v>170</v>
      </c>
      <c r="L111" s="1" t="s">
        <v>431</v>
      </c>
      <c r="M111" s="2">
        <v>46192</v>
      </c>
      <c r="N111" s="1" t="s">
        <v>5</v>
      </c>
      <c r="O111" s="1" t="s">
        <v>137</v>
      </c>
      <c r="P111" s="1" t="s">
        <v>137</v>
      </c>
      <c r="Q111" s="2"/>
      <c r="S111" s="1">
        <v>1</v>
      </c>
      <c r="T111" s="1">
        <v>0</v>
      </c>
      <c r="U111" s="1">
        <v>0</v>
      </c>
      <c r="V111" s="1">
        <v>0</v>
      </c>
      <c r="W111" s="1">
        <v>2026</v>
      </c>
      <c r="X111" s="1">
        <v>24</v>
      </c>
      <c r="Y111" s="1">
        <v>6</v>
      </c>
      <c r="Z111" s="1">
        <v>11</v>
      </c>
      <c r="AB111" s="1">
        <f t="shared" si="1"/>
        <v>6</v>
      </c>
    </row>
    <row r="112" spans="1:28" x14ac:dyDescent="0.35">
      <c r="A112" s="1">
        <v>1215525</v>
      </c>
      <c r="B112" s="1" t="s">
        <v>132</v>
      </c>
      <c r="C112" s="1" t="s">
        <v>425</v>
      </c>
      <c r="D112" s="1" t="s">
        <v>134</v>
      </c>
      <c r="E112" s="2">
        <v>46192</v>
      </c>
      <c r="F112" s="1" t="s">
        <v>139</v>
      </c>
      <c r="G112" s="1" t="s">
        <v>491</v>
      </c>
      <c r="H112" s="1">
        <v>225</v>
      </c>
      <c r="I112" s="1" t="s">
        <v>347</v>
      </c>
      <c r="J112" s="1">
        <v>80</v>
      </c>
      <c r="K112" s="1" t="s">
        <v>492</v>
      </c>
      <c r="L112" s="1" t="s">
        <v>432</v>
      </c>
      <c r="M112" s="2">
        <v>46196</v>
      </c>
      <c r="N112" s="1" t="s">
        <v>3</v>
      </c>
      <c r="O112" s="1" t="s">
        <v>137</v>
      </c>
      <c r="P112" s="1" t="s">
        <v>137</v>
      </c>
      <c r="Q112" s="2"/>
      <c r="S112" s="1">
        <v>1</v>
      </c>
      <c r="T112" s="1">
        <v>0</v>
      </c>
      <c r="U112" s="1">
        <v>0</v>
      </c>
      <c r="V112" s="1">
        <v>0</v>
      </c>
      <c r="W112" s="1">
        <v>2026</v>
      </c>
      <c r="X112" s="1">
        <v>25</v>
      </c>
      <c r="Y112" s="1">
        <v>6</v>
      </c>
      <c r="Z112" s="1">
        <v>19</v>
      </c>
      <c r="AB112" s="1">
        <f t="shared" si="1"/>
        <v>6</v>
      </c>
    </row>
    <row r="113" spans="1:28" x14ac:dyDescent="0.35">
      <c r="A113" s="1">
        <v>1425833</v>
      </c>
      <c r="B113" s="1" t="s">
        <v>132</v>
      </c>
      <c r="C113" s="1" t="s">
        <v>428</v>
      </c>
      <c r="D113" s="1" t="s">
        <v>134</v>
      </c>
      <c r="E113" s="2">
        <v>46189</v>
      </c>
      <c r="F113" s="1" t="s">
        <v>135</v>
      </c>
      <c r="G113" s="1" t="s">
        <v>479</v>
      </c>
      <c r="H113" s="1">
        <v>305</v>
      </c>
      <c r="I113" s="1" t="s">
        <v>346</v>
      </c>
      <c r="J113" s="1">
        <v>131</v>
      </c>
      <c r="K113" s="1" t="s">
        <v>229</v>
      </c>
      <c r="L113" s="1" t="s">
        <v>435</v>
      </c>
      <c r="M113" s="2">
        <v>46197</v>
      </c>
      <c r="N113" s="1" t="s">
        <v>3</v>
      </c>
      <c r="O113" s="1" t="s">
        <v>137</v>
      </c>
      <c r="P113" s="1" t="s">
        <v>137</v>
      </c>
      <c r="Q113" s="2"/>
      <c r="S113" s="1">
        <v>1</v>
      </c>
      <c r="T113" s="1">
        <v>0</v>
      </c>
      <c r="U113" s="1">
        <v>0</v>
      </c>
      <c r="V113" s="1">
        <v>0</v>
      </c>
      <c r="W113" s="1">
        <v>2026</v>
      </c>
      <c r="X113" s="1">
        <v>25</v>
      </c>
      <c r="Y113" s="1">
        <v>6</v>
      </c>
      <c r="Z113" s="1">
        <v>16</v>
      </c>
      <c r="AB113" s="1">
        <f t="shared" si="1"/>
        <v>6</v>
      </c>
    </row>
    <row r="114" spans="1:28" x14ac:dyDescent="0.35">
      <c r="A114" s="1">
        <v>1425833</v>
      </c>
      <c r="B114" s="1" t="s">
        <v>132</v>
      </c>
      <c r="C114" s="1" t="s">
        <v>428</v>
      </c>
      <c r="D114" s="1" t="s">
        <v>134</v>
      </c>
      <c r="E114" s="2">
        <v>46189</v>
      </c>
      <c r="F114" s="1" t="s">
        <v>135</v>
      </c>
      <c r="G114" s="1" t="s">
        <v>479</v>
      </c>
      <c r="H114" s="1">
        <v>305</v>
      </c>
      <c r="I114" s="1" t="s">
        <v>346</v>
      </c>
      <c r="J114" s="1">
        <v>131</v>
      </c>
      <c r="K114" s="1" t="s">
        <v>229</v>
      </c>
      <c r="L114" s="1" t="s">
        <v>435</v>
      </c>
      <c r="M114" s="2">
        <v>46197</v>
      </c>
      <c r="N114" s="1" t="s">
        <v>3</v>
      </c>
      <c r="O114" s="1" t="s">
        <v>137</v>
      </c>
      <c r="P114" s="1" t="s">
        <v>137</v>
      </c>
      <c r="Q114" s="2"/>
      <c r="S114" s="1">
        <v>1</v>
      </c>
      <c r="T114" s="1">
        <v>0</v>
      </c>
      <c r="U114" s="1">
        <v>0</v>
      </c>
      <c r="V114" s="1">
        <v>0</v>
      </c>
      <c r="W114" s="1">
        <v>2026</v>
      </c>
      <c r="X114" s="1">
        <v>25</v>
      </c>
      <c r="Y114" s="1">
        <v>6</v>
      </c>
      <c r="Z114" s="1">
        <v>16</v>
      </c>
      <c r="AB114" s="1">
        <f t="shared" si="1"/>
        <v>6</v>
      </c>
    </row>
    <row r="115" spans="1:28" x14ac:dyDescent="0.35">
      <c r="A115" s="1">
        <v>653975</v>
      </c>
      <c r="B115" s="1" t="s">
        <v>132</v>
      </c>
      <c r="C115" s="1" t="s">
        <v>428</v>
      </c>
      <c r="D115" s="1" t="s">
        <v>134</v>
      </c>
      <c r="E115" s="2">
        <v>46190</v>
      </c>
      <c r="F115" s="1" t="s">
        <v>155</v>
      </c>
      <c r="G115" s="1" t="s">
        <v>484</v>
      </c>
      <c r="H115" s="1">
        <v>1838</v>
      </c>
      <c r="I115" s="1" t="s">
        <v>458</v>
      </c>
      <c r="J115" s="1">
        <v>25</v>
      </c>
      <c r="K115" s="1" t="s">
        <v>485</v>
      </c>
      <c r="L115" s="1" t="s">
        <v>486</v>
      </c>
      <c r="M115" s="2">
        <v>46197</v>
      </c>
      <c r="N115" s="1" t="s">
        <v>9</v>
      </c>
      <c r="O115" s="1" t="s">
        <v>137</v>
      </c>
      <c r="P115" s="1" t="s">
        <v>137</v>
      </c>
      <c r="Q115" s="2"/>
      <c r="S115" s="1">
        <v>1</v>
      </c>
      <c r="T115" s="1">
        <v>0</v>
      </c>
      <c r="U115" s="1">
        <v>0</v>
      </c>
      <c r="V115" s="1">
        <v>0</v>
      </c>
      <c r="W115" s="1">
        <v>2026</v>
      </c>
      <c r="X115" s="1">
        <v>25</v>
      </c>
      <c r="Y115" s="1">
        <v>6</v>
      </c>
      <c r="Z115" s="1">
        <v>17</v>
      </c>
      <c r="AB115" s="1">
        <f t="shared" si="1"/>
        <v>6</v>
      </c>
    </row>
    <row r="116" spans="1:28" x14ac:dyDescent="0.35">
      <c r="A116" s="1">
        <v>653975</v>
      </c>
      <c r="B116" s="1" t="s">
        <v>132</v>
      </c>
      <c r="C116" s="1" t="s">
        <v>428</v>
      </c>
      <c r="D116" s="1" t="s">
        <v>134</v>
      </c>
      <c r="E116" s="2">
        <v>46190</v>
      </c>
      <c r="F116" s="1" t="s">
        <v>155</v>
      </c>
      <c r="G116" s="1" t="s">
        <v>484</v>
      </c>
      <c r="H116" s="1">
        <v>1838</v>
      </c>
      <c r="I116" s="1" t="s">
        <v>458</v>
      </c>
      <c r="J116" s="1">
        <v>25</v>
      </c>
      <c r="K116" s="1" t="s">
        <v>485</v>
      </c>
      <c r="L116" s="1" t="s">
        <v>486</v>
      </c>
      <c r="M116" s="2">
        <v>46197</v>
      </c>
      <c r="N116" s="1" t="s">
        <v>9</v>
      </c>
      <c r="O116" s="1" t="s">
        <v>137</v>
      </c>
      <c r="P116" s="1" t="s">
        <v>137</v>
      </c>
      <c r="Q116" s="2"/>
      <c r="S116" s="1">
        <v>1</v>
      </c>
      <c r="T116" s="1">
        <v>0</v>
      </c>
      <c r="U116" s="1">
        <v>0</v>
      </c>
      <c r="V116" s="1">
        <v>0</v>
      </c>
      <c r="W116" s="1">
        <v>2026</v>
      </c>
      <c r="X116" s="1">
        <v>25</v>
      </c>
      <c r="Y116" s="1">
        <v>6</v>
      </c>
      <c r="Z116" s="1">
        <v>17</v>
      </c>
      <c r="AB116" s="1">
        <f t="shared" si="1"/>
        <v>6</v>
      </c>
    </row>
    <row r="117" spans="1:28" x14ac:dyDescent="0.35">
      <c r="A117" s="1">
        <v>1361859</v>
      </c>
      <c r="B117" s="1" t="s">
        <v>132</v>
      </c>
      <c r="C117" s="1" t="s">
        <v>428</v>
      </c>
      <c r="D117" s="1" t="s">
        <v>134</v>
      </c>
      <c r="E117" s="2">
        <v>46190</v>
      </c>
      <c r="F117" s="1" t="s">
        <v>155</v>
      </c>
      <c r="G117" s="1" t="s">
        <v>197</v>
      </c>
      <c r="H117" s="1">
        <v>210</v>
      </c>
      <c r="I117" s="1" t="s">
        <v>458</v>
      </c>
      <c r="J117" s="1">
        <v>53</v>
      </c>
      <c r="K117" s="1" t="s">
        <v>487</v>
      </c>
      <c r="M117" s="2">
        <v>46197</v>
      </c>
      <c r="N117" s="1" t="s">
        <v>9</v>
      </c>
      <c r="O117" s="1" t="s">
        <v>137</v>
      </c>
      <c r="P117" s="1" t="s">
        <v>137</v>
      </c>
      <c r="Q117" s="2"/>
      <c r="S117" s="1">
        <v>1</v>
      </c>
      <c r="T117" s="1">
        <v>0</v>
      </c>
      <c r="U117" s="1">
        <v>0</v>
      </c>
      <c r="V117" s="1">
        <v>0</v>
      </c>
      <c r="W117" s="1">
        <v>2026</v>
      </c>
      <c r="X117" s="1">
        <v>25</v>
      </c>
      <c r="Y117" s="1">
        <v>6</v>
      </c>
      <c r="Z117" s="1">
        <v>17</v>
      </c>
      <c r="AB117" s="1">
        <f t="shared" si="1"/>
        <v>6</v>
      </c>
    </row>
    <row r="118" spans="1:28" x14ac:dyDescent="0.35">
      <c r="A118" s="1">
        <v>1361859</v>
      </c>
      <c r="B118" s="1" t="s">
        <v>132</v>
      </c>
      <c r="C118" s="1" t="s">
        <v>428</v>
      </c>
      <c r="D118" s="1" t="s">
        <v>134</v>
      </c>
      <c r="E118" s="2">
        <v>46190</v>
      </c>
      <c r="F118" s="1" t="s">
        <v>155</v>
      </c>
      <c r="G118" s="1" t="s">
        <v>197</v>
      </c>
      <c r="H118" s="1">
        <v>210</v>
      </c>
      <c r="I118" s="1" t="s">
        <v>458</v>
      </c>
      <c r="J118" s="1">
        <v>53</v>
      </c>
      <c r="K118" s="1" t="s">
        <v>487</v>
      </c>
      <c r="M118" s="2">
        <v>46197</v>
      </c>
      <c r="N118" s="1" t="s">
        <v>9</v>
      </c>
      <c r="O118" s="1" t="s">
        <v>137</v>
      </c>
      <c r="P118" s="1" t="s">
        <v>137</v>
      </c>
      <c r="Q118" s="2"/>
      <c r="S118" s="1">
        <v>1</v>
      </c>
      <c r="T118" s="1">
        <v>0</v>
      </c>
      <c r="U118" s="1">
        <v>0</v>
      </c>
      <c r="V118" s="1">
        <v>0</v>
      </c>
      <c r="W118" s="1">
        <v>2026</v>
      </c>
      <c r="X118" s="1">
        <v>25</v>
      </c>
      <c r="Y118" s="1">
        <v>6</v>
      </c>
      <c r="Z118" s="1">
        <v>17</v>
      </c>
      <c r="AB118" s="1">
        <f t="shared" si="1"/>
        <v>6</v>
      </c>
    </row>
    <row r="119" spans="1:28" x14ac:dyDescent="0.35">
      <c r="A119" s="1">
        <v>1426361</v>
      </c>
      <c r="B119" s="1" t="s">
        <v>132</v>
      </c>
      <c r="C119" s="1" t="s">
        <v>428</v>
      </c>
      <c r="D119" s="1" t="s">
        <v>134</v>
      </c>
      <c r="E119" s="2">
        <v>46181</v>
      </c>
      <c r="F119" s="1" t="s">
        <v>149</v>
      </c>
      <c r="G119" s="1" t="s">
        <v>442</v>
      </c>
      <c r="H119" s="1">
        <v>547</v>
      </c>
      <c r="I119" s="1" t="s">
        <v>182</v>
      </c>
      <c r="J119" s="1">
        <v>53</v>
      </c>
      <c r="K119" s="1" t="s">
        <v>191</v>
      </c>
      <c r="L119" s="1" t="s">
        <v>443</v>
      </c>
      <c r="M119" s="2">
        <v>46198</v>
      </c>
      <c r="N119" s="1" t="s">
        <v>22</v>
      </c>
      <c r="O119" s="1" t="s">
        <v>137</v>
      </c>
      <c r="P119" s="1" t="s">
        <v>137</v>
      </c>
      <c r="Q119" s="2"/>
      <c r="S119" s="1">
        <v>1</v>
      </c>
      <c r="T119" s="1">
        <v>0</v>
      </c>
      <c r="U119" s="1">
        <v>0</v>
      </c>
      <c r="V119" s="1">
        <v>0</v>
      </c>
      <c r="W119" s="1">
        <v>2026</v>
      </c>
      <c r="X119" s="1">
        <v>24</v>
      </c>
      <c r="Y119" s="1">
        <v>6</v>
      </c>
      <c r="Z119" s="1">
        <v>8</v>
      </c>
      <c r="AB119" s="1">
        <f t="shared" si="1"/>
        <v>6</v>
      </c>
    </row>
    <row r="120" spans="1:28" x14ac:dyDescent="0.35">
      <c r="A120" s="1">
        <v>1322842</v>
      </c>
      <c r="B120" s="1" t="s">
        <v>132</v>
      </c>
      <c r="C120" s="1" t="s">
        <v>428</v>
      </c>
      <c r="D120" s="1" t="s">
        <v>134</v>
      </c>
      <c r="E120" s="2">
        <v>46182</v>
      </c>
      <c r="F120" s="1" t="s">
        <v>161</v>
      </c>
      <c r="G120" s="1" t="s">
        <v>445</v>
      </c>
      <c r="H120" s="1">
        <v>150</v>
      </c>
      <c r="I120" s="1" t="s">
        <v>446</v>
      </c>
      <c r="J120" s="1">
        <v>91</v>
      </c>
      <c r="K120" s="1" t="s">
        <v>447</v>
      </c>
      <c r="L120" s="1" t="s">
        <v>448</v>
      </c>
      <c r="M120" s="2">
        <v>46198</v>
      </c>
      <c r="N120" s="1" t="s">
        <v>22</v>
      </c>
      <c r="O120" s="1" t="s">
        <v>137</v>
      </c>
      <c r="P120" s="1" t="s">
        <v>137</v>
      </c>
      <c r="Q120" s="2"/>
      <c r="S120" s="1">
        <v>1</v>
      </c>
      <c r="T120" s="1">
        <v>0</v>
      </c>
      <c r="U120" s="1">
        <v>0</v>
      </c>
      <c r="V120" s="1">
        <v>0</v>
      </c>
      <c r="W120" s="1">
        <v>2026</v>
      </c>
      <c r="X120" s="1">
        <v>24</v>
      </c>
      <c r="Y120" s="1">
        <v>6</v>
      </c>
      <c r="Z120" s="1">
        <v>9</v>
      </c>
      <c r="AB120" s="1">
        <f t="shared" si="1"/>
        <v>6</v>
      </c>
    </row>
    <row r="121" spans="1:28" x14ac:dyDescent="0.35">
      <c r="A121" s="1">
        <v>885873</v>
      </c>
      <c r="B121" s="1" t="s">
        <v>132</v>
      </c>
      <c r="C121" s="1" t="s">
        <v>428</v>
      </c>
      <c r="D121" s="1" t="s">
        <v>134</v>
      </c>
      <c r="E121" s="2">
        <v>46182</v>
      </c>
      <c r="F121" s="1" t="s">
        <v>149</v>
      </c>
      <c r="G121" s="1" t="s">
        <v>449</v>
      </c>
      <c r="H121" s="1">
        <v>1031</v>
      </c>
      <c r="I121" s="1" t="s">
        <v>450</v>
      </c>
      <c r="J121" s="1">
        <v>117</v>
      </c>
      <c r="K121" s="1" t="s">
        <v>418</v>
      </c>
      <c r="L121" s="1" t="s">
        <v>451</v>
      </c>
      <c r="M121" s="2">
        <v>46198</v>
      </c>
      <c r="N121" s="1" t="s">
        <v>22</v>
      </c>
      <c r="O121" s="1" t="s">
        <v>137</v>
      </c>
      <c r="P121" s="1" t="s">
        <v>137</v>
      </c>
      <c r="Q121" s="2"/>
      <c r="S121" s="1">
        <v>1</v>
      </c>
      <c r="T121" s="1">
        <v>0</v>
      </c>
      <c r="U121" s="1">
        <v>0</v>
      </c>
      <c r="V121" s="1">
        <v>0</v>
      </c>
      <c r="W121" s="1">
        <v>2026</v>
      </c>
      <c r="X121" s="1">
        <v>24</v>
      </c>
      <c r="Y121" s="1">
        <v>6</v>
      </c>
      <c r="Z121" s="1">
        <v>9</v>
      </c>
      <c r="AB121" s="1">
        <f t="shared" si="1"/>
        <v>6</v>
      </c>
    </row>
    <row r="122" spans="1:28" x14ac:dyDescent="0.35">
      <c r="A122" s="1">
        <v>1424053</v>
      </c>
      <c r="B122" s="1" t="s">
        <v>132</v>
      </c>
      <c r="C122" s="1" t="s">
        <v>428</v>
      </c>
      <c r="D122" s="1" t="s">
        <v>134</v>
      </c>
      <c r="E122" s="2">
        <v>46182</v>
      </c>
      <c r="F122" s="1" t="s">
        <v>161</v>
      </c>
      <c r="G122" s="1" t="s">
        <v>452</v>
      </c>
      <c r="H122" s="1">
        <v>100</v>
      </c>
      <c r="I122" s="1" t="s">
        <v>446</v>
      </c>
      <c r="J122" s="1">
        <v>1</v>
      </c>
      <c r="K122" s="1" t="s">
        <v>168</v>
      </c>
      <c r="L122" s="1" t="s">
        <v>453</v>
      </c>
      <c r="M122" s="2">
        <v>46198</v>
      </c>
      <c r="N122" s="1" t="s">
        <v>22</v>
      </c>
      <c r="O122" s="1" t="s">
        <v>137</v>
      </c>
      <c r="P122" s="1" t="s">
        <v>137</v>
      </c>
      <c r="Q122" s="2"/>
      <c r="S122" s="1">
        <v>1</v>
      </c>
      <c r="T122" s="1">
        <v>0</v>
      </c>
      <c r="U122" s="1">
        <v>0</v>
      </c>
      <c r="V122" s="1">
        <v>0</v>
      </c>
      <c r="W122" s="1">
        <v>2026</v>
      </c>
      <c r="X122" s="1">
        <v>24</v>
      </c>
      <c r="Y122" s="1">
        <v>6</v>
      </c>
      <c r="Z122" s="1">
        <v>9</v>
      </c>
      <c r="AB122" s="1">
        <f t="shared" si="1"/>
        <v>6</v>
      </c>
    </row>
    <row r="123" spans="1:28" x14ac:dyDescent="0.35">
      <c r="A123" s="1">
        <v>1435966</v>
      </c>
      <c r="B123" s="1" t="s">
        <v>132</v>
      </c>
      <c r="C123" s="1" t="s">
        <v>428</v>
      </c>
      <c r="D123" s="1" t="s">
        <v>134</v>
      </c>
      <c r="E123" s="2">
        <v>46182</v>
      </c>
      <c r="F123" s="1" t="s">
        <v>161</v>
      </c>
      <c r="G123" s="1" t="s">
        <v>464</v>
      </c>
      <c r="H123" s="1">
        <v>261</v>
      </c>
      <c r="I123" s="1" t="s">
        <v>437</v>
      </c>
      <c r="J123" s="1">
        <v>77</v>
      </c>
      <c r="K123" s="1" t="s">
        <v>465</v>
      </c>
      <c r="L123" s="1" t="s">
        <v>466</v>
      </c>
      <c r="M123" s="2">
        <v>46198</v>
      </c>
      <c r="N123" s="1" t="s">
        <v>22</v>
      </c>
      <c r="O123" s="1" t="s">
        <v>136</v>
      </c>
      <c r="P123" s="1" t="s">
        <v>137</v>
      </c>
      <c r="Q123" s="2"/>
      <c r="S123" s="1">
        <v>1</v>
      </c>
      <c r="T123" s="1">
        <v>0</v>
      </c>
      <c r="U123" s="1">
        <v>0</v>
      </c>
      <c r="V123" s="1">
        <v>1</v>
      </c>
      <c r="W123" s="1">
        <v>2026</v>
      </c>
      <c r="X123" s="1">
        <v>24</v>
      </c>
      <c r="Y123" s="1">
        <v>6</v>
      </c>
      <c r="Z123" s="1">
        <v>9</v>
      </c>
      <c r="AB123" s="1">
        <f t="shared" si="1"/>
        <v>6</v>
      </c>
    </row>
    <row r="124" spans="1:28" x14ac:dyDescent="0.35">
      <c r="A124" s="1">
        <v>1407604</v>
      </c>
      <c r="B124" s="1" t="s">
        <v>132</v>
      </c>
      <c r="C124" s="1" t="s">
        <v>428</v>
      </c>
      <c r="D124" s="1" t="s">
        <v>134</v>
      </c>
      <c r="E124" s="2">
        <v>46189</v>
      </c>
      <c r="F124" s="1" t="s">
        <v>161</v>
      </c>
      <c r="G124" s="1" t="s">
        <v>480</v>
      </c>
      <c r="H124" s="1">
        <v>5017</v>
      </c>
      <c r="I124" s="1" t="s">
        <v>481</v>
      </c>
      <c r="J124" s="1">
        <v>27</v>
      </c>
      <c r="K124" s="1" t="s">
        <v>482</v>
      </c>
      <c r="L124" s="1" t="s">
        <v>483</v>
      </c>
      <c r="M124" s="2">
        <v>46198</v>
      </c>
      <c r="N124" s="1" t="s">
        <v>22</v>
      </c>
      <c r="O124" s="1" t="s">
        <v>136</v>
      </c>
      <c r="P124" s="1" t="s">
        <v>137</v>
      </c>
      <c r="Q124" s="2"/>
      <c r="S124" s="1">
        <v>1</v>
      </c>
      <c r="T124" s="1">
        <v>0</v>
      </c>
      <c r="U124" s="1">
        <v>0</v>
      </c>
      <c r="V124" s="1">
        <v>1</v>
      </c>
      <c r="W124" s="1">
        <v>2026</v>
      </c>
      <c r="X124" s="1">
        <v>25</v>
      </c>
      <c r="Y124" s="1">
        <v>6</v>
      </c>
      <c r="Z124" s="1">
        <v>16</v>
      </c>
      <c r="AB124" s="1">
        <f t="shared" si="1"/>
        <v>6</v>
      </c>
    </row>
    <row r="125" spans="1:28" x14ac:dyDescent="0.35">
      <c r="A125" s="1">
        <v>16364</v>
      </c>
      <c r="B125" s="1" t="s">
        <v>132</v>
      </c>
      <c r="C125" s="1" t="s">
        <v>425</v>
      </c>
      <c r="D125" s="1" t="s">
        <v>134</v>
      </c>
      <c r="E125" s="2">
        <v>46192</v>
      </c>
      <c r="F125" s="1" t="s">
        <v>161</v>
      </c>
      <c r="G125" s="1" t="s">
        <v>488</v>
      </c>
      <c r="H125" s="1">
        <v>12</v>
      </c>
      <c r="I125" s="1" t="s">
        <v>446</v>
      </c>
      <c r="J125" s="1">
        <v>23</v>
      </c>
      <c r="K125" s="1" t="s">
        <v>489</v>
      </c>
      <c r="L125" s="1" t="s">
        <v>490</v>
      </c>
      <c r="M125" s="2">
        <v>46198</v>
      </c>
      <c r="N125" s="1" t="s">
        <v>22</v>
      </c>
      <c r="O125" s="1" t="s">
        <v>136</v>
      </c>
      <c r="P125" s="1" t="s">
        <v>137</v>
      </c>
      <c r="Q125" s="2"/>
      <c r="S125" s="1">
        <v>1</v>
      </c>
      <c r="T125" s="1">
        <v>0</v>
      </c>
      <c r="U125" s="1">
        <v>0</v>
      </c>
      <c r="V125" s="1">
        <v>1</v>
      </c>
      <c r="W125" s="1">
        <v>2026</v>
      </c>
      <c r="X125" s="1">
        <v>25</v>
      </c>
      <c r="Y125" s="1">
        <v>6</v>
      </c>
      <c r="Z125" s="1">
        <v>19</v>
      </c>
      <c r="AB125" s="1">
        <f t="shared" si="1"/>
        <v>6</v>
      </c>
    </row>
    <row r="126" spans="1:28" x14ac:dyDescent="0.35">
      <c r="A126" s="1">
        <v>1361860</v>
      </c>
      <c r="B126" s="1" t="s">
        <v>132</v>
      </c>
      <c r="C126" s="1" t="s">
        <v>428</v>
      </c>
      <c r="D126" s="1" t="s">
        <v>134</v>
      </c>
      <c r="E126" s="2">
        <v>46195</v>
      </c>
      <c r="F126" s="1" t="s">
        <v>155</v>
      </c>
      <c r="G126" s="1" t="s">
        <v>296</v>
      </c>
      <c r="H126" s="1">
        <v>262</v>
      </c>
      <c r="I126" s="1" t="s">
        <v>458</v>
      </c>
      <c r="J126" s="1">
        <v>35</v>
      </c>
      <c r="K126" s="1" t="s">
        <v>487</v>
      </c>
      <c r="L126" s="1" t="s">
        <v>499</v>
      </c>
      <c r="M126" s="2">
        <v>46202</v>
      </c>
      <c r="N126" s="1" t="s">
        <v>22</v>
      </c>
      <c r="O126" s="1" t="s">
        <v>137</v>
      </c>
      <c r="P126" s="1" t="s">
        <v>137</v>
      </c>
      <c r="Q126" s="2"/>
      <c r="S126" s="1">
        <v>1</v>
      </c>
      <c r="T126" s="1">
        <v>0</v>
      </c>
      <c r="U126" s="1">
        <v>0</v>
      </c>
      <c r="V126" s="1">
        <v>0</v>
      </c>
      <c r="W126" s="1">
        <v>2026</v>
      </c>
      <c r="X126" s="1">
        <v>26</v>
      </c>
      <c r="Y126" s="1">
        <v>6</v>
      </c>
      <c r="Z126" s="1">
        <v>22</v>
      </c>
      <c r="AB126" s="1">
        <f t="shared" si="1"/>
        <v>6</v>
      </c>
    </row>
    <row r="127" spans="1:28" x14ac:dyDescent="0.35">
      <c r="A127" s="1">
        <v>1321135</v>
      </c>
      <c r="B127" s="1" t="s">
        <v>132</v>
      </c>
      <c r="C127" s="1" t="s">
        <v>428</v>
      </c>
      <c r="D127" s="1" t="s">
        <v>134</v>
      </c>
      <c r="E127" s="2">
        <v>46195</v>
      </c>
      <c r="F127" s="1" t="s">
        <v>149</v>
      </c>
      <c r="G127" s="1" t="s">
        <v>493</v>
      </c>
      <c r="H127" s="1">
        <v>140</v>
      </c>
      <c r="I127" s="1" t="s">
        <v>254</v>
      </c>
      <c r="J127" s="1">
        <v>37</v>
      </c>
      <c r="K127" s="1" t="s">
        <v>394</v>
      </c>
      <c r="L127" s="1" t="s">
        <v>483</v>
      </c>
      <c r="M127" s="2">
        <v>46205</v>
      </c>
      <c r="N127" s="1" t="s">
        <v>22</v>
      </c>
      <c r="O127" s="1" t="s">
        <v>137</v>
      </c>
      <c r="P127" s="1" t="s">
        <v>137</v>
      </c>
      <c r="Q127" s="2"/>
      <c r="S127" s="1">
        <v>1</v>
      </c>
      <c r="T127" s="1">
        <v>0</v>
      </c>
      <c r="U127" s="1">
        <v>0</v>
      </c>
      <c r="V127" s="1">
        <v>0</v>
      </c>
      <c r="W127" s="1">
        <v>2026</v>
      </c>
      <c r="X127" s="1">
        <v>26</v>
      </c>
      <c r="Y127" s="1">
        <v>6</v>
      </c>
      <c r="Z127" s="1">
        <v>22</v>
      </c>
      <c r="AB127" s="1">
        <f t="shared" si="1"/>
        <v>7</v>
      </c>
    </row>
    <row r="128" spans="1:28" x14ac:dyDescent="0.35">
      <c r="A128" s="1">
        <v>1530525</v>
      </c>
      <c r="B128" s="1" t="s">
        <v>132</v>
      </c>
      <c r="C128" s="1" t="s">
        <v>425</v>
      </c>
      <c r="D128" s="1" t="s">
        <v>134</v>
      </c>
      <c r="E128" s="2">
        <v>46195</v>
      </c>
      <c r="F128" s="1" t="s">
        <v>165</v>
      </c>
      <c r="G128" s="1" t="s">
        <v>494</v>
      </c>
      <c r="H128" s="1">
        <v>345</v>
      </c>
      <c r="I128" s="1" t="s">
        <v>495</v>
      </c>
      <c r="J128" s="1">
        <v>11</v>
      </c>
      <c r="K128" s="1" t="s">
        <v>427</v>
      </c>
      <c r="L128" s="1" t="s">
        <v>496</v>
      </c>
      <c r="M128" s="2">
        <v>46205</v>
      </c>
      <c r="N128" s="1" t="s">
        <v>28</v>
      </c>
      <c r="O128" s="1" t="s">
        <v>137</v>
      </c>
      <c r="P128" s="1" t="s">
        <v>137</v>
      </c>
      <c r="Q128" s="2"/>
      <c r="S128" s="1">
        <v>1</v>
      </c>
      <c r="T128" s="1">
        <v>0</v>
      </c>
      <c r="U128" s="1">
        <v>0</v>
      </c>
      <c r="V128" s="1">
        <v>0</v>
      </c>
      <c r="W128" s="1">
        <v>2026</v>
      </c>
      <c r="X128" s="1">
        <v>26</v>
      </c>
      <c r="Y128" s="1">
        <v>6</v>
      </c>
      <c r="Z128" s="1">
        <v>22</v>
      </c>
      <c r="AB128" s="1">
        <f t="shared" si="1"/>
        <v>7</v>
      </c>
    </row>
    <row r="129" spans="1:28" x14ac:dyDescent="0.35">
      <c r="A129" s="1">
        <v>1371242</v>
      </c>
      <c r="B129" s="1" t="s">
        <v>132</v>
      </c>
      <c r="C129" s="1" t="s">
        <v>428</v>
      </c>
      <c r="D129" s="1" t="s">
        <v>134</v>
      </c>
      <c r="E129" s="2">
        <v>46196</v>
      </c>
      <c r="F129" s="1" t="s">
        <v>139</v>
      </c>
      <c r="G129" s="1" t="s">
        <v>500</v>
      </c>
      <c r="H129" s="1">
        <v>806</v>
      </c>
      <c r="I129" s="1" t="s">
        <v>417</v>
      </c>
      <c r="J129" s="1">
        <v>33</v>
      </c>
      <c r="K129" s="1" t="s">
        <v>191</v>
      </c>
      <c r="L129" s="1" t="s">
        <v>426</v>
      </c>
      <c r="M129" s="2">
        <v>46205</v>
      </c>
      <c r="N129" s="1" t="s">
        <v>3</v>
      </c>
      <c r="O129" s="1" t="s">
        <v>145</v>
      </c>
      <c r="P129" s="1" t="s">
        <v>137</v>
      </c>
      <c r="Q129" s="2">
        <v>46205</v>
      </c>
      <c r="R129" s="1" t="s">
        <v>137</v>
      </c>
      <c r="S129" s="1">
        <v>1</v>
      </c>
      <c r="T129" s="1">
        <v>0</v>
      </c>
      <c r="U129" s="1">
        <v>1</v>
      </c>
      <c r="V129" s="1">
        <v>0</v>
      </c>
      <c r="W129" s="1">
        <v>2026</v>
      </c>
      <c r="X129" s="1">
        <v>26</v>
      </c>
      <c r="Y129" s="1">
        <v>6</v>
      </c>
      <c r="Z129" s="1">
        <v>23</v>
      </c>
      <c r="AB129" s="1">
        <f t="shared" si="1"/>
        <v>7</v>
      </c>
    </row>
    <row r="130" spans="1:28" x14ac:dyDescent="0.35">
      <c r="A130" s="1">
        <v>1434085</v>
      </c>
      <c r="B130" s="1" t="s">
        <v>132</v>
      </c>
      <c r="C130" s="1" t="s">
        <v>428</v>
      </c>
      <c r="D130" s="1" t="s">
        <v>134</v>
      </c>
      <c r="E130" s="2">
        <v>46199</v>
      </c>
      <c r="F130" s="1" t="s">
        <v>149</v>
      </c>
      <c r="G130" s="1" t="s">
        <v>502</v>
      </c>
      <c r="H130" s="1">
        <v>115</v>
      </c>
      <c r="I130" s="1" t="s">
        <v>420</v>
      </c>
      <c r="J130" s="1">
        <v>135</v>
      </c>
      <c r="K130" s="1" t="s">
        <v>462</v>
      </c>
      <c r="L130" s="1" t="s">
        <v>430</v>
      </c>
      <c r="M130" s="2">
        <v>46205</v>
      </c>
      <c r="N130" s="1" t="s">
        <v>22</v>
      </c>
      <c r="O130" s="1" t="s">
        <v>137</v>
      </c>
      <c r="P130" s="1" t="s">
        <v>137</v>
      </c>
      <c r="Q130" s="2"/>
      <c r="S130" s="1">
        <v>1</v>
      </c>
      <c r="T130" s="1">
        <v>0</v>
      </c>
      <c r="U130" s="1">
        <v>0</v>
      </c>
      <c r="V130" s="1">
        <v>0</v>
      </c>
      <c r="W130" s="1">
        <v>2026</v>
      </c>
      <c r="X130" s="1">
        <v>26</v>
      </c>
      <c r="Y130" s="1">
        <v>6</v>
      </c>
      <c r="Z130" s="1">
        <v>26</v>
      </c>
      <c r="AB130" s="1">
        <f t="shared" ref="AB130:AB193" si="2">MONTH(M130)</f>
        <v>7</v>
      </c>
    </row>
    <row r="131" spans="1:28" x14ac:dyDescent="0.35">
      <c r="A131" s="1">
        <v>1304770</v>
      </c>
      <c r="B131" s="1" t="s">
        <v>132</v>
      </c>
      <c r="C131" s="1" t="s">
        <v>428</v>
      </c>
      <c r="D131" s="1" t="s">
        <v>134</v>
      </c>
      <c r="E131" s="2">
        <v>46185</v>
      </c>
      <c r="F131" s="1" t="s">
        <v>196</v>
      </c>
      <c r="G131" s="1" t="s">
        <v>476</v>
      </c>
      <c r="H131" s="1">
        <v>627</v>
      </c>
      <c r="I131" s="1" t="s">
        <v>477</v>
      </c>
      <c r="J131" s="1">
        <v>48</v>
      </c>
      <c r="K131" s="1" t="s">
        <v>429</v>
      </c>
      <c r="L131" s="1" t="s">
        <v>478</v>
      </c>
      <c r="M131" s="2">
        <v>46206</v>
      </c>
      <c r="N131" s="1" t="s">
        <v>22</v>
      </c>
      <c r="O131" s="1" t="s">
        <v>137</v>
      </c>
      <c r="P131" s="1" t="s">
        <v>137</v>
      </c>
      <c r="Q131" s="2"/>
      <c r="S131" s="1">
        <v>1</v>
      </c>
      <c r="T131" s="1">
        <v>0</v>
      </c>
      <c r="U131" s="1">
        <v>0</v>
      </c>
      <c r="V131" s="1">
        <v>0</v>
      </c>
      <c r="W131" s="1">
        <v>2026</v>
      </c>
      <c r="X131" s="1">
        <v>24</v>
      </c>
      <c r="Y131" s="1">
        <v>6</v>
      </c>
      <c r="Z131" s="1">
        <v>12</v>
      </c>
      <c r="AB131" s="1">
        <f t="shared" si="2"/>
        <v>7</v>
      </c>
    </row>
    <row r="132" spans="1:28" x14ac:dyDescent="0.35">
      <c r="A132" s="1">
        <v>1304770</v>
      </c>
      <c r="B132" s="1" t="s">
        <v>132</v>
      </c>
      <c r="C132" s="1" t="s">
        <v>428</v>
      </c>
      <c r="D132" s="1" t="s">
        <v>134</v>
      </c>
      <c r="E132" s="2">
        <v>46185</v>
      </c>
      <c r="F132" s="1" t="s">
        <v>196</v>
      </c>
      <c r="G132" s="1" t="s">
        <v>476</v>
      </c>
      <c r="H132" s="1">
        <v>627</v>
      </c>
      <c r="I132" s="1" t="s">
        <v>477</v>
      </c>
      <c r="J132" s="1">
        <v>48</v>
      </c>
      <c r="K132" s="1" t="s">
        <v>429</v>
      </c>
      <c r="L132" s="1" t="s">
        <v>478</v>
      </c>
      <c r="M132" s="2">
        <v>46206</v>
      </c>
      <c r="N132" s="1" t="s">
        <v>22</v>
      </c>
      <c r="O132" s="1" t="s">
        <v>137</v>
      </c>
      <c r="P132" s="1" t="s">
        <v>137</v>
      </c>
      <c r="Q132" s="2"/>
      <c r="S132" s="1">
        <v>1</v>
      </c>
      <c r="T132" s="1">
        <v>0</v>
      </c>
      <c r="U132" s="1">
        <v>0</v>
      </c>
      <c r="V132" s="1">
        <v>0</v>
      </c>
      <c r="W132" s="1">
        <v>2026</v>
      </c>
      <c r="X132" s="1">
        <v>24</v>
      </c>
      <c r="Y132" s="1">
        <v>6</v>
      </c>
      <c r="Z132" s="1">
        <v>12</v>
      </c>
      <c r="AB132" s="1">
        <f t="shared" si="2"/>
        <v>7</v>
      </c>
    </row>
    <row r="133" spans="1:28" x14ac:dyDescent="0.35">
      <c r="A133" s="1">
        <v>1463660</v>
      </c>
      <c r="B133" s="1" t="s">
        <v>132</v>
      </c>
      <c r="C133" s="1" t="s">
        <v>425</v>
      </c>
      <c r="D133" s="1" t="s">
        <v>134</v>
      </c>
      <c r="E133" s="2">
        <v>46188</v>
      </c>
      <c r="F133" s="1" t="s">
        <v>146</v>
      </c>
      <c r="G133" s="1" t="s">
        <v>349</v>
      </c>
      <c r="H133" s="1">
        <v>165</v>
      </c>
      <c r="I133" s="1" t="s">
        <v>350</v>
      </c>
      <c r="J133" s="1">
        <v>1</v>
      </c>
      <c r="K133" s="1" t="s">
        <v>394</v>
      </c>
      <c r="M133" s="2">
        <v>46206</v>
      </c>
      <c r="N133" s="1" t="s">
        <v>3</v>
      </c>
      <c r="O133" s="1" t="s">
        <v>145</v>
      </c>
      <c r="P133" s="1" t="s">
        <v>137</v>
      </c>
      <c r="Q133" s="2">
        <v>46206</v>
      </c>
      <c r="R133" s="1" t="s">
        <v>137</v>
      </c>
      <c r="S133" s="1">
        <v>1</v>
      </c>
      <c r="T133" s="1">
        <v>0</v>
      </c>
      <c r="U133" s="1">
        <v>1</v>
      </c>
      <c r="V133" s="1">
        <v>0</v>
      </c>
      <c r="W133" s="1">
        <v>2026</v>
      </c>
      <c r="X133" s="1">
        <v>25</v>
      </c>
      <c r="Y133" s="1">
        <v>6</v>
      </c>
      <c r="Z133" s="1">
        <v>15</v>
      </c>
      <c r="AB133" s="1">
        <f t="shared" si="2"/>
        <v>7</v>
      </c>
    </row>
    <row r="134" spans="1:28" x14ac:dyDescent="0.35">
      <c r="A134" s="1">
        <v>1407609</v>
      </c>
      <c r="B134" s="1" t="s">
        <v>132</v>
      </c>
      <c r="C134" s="1" t="s">
        <v>428</v>
      </c>
      <c r="D134" s="1" t="s">
        <v>134</v>
      </c>
      <c r="E134" s="2">
        <v>46195</v>
      </c>
      <c r="F134" s="1" t="s">
        <v>161</v>
      </c>
      <c r="G134" s="1" t="s">
        <v>497</v>
      </c>
      <c r="H134" s="1">
        <v>29</v>
      </c>
      <c r="I134" s="1" t="s">
        <v>446</v>
      </c>
      <c r="J134" s="1">
        <v>47</v>
      </c>
      <c r="K134" s="1" t="s">
        <v>191</v>
      </c>
      <c r="L134" s="1" t="s">
        <v>498</v>
      </c>
      <c r="M134" s="2">
        <v>46209</v>
      </c>
      <c r="N134" s="1" t="s">
        <v>22</v>
      </c>
      <c r="O134" s="1" t="s">
        <v>137</v>
      </c>
      <c r="P134" s="1" t="s">
        <v>137</v>
      </c>
      <c r="Q134" s="2"/>
      <c r="S134" s="1">
        <v>1</v>
      </c>
      <c r="T134" s="1">
        <v>0</v>
      </c>
      <c r="U134" s="1">
        <v>0</v>
      </c>
      <c r="V134" s="1">
        <v>0</v>
      </c>
      <c r="W134" s="1">
        <v>2026</v>
      </c>
      <c r="X134" s="1">
        <v>26</v>
      </c>
      <c r="Y134" s="1">
        <v>6</v>
      </c>
      <c r="Z134" s="1">
        <v>22</v>
      </c>
      <c r="AB134" s="1">
        <f t="shared" si="2"/>
        <v>7</v>
      </c>
    </row>
    <row r="135" spans="1:28" x14ac:dyDescent="0.35">
      <c r="A135" s="1">
        <v>1423924</v>
      </c>
      <c r="B135" s="1" t="s">
        <v>132</v>
      </c>
      <c r="C135" s="1" t="s">
        <v>428</v>
      </c>
      <c r="D135" s="1" t="s">
        <v>134</v>
      </c>
      <c r="E135" s="2">
        <v>46195</v>
      </c>
      <c r="F135" s="1" t="s">
        <v>161</v>
      </c>
      <c r="G135" s="1" t="s">
        <v>383</v>
      </c>
      <c r="H135" s="1">
        <v>1284</v>
      </c>
      <c r="I135" s="1" t="s">
        <v>446</v>
      </c>
      <c r="J135" s="1">
        <v>117</v>
      </c>
      <c r="K135" s="1" t="s">
        <v>167</v>
      </c>
      <c r="M135" s="2">
        <v>46209</v>
      </c>
      <c r="N135" s="1" t="s">
        <v>22</v>
      </c>
      <c r="O135" s="1" t="s">
        <v>136</v>
      </c>
      <c r="P135" s="1" t="s">
        <v>137</v>
      </c>
      <c r="Q135" s="2"/>
      <c r="S135" s="1">
        <v>1</v>
      </c>
      <c r="T135" s="1">
        <v>0</v>
      </c>
      <c r="U135" s="1">
        <v>0</v>
      </c>
      <c r="V135" s="1">
        <v>1</v>
      </c>
      <c r="W135" s="1">
        <v>2026</v>
      </c>
      <c r="X135" s="1">
        <v>26</v>
      </c>
      <c r="Y135" s="1">
        <v>6</v>
      </c>
      <c r="Z135" s="1">
        <v>22</v>
      </c>
      <c r="AB135" s="1">
        <f t="shared" si="2"/>
        <v>7</v>
      </c>
    </row>
    <row r="136" spans="1:28" x14ac:dyDescent="0.35">
      <c r="A136" s="1">
        <v>1434197</v>
      </c>
      <c r="B136" s="1" t="s">
        <v>132</v>
      </c>
      <c r="C136" s="1" t="s">
        <v>428</v>
      </c>
      <c r="D136" s="1" t="s">
        <v>134</v>
      </c>
      <c r="E136" s="2">
        <v>46200</v>
      </c>
      <c r="F136" s="1" t="s">
        <v>153</v>
      </c>
      <c r="G136" s="1" t="s">
        <v>503</v>
      </c>
      <c r="H136" s="1">
        <v>94</v>
      </c>
      <c r="I136" s="1" t="s">
        <v>416</v>
      </c>
      <c r="J136" s="1">
        <v>61</v>
      </c>
      <c r="K136" s="1" t="s">
        <v>169</v>
      </c>
      <c r="L136" s="1" t="s">
        <v>504</v>
      </c>
      <c r="M136" s="2">
        <v>46209</v>
      </c>
      <c r="N136" s="1" t="s">
        <v>22</v>
      </c>
      <c r="O136" s="1" t="s">
        <v>137</v>
      </c>
      <c r="P136" s="1" t="s">
        <v>137</v>
      </c>
      <c r="Q136" s="2"/>
      <c r="S136" s="1">
        <v>1</v>
      </c>
      <c r="T136" s="1">
        <v>0</v>
      </c>
      <c r="U136" s="1">
        <v>0</v>
      </c>
      <c r="V136" s="1">
        <v>0</v>
      </c>
      <c r="W136" s="1">
        <v>2026</v>
      </c>
      <c r="X136" s="1">
        <v>26</v>
      </c>
      <c r="Y136" s="1">
        <v>6</v>
      </c>
      <c r="Z136" s="1">
        <v>27</v>
      </c>
      <c r="AB136" s="1">
        <f t="shared" si="2"/>
        <v>7</v>
      </c>
    </row>
    <row r="137" spans="1:28" x14ac:dyDescent="0.35">
      <c r="A137" s="1">
        <v>930525</v>
      </c>
      <c r="B137" s="1" t="s">
        <v>132</v>
      </c>
      <c r="C137" s="1" t="s">
        <v>428</v>
      </c>
      <c r="D137" s="1" t="s">
        <v>134</v>
      </c>
      <c r="E137" s="2">
        <v>46211</v>
      </c>
      <c r="F137" s="1" t="s">
        <v>149</v>
      </c>
      <c r="G137" s="1" t="s">
        <v>505</v>
      </c>
      <c r="H137" s="1">
        <v>826</v>
      </c>
      <c r="I137" s="1" t="s">
        <v>420</v>
      </c>
      <c r="J137" s="1">
        <v>135</v>
      </c>
      <c r="K137" s="1" t="s">
        <v>394</v>
      </c>
      <c r="L137" s="1" t="s">
        <v>506</v>
      </c>
      <c r="M137" s="2">
        <v>46223</v>
      </c>
      <c r="N137" s="1" t="s">
        <v>22</v>
      </c>
      <c r="O137" s="1" t="s">
        <v>137</v>
      </c>
      <c r="P137" s="1" t="s">
        <v>137</v>
      </c>
      <c r="Q137" s="2"/>
      <c r="S137" s="1">
        <v>1</v>
      </c>
      <c r="T137" s="1">
        <v>0</v>
      </c>
      <c r="U137" s="1">
        <v>0</v>
      </c>
      <c r="V137" s="1">
        <v>0</v>
      </c>
      <c r="W137" s="1">
        <v>2026</v>
      </c>
      <c r="X137" s="1">
        <v>28</v>
      </c>
      <c r="Y137" s="1">
        <v>7</v>
      </c>
      <c r="Z137" s="1">
        <v>8</v>
      </c>
      <c r="AB137" s="1">
        <f t="shared" si="2"/>
        <v>7</v>
      </c>
    </row>
    <row r="138" spans="1:28" x14ac:dyDescent="0.35">
      <c r="A138" s="1">
        <v>1427481</v>
      </c>
      <c r="B138" s="1" t="s">
        <v>132</v>
      </c>
      <c r="C138" s="1" t="s">
        <v>428</v>
      </c>
      <c r="D138" s="1" t="s">
        <v>134</v>
      </c>
      <c r="E138" s="2">
        <v>46212</v>
      </c>
      <c r="F138" s="1" t="s">
        <v>153</v>
      </c>
      <c r="G138" s="1" t="s">
        <v>507</v>
      </c>
      <c r="H138" s="1">
        <v>644</v>
      </c>
      <c r="I138" s="1" t="s">
        <v>508</v>
      </c>
      <c r="J138" s="1">
        <v>53</v>
      </c>
      <c r="K138" s="1" t="s">
        <v>251</v>
      </c>
      <c r="M138" s="2">
        <v>46223</v>
      </c>
      <c r="N138" s="1" t="s">
        <v>22</v>
      </c>
      <c r="O138" s="1" t="s">
        <v>136</v>
      </c>
      <c r="P138" s="1" t="s">
        <v>137</v>
      </c>
      <c r="Q138" s="2"/>
      <c r="S138" s="1">
        <v>1</v>
      </c>
      <c r="T138" s="1">
        <v>0</v>
      </c>
      <c r="U138" s="1">
        <v>0</v>
      </c>
      <c r="V138" s="1">
        <v>1</v>
      </c>
      <c r="W138" s="1">
        <v>2026</v>
      </c>
      <c r="X138" s="1">
        <v>28</v>
      </c>
      <c r="Y138" s="1">
        <v>7</v>
      </c>
      <c r="Z138" s="1">
        <v>9</v>
      </c>
      <c r="AB138" s="1">
        <f t="shared" si="2"/>
        <v>7</v>
      </c>
    </row>
    <row r="139" spans="1:28" x14ac:dyDescent="0.35">
      <c r="A139" s="1">
        <v>1421517</v>
      </c>
      <c r="B139" s="1" t="s">
        <v>132</v>
      </c>
      <c r="C139" s="1" t="s">
        <v>428</v>
      </c>
      <c r="D139" s="1" t="s">
        <v>134</v>
      </c>
      <c r="E139" s="2">
        <v>46216</v>
      </c>
      <c r="F139" s="1" t="s">
        <v>139</v>
      </c>
      <c r="G139" s="1" t="s">
        <v>438</v>
      </c>
      <c r="H139" s="1">
        <v>680</v>
      </c>
      <c r="I139" s="1" t="s">
        <v>511</v>
      </c>
      <c r="J139" s="1">
        <v>96</v>
      </c>
      <c r="K139" s="1" t="s">
        <v>290</v>
      </c>
      <c r="L139" s="1" t="s">
        <v>512</v>
      </c>
      <c r="M139" s="2">
        <v>46223</v>
      </c>
      <c r="N139" s="1" t="s">
        <v>3</v>
      </c>
      <c r="O139" s="1" t="s">
        <v>145</v>
      </c>
      <c r="P139" s="1" t="s">
        <v>137</v>
      </c>
      <c r="Q139" s="2">
        <v>46224</v>
      </c>
      <c r="R139" s="1" t="s">
        <v>137</v>
      </c>
      <c r="S139" s="1">
        <v>1</v>
      </c>
      <c r="T139" s="1">
        <v>0</v>
      </c>
      <c r="U139" s="1">
        <v>1</v>
      </c>
      <c r="V139" s="1">
        <v>0</v>
      </c>
      <c r="W139" s="1">
        <v>2026</v>
      </c>
      <c r="X139" s="1">
        <v>29</v>
      </c>
      <c r="Y139" s="1">
        <v>7</v>
      </c>
      <c r="Z139" s="1">
        <v>13</v>
      </c>
      <c r="AB139" s="1">
        <f t="shared" si="2"/>
        <v>7</v>
      </c>
    </row>
    <row r="140" spans="1:28" x14ac:dyDescent="0.35">
      <c r="A140" s="1">
        <v>849590</v>
      </c>
      <c r="B140" s="1" t="s">
        <v>132</v>
      </c>
      <c r="C140" s="1" t="s">
        <v>428</v>
      </c>
      <c r="D140" s="1" t="s">
        <v>134</v>
      </c>
      <c r="E140" s="2">
        <v>46217</v>
      </c>
      <c r="F140" s="1" t="s">
        <v>139</v>
      </c>
      <c r="G140" s="1" t="s">
        <v>513</v>
      </c>
      <c r="H140" s="1">
        <v>2060</v>
      </c>
      <c r="I140" s="1" t="s">
        <v>514</v>
      </c>
      <c r="J140" s="1">
        <v>78</v>
      </c>
      <c r="K140" s="1" t="s">
        <v>515</v>
      </c>
      <c r="L140" s="1" t="s">
        <v>516</v>
      </c>
      <c r="M140" s="2">
        <v>46223</v>
      </c>
      <c r="N140" s="1" t="s">
        <v>3</v>
      </c>
      <c r="O140" s="1" t="s">
        <v>145</v>
      </c>
      <c r="P140" s="1" t="s">
        <v>137</v>
      </c>
      <c r="Q140" s="2">
        <v>46224</v>
      </c>
      <c r="R140" s="1" t="s">
        <v>137</v>
      </c>
      <c r="S140" s="1">
        <v>1</v>
      </c>
      <c r="T140" s="1">
        <v>0</v>
      </c>
      <c r="U140" s="1">
        <v>1</v>
      </c>
      <c r="V140" s="1">
        <v>0</v>
      </c>
      <c r="W140" s="1">
        <v>2026</v>
      </c>
      <c r="X140" s="1">
        <v>29</v>
      </c>
      <c r="Y140" s="1">
        <v>7</v>
      </c>
      <c r="Z140" s="1">
        <v>14</v>
      </c>
      <c r="AB140" s="1">
        <f t="shared" si="2"/>
        <v>7</v>
      </c>
    </row>
    <row r="141" spans="1:28" x14ac:dyDescent="0.35">
      <c r="A141" s="1">
        <v>1216169</v>
      </c>
      <c r="B141" s="1" t="s">
        <v>132</v>
      </c>
      <c r="C141" s="1" t="s">
        <v>428</v>
      </c>
      <c r="D141" s="1" t="s">
        <v>134</v>
      </c>
      <c r="E141" s="2">
        <v>46220</v>
      </c>
      <c r="F141" s="1" t="s">
        <v>135</v>
      </c>
      <c r="G141" s="1" t="s">
        <v>520</v>
      </c>
      <c r="H141" s="1">
        <v>238</v>
      </c>
      <c r="I141" s="1" t="s">
        <v>346</v>
      </c>
      <c r="J141" s="1">
        <v>58</v>
      </c>
      <c r="K141" s="1" t="s">
        <v>181</v>
      </c>
      <c r="L141" s="1" t="s">
        <v>432</v>
      </c>
      <c r="M141" s="2">
        <v>46223</v>
      </c>
      <c r="N141" s="1" t="s">
        <v>22</v>
      </c>
      <c r="O141" s="1" t="s">
        <v>136</v>
      </c>
      <c r="P141" s="1" t="s">
        <v>137</v>
      </c>
      <c r="Q141" s="2"/>
      <c r="S141" s="1">
        <v>1</v>
      </c>
      <c r="T141" s="1">
        <v>0</v>
      </c>
      <c r="U141" s="1">
        <v>0</v>
      </c>
      <c r="V141" s="1">
        <v>1</v>
      </c>
      <c r="W141" s="1">
        <v>2026</v>
      </c>
      <c r="X141" s="1">
        <v>29</v>
      </c>
      <c r="Y141" s="1">
        <v>7</v>
      </c>
      <c r="Z141" s="1">
        <v>17</v>
      </c>
      <c r="AB141" s="1">
        <f t="shared" si="2"/>
        <v>7</v>
      </c>
    </row>
    <row r="142" spans="1:28" x14ac:dyDescent="0.35">
      <c r="A142" s="1">
        <v>1421513</v>
      </c>
      <c r="B142" s="1" t="s">
        <v>132</v>
      </c>
      <c r="C142" s="1" t="s">
        <v>428</v>
      </c>
      <c r="D142" s="1" t="s">
        <v>134</v>
      </c>
      <c r="E142" s="2">
        <v>46217</v>
      </c>
      <c r="F142" s="1" t="s">
        <v>139</v>
      </c>
      <c r="G142" s="1" t="s">
        <v>517</v>
      </c>
      <c r="H142" s="1">
        <v>988</v>
      </c>
      <c r="I142" s="1" t="s">
        <v>347</v>
      </c>
      <c r="J142" s="1">
        <v>84</v>
      </c>
      <c r="K142" s="1" t="s">
        <v>518</v>
      </c>
      <c r="L142" s="1" t="s">
        <v>519</v>
      </c>
      <c r="M142" s="2">
        <v>46227</v>
      </c>
      <c r="N142" s="1" t="s">
        <v>3</v>
      </c>
      <c r="O142" s="1" t="s">
        <v>145</v>
      </c>
      <c r="P142" s="1" t="s">
        <v>137</v>
      </c>
      <c r="Q142" s="2">
        <v>46227</v>
      </c>
      <c r="R142" s="1" t="s">
        <v>137</v>
      </c>
      <c r="S142" s="1">
        <v>1</v>
      </c>
      <c r="T142" s="1">
        <v>0</v>
      </c>
      <c r="U142" s="1">
        <v>1</v>
      </c>
      <c r="V142" s="1">
        <v>0</v>
      </c>
      <c r="W142" s="1">
        <v>2026</v>
      </c>
      <c r="X142" s="1">
        <v>29</v>
      </c>
      <c r="Y142" s="1">
        <v>7</v>
      </c>
      <c r="Z142" s="1">
        <v>14</v>
      </c>
      <c r="AB142" s="1">
        <f t="shared" si="2"/>
        <v>7</v>
      </c>
    </row>
    <row r="143" spans="1:28" x14ac:dyDescent="0.35">
      <c r="A143" s="1">
        <v>1426394</v>
      </c>
      <c r="B143" s="1" t="s">
        <v>132</v>
      </c>
      <c r="C143" s="1" t="s">
        <v>428</v>
      </c>
      <c r="D143" s="1" t="s">
        <v>134</v>
      </c>
      <c r="E143" s="2">
        <v>46216</v>
      </c>
      <c r="F143" s="1" t="s">
        <v>135</v>
      </c>
      <c r="G143" s="1" t="s">
        <v>509</v>
      </c>
      <c r="H143" s="1">
        <v>363</v>
      </c>
      <c r="I143" s="1" t="s">
        <v>249</v>
      </c>
      <c r="J143" s="1">
        <v>134</v>
      </c>
      <c r="K143" s="1" t="s">
        <v>142</v>
      </c>
      <c r="L143" s="1" t="s">
        <v>510</v>
      </c>
      <c r="M143" s="2">
        <v>46230</v>
      </c>
      <c r="N143" s="1" t="s">
        <v>22</v>
      </c>
      <c r="O143" s="1" t="s">
        <v>145</v>
      </c>
      <c r="P143" s="1" t="s">
        <v>137</v>
      </c>
      <c r="Q143" s="2">
        <v>46230</v>
      </c>
      <c r="R143" s="1" t="s">
        <v>137</v>
      </c>
      <c r="S143" s="1">
        <v>1</v>
      </c>
      <c r="T143" s="1">
        <v>0</v>
      </c>
      <c r="U143" s="1">
        <v>1</v>
      </c>
      <c r="V143" s="1">
        <v>0</v>
      </c>
      <c r="W143" s="1">
        <v>2026</v>
      </c>
      <c r="X143" s="1">
        <v>29</v>
      </c>
      <c r="Y143" s="1">
        <v>7</v>
      </c>
      <c r="Z143" s="1">
        <v>13</v>
      </c>
      <c r="AB143" s="1">
        <f t="shared" si="2"/>
        <v>7</v>
      </c>
    </row>
    <row r="144" spans="1:28" x14ac:dyDescent="0.35">
      <c r="A144" s="1">
        <v>1156565</v>
      </c>
      <c r="B144" s="1" t="s">
        <v>132</v>
      </c>
      <c r="C144" s="1" t="s">
        <v>428</v>
      </c>
      <c r="D144" s="1" t="s">
        <v>134</v>
      </c>
      <c r="E144" s="2">
        <v>46227</v>
      </c>
      <c r="F144" s="1" t="s">
        <v>139</v>
      </c>
      <c r="G144" s="1" t="s">
        <v>216</v>
      </c>
      <c r="H144" s="1">
        <v>1230</v>
      </c>
      <c r="I144" s="1" t="s">
        <v>514</v>
      </c>
      <c r="J144" s="1">
        <v>51</v>
      </c>
      <c r="K144" s="1" t="s">
        <v>367</v>
      </c>
      <c r="L144" s="1" t="s">
        <v>325</v>
      </c>
      <c r="M144" s="2">
        <v>46232</v>
      </c>
      <c r="N144" s="1" t="s">
        <v>3</v>
      </c>
      <c r="O144" s="1" t="s">
        <v>145</v>
      </c>
      <c r="P144" s="1" t="s">
        <v>137</v>
      </c>
      <c r="Q144" s="2">
        <v>46233</v>
      </c>
      <c r="R144" s="1" t="s">
        <v>137</v>
      </c>
      <c r="S144" s="1">
        <v>1</v>
      </c>
      <c r="T144" s="1">
        <v>0</v>
      </c>
      <c r="U144" s="1">
        <v>1</v>
      </c>
      <c r="V144" s="1">
        <v>0</v>
      </c>
      <c r="W144" s="1">
        <v>2026</v>
      </c>
      <c r="X144" s="1">
        <v>30</v>
      </c>
      <c r="Y144" s="1">
        <v>7</v>
      </c>
      <c r="Z144" s="1">
        <v>24</v>
      </c>
      <c r="AB144" s="1">
        <f t="shared" si="2"/>
        <v>7</v>
      </c>
    </row>
    <row r="145" spans="1:28" x14ac:dyDescent="0.35">
      <c r="A145" s="1">
        <v>736695</v>
      </c>
      <c r="B145" s="1" t="s">
        <v>132</v>
      </c>
      <c r="C145" s="1" t="s">
        <v>428</v>
      </c>
      <c r="D145" s="1" t="s">
        <v>134</v>
      </c>
      <c r="E145" s="2">
        <v>46223</v>
      </c>
      <c r="F145" s="1" t="s">
        <v>153</v>
      </c>
      <c r="G145" s="1" t="s">
        <v>521</v>
      </c>
      <c r="H145" s="1">
        <v>125</v>
      </c>
      <c r="I145" s="1" t="s">
        <v>416</v>
      </c>
      <c r="J145" s="1">
        <v>139</v>
      </c>
      <c r="K145" s="1" t="s">
        <v>169</v>
      </c>
      <c r="L145" s="1" t="s">
        <v>522</v>
      </c>
      <c r="M145" s="2">
        <v>46233</v>
      </c>
      <c r="N145" s="1" t="s">
        <v>22</v>
      </c>
      <c r="O145" s="1" t="s">
        <v>137</v>
      </c>
      <c r="P145" s="1" t="s">
        <v>137</v>
      </c>
      <c r="Q145" s="2"/>
      <c r="S145" s="1">
        <v>1</v>
      </c>
      <c r="T145" s="1">
        <v>0</v>
      </c>
      <c r="U145" s="1">
        <v>0</v>
      </c>
      <c r="V145" s="1">
        <v>0</v>
      </c>
      <c r="W145" s="1">
        <v>2026</v>
      </c>
      <c r="X145" s="1">
        <v>30</v>
      </c>
      <c r="Y145" s="1">
        <v>7</v>
      </c>
      <c r="Z145" s="1">
        <v>20</v>
      </c>
      <c r="AB145" s="1">
        <f t="shared" si="2"/>
        <v>7</v>
      </c>
    </row>
    <row r="146" spans="1:28" x14ac:dyDescent="0.35">
      <c r="A146" s="1">
        <v>1533168</v>
      </c>
      <c r="B146" s="1" t="s">
        <v>132</v>
      </c>
      <c r="C146" s="1" t="s">
        <v>428</v>
      </c>
      <c r="D146" s="1" t="s">
        <v>134</v>
      </c>
      <c r="E146" s="2">
        <v>46224</v>
      </c>
      <c r="F146" s="1" t="s">
        <v>149</v>
      </c>
      <c r="G146" s="1" t="s">
        <v>523</v>
      </c>
      <c r="H146" s="1">
        <v>1608</v>
      </c>
      <c r="I146" s="1" t="s">
        <v>524</v>
      </c>
      <c r="J146" s="1">
        <v>63</v>
      </c>
      <c r="K146" s="1" t="s">
        <v>142</v>
      </c>
      <c r="L146" s="1" t="s">
        <v>320</v>
      </c>
      <c r="M146" s="2">
        <v>46233</v>
      </c>
      <c r="N146" s="1" t="s">
        <v>22</v>
      </c>
      <c r="O146" s="1" t="s">
        <v>136</v>
      </c>
      <c r="P146" s="1" t="s">
        <v>137</v>
      </c>
      <c r="Q146" s="2"/>
      <c r="S146" s="1">
        <v>1</v>
      </c>
      <c r="T146" s="1">
        <v>0</v>
      </c>
      <c r="U146" s="1">
        <v>0</v>
      </c>
      <c r="V146" s="1">
        <v>1</v>
      </c>
      <c r="W146" s="1">
        <v>2026</v>
      </c>
      <c r="X146" s="1">
        <v>30</v>
      </c>
      <c r="Y146" s="1">
        <v>7</v>
      </c>
      <c r="Z146" s="1">
        <v>21</v>
      </c>
      <c r="AB146" s="1">
        <f t="shared" si="2"/>
        <v>7</v>
      </c>
    </row>
    <row r="147" spans="1:28" x14ac:dyDescent="0.35">
      <c r="A147" s="1">
        <v>1425431</v>
      </c>
      <c r="B147" s="1" t="s">
        <v>132</v>
      </c>
      <c r="C147" s="1" t="s">
        <v>428</v>
      </c>
      <c r="D147" s="1" t="s">
        <v>134</v>
      </c>
      <c r="E147" s="2">
        <v>46224</v>
      </c>
      <c r="F147" s="1" t="s">
        <v>149</v>
      </c>
      <c r="G147" s="1" t="s">
        <v>527</v>
      </c>
      <c r="H147" s="1">
        <v>2976</v>
      </c>
      <c r="I147" s="1" t="s">
        <v>254</v>
      </c>
      <c r="J147" s="1">
        <v>1</v>
      </c>
      <c r="K147" s="1" t="s">
        <v>251</v>
      </c>
      <c r="L147" s="1" t="s">
        <v>324</v>
      </c>
      <c r="M147" s="2">
        <v>46233</v>
      </c>
      <c r="N147" s="1" t="s">
        <v>22</v>
      </c>
      <c r="O147" s="1" t="s">
        <v>136</v>
      </c>
      <c r="P147" s="1" t="s">
        <v>137</v>
      </c>
      <c r="Q147" s="2"/>
      <c r="S147" s="1">
        <v>1</v>
      </c>
      <c r="T147" s="1">
        <v>0</v>
      </c>
      <c r="U147" s="1">
        <v>0</v>
      </c>
      <c r="V147" s="1">
        <v>1</v>
      </c>
      <c r="W147" s="1">
        <v>2026</v>
      </c>
      <c r="X147" s="1">
        <v>30</v>
      </c>
      <c r="Y147" s="1">
        <v>7</v>
      </c>
      <c r="Z147" s="1">
        <v>21</v>
      </c>
      <c r="AB147" s="1">
        <f t="shared" si="2"/>
        <v>7</v>
      </c>
    </row>
    <row r="148" spans="1:28" x14ac:dyDescent="0.35">
      <c r="A148" s="1">
        <v>851597</v>
      </c>
      <c r="B148" s="1" t="s">
        <v>132</v>
      </c>
      <c r="C148" s="1" t="s">
        <v>428</v>
      </c>
      <c r="D148" s="1" t="s">
        <v>134</v>
      </c>
      <c r="E148" s="2">
        <v>46224</v>
      </c>
      <c r="F148" s="1" t="s">
        <v>135</v>
      </c>
      <c r="G148" s="1" t="s">
        <v>525</v>
      </c>
      <c r="H148" s="1">
        <v>205</v>
      </c>
      <c r="I148" s="1" t="s">
        <v>469</v>
      </c>
      <c r="J148" s="1">
        <v>76</v>
      </c>
      <c r="K148" s="1" t="s">
        <v>142</v>
      </c>
      <c r="L148" s="1" t="s">
        <v>526</v>
      </c>
      <c r="M148" s="2">
        <v>46234</v>
      </c>
      <c r="N148" s="1" t="s">
        <v>21</v>
      </c>
      <c r="O148" s="1" t="s">
        <v>137</v>
      </c>
      <c r="P148" s="1" t="s">
        <v>137</v>
      </c>
      <c r="Q148" s="2"/>
      <c r="S148" s="1">
        <v>1</v>
      </c>
      <c r="T148" s="1">
        <v>0</v>
      </c>
      <c r="U148" s="1">
        <v>0</v>
      </c>
      <c r="V148" s="1">
        <v>0</v>
      </c>
      <c r="W148" s="1">
        <v>2026</v>
      </c>
      <c r="X148" s="1">
        <v>30</v>
      </c>
      <c r="Y148" s="1">
        <v>7</v>
      </c>
      <c r="Z148" s="1">
        <v>21</v>
      </c>
      <c r="AB148" s="1">
        <f t="shared" si="2"/>
        <v>7</v>
      </c>
    </row>
    <row r="149" spans="1:28" x14ac:dyDescent="0.35">
      <c r="A149" s="1">
        <v>1214411</v>
      </c>
      <c r="B149" s="1" t="s">
        <v>132</v>
      </c>
      <c r="C149" s="1" t="s">
        <v>428</v>
      </c>
      <c r="D149" s="1" t="s">
        <v>134</v>
      </c>
      <c r="E149" s="2">
        <v>46237</v>
      </c>
      <c r="F149" s="1" t="s">
        <v>135</v>
      </c>
      <c r="G149" s="1" t="s">
        <v>532</v>
      </c>
      <c r="H149" s="1">
        <v>189</v>
      </c>
      <c r="I149" s="1" t="s">
        <v>533</v>
      </c>
      <c r="J149" s="1">
        <v>30</v>
      </c>
      <c r="K149" s="1" t="s">
        <v>169</v>
      </c>
      <c r="L149" s="1" t="s">
        <v>324</v>
      </c>
      <c r="M149" s="2">
        <v>46247</v>
      </c>
      <c r="N149" s="1" t="s">
        <v>22</v>
      </c>
      <c r="O149" s="1" t="s">
        <v>137</v>
      </c>
      <c r="P149" s="1" t="s">
        <v>137</v>
      </c>
      <c r="Q149" s="2"/>
      <c r="S149" s="1">
        <v>1</v>
      </c>
      <c r="T149" s="1">
        <v>0</v>
      </c>
      <c r="U149" s="1">
        <v>0</v>
      </c>
      <c r="V149" s="1">
        <v>0</v>
      </c>
      <c r="W149" s="1">
        <v>2026</v>
      </c>
      <c r="X149" s="1">
        <v>32</v>
      </c>
      <c r="Y149" s="1">
        <v>8</v>
      </c>
      <c r="Z149" s="1">
        <v>3</v>
      </c>
      <c r="AB149" s="1">
        <f t="shared" si="2"/>
        <v>8</v>
      </c>
    </row>
    <row r="150" spans="1:28" x14ac:dyDescent="0.35">
      <c r="A150" s="1">
        <v>1174925</v>
      </c>
      <c r="B150" s="1" t="s">
        <v>132</v>
      </c>
      <c r="C150" s="1" t="s">
        <v>428</v>
      </c>
      <c r="D150" s="1" t="s">
        <v>134</v>
      </c>
      <c r="E150" s="2">
        <v>46241</v>
      </c>
      <c r="F150" s="1" t="s">
        <v>139</v>
      </c>
      <c r="G150" s="1" t="s">
        <v>540</v>
      </c>
      <c r="H150" s="1">
        <v>1067</v>
      </c>
      <c r="I150" s="1" t="s">
        <v>541</v>
      </c>
      <c r="J150" s="1">
        <v>46</v>
      </c>
      <c r="K150" s="1" t="s">
        <v>191</v>
      </c>
      <c r="L150" s="1" t="s">
        <v>325</v>
      </c>
      <c r="M150" s="2">
        <v>46248</v>
      </c>
      <c r="N150" s="1" t="s">
        <v>19</v>
      </c>
      <c r="O150" s="1" t="s">
        <v>136</v>
      </c>
      <c r="P150" s="1" t="s">
        <v>137</v>
      </c>
      <c r="Q150" s="2"/>
      <c r="S150" s="1">
        <v>1</v>
      </c>
      <c r="T150" s="1">
        <v>0</v>
      </c>
      <c r="U150" s="1">
        <v>0</v>
      </c>
      <c r="V150" s="1">
        <v>1</v>
      </c>
      <c r="W150" s="1">
        <v>2026</v>
      </c>
      <c r="X150" s="1">
        <v>32</v>
      </c>
      <c r="Y150" s="1">
        <v>8</v>
      </c>
      <c r="Z150" s="1">
        <v>7</v>
      </c>
      <c r="AB150" s="1">
        <f t="shared" si="2"/>
        <v>8</v>
      </c>
    </row>
    <row r="151" spans="1:28" x14ac:dyDescent="0.35">
      <c r="A151" s="1">
        <v>1421481</v>
      </c>
      <c r="B151" s="1" t="s">
        <v>132</v>
      </c>
      <c r="C151" s="1" t="s">
        <v>428</v>
      </c>
      <c r="D151" s="1" t="s">
        <v>134</v>
      </c>
      <c r="E151" s="2">
        <v>46241</v>
      </c>
      <c r="F151" s="1" t="s">
        <v>139</v>
      </c>
      <c r="G151" s="1" t="s">
        <v>542</v>
      </c>
      <c r="H151" s="1">
        <v>717</v>
      </c>
      <c r="I151" s="1" t="s">
        <v>261</v>
      </c>
      <c r="J151" s="1">
        <v>64</v>
      </c>
      <c r="K151" s="1" t="s">
        <v>144</v>
      </c>
      <c r="M151" s="2">
        <v>46248</v>
      </c>
      <c r="N151" s="1" t="s">
        <v>9</v>
      </c>
      <c r="O151" s="1" t="s">
        <v>136</v>
      </c>
      <c r="P151" s="1" t="s">
        <v>137</v>
      </c>
      <c r="Q151" s="2"/>
      <c r="S151" s="1">
        <v>1</v>
      </c>
      <c r="T151" s="1">
        <v>0</v>
      </c>
      <c r="U151" s="1">
        <v>0</v>
      </c>
      <c r="V151" s="1">
        <v>1</v>
      </c>
      <c r="W151" s="1">
        <v>2026</v>
      </c>
      <c r="X151" s="1">
        <v>32</v>
      </c>
      <c r="Y151" s="1">
        <v>8</v>
      </c>
      <c r="Z151" s="1">
        <v>7</v>
      </c>
      <c r="AB151" s="1">
        <f t="shared" si="2"/>
        <v>8</v>
      </c>
    </row>
    <row r="152" spans="1:28" x14ac:dyDescent="0.35">
      <c r="A152" s="1">
        <v>1533793</v>
      </c>
      <c r="B152" s="1" t="s">
        <v>132</v>
      </c>
      <c r="C152" s="1" t="s">
        <v>428</v>
      </c>
      <c r="D152" s="1" t="s">
        <v>134</v>
      </c>
      <c r="E152" s="2">
        <v>46240</v>
      </c>
      <c r="F152" s="1" t="s">
        <v>161</v>
      </c>
      <c r="G152" s="1" t="s">
        <v>537</v>
      </c>
      <c r="H152" s="1">
        <v>1590</v>
      </c>
      <c r="I152" s="1" t="s">
        <v>538</v>
      </c>
      <c r="J152" s="1">
        <v>67</v>
      </c>
      <c r="K152" s="1" t="s">
        <v>518</v>
      </c>
      <c r="L152" s="1" t="s">
        <v>539</v>
      </c>
      <c r="M152" s="2">
        <v>46252</v>
      </c>
      <c r="N152" s="1" t="s">
        <v>19</v>
      </c>
      <c r="O152" s="1" t="s">
        <v>137</v>
      </c>
      <c r="P152" s="1" t="s">
        <v>137</v>
      </c>
      <c r="Q152" s="2"/>
      <c r="S152" s="1">
        <v>1</v>
      </c>
      <c r="T152" s="1">
        <v>0</v>
      </c>
      <c r="U152" s="1">
        <v>0</v>
      </c>
      <c r="V152" s="1">
        <v>0</v>
      </c>
      <c r="W152" s="1">
        <v>2026</v>
      </c>
      <c r="X152" s="1">
        <v>32</v>
      </c>
      <c r="Y152" s="1">
        <v>8</v>
      </c>
      <c r="Z152" s="1">
        <v>6</v>
      </c>
      <c r="AB152" s="1">
        <f t="shared" si="2"/>
        <v>8</v>
      </c>
    </row>
    <row r="153" spans="1:28" x14ac:dyDescent="0.35">
      <c r="A153" s="1">
        <v>70403</v>
      </c>
      <c r="B153" s="1" t="s">
        <v>132</v>
      </c>
      <c r="C153" s="1" t="s">
        <v>428</v>
      </c>
      <c r="D153" s="1" t="s">
        <v>134</v>
      </c>
      <c r="E153" s="2">
        <v>46238</v>
      </c>
      <c r="F153" s="1" t="s">
        <v>149</v>
      </c>
      <c r="G153" s="1" t="s">
        <v>194</v>
      </c>
      <c r="H153" s="1">
        <v>200</v>
      </c>
      <c r="I153" s="1" t="s">
        <v>534</v>
      </c>
      <c r="J153" s="1">
        <v>67</v>
      </c>
      <c r="K153" s="1" t="s">
        <v>535</v>
      </c>
      <c r="M153" s="2">
        <v>46254</v>
      </c>
      <c r="N153" s="1" t="s">
        <v>22</v>
      </c>
      <c r="O153" s="1" t="s">
        <v>137</v>
      </c>
      <c r="P153" s="1" t="s">
        <v>137</v>
      </c>
      <c r="Q153" s="2"/>
      <c r="S153" s="1">
        <v>1</v>
      </c>
      <c r="T153" s="1">
        <v>0</v>
      </c>
      <c r="U153" s="1">
        <v>0</v>
      </c>
      <c r="V153" s="1">
        <v>0</v>
      </c>
      <c r="W153" s="1">
        <v>2026</v>
      </c>
      <c r="X153" s="1">
        <v>32</v>
      </c>
      <c r="Y153" s="1">
        <v>8</v>
      </c>
      <c r="Z153" s="1">
        <v>4</v>
      </c>
      <c r="AB153" s="1">
        <f t="shared" si="2"/>
        <v>8</v>
      </c>
    </row>
    <row r="154" spans="1:28" x14ac:dyDescent="0.35">
      <c r="A154" s="1">
        <v>1535653</v>
      </c>
      <c r="B154" s="1" t="s">
        <v>132</v>
      </c>
      <c r="C154" s="1" t="s">
        <v>428</v>
      </c>
      <c r="D154" s="1" t="s">
        <v>134</v>
      </c>
      <c r="E154" s="2">
        <v>46238</v>
      </c>
      <c r="F154" s="1" t="s">
        <v>149</v>
      </c>
      <c r="G154" s="1" t="s">
        <v>202</v>
      </c>
      <c r="H154" s="1">
        <v>208</v>
      </c>
      <c r="I154" s="1" t="s">
        <v>420</v>
      </c>
      <c r="J154" s="1">
        <v>35</v>
      </c>
      <c r="K154" s="1" t="s">
        <v>394</v>
      </c>
      <c r="L154" s="1" t="s">
        <v>536</v>
      </c>
      <c r="M154" s="2">
        <v>46254</v>
      </c>
      <c r="N154" s="1" t="s">
        <v>22</v>
      </c>
      <c r="O154" s="1" t="s">
        <v>136</v>
      </c>
      <c r="P154" s="1" t="s">
        <v>137</v>
      </c>
      <c r="Q154" s="2"/>
      <c r="S154" s="1">
        <v>1</v>
      </c>
      <c r="T154" s="1">
        <v>0</v>
      </c>
      <c r="U154" s="1">
        <v>0</v>
      </c>
      <c r="V154" s="1">
        <v>1</v>
      </c>
      <c r="W154" s="1">
        <v>2026</v>
      </c>
      <c r="X154" s="1">
        <v>32</v>
      </c>
      <c r="Y154" s="1">
        <v>8</v>
      </c>
      <c r="Z154" s="1">
        <v>4</v>
      </c>
      <c r="AB154" s="1">
        <f t="shared" si="2"/>
        <v>8</v>
      </c>
    </row>
    <row r="155" spans="1:28" x14ac:dyDescent="0.35">
      <c r="A155" s="1">
        <v>1373976</v>
      </c>
      <c r="B155" s="1" t="s">
        <v>132</v>
      </c>
      <c r="C155" s="1" t="s">
        <v>428</v>
      </c>
      <c r="D155" s="1" t="s">
        <v>134</v>
      </c>
      <c r="E155" s="2">
        <v>46241</v>
      </c>
      <c r="F155" s="1" t="s">
        <v>149</v>
      </c>
      <c r="G155" s="1" t="s">
        <v>543</v>
      </c>
      <c r="H155" s="1">
        <v>320</v>
      </c>
      <c r="I155" s="1" t="s">
        <v>534</v>
      </c>
      <c r="J155" s="1">
        <v>25</v>
      </c>
      <c r="K155" s="1" t="s">
        <v>229</v>
      </c>
      <c r="M155" s="2">
        <v>46254</v>
      </c>
      <c r="N155" s="1" t="s">
        <v>3</v>
      </c>
      <c r="O155" s="1" t="s">
        <v>137</v>
      </c>
      <c r="P155" s="1" t="s">
        <v>137</v>
      </c>
      <c r="Q155" s="2"/>
      <c r="R155" s="1" t="s">
        <v>137</v>
      </c>
      <c r="S155" s="1">
        <v>1</v>
      </c>
      <c r="T155" s="1">
        <v>0</v>
      </c>
      <c r="U155" s="1">
        <v>0</v>
      </c>
      <c r="V155" s="1">
        <v>0</v>
      </c>
      <c r="W155" s="1">
        <v>2026</v>
      </c>
      <c r="X155" s="1">
        <v>32</v>
      </c>
      <c r="Y155" s="1">
        <v>8</v>
      </c>
      <c r="Z155" s="1">
        <v>7</v>
      </c>
      <c r="AB155" s="1">
        <f t="shared" si="2"/>
        <v>8</v>
      </c>
    </row>
    <row r="156" spans="1:28" x14ac:dyDescent="0.35">
      <c r="A156" s="1">
        <v>1587932</v>
      </c>
      <c r="B156" s="1" t="s">
        <v>132</v>
      </c>
      <c r="C156" s="1" t="s">
        <v>428</v>
      </c>
      <c r="D156" s="1" t="s">
        <v>134</v>
      </c>
      <c r="E156" s="2">
        <v>46248</v>
      </c>
      <c r="F156" s="1" t="s">
        <v>165</v>
      </c>
      <c r="G156" s="1" t="s">
        <v>175</v>
      </c>
      <c r="H156" s="1">
        <v>2958</v>
      </c>
      <c r="I156" s="1" t="s">
        <v>545</v>
      </c>
      <c r="J156" s="1">
        <v>34</v>
      </c>
      <c r="K156" s="1" t="s">
        <v>367</v>
      </c>
      <c r="L156" s="1" t="s">
        <v>546</v>
      </c>
      <c r="M156" s="2">
        <v>46266</v>
      </c>
      <c r="N156" s="1" t="s">
        <v>5</v>
      </c>
      <c r="O156" s="1" t="s">
        <v>137</v>
      </c>
      <c r="P156" s="1" t="s">
        <v>137</v>
      </c>
      <c r="Q156" s="2"/>
      <c r="S156" s="1">
        <v>1</v>
      </c>
      <c r="T156" s="1">
        <v>0</v>
      </c>
      <c r="U156" s="1">
        <v>0</v>
      </c>
      <c r="V156" s="1">
        <v>0</v>
      </c>
      <c r="W156" s="1">
        <v>2026</v>
      </c>
      <c r="X156" s="1">
        <v>33</v>
      </c>
      <c r="Y156" s="1">
        <v>8</v>
      </c>
      <c r="Z156" s="1">
        <v>14</v>
      </c>
      <c r="AB156" s="1">
        <f t="shared" si="2"/>
        <v>9</v>
      </c>
    </row>
    <row r="157" spans="1:28" x14ac:dyDescent="0.35">
      <c r="A157" s="1">
        <v>1587387</v>
      </c>
      <c r="B157" s="1" t="s">
        <v>132</v>
      </c>
      <c r="C157" s="1" t="s">
        <v>428</v>
      </c>
      <c r="D157" s="1" t="s">
        <v>134</v>
      </c>
      <c r="E157" s="2">
        <v>46252</v>
      </c>
      <c r="F157" s="1" t="s">
        <v>146</v>
      </c>
      <c r="G157" s="1" t="s">
        <v>559</v>
      </c>
      <c r="H157" s="1">
        <v>150</v>
      </c>
      <c r="I157" s="1" t="s">
        <v>560</v>
      </c>
      <c r="J157" s="1">
        <v>19</v>
      </c>
      <c r="K157" s="1" t="s">
        <v>501</v>
      </c>
      <c r="L157" s="1" t="s">
        <v>561</v>
      </c>
      <c r="M157" s="2">
        <v>46266</v>
      </c>
      <c r="N157" s="1" t="s">
        <v>22</v>
      </c>
      <c r="O157" s="1" t="s">
        <v>136</v>
      </c>
      <c r="P157" s="1" t="s">
        <v>137</v>
      </c>
      <c r="Q157" s="2"/>
      <c r="S157" s="1">
        <v>1</v>
      </c>
      <c r="T157" s="1">
        <v>0</v>
      </c>
      <c r="U157" s="1">
        <v>0</v>
      </c>
      <c r="V157" s="1">
        <v>1</v>
      </c>
      <c r="W157" s="1">
        <v>2026</v>
      </c>
      <c r="X157" s="1">
        <v>34</v>
      </c>
      <c r="Y157" s="1">
        <v>8</v>
      </c>
      <c r="Z157" s="1">
        <v>18</v>
      </c>
      <c r="AB157" s="1">
        <f t="shared" si="2"/>
        <v>9</v>
      </c>
    </row>
    <row r="158" spans="1:28" x14ac:dyDescent="0.35">
      <c r="A158" s="1">
        <v>1526603</v>
      </c>
      <c r="B158" s="1" t="s">
        <v>132</v>
      </c>
      <c r="C158" s="1" t="s">
        <v>428</v>
      </c>
      <c r="D158" s="1" t="s">
        <v>134</v>
      </c>
      <c r="E158" s="2">
        <v>46248</v>
      </c>
      <c r="F158" s="1" t="s">
        <v>139</v>
      </c>
      <c r="G158" s="1" t="s">
        <v>271</v>
      </c>
      <c r="H158" s="1">
        <v>1436</v>
      </c>
      <c r="I158" s="1" t="s">
        <v>544</v>
      </c>
      <c r="J158" s="1">
        <v>56</v>
      </c>
      <c r="K158" s="1" t="s">
        <v>191</v>
      </c>
      <c r="L158" s="1" t="s">
        <v>426</v>
      </c>
      <c r="M158" s="2">
        <v>46267</v>
      </c>
      <c r="N158" s="1" t="s">
        <v>3</v>
      </c>
      <c r="O158" s="1" t="s">
        <v>145</v>
      </c>
      <c r="P158" s="1" t="s">
        <v>137</v>
      </c>
      <c r="Q158" s="2">
        <v>46267</v>
      </c>
      <c r="R158" s="1" t="s">
        <v>137</v>
      </c>
      <c r="S158" s="1">
        <v>1</v>
      </c>
      <c r="T158" s="1">
        <v>0</v>
      </c>
      <c r="U158" s="1">
        <v>1</v>
      </c>
      <c r="V158" s="1">
        <v>0</v>
      </c>
      <c r="W158" s="1">
        <v>2026</v>
      </c>
      <c r="X158" s="1">
        <v>33</v>
      </c>
      <c r="Y158" s="1">
        <v>8</v>
      </c>
      <c r="Z158" s="1">
        <v>14</v>
      </c>
      <c r="AB158" s="1">
        <f t="shared" si="2"/>
        <v>9</v>
      </c>
    </row>
    <row r="159" spans="1:28" x14ac:dyDescent="0.35">
      <c r="A159" s="1">
        <v>1426273</v>
      </c>
      <c r="B159" s="1" t="s">
        <v>132</v>
      </c>
      <c r="C159" s="1" t="s">
        <v>428</v>
      </c>
      <c r="D159" s="1" t="s">
        <v>134</v>
      </c>
      <c r="E159" s="2">
        <v>46254</v>
      </c>
      <c r="F159" s="1" t="s">
        <v>149</v>
      </c>
      <c r="G159" s="1" t="s">
        <v>563</v>
      </c>
      <c r="H159" s="1">
        <v>368</v>
      </c>
      <c r="I159" s="1" t="s">
        <v>564</v>
      </c>
      <c r="J159" s="1">
        <v>19</v>
      </c>
      <c r="K159" s="1" t="s">
        <v>565</v>
      </c>
      <c r="L159" s="1" t="s">
        <v>566</v>
      </c>
      <c r="M159" s="2">
        <v>46267</v>
      </c>
      <c r="N159" s="1" t="s">
        <v>19</v>
      </c>
      <c r="O159" s="1" t="s">
        <v>145</v>
      </c>
      <c r="P159" s="1" t="s">
        <v>137</v>
      </c>
      <c r="Q159" s="2">
        <v>46267</v>
      </c>
      <c r="R159" s="1" t="s">
        <v>137</v>
      </c>
      <c r="S159" s="1">
        <v>1</v>
      </c>
      <c r="T159" s="1">
        <v>0</v>
      </c>
      <c r="U159" s="1">
        <v>1</v>
      </c>
      <c r="V159" s="1">
        <v>0</v>
      </c>
      <c r="W159" s="1">
        <v>2026</v>
      </c>
      <c r="X159" s="1">
        <v>34</v>
      </c>
      <c r="Y159" s="1">
        <v>8</v>
      </c>
      <c r="Z159" s="1">
        <v>20</v>
      </c>
      <c r="AB159" s="1">
        <f t="shared" si="2"/>
        <v>9</v>
      </c>
    </row>
    <row r="160" spans="1:28" x14ac:dyDescent="0.35">
      <c r="A160" s="1">
        <v>1423150</v>
      </c>
      <c r="B160" s="1" t="s">
        <v>132</v>
      </c>
      <c r="C160" s="1" t="s">
        <v>428</v>
      </c>
      <c r="D160" s="1" t="s">
        <v>134</v>
      </c>
      <c r="E160" s="2">
        <v>46254</v>
      </c>
      <c r="F160" s="1" t="s">
        <v>149</v>
      </c>
      <c r="G160" s="1" t="s">
        <v>567</v>
      </c>
      <c r="H160" s="1">
        <v>487</v>
      </c>
      <c r="I160" s="1" t="s">
        <v>254</v>
      </c>
      <c r="J160" s="1">
        <v>65</v>
      </c>
      <c r="K160" s="1" t="s">
        <v>568</v>
      </c>
      <c r="M160" s="2">
        <v>46267</v>
      </c>
      <c r="N160" s="1" t="s">
        <v>19</v>
      </c>
      <c r="O160" s="1" t="s">
        <v>136</v>
      </c>
      <c r="P160" s="1" t="s">
        <v>137</v>
      </c>
      <c r="Q160" s="2"/>
      <c r="S160" s="1">
        <v>1</v>
      </c>
      <c r="T160" s="1">
        <v>0</v>
      </c>
      <c r="U160" s="1">
        <v>0</v>
      </c>
      <c r="V160" s="1">
        <v>1</v>
      </c>
      <c r="W160" s="1">
        <v>2026</v>
      </c>
      <c r="X160" s="1">
        <v>34</v>
      </c>
      <c r="Y160" s="1">
        <v>8</v>
      </c>
      <c r="Z160" s="1">
        <v>20</v>
      </c>
      <c r="AB160" s="1">
        <f t="shared" si="2"/>
        <v>9</v>
      </c>
    </row>
    <row r="161" spans="1:28" x14ac:dyDescent="0.35">
      <c r="A161" s="1">
        <v>43193</v>
      </c>
      <c r="B161" s="1" t="s">
        <v>132</v>
      </c>
      <c r="C161" s="1" t="s">
        <v>428</v>
      </c>
      <c r="D161" s="1" t="s">
        <v>134</v>
      </c>
      <c r="E161" s="2">
        <v>46261</v>
      </c>
      <c r="F161" s="1" t="s">
        <v>165</v>
      </c>
      <c r="G161" s="1" t="s">
        <v>593</v>
      </c>
      <c r="H161" s="1">
        <v>2455</v>
      </c>
      <c r="I161" s="1" t="s">
        <v>594</v>
      </c>
      <c r="J161" s="1">
        <v>3</v>
      </c>
      <c r="K161" s="1" t="s">
        <v>167</v>
      </c>
      <c r="L161" s="1" t="s">
        <v>348</v>
      </c>
      <c r="M161" s="2">
        <v>46267</v>
      </c>
      <c r="N161" s="1" t="s">
        <v>24</v>
      </c>
      <c r="O161" s="1" t="s">
        <v>145</v>
      </c>
      <c r="P161" s="1" t="s">
        <v>137</v>
      </c>
      <c r="Q161" s="2">
        <v>46267</v>
      </c>
      <c r="R161" s="1" t="s">
        <v>137</v>
      </c>
      <c r="S161" s="1">
        <v>1</v>
      </c>
      <c r="T161" s="1">
        <v>0</v>
      </c>
      <c r="U161" s="1">
        <v>1</v>
      </c>
      <c r="V161" s="1">
        <v>0</v>
      </c>
      <c r="W161" s="1">
        <v>2026</v>
      </c>
      <c r="X161" s="1">
        <v>35</v>
      </c>
      <c r="Y161" s="1">
        <v>8</v>
      </c>
      <c r="Z161" s="1">
        <v>27</v>
      </c>
      <c r="AB161" s="1">
        <f t="shared" si="2"/>
        <v>9</v>
      </c>
    </row>
    <row r="162" spans="1:28" x14ac:dyDescent="0.35">
      <c r="A162" s="1">
        <v>1423273</v>
      </c>
      <c r="B162" s="1" t="s">
        <v>132</v>
      </c>
      <c r="C162" s="1" t="s">
        <v>428</v>
      </c>
      <c r="D162" s="1" t="s">
        <v>134</v>
      </c>
      <c r="E162" s="2">
        <v>46253</v>
      </c>
      <c r="F162" s="1" t="s">
        <v>139</v>
      </c>
      <c r="G162" s="1" t="s">
        <v>436</v>
      </c>
      <c r="H162" s="1">
        <v>910</v>
      </c>
      <c r="I162" s="1" t="s">
        <v>562</v>
      </c>
      <c r="J162" s="1">
        <v>127</v>
      </c>
      <c r="K162" s="1" t="s">
        <v>142</v>
      </c>
      <c r="L162" s="1" t="s">
        <v>431</v>
      </c>
      <c r="M162" s="2">
        <v>46268</v>
      </c>
      <c r="N162" s="1" t="s">
        <v>3</v>
      </c>
      <c r="O162" s="1" t="s">
        <v>136</v>
      </c>
      <c r="P162" s="1" t="s">
        <v>137</v>
      </c>
      <c r="Q162" s="2"/>
      <c r="S162" s="1">
        <v>1</v>
      </c>
      <c r="T162" s="1">
        <v>0</v>
      </c>
      <c r="U162" s="1">
        <v>0</v>
      </c>
      <c r="V162" s="1">
        <v>1</v>
      </c>
      <c r="W162" s="1">
        <v>2026</v>
      </c>
      <c r="X162" s="1">
        <v>34</v>
      </c>
      <c r="Y162" s="1">
        <v>8</v>
      </c>
      <c r="Z162" s="1">
        <v>19</v>
      </c>
      <c r="AB162" s="1">
        <f t="shared" si="2"/>
        <v>9</v>
      </c>
    </row>
    <row r="163" spans="1:28" x14ac:dyDescent="0.35">
      <c r="A163" s="1">
        <v>1593745</v>
      </c>
      <c r="B163" s="1" t="s">
        <v>132</v>
      </c>
      <c r="C163" s="1" t="s">
        <v>428</v>
      </c>
      <c r="D163" s="1" t="s">
        <v>134</v>
      </c>
      <c r="E163" s="2">
        <v>46251</v>
      </c>
      <c r="F163" s="1" t="s">
        <v>139</v>
      </c>
      <c r="G163" s="1" t="s">
        <v>550</v>
      </c>
      <c r="H163" s="1">
        <v>432</v>
      </c>
      <c r="I163" s="1" t="s">
        <v>551</v>
      </c>
      <c r="J163" s="1">
        <v>61</v>
      </c>
      <c r="K163" s="1" t="s">
        <v>552</v>
      </c>
      <c r="M163" s="2">
        <v>46269</v>
      </c>
      <c r="N163" s="1" t="s">
        <v>3</v>
      </c>
      <c r="O163" s="1" t="s">
        <v>137</v>
      </c>
      <c r="P163" s="1" t="s">
        <v>137</v>
      </c>
      <c r="Q163" s="2"/>
      <c r="S163" s="1">
        <v>1</v>
      </c>
      <c r="T163" s="1">
        <v>0</v>
      </c>
      <c r="U163" s="1">
        <v>0</v>
      </c>
      <c r="V163" s="1">
        <v>0</v>
      </c>
      <c r="W163" s="1">
        <v>2026</v>
      </c>
      <c r="X163" s="1">
        <v>34</v>
      </c>
      <c r="Y163" s="1">
        <v>8</v>
      </c>
      <c r="Z163" s="1">
        <v>17</v>
      </c>
      <c r="AB163" s="1">
        <f t="shared" si="2"/>
        <v>9</v>
      </c>
    </row>
    <row r="164" spans="1:28" x14ac:dyDescent="0.35">
      <c r="A164" s="1">
        <v>1580716</v>
      </c>
      <c r="B164" s="1" t="s">
        <v>132</v>
      </c>
      <c r="C164" s="1" t="s">
        <v>428</v>
      </c>
      <c r="D164" s="1" t="s">
        <v>134</v>
      </c>
      <c r="E164" s="2">
        <v>46262</v>
      </c>
      <c r="F164" s="1" t="s">
        <v>139</v>
      </c>
      <c r="G164" s="1" t="s">
        <v>595</v>
      </c>
      <c r="H164" s="1">
        <v>1351</v>
      </c>
      <c r="I164" s="1" t="s">
        <v>596</v>
      </c>
      <c r="J164" s="1">
        <v>53</v>
      </c>
      <c r="K164" s="1" t="s">
        <v>251</v>
      </c>
      <c r="L164" s="1" t="s">
        <v>435</v>
      </c>
      <c r="M164" s="2">
        <v>46269</v>
      </c>
      <c r="N164" s="1" t="s">
        <v>9</v>
      </c>
      <c r="O164" s="1" t="s">
        <v>137</v>
      </c>
      <c r="P164" s="1" t="s">
        <v>137</v>
      </c>
      <c r="Q164" s="2"/>
      <c r="S164" s="1">
        <v>1</v>
      </c>
      <c r="T164" s="1">
        <v>0</v>
      </c>
      <c r="U164" s="1">
        <v>0</v>
      </c>
      <c r="V164" s="1">
        <v>0</v>
      </c>
      <c r="W164" s="1">
        <v>2026</v>
      </c>
      <c r="X164" s="1">
        <v>35</v>
      </c>
      <c r="Y164" s="1">
        <v>8</v>
      </c>
      <c r="Z164" s="1">
        <v>28</v>
      </c>
      <c r="AB164" s="1">
        <f t="shared" si="2"/>
        <v>9</v>
      </c>
    </row>
    <row r="165" spans="1:28" x14ac:dyDescent="0.35">
      <c r="A165" s="1">
        <v>1595968</v>
      </c>
      <c r="B165" s="1" t="s">
        <v>132</v>
      </c>
      <c r="C165" s="1" t="s">
        <v>428</v>
      </c>
      <c r="D165" s="1" t="s">
        <v>134</v>
      </c>
      <c r="E165" s="2">
        <v>46262</v>
      </c>
      <c r="F165" s="1" t="s">
        <v>139</v>
      </c>
      <c r="G165" s="1" t="s">
        <v>227</v>
      </c>
      <c r="H165" s="1">
        <v>428</v>
      </c>
      <c r="I165" s="1" t="s">
        <v>601</v>
      </c>
      <c r="J165" s="1">
        <v>38</v>
      </c>
      <c r="K165" s="1" t="s">
        <v>170</v>
      </c>
      <c r="L165" s="1" t="s">
        <v>435</v>
      </c>
      <c r="M165" s="2">
        <v>46269</v>
      </c>
      <c r="N165" s="1" t="s">
        <v>3</v>
      </c>
      <c r="O165" s="1" t="s">
        <v>136</v>
      </c>
      <c r="P165" s="1" t="s">
        <v>137</v>
      </c>
      <c r="Q165" s="2"/>
      <c r="S165" s="1">
        <v>1</v>
      </c>
      <c r="T165" s="1">
        <v>0</v>
      </c>
      <c r="U165" s="1">
        <v>0</v>
      </c>
      <c r="V165" s="1">
        <v>1</v>
      </c>
      <c r="W165" s="1">
        <v>2026</v>
      </c>
      <c r="X165" s="1">
        <v>35</v>
      </c>
      <c r="Y165" s="1">
        <v>8</v>
      </c>
      <c r="Z165" s="1">
        <v>28</v>
      </c>
      <c r="AB165" s="1">
        <f t="shared" si="2"/>
        <v>9</v>
      </c>
    </row>
    <row r="166" spans="1:28" x14ac:dyDescent="0.35">
      <c r="A166" s="1">
        <v>1032928</v>
      </c>
      <c r="B166" s="1" t="s">
        <v>132</v>
      </c>
      <c r="C166" s="1" t="s">
        <v>428</v>
      </c>
      <c r="D166" s="1" t="s">
        <v>134</v>
      </c>
      <c r="E166" s="2">
        <v>46263</v>
      </c>
      <c r="F166" s="1" t="s">
        <v>139</v>
      </c>
      <c r="G166" s="1" t="s">
        <v>602</v>
      </c>
      <c r="H166" s="1">
        <v>1961</v>
      </c>
      <c r="I166" s="1" t="s">
        <v>551</v>
      </c>
      <c r="J166" s="1">
        <v>141</v>
      </c>
      <c r="K166" s="1" t="s">
        <v>361</v>
      </c>
      <c r="L166" s="1" t="s">
        <v>435</v>
      </c>
      <c r="M166" s="2">
        <v>46269</v>
      </c>
      <c r="N166" s="1" t="s">
        <v>9</v>
      </c>
      <c r="O166" s="1" t="s">
        <v>136</v>
      </c>
      <c r="P166" s="1" t="s">
        <v>137</v>
      </c>
      <c r="Q166" s="2"/>
      <c r="S166" s="1">
        <v>1</v>
      </c>
      <c r="T166" s="1">
        <v>0</v>
      </c>
      <c r="U166" s="1">
        <v>0</v>
      </c>
      <c r="V166" s="1">
        <v>1</v>
      </c>
      <c r="W166" s="1">
        <v>2026</v>
      </c>
      <c r="X166" s="1">
        <v>35</v>
      </c>
      <c r="Y166" s="1">
        <v>8</v>
      </c>
      <c r="Z166" s="1">
        <v>29</v>
      </c>
      <c r="AB166" s="1">
        <f t="shared" si="2"/>
        <v>9</v>
      </c>
    </row>
    <row r="167" spans="1:28" x14ac:dyDescent="0.35">
      <c r="A167" s="1">
        <v>1422289</v>
      </c>
      <c r="B167" s="1" t="s">
        <v>132</v>
      </c>
      <c r="C167" s="1" t="s">
        <v>428</v>
      </c>
      <c r="D167" s="1" t="s">
        <v>134</v>
      </c>
      <c r="E167" s="2">
        <v>46248</v>
      </c>
      <c r="F167" s="1" t="s">
        <v>139</v>
      </c>
      <c r="G167" s="1" t="s">
        <v>547</v>
      </c>
      <c r="H167" s="1">
        <v>2022</v>
      </c>
      <c r="I167" s="1" t="s">
        <v>548</v>
      </c>
      <c r="J167" s="1">
        <v>41</v>
      </c>
      <c r="K167" s="1" t="s">
        <v>181</v>
      </c>
      <c r="L167" s="1" t="s">
        <v>431</v>
      </c>
      <c r="M167" s="2">
        <v>46273</v>
      </c>
      <c r="N167" s="1" t="s">
        <v>3</v>
      </c>
      <c r="O167" s="1" t="s">
        <v>137</v>
      </c>
      <c r="P167" s="1" t="s">
        <v>137</v>
      </c>
      <c r="Q167" s="2"/>
      <c r="S167" s="1">
        <v>1</v>
      </c>
      <c r="T167" s="1">
        <v>0</v>
      </c>
      <c r="U167" s="1">
        <v>0</v>
      </c>
      <c r="V167" s="1">
        <v>0</v>
      </c>
      <c r="W167" s="1">
        <v>2026</v>
      </c>
      <c r="X167" s="1">
        <v>33</v>
      </c>
      <c r="Y167" s="1">
        <v>8</v>
      </c>
      <c r="Z167" s="1">
        <v>14</v>
      </c>
      <c r="AB167" s="1">
        <f t="shared" si="2"/>
        <v>9</v>
      </c>
    </row>
    <row r="168" spans="1:28" x14ac:dyDescent="0.35">
      <c r="A168" s="1">
        <v>1421556</v>
      </c>
      <c r="B168" s="1" t="s">
        <v>132</v>
      </c>
      <c r="C168" s="1" t="s">
        <v>428</v>
      </c>
      <c r="D168" s="1" t="s">
        <v>134</v>
      </c>
      <c r="E168" s="2">
        <v>46259</v>
      </c>
      <c r="F168" s="1" t="s">
        <v>139</v>
      </c>
      <c r="G168" s="1" t="s">
        <v>216</v>
      </c>
      <c r="H168" s="1">
        <v>328</v>
      </c>
      <c r="I168" s="1" t="s">
        <v>562</v>
      </c>
      <c r="J168" s="1">
        <v>101</v>
      </c>
      <c r="K168" s="1" t="s">
        <v>191</v>
      </c>
      <c r="L168" s="1" t="s">
        <v>31</v>
      </c>
      <c r="M168" s="2">
        <v>46273</v>
      </c>
      <c r="N168" s="1" t="s">
        <v>19</v>
      </c>
      <c r="O168" s="1" t="s">
        <v>136</v>
      </c>
      <c r="P168" s="1" t="s">
        <v>137</v>
      </c>
      <c r="Q168" s="2"/>
      <c r="S168" s="1">
        <v>1</v>
      </c>
      <c r="T168" s="1">
        <v>0</v>
      </c>
      <c r="U168" s="1">
        <v>0</v>
      </c>
      <c r="V168" s="1">
        <v>1</v>
      </c>
      <c r="W168" s="1">
        <v>2026</v>
      </c>
      <c r="X168" s="1">
        <v>35</v>
      </c>
      <c r="Y168" s="1">
        <v>8</v>
      </c>
      <c r="Z168" s="1">
        <v>25</v>
      </c>
      <c r="AB168" s="1">
        <f t="shared" si="2"/>
        <v>9</v>
      </c>
    </row>
    <row r="169" spans="1:28" x14ac:dyDescent="0.35">
      <c r="A169" s="1">
        <v>1452424</v>
      </c>
      <c r="B169" s="1" t="s">
        <v>132</v>
      </c>
      <c r="C169" s="1" t="s">
        <v>428</v>
      </c>
      <c r="D169" s="1" t="s">
        <v>134</v>
      </c>
      <c r="E169" s="2">
        <v>46263</v>
      </c>
      <c r="F169" s="1" t="s">
        <v>139</v>
      </c>
      <c r="G169" s="1" t="s">
        <v>190</v>
      </c>
      <c r="H169" s="1">
        <v>1568</v>
      </c>
      <c r="I169" s="1" t="s">
        <v>605</v>
      </c>
      <c r="J169" s="1">
        <v>7</v>
      </c>
      <c r="K169" s="1" t="s">
        <v>606</v>
      </c>
      <c r="L169" s="1" t="s">
        <v>607</v>
      </c>
      <c r="M169" s="2">
        <v>46273</v>
      </c>
      <c r="N169" s="1" t="s">
        <v>9</v>
      </c>
      <c r="O169" s="1" t="s">
        <v>137</v>
      </c>
      <c r="P169" s="1" t="s">
        <v>137</v>
      </c>
      <c r="Q169" s="2"/>
      <c r="S169" s="1">
        <v>1</v>
      </c>
      <c r="T169" s="1">
        <v>0</v>
      </c>
      <c r="U169" s="1">
        <v>0</v>
      </c>
      <c r="V169" s="1">
        <v>0</v>
      </c>
      <c r="W169" s="1">
        <v>2026</v>
      </c>
      <c r="X169" s="1">
        <v>35</v>
      </c>
      <c r="Y169" s="1">
        <v>8</v>
      </c>
      <c r="Z169" s="1">
        <v>29</v>
      </c>
      <c r="AB169" s="1">
        <f t="shared" si="2"/>
        <v>9</v>
      </c>
    </row>
    <row r="170" spans="1:28" x14ac:dyDescent="0.35">
      <c r="A170" s="1">
        <v>1435785</v>
      </c>
      <c r="B170" s="1" t="s">
        <v>132</v>
      </c>
      <c r="C170" s="1" t="s">
        <v>428</v>
      </c>
      <c r="D170" s="1" t="s">
        <v>134</v>
      </c>
      <c r="E170" s="2">
        <v>46255</v>
      </c>
      <c r="F170" s="1" t="s">
        <v>165</v>
      </c>
      <c r="G170" s="1" t="s">
        <v>575</v>
      </c>
      <c r="H170" s="1">
        <v>1234</v>
      </c>
      <c r="I170" s="1" t="s">
        <v>576</v>
      </c>
      <c r="J170" s="1">
        <v>39</v>
      </c>
      <c r="K170" s="1" t="s">
        <v>191</v>
      </c>
      <c r="L170" s="1" t="s">
        <v>577</v>
      </c>
      <c r="M170" s="2">
        <v>46275</v>
      </c>
      <c r="N170" s="1" t="s">
        <v>24</v>
      </c>
      <c r="O170" s="1" t="s">
        <v>136</v>
      </c>
      <c r="P170" s="1" t="s">
        <v>137</v>
      </c>
      <c r="Q170" s="2"/>
      <c r="S170" s="1">
        <v>1</v>
      </c>
      <c r="T170" s="1">
        <v>0</v>
      </c>
      <c r="U170" s="1">
        <v>0</v>
      </c>
      <c r="V170" s="1">
        <v>1</v>
      </c>
      <c r="W170" s="1">
        <v>2026</v>
      </c>
      <c r="X170" s="1">
        <v>34</v>
      </c>
      <c r="Y170" s="1">
        <v>8</v>
      </c>
      <c r="Z170" s="1">
        <v>21</v>
      </c>
      <c r="AB170" s="1">
        <f t="shared" si="2"/>
        <v>9</v>
      </c>
    </row>
    <row r="171" spans="1:28" x14ac:dyDescent="0.35">
      <c r="A171" s="1">
        <v>1117035</v>
      </c>
      <c r="B171" s="1" t="s">
        <v>132</v>
      </c>
      <c r="C171" s="1" t="s">
        <v>428</v>
      </c>
      <c r="D171" s="1" t="s">
        <v>134</v>
      </c>
      <c r="E171" s="2">
        <v>46258</v>
      </c>
      <c r="F171" s="1" t="s">
        <v>135</v>
      </c>
      <c r="G171" s="1" t="s">
        <v>403</v>
      </c>
      <c r="H171" s="1">
        <v>498</v>
      </c>
      <c r="I171" s="1" t="s">
        <v>588</v>
      </c>
      <c r="J171" s="1">
        <v>123</v>
      </c>
      <c r="K171" s="1" t="s">
        <v>418</v>
      </c>
      <c r="L171" s="1" t="s">
        <v>589</v>
      </c>
      <c r="M171" s="2">
        <v>46275</v>
      </c>
      <c r="N171" s="1" t="s">
        <v>21</v>
      </c>
      <c r="O171" s="1" t="s">
        <v>137</v>
      </c>
      <c r="P171" s="1" t="s">
        <v>137</v>
      </c>
      <c r="Q171" s="2"/>
      <c r="S171" s="1">
        <v>1</v>
      </c>
      <c r="T171" s="1">
        <v>0</v>
      </c>
      <c r="U171" s="1">
        <v>0</v>
      </c>
      <c r="V171" s="1">
        <v>0</v>
      </c>
      <c r="W171" s="1">
        <v>2026</v>
      </c>
      <c r="X171" s="1">
        <v>35</v>
      </c>
      <c r="Y171" s="1">
        <v>8</v>
      </c>
      <c r="Z171" s="1">
        <v>24</v>
      </c>
      <c r="AB171" s="1">
        <f t="shared" si="2"/>
        <v>9</v>
      </c>
    </row>
    <row r="172" spans="1:28" x14ac:dyDescent="0.35">
      <c r="A172" s="1">
        <v>1426389</v>
      </c>
      <c r="B172" s="1" t="s">
        <v>132</v>
      </c>
      <c r="C172" s="1" t="s">
        <v>428</v>
      </c>
      <c r="D172" s="1" t="s">
        <v>134</v>
      </c>
      <c r="E172" s="2">
        <v>46261</v>
      </c>
      <c r="F172" s="1" t="s">
        <v>135</v>
      </c>
      <c r="G172" s="1" t="s">
        <v>198</v>
      </c>
      <c r="H172" s="1">
        <v>719</v>
      </c>
      <c r="I172" s="1" t="s">
        <v>591</v>
      </c>
      <c r="J172" s="1">
        <v>136</v>
      </c>
      <c r="K172" s="1" t="s">
        <v>142</v>
      </c>
      <c r="L172" s="1" t="s">
        <v>348</v>
      </c>
      <c r="M172" s="2">
        <v>46275</v>
      </c>
      <c r="N172" s="1" t="s">
        <v>24</v>
      </c>
      <c r="O172" s="1" t="s">
        <v>145</v>
      </c>
      <c r="P172" s="1" t="s">
        <v>137</v>
      </c>
      <c r="Q172" s="2">
        <v>46275</v>
      </c>
      <c r="R172" s="1" t="s">
        <v>137</v>
      </c>
      <c r="S172" s="1">
        <v>1</v>
      </c>
      <c r="T172" s="1">
        <v>0</v>
      </c>
      <c r="U172" s="1">
        <v>1</v>
      </c>
      <c r="V172" s="1">
        <v>0</v>
      </c>
      <c r="W172" s="1">
        <v>2026</v>
      </c>
      <c r="X172" s="1">
        <v>35</v>
      </c>
      <c r="Y172" s="1">
        <v>8</v>
      </c>
      <c r="Z172" s="1">
        <v>27</v>
      </c>
      <c r="AB172" s="1">
        <f t="shared" si="2"/>
        <v>9</v>
      </c>
    </row>
    <row r="173" spans="1:28" x14ac:dyDescent="0.35">
      <c r="A173" s="1">
        <v>1593497</v>
      </c>
      <c r="B173" s="1" t="s">
        <v>132</v>
      </c>
      <c r="C173" s="1" t="s">
        <v>428</v>
      </c>
      <c r="D173" s="1" t="s">
        <v>134</v>
      </c>
      <c r="E173" s="2">
        <v>46262</v>
      </c>
      <c r="F173" s="1" t="s">
        <v>135</v>
      </c>
      <c r="G173" s="1" t="s">
        <v>368</v>
      </c>
      <c r="H173" s="1">
        <v>1003</v>
      </c>
      <c r="I173" s="1" t="s">
        <v>600</v>
      </c>
      <c r="J173" s="1">
        <v>144</v>
      </c>
      <c r="K173" s="1" t="s">
        <v>181</v>
      </c>
      <c r="L173" s="1" t="s">
        <v>348</v>
      </c>
      <c r="M173" s="2">
        <v>46275</v>
      </c>
      <c r="N173" s="1" t="s">
        <v>5</v>
      </c>
      <c r="O173" s="1" t="s">
        <v>145</v>
      </c>
      <c r="P173" s="1" t="s">
        <v>137</v>
      </c>
      <c r="Q173" s="2">
        <v>46276</v>
      </c>
      <c r="R173" s="1" t="s">
        <v>124</v>
      </c>
      <c r="S173" s="1">
        <v>1</v>
      </c>
      <c r="T173" s="1">
        <v>0</v>
      </c>
      <c r="U173" s="1">
        <v>1</v>
      </c>
      <c r="V173" s="1">
        <v>0</v>
      </c>
      <c r="W173" s="1">
        <v>2026</v>
      </c>
      <c r="X173" s="1">
        <v>35</v>
      </c>
      <c r="Y173" s="1">
        <v>8</v>
      </c>
      <c r="Z173" s="1">
        <v>28</v>
      </c>
      <c r="AB173" s="1">
        <f t="shared" si="2"/>
        <v>9</v>
      </c>
    </row>
    <row r="174" spans="1:28" x14ac:dyDescent="0.35">
      <c r="A174" s="1">
        <v>1421373</v>
      </c>
      <c r="B174" s="1" t="s">
        <v>132</v>
      </c>
      <c r="C174" s="1" t="s">
        <v>428</v>
      </c>
      <c r="D174" s="1" t="s">
        <v>134</v>
      </c>
      <c r="E174" s="2">
        <v>46251</v>
      </c>
      <c r="F174" s="1" t="s">
        <v>139</v>
      </c>
      <c r="G174" s="1" t="s">
        <v>554</v>
      </c>
      <c r="H174" s="1">
        <v>1025</v>
      </c>
      <c r="I174" s="1" t="s">
        <v>555</v>
      </c>
      <c r="J174" s="1">
        <v>104</v>
      </c>
      <c r="K174" s="1" t="s">
        <v>394</v>
      </c>
      <c r="M174" s="2">
        <v>46276</v>
      </c>
      <c r="N174" s="1" t="s">
        <v>5</v>
      </c>
      <c r="O174" s="1" t="s">
        <v>137</v>
      </c>
      <c r="P174" s="1" t="s">
        <v>137</v>
      </c>
      <c r="Q174" s="2"/>
      <c r="S174" s="1">
        <v>1</v>
      </c>
      <c r="T174" s="1">
        <v>0</v>
      </c>
      <c r="U174" s="1">
        <v>0</v>
      </c>
      <c r="V174" s="1">
        <v>0</v>
      </c>
      <c r="W174" s="1">
        <v>2026</v>
      </c>
      <c r="X174" s="1">
        <v>34</v>
      </c>
      <c r="Y174" s="1">
        <v>8</v>
      </c>
      <c r="Z174" s="1">
        <v>17</v>
      </c>
      <c r="AB174" s="1">
        <f t="shared" si="2"/>
        <v>9</v>
      </c>
    </row>
    <row r="175" spans="1:28" x14ac:dyDescent="0.35">
      <c r="A175" s="1">
        <v>716518</v>
      </c>
      <c r="B175" s="1" t="s">
        <v>132</v>
      </c>
      <c r="C175" s="1" t="s">
        <v>428</v>
      </c>
      <c r="D175" s="1" t="s">
        <v>134</v>
      </c>
      <c r="E175" s="2">
        <v>46255</v>
      </c>
      <c r="F175" s="1" t="s">
        <v>153</v>
      </c>
      <c r="G175" s="1" t="s">
        <v>569</v>
      </c>
      <c r="H175" s="1">
        <v>747</v>
      </c>
      <c r="I175" s="1" t="s">
        <v>570</v>
      </c>
      <c r="J175" s="1">
        <v>61</v>
      </c>
      <c r="K175" s="1" t="s">
        <v>251</v>
      </c>
      <c r="M175" s="2">
        <v>46276</v>
      </c>
      <c r="N175" s="1" t="s">
        <v>24</v>
      </c>
      <c r="O175" s="1" t="s">
        <v>136</v>
      </c>
      <c r="P175" s="1" t="s">
        <v>137</v>
      </c>
      <c r="Q175" s="2"/>
      <c r="S175" s="1">
        <v>1</v>
      </c>
      <c r="T175" s="1">
        <v>0</v>
      </c>
      <c r="U175" s="1">
        <v>0</v>
      </c>
      <c r="V175" s="1">
        <v>1</v>
      </c>
      <c r="W175" s="1">
        <v>2026</v>
      </c>
      <c r="X175" s="1">
        <v>34</v>
      </c>
      <c r="Y175" s="1">
        <v>8</v>
      </c>
      <c r="Z175" s="1">
        <v>21</v>
      </c>
      <c r="AB175" s="1">
        <f t="shared" si="2"/>
        <v>9</v>
      </c>
    </row>
    <row r="176" spans="1:28" x14ac:dyDescent="0.35">
      <c r="A176" s="1">
        <v>1452066</v>
      </c>
      <c r="B176" s="1" t="s">
        <v>132</v>
      </c>
      <c r="C176" s="1" t="s">
        <v>428</v>
      </c>
      <c r="D176" s="1" t="s">
        <v>134</v>
      </c>
      <c r="E176" s="2">
        <v>46255</v>
      </c>
      <c r="F176" s="1" t="s">
        <v>153</v>
      </c>
      <c r="G176" s="1" t="s">
        <v>571</v>
      </c>
      <c r="H176" s="1">
        <v>1346</v>
      </c>
      <c r="I176" s="1" t="s">
        <v>572</v>
      </c>
      <c r="J176" s="1">
        <v>107</v>
      </c>
      <c r="K176" s="1" t="s">
        <v>573</v>
      </c>
      <c r="L176" s="1" t="s">
        <v>574</v>
      </c>
      <c r="M176" s="2">
        <v>46276</v>
      </c>
      <c r="N176" s="1" t="s">
        <v>24</v>
      </c>
      <c r="O176" s="1" t="s">
        <v>137</v>
      </c>
      <c r="P176" s="1" t="s">
        <v>137</v>
      </c>
      <c r="Q176" s="2"/>
      <c r="S176" s="1">
        <v>1</v>
      </c>
      <c r="T176" s="1">
        <v>0</v>
      </c>
      <c r="U176" s="1">
        <v>0</v>
      </c>
      <c r="V176" s="1">
        <v>0</v>
      </c>
      <c r="W176" s="1">
        <v>2026</v>
      </c>
      <c r="X176" s="1">
        <v>34</v>
      </c>
      <c r="Y176" s="1">
        <v>8</v>
      </c>
      <c r="Z176" s="1">
        <v>21</v>
      </c>
      <c r="AB176" s="1">
        <f t="shared" si="2"/>
        <v>9</v>
      </c>
    </row>
    <row r="177" spans="1:28" x14ac:dyDescent="0.35">
      <c r="A177" s="1">
        <v>1597083</v>
      </c>
      <c r="B177" s="1" t="s">
        <v>132</v>
      </c>
      <c r="C177" s="1" t="s">
        <v>428</v>
      </c>
      <c r="D177" s="1" t="s">
        <v>134</v>
      </c>
      <c r="E177" s="2">
        <v>46258</v>
      </c>
      <c r="F177" s="1" t="s">
        <v>135</v>
      </c>
      <c r="G177" s="1" t="s">
        <v>584</v>
      </c>
      <c r="H177" s="1">
        <v>930</v>
      </c>
      <c r="I177" s="1" t="s">
        <v>585</v>
      </c>
      <c r="K177" s="1" t="s">
        <v>586</v>
      </c>
      <c r="L177" s="1" t="s">
        <v>587</v>
      </c>
      <c r="M177" s="2">
        <v>46276</v>
      </c>
      <c r="N177" s="1" t="s">
        <v>5</v>
      </c>
      <c r="O177" s="1" t="s">
        <v>137</v>
      </c>
      <c r="P177" s="1" t="s">
        <v>137</v>
      </c>
      <c r="Q177" s="2"/>
      <c r="S177" s="1">
        <v>1</v>
      </c>
      <c r="T177" s="1">
        <v>0</v>
      </c>
      <c r="U177" s="1">
        <v>0</v>
      </c>
      <c r="V177" s="1">
        <v>0</v>
      </c>
      <c r="W177" s="1">
        <v>2026</v>
      </c>
      <c r="X177" s="1">
        <v>35</v>
      </c>
      <c r="Y177" s="1">
        <v>8</v>
      </c>
      <c r="Z177" s="1">
        <v>24</v>
      </c>
      <c r="AB177" s="1">
        <f t="shared" si="2"/>
        <v>9</v>
      </c>
    </row>
    <row r="178" spans="1:28" x14ac:dyDescent="0.35">
      <c r="A178" s="1">
        <v>626704</v>
      </c>
      <c r="B178" s="1" t="s">
        <v>132</v>
      </c>
      <c r="C178" s="1" t="s">
        <v>428</v>
      </c>
      <c r="D178" s="1" t="s">
        <v>134</v>
      </c>
      <c r="E178" s="2">
        <v>46258</v>
      </c>
      <c r="F178" s="1" t="s">
        <v>153</v>
      </c>
      <c r="G178" s="1" t="s">
        <v>363</v>
      </c>
      <c r="H178" s="1">
        <v>620</v>
      </c>
      <c r="I178" s="1" t="s">
        <v>570</v>
      </c>
      <c r="J178" s="1">
        <v>63</v>
      </c>
      <c r="K178" s="1" t="s">
        <v>167</v>
      </c>
      <c r="L178" s="1" t="s">
        <v>348</v>
      </c>
      <c r="M178" s="2">
        <v>46276</v>
      </c>
      <c r="N178" s="1" t="s">
        <v>24</v>
      </c>
      <c r="O178" s="1" t="s">
        <v>137</v>
      </c>
      <c r="P178" s="1" t="s">
        <v>137</v>
      </c>
      <c r="Q178" s="2"/>
      <c r="S178" s="1">
        <v>1</v>
      </c>
      <c r="T178" s="1">
        <v>0</v>
      </c>
      <c r="U178" s="1">
        <v>0</v>
      </c>
      <c r="V178" s="1">
        <v>0</v>
      </c>
      <c r="W178" s="1">
        <v>2026</v>
      </c>
      <c r="X178" s="1">
        <v>35</v>
      </c>
      <c r="Y178" s="1">
        <v>8</v>
      </c>
      <c r="Z178" s="1">
        <v>24</v>
      </c>
      <c r="AB178" s="1">
        <f t="shared" si="2"/>
        <v>9</v>
      </c>
    </row>
    <row r="179" spans="1:28" x14ac:dyDescent="0.35">
      <c r="A179" s="1">
        <v>1594286</v>
      </c>
      <c r="B179" s="1" t="s">
        <v>132</v>
      </c>
      <c r="C179" s="1" t="s">
        <v>428</v>
      </c>
      <c r="D179" s="1" t="s">
        <v>134</v>
      </c>
      <c r="E179" s="2">
        <v>46260</v>
      </c>
      <c r="F179" s="1" t="s">
        <v>155</v>
      </c>
      <c r="G179" s="1" t="s">
        <v>172</v>
      </c>
      <c r="H179" s="1">
        <v>52</v>
      </c>
      <c r="I179" s="1" t="s">
        <v>590</v>
      </c>
      <c r="J179" s="1">
        <v>25</v>
      </c>
      <c r="K179" s="1" t="s">
        <v>251</v>
      </c>
      <c r="L179" s="1" t="s">
        <v>433</v>
      </c>
      <c r="M179" s="2">
        <v>46276</v>
      </c>
      <c r="N179" s="1" t="s">
        <v>5</v>
      </c>
      <c r="O179" s="1" t="s">
        <v>136</v>
      </c>
      <c r="P179" s="1" t="s">
        <v>137</v>
      </c>
      <c r="Q179" s="2"/>
      <c r="S179" s="1">
        <v>1</v>
      </c>
      <c r="T179" s="1">
        <v>0</v>
      </c>
      <c r="U179" s="1">
        <v>0</v>
      </c>
      <c r="V179" s="1">
        <v>1</v>
      </c>
      <c r="W179" s="1">
        <v>2026</v>
      </c>
      <c r="X179" s="1">
        <v>35</v>
      </c>
      <c r="Y179" s="1">
        <v>8</v>
      </c>
      <c r="Z179" s="1">
        <v>26</v>
      </c>
      <c r="AB179" s="1">
        <f t="shared" si="2"/>
        <v>9</v>
      </c>
    </row>
    <row r="180" spans="1:28" x14ac:dyDescent="0.35">
      <c r="A180" s="1">
        <v>1574584</v>
      </c>
      <c r="B180" s="1" t="s">
        <v>132</v>
      </c>
      <c r="C180" s="1" t="s">
        <v>428</v>
      </c>
      <c r="D180" s="1" t="s">
        <v>134</v>
      </c>
      <c r="E180" s="2">
        <v>46262</v>
      </c>
      <c r="F180" s="1" t="s">
        <v>149</v>
      </c>
      <c r="G180" s="1" t="s">
        <v>597</v>
      </c>
      <c r="H180" s="1">
        <v>386</v>
      </c>
      <c r="I180" s="1" t="s">
        <v>598</v>
      </c>
      <c r="J180" s="1">
        <v>107</v>
      </c>
      <c r="K180" s="1" t="s">
        <v>558</v>
      </c>
      <c r="L180" s="1" t="s">
        <v>599</v>
      </c>
      <c r="M180" s="2">
        <v>46276</v>
      </c>
      <c r="N180" s="1" t="s">
        <v>5</v>
      </c>
      <c r="O180" s="1" t="s">
        <v>137</v>
      </c>
      <c r="P180" s="1" t="s">
        <v>137</v>
      </c>
      <c r="Q180" s="2"/>
      <c r="S180" s="1">
        <v>1</v>
      </c>
      <c r="T180" s="1">
        <v>0</v>
      </c>
      <c r="U180" s="1">
        <v>0</v>
      </c>
      <c r="V180" s="1">
        <v>0</v>
      </c>
      <c r="W180" s="1">
        <v>2026</v>
      </c>
      <c r="X180" s="1">
        <v>35</v>
      </c>
      <c r="Y180" s="1">
        <v>8</v>
      </c>
      <c r="Z180" s="1">
        <v>28</v>
      </c>
      <c r="AB180" s="1">
        <f t="shared" si="2"/>
        <v>9</v>
      </c>
    </row>
    <row r="181" spans="1:28" x14ac:dyDescent="0.35">
      <c r="A181" s="1">
        <v>1544321</v>
      </c>
      <c r="B181" s="1" t="s">
        <v>132</v>
      </c>
      <c r="C181" s="1" t="s">
        <v>428</v>
      </c>
      <c r="D181" s="1" t="s">
        <v>134</v>
      </c>
      <c r="E181" s="2">
        <v>46263</v>
      </c>
      <c r="F181" s="1" t="s">
        <v>149</v>
      </c>
      <c r="G181" s="1" t="s">
        <v>603</v>
      </c>
      <c r="H181" s="1">
        <v>81</v>
      </c>
      <c r="I181" s="1" t="s">
        <v>604</v>
      </c>
      <c r="J181" s="1">
        <v>37</v>
      </c>
      <c r="K181" s="1" t="s">
        <v>251</v>
      </c>
      <c r="L181" s="1" t="s">
        <v>31</v>
      </c>
      <c r="M181" s="2">
        <v>46276</v>
      </c>
      <c r="N181" s="1" t="s">
        <v>5</v>
      </c>
      <c r="O181" s="1" t="s">
        <v>137</v>
      </c>
      <c r="P181" s="1" t="s">
        <v>137</v>
      </c>
      <c r="Q181" s="2"/>
      <c r="S181" s="1">
        <v>1</v>
      </c>
      <c r="T181" s="1">
        <v>0</v>
      </c>
      <c r="U181" s="1">
        <v>0</v>
      </c>
      <c r="V181" s="1">
        <v>0</v>
      </c>
      <c r="W181" s="1">
        <v>2026</v>
      </c>
      <c r="X181" s="1">
        <v>35</v>
      </c>
      <c r="Y181" s="1">
        <v>8</v>
      </c>
      <c r="Z181" s="1">
        <v>29</v>
      </c>
      <c r="AB181" s="1">
        <f t="shared" si="2"/>
        <v>9</v>
      </c>
    </row>
    <row r="182" spans="1:28" x14ac:dyDescent="0.35">
      <c r="A182" s="1">
        <v>1156015</v>
      </c>
      <c r="B182" s="1" t="s">
        <v>132</v>
      </c>
      <c r="C182" s="1" t="s">
        <v>428</v>
      </c>
      <c r="D182" s="1" t="s">
        <v>134</v>
      </c>
      <c r="E182" s="2">
        <v>46263</v>
      </c>
      <c r="F182" s="1" t="s">
        <v>155</v>
      </c>
      <c r="G182" s="1" t="s">
        <v>608</v>
      </c>
      <c r="H182" s="1">
        <v>232</v>
      </c>
      <c r="I182" s="1" t="s">
        <v>609</v>
      </c>
      <c r="J182" s="1">
        <v>109</v>
      </c>
      <c r="K182" s="1" t="s">
        <v>167</v>
      </c>
      <c r="L182" s="1" t="s">
        <v>432</v>
      </c>
      <c r="M182" s="2">
        <v>46276</v>
      </c>
      <c r="N182" s="1" t="s">
        <v>5</v>
      </c>
      <c r="O182" s="1" t="s">
        <v>137</v>
      </c>
      <c r="P182" s="1" t="s">
        <v>137</v>
      </c>
      <c r="Q182" s="2"/>
      <c r="S182" s="1">
        <v>1</v>
      </c>
      <c r="T182" s="1">
        <v>0</v>
      </c>
      <c r="U182" s="1">
        <v>0</v>
      </c>
      <c r="V182" s="1">
        <v>0</v>
      </c>
      <c r="W182" s="1">
        <v>2026</v>
      </c>
      <c r="X182" s="1">
        <v>35</v>
      </c>
      <c r="Y182" s="1">
        <v>8</v>
      </c>
      <c r="Z182" s="1">
        <v>29</v>
      </c>
      <c r="AB182" s="1">
        <f t="shared" si="2"/>
        <v>9</v>
      </c>
    </row>
    <row r="183" spans="1:28" x14ac:dyDescent="0.35">
      <c r="A183" s="1">
        <v>1564781</v>
      </c>
      <c r="B183" s="1" t="s">
        <v>132</v>
      </c>
      <c r="C183" s="1" t="s">
        <v>428</v>
      </c>
      <c r="D183" s="1" t="s">
        <v>134</v>
      </c>
      <c r="E183" s="2">
        <v>46248</v>
      </c>
      <c r="F183" s="1" t="s">
        <v>161</v>
      </c>
      <c r="G183" s="1" t="s">
        <v>370</v>
      </c>
      <c r="H183" s="1">
        <v>1105</v>
      </c>
      <c r="I183" s="1" t="s">
        <v>549</v>
      </c>
      <c r="J183" s="1">
        <v>137</v>
      </c>
      <c r="K183" s="1" t="s">
        <v>229</v>
      </c>
      <c r="L183" s="1" t="s">
        <v>392</v>
      </c>
      <c r="M183" s="2">
        <v>46279</v>
      </c>
      <c r="N183" s="1" t="s">
        <v>5</v>
      </c>
      <c r="O183" s="1" t="s">
        <v>136</v>
      </c>
      <c r="P183" s="1" t="s">
        <v>137</v>
      </c>
      <c r="Q183" s="2"/>
      <c r="S183" s="1">
        <v>1</v>
      </c>
      <c r="T183" s="1">
        <v>0</v>
      </c>
      <c r="U183" s="1">
        <v>0</v>
      </c>
      <c r="V183" s="1">
        <v>1</v>
      </c>
      <c r="W183" s="1">
        <v>2026</v>
      </c>
      <c r="X183" s="1">
        <v>33</v>
      </c>
      <c r="Y183" s="1">
        <v>8</v>
      </c>
      <c r="Z183" s="1">
        <v>14</v>
      </c>
      <c r="AB183" s="1">
        <f t="shared" si="2"/>
        <v>9</v>
      </c>
    </row>
    <row r="184" spans="1:28" x14ac:dyDescent="0.35">
      <c r="A184" s="1">
        <v>1591374</v>
      </c>
      <c r="B184" s="1" t="s">
        <v>132</v>
      </c>
      <c r="C184" s="1" t="s">
        <v>428</v>
      </c>
      <c r="D184" s="1" t="s">
        <v>134</v>
      </c>
      <c r="E184" s="2">
        <v>46251</v>
      </c>
      <c r="F184" s="1" t="s">
        <v>161</v>
      </c>
      <c r="G184" s="1" t="s">
        <v>553</v>
      </c>
      <c r="H184" s="1">
        <v>58</v>
      </c>
      <c r="I184" s="1" t="s">
        <v>549</v>
      </c>
      <c r="J184" s="1">
        <v>51</v>
      </c>
      <c r="K184" s="1" t="s">
        <v>251</v>
      </c>
      <c r="M184" s="2">
        <v>46279</v>
      </c>
      <c r="N184" s="1" t="s">
        <v>5</v>
      </c>
      <c r="O184" s="1" t="s">
        <v>137</v>
      </c>
      <c r="P184" s="1" t="s">
        <v>137</v>
      </c>
      <c r="Q184" s="2"/>
      <c r="S184" s="1">
        <v>1</v>
      </c>
      <c r="T184" s="1">
        <v>0</v>
      </c>
      <c r="U184" s="1">
        <v>0</v>
      </c>
      <c r="V184" s="1">
        <v>0</v>
      </c>
      <c r="W184" s="1">
        <v>2026</v>
      </c>
      <c r="X184" s="1">
        <v>34</v>
      </c>
      <c r="Y184" s="1">
        <v>8</v>
      </c>
      <c r="Z184" s="1">
        <v>17</v>
      </c>
      <c r="AB184" s="1">
        <f t="shared" si="2"/>
        <v>9</v>
      </c>
    </row>
    <row r="185" spans="1:28" x14ac:dyDescent="0.35">
      <c r="A185" s="1">
        <v>1589058</v>
      </c>
      <c r="B185" s="1" t="s">
        <v>132</v>
      </c>
      <c r="C185" s="1" t="s">
        <v>428</v>
      </c>
      <c r="D185" s="1" t="s">
        <v>134</v>
      </c>
      <c r="E185" s="2">
        <v>46251</v>
      </c>
      <c r="F185" s="1" t="s">
        <v>146</v>
      </c>
      <c r="G185" s="1" t="s">
        <v>556</v>
      </c>
      <c r="H185" s="1">
        <v>927</v>
      </c>
      <c r="I185" s="1" t="s">
        <v>557</v>
      </c>
      <c r="J185" s="1">
        <v>17</v>
      </c>
      <c r="K185" s="1" t="s">
        <v>558</v>
      </c>
      <c r="L185" s="1" t="s">
        <v>546</v>
      </c>
      <c r="M185" s="2">
        <v>46279</v>
      </c>
      <c r="N185" s="1" t="s">
        <v>5</v>
      </c>
      <c r="O185" s="1" t="s">
        <v>145</v>
      </c>
      <c r="P185" s="1" t="s">
        <v>137</v>
      </c>
      <c r="Q185" s="2">
        <v>46282</v>
      </c>
      <c r="R185" s="1" t="s">
        <v>137</v>
      </c>
      <c r="S185" s="1">
        <v>1</v>
      </c>
      <c r="T185" s="1">
        <v>0</v>
      </c>
      <c r="U185" s="1">
        <v>1</v>
      </c>
      <c r="V185" s="1">
        <v>0</v>
      </c>
      <c r="W185" s="1">
        <v>2026</v>
      </c>
      <c r="X185" s="1">
        <v>34</v>
      </c>
      <c r="Y185" s="1">
        <v>8</v>
      </c>
      <c r="Z185" s="1">
        <v>17</v>
      </c>
      <c r="AB185" s="1">
        <f t="shared" si="2"/>
        <v>9</v>
      </c>
    </row>
    <row r="186" spans="1:28" x14ac:dyDescent="0.35">
      <c r="A186" s="1">
        <v>1534344</v>
      </c>
      <c r="B186" s="1" t="s">
        <v>132</v>
      </c>
      <c r="C186" s="1" t="s">
        <v>428</v>
      </c>
      <c r="D186" s="1" t="s">
        <v>134</v>
      </c>
      <c r="E186" s="2">
        <v>46255</v>
      </c>
      <c r="F186" s="1" t="s">
        <v>161</v>
      </c>
      <c r="G186" s="1" t="s">
        <v>578</v>
      </c>
      <c r="H186" s="1">
        <v>695</v>
      </c>
      <c r="I186" s="1" t="s">
        <v>579</v>
      </c>
      <c r="J186" s="1">
        <v>83</v>
      </c>
      <c r="K186" s="1" t="s">
        <v>568</v>
      </c>
      <c r="L186" s="1" t="s">
        <v>580</v>
      </c>
      <c r="M186" s="2">
        <v>46279</v>
      </c>
      <c r="N186" s="1" t="s">
        <v>5</v>
      </c>
      <c r="O186" s="1" t="s">
        <v>137</v>
      </c>
      <c r="P186" s="1" t="s">
        <v>137</v>
      </c>
      <c r="Q186" s="2"/>
      <c r="S186" s="1">
        <v>1</v>
      </c>
      <c r="T186" s="1">
        <v>0</v>
      </c>
      <c r="U186" s="1">
        <v>0</v>
      </c>
      <c r="V186" s="1">
        <v>0</v>
      </c>
      <c r="W186" s="1">
        <v>2026</v>
      </c>
      <c r="X186" s="1">
        <v>34</v>
      </c>
      <c r="Y186" s="1">
        <v>8</v>
      </c>
      <c r="Z186" s="1">
        <v>21</v>
      </c>
      <c r="AB186" s="1">
        <f t="shared" si="2"/>
        <v>9</v>
      </c>
    </row>
    <row r="187" spans="1:28" x14ac:dyDescent="0.35">
      <c r="A187" s="1">
        <v>1447498</v>
      </c>
      <c r="B187" s="1" t="s">
        <v>132</v>
      </c>
      <c r="C187" s="1" t="s">
        <v>428</v>
      </c>
      <c r="D187" s="1" t="s">
        <v>134</v>
      </c>
      <c r="E187" s="2">
        <v>46258</v>
      </c>
      <c r="F187" s="1" t="s">
        <v>161</v>
      </c>
      <c r="G187" s="1" t="s">
        <v>581</v>
      </c>
      <c r="H187" s="1">
        <v>159</v>
      </c>
      <c r="I187" s="1" t="s">
        <v>582</v>
      </c>
      <c r="J187" s="1">
        <v>93</v>
      </c>
      <c r="K187" s="1" t="s">
        <v>251</v>
      </c>
      <c r="L187" s="1" t="s">
        <v>583</v>
      </c>
      <c r="M187" s="2">
        <v>46280</v>
      </c>
      <c r="N187" s="1" t="s">
        <v>5</v>
      </c>
      <c r="O187" s="1" t="s">
        <v>137</v>
      </c>
      <c r="P187" s="1" t="s">
        <v>137</v>
      </c>
      <c r="Q187" s="2"/>
      <c r="S187" s="1">
        <v>1</v>
      </c>
      <c r="T187" s="1">
        <v>0</v>
      </c>
      <c r="U187" s="1">
        <v>0</v>
      </c>
      <c r="V187" s="1">
        <v>0</v>
      </c>
      <c r="W187" s="1">
        <v>2026</v>
      </c>
      <c r="X187" s="1">
        <v>35</v>
      </c>
      <c r="Y187" s="1">
        <v>8</v>
      </c>
      <c r="Z187" s="1">
        <v>24</v>
      </c>
      <c r="AB187" s="1">
        <f t="shared" si="2"/>
        <v>9</v>
      </c>
    </row>
    <row r="188" spans="1:28" x14ac:dyDescent="0.35">
      <c r="A188" s="1">
        <v>624973</v>
      </c>
      <c r="B188" s="1" t="s">
        <v>132</v>
      </c>
      <c r="C188" s="1" t="s">
        <v>428</v>
      </c>
      <c r="D188" s="1" t="s">
        <v>134</v>
      </c>
      <c r="E188" s="2">
        <v>46261</v>
      </c>
      <c r="F188" s="1" t="s">
        <v>153</v>
      </c>
      <c r="G188" s="1" t="s">
        <v>200</v>
      </c>
      <c r="H188" s="1">
        <v>213</v>
      </c>
      <c r="I188" s="1" t="s">
        <v>592</v>
      </c>
      <c r="J188" s="1">
        <v>109</v>
      </c>
      <c r="K188" s="1" t="s">
        <v>251</v>
      </c>
      <c r="L188" s="1" t="s">
        <v>348</v>
      </c>
      <c r="M188" s="2">
        <v>46280</v>
      </c>
      <c r="N188" s="1" t="s">
        <v>5</v>
      </c>
      <c r="O188" s="1" t="s">
        <v>137</v>
      </c>
      <c r="P188" s="1" t="s">
        <v>137</v>
      </c>
      <c r="Q188" s="2"/>
      <c r="S188" s="1">
        <v>1</v>
      </c>
      <c r="T188" s="1">
        <v>0</v>
      </c>
      <c r="U188" s="1">
        <v>0</v>
      </c>
      <c r="V188" s="1">
        <v>0</v>
      </c>
      <c r="W188" s="1">
        <v>2026</v>
      </c>
      <c r="X188" s="1">
        <v>35</v>
      </c>
      <c r="Y188" s="1">
        <v>8</v>
      </c>
      <c r="Z188" s="1">
        <v>27</v>
      </c>
      <c r="AB188" s="1">
        <f t="shared" si="2"/>
        <v>9</v>
      </c>
    </row>
    <row r="189" spans="1:28" x14ac:dyDescent="0.35">
      <c r="A189" s="1">
        <v>1426906</v>
      </c>
      <c r="B189" s="1" t="s">
        <v>132</v>
      </c>
      <c r="C189" s="1" t="s">
        <v>428</v>
      </c>
      <c r="D189" s="1" t="s">
        <v>134</v>
      </c>
      <c r="E189" s="2">
        <v>46274</v>
      </c>
      <c r="F189" s="1" t="s">
        <v>155</v>
      </c>
      <c r="G189" s="1" t="s">
        <v>406</v>
      </c>
      <c r="H189" s="1">
        <v>358</v>
      </c>
      <c r="I189" s="1" t="s">
        <v>364</v>
      </c>
      <c r="J189" s="1">
        <v>81</v>
      </c>
      <c r="K189" s="1" t="s">
        <v>606</v>
      </c>
      <c r="L189" s="1" t="s">
        <v>614</v>
      </c>
      <c r="M189" s="2">
        <v>46280</v>
      </c>
      <c r="N189" s="1" t="s">
        <v>5</v>
      </c>
      <c r="O189" s="1" t="s">
        <v>136</v>
      </c>
      <c r="P189" s="1" t="s">
        <v>137</v>
      </c>
      <c r="Q189" s="2"/>
      <c r="S189" s="1">
        <v>1</v>
      </c>
      <c r="T189" s="1">
        <v>0</v>
      </c>
      <c r="U189" s="1">
        <v>0</v>
      </c>
      <c r="V189" s="1">
        <v>1</v>
      </c>
      <c r="W189" s="1">
        <v>2026</v>
      </c>
      <c r="X189" s="1">
        <v>37</v>
      </c>
      <c r="Y189" s="1">
        <v>9</v>
      </c>
      <c r="Z189" s="1">
        <v>9</v>
      </c>
      <c r="AB189" s="1">
        <f t="shared" si="2"/>
        <v>9</v>
      </c>
    </row>
    <row r="190" spans="1:28" x14ac:dyDescent="0.35">
      <c r="A190" s="1">
        <v>1360783</v>
      </c>
      <c r="B190" s="1" t="s">
        <v>132</v>
      </c>
      <c r="C190" s="1" t="s">
        <v>428</v>
      </c>
      <c r="D190" s="1" t="s">
        <v>134</v>
      </c>
      <c r="E190" s="2">
        <v>46274</v>
      </c>
      <c r="F190" s="1" t="s">
        <v>153</v>
      </c>
      <c r="G190" s="1" t="s">
        <v>616</v>
      </c>
      <c r="H190" s="1">
        <v>158</v>
      </c>
      <c r="I190" s="1" t="s">
        <v>617</v>
      </c>
      <c r="J190" s="1">
        <v>29</v>
      </c>
      <c r="K190" s="1" t="s">
        <v>191</v>
      </c>
      <c r="M190" s="2">
        <v>46280</v>
      </c>
      <c r="N190" s="1" t="s">
        <v>5</v>
      </c>
      <c r="O190" s="1" t="s">
        <v>137</v>
      </c>
      <c r="P190" s="1" t="s">
        <v>137</v>
      </c>
      <c r="Q190" s="2"/>
      <c r="S190" s="1">
        <v>1</v>
      </c>
      <c r="T190" s="1">
        <v>0</v>
      </c>
      <c r="U190" s="1">
        <v>0</v>
      </c>
      <c r="V190" s="1">
        <v>0</v>
      </c>
      <c r="W190" s="1">
        <v>2026</v>
      </c>
      <c r="X190" s="1">
        <v>37</v>
      </c>
      <c r="Y190" s="1">
        <v>9</v>
      </c>
      <c r="Z190" s="1">
        <v>9</v>
      </c>
      <c r="AB190" s="1">
        <f t="shared" si="2"/>
        <v>9</v>
      </c>
    </row>
    <row r="191" spans="1:28" x14ac:dyDescent="0.35">
      <c r="A191" s="1">
        <v>1214171</v>
      </c>
      <c r="B191" s="1" t="s">
        <v>132</v>
      </c>
      <c r="C191" s="1" t="s">
        <v>428</v>
      </c>
      <c r="D191" s="1" t="s">
        <v>134</v>
      </c>
      <c r="E191" s="2">
        <v>46274</v>
      </c>
      <c r="F191" s="1" t="s">
        <v>153</v>
      </c>
      <c r="G191" s="1" t="s">
        <v>625</v>
      </c>
      <c r="H191" s="1">
        <v>125</v>
      </c>
      <c r="I191" s="1" t="s">
        <v>617</v>
      </c>
      <c r="J191" s="1">
        <v>29</v>
      </c>
      <c r="K191" s="1" t="s">
        <v>501</v>
      </c>
      <c r="L191" s="1" t="s">
        <v>626</v>
      </c>
      <c r="M191" s="2">
        <v>46280</v>
      </c>
      <c r="N191" s="1" t="s">
        <v>5</v>
      </c>
      <c r="O191" s="1" t="s">
        <v>137</v>
      </c>
      <c r="P191" s="1" t="s">
        <v>137</v>
      </c>
      <c r="Q191" s="2"/>
      <c r="S191" s="1">
        <v>1</v>
      </c>
      <c r="T191" s="1">
        <v>0</v>
      </c>
      <c r="U191" s="1">
        <v>0</v>
      </c>
      <c r="V191" s="1">
        <v>0</v>
      </c>
      <c r="W191" s="1">
        <v>2026</v>
      </c>
      <c r="X191" s="1">
        <v>37</v>
      </c>
      <c r="Y191" s="1">
        <v>9</v>
      </c>
      <c r="Z191" s="1">
        <v>9</v>
      </c>
      <c r="AB191" s="1">
        <f t="shared" si="2"/>
        <v>9</v>
      </c>
    </row>
    <row r="192" spans="1:28" x14ac:dyDescent="0.35">
      <c r="A192" s="1">
        <v>1426560</v>
      </c>
      <c r="B192" s="1" t="s">
        <v>132</v>
      </c>
      <c r="C192" s="1" t="s">
        <v>428</v>
      </c>
      <c r="D192" s="1" t="s">
        <v>134</v>
      </c>
      <c r="E192" s="2">
        <v>46274</v>
      </c>
      <c r="F192" s="1" t="s">
        <v>149</v>
      </c>
      <c r="G192" s="1" t="s">
        <v>610</v>
      </c>
      <c r="H192" s="1">
        <v>98</v>
      </c>
      <c r="I192" s="1" t="s">
        <v>150</v>
      </c>
      <c r="J192" s="1">
        <v>31</v>
      </c>
      <c r="K192" s="1" t="s">
        <v>151</v>
      </c>
      <c r="L192" s="1" t="s">
        <v>611</v>
      </c>
      <c r="M192" s="2">
        <v>46281</v>
      </c>
      <c r="N192" s="1" t="s">
        <v>9</v>
      </c>
      <c r="O192" s="1" t="s">
        <v>145</v>
      </c>
      <c r="P192" s="1" t="s">
        <v>137</v>
      </c>
      <c r="Q192" s="2">
        <v>46281</v>
      </c>
      <c r="R192" s="1" t="s">
        <v>137</v>
      </c>
      <c r="S192" s="1">
        <v>1</v>
      </c>
      <c r="T192" s="1">
        <v>0</v>
      </c>
      <c r="U192" s="1">
        <v>1</v>
      </c>
      <c r="V192" s="1">
        <v>0</v>
      </c>
      <c r="W192" s="1">
        <v>2026</v>
      </c>
      <c r="X192" s="1">
        <v>37</v>
      </c>
      <c r="Y192" s="1">
        <v>9</v>
      </c>
      <c r="Z192" s="1">
        <v>9</v>
      </c>
      <c r="AB192" s="1">
        <f t="shared" si="2"/>
        <v>9</v>
      </c>
    </row>
    <row r="193" spans="1:28" x14ac:dyDescent="0.35">
      <c r="A193" s="1">
        <v>1371386</v>
      </c>
      <c r="B193" s="1" t="s">
        <v>132</v>
      </c>
      <c r="C193" s="1" t="s">
        <v>428</v>
      </c>
      <c r="D193" s="1" t="s">
        <v>134</v>
      </c>
      <c r="E193" s="2">
        <v>46274</v>
      </c>
      <c r="F193" s="1" t="s">
        <v>149</v>
      </c>
      <c r="G193" s="1" t="s">
        <v>192</v>
      </c>
      <c r="H193" s="1">
        <v>227</v>
      </c>
      <c r="I193" s="1" t="s">
        <v>180</v>
      </c>
      <c r="J193" s="1">
        <v>67</v>
      </c>
      <c r="K193" s="1" t="s">
        <v>612</v>
      </c>
      <c r="M193" s="2">
        <v>46281</v>
      </c>
      <c r="N193" s="1" t="s">
        <v>9</v>
      </c>
      <c r="O193" s="1" t="s">
        <v>137</v>
      </c>
      <c r="P193" s="1" t="s">
        <v>137</v>
      </c>
      <c r="Q193" s="2"/>
      <c r="S193" s="1">
        <v>1</v>
      </c>
      <c r="T193" s="1">
        <v>0</v>
      </c>
      <c r="U193" s="1">
        <v>0</v>
      </c>
      <c r="V193" s="1">
        <v>0</v>
      </c>
      <c r="W193" s="1">
        <v>2026</v>
      </c>
      <c r="X193" s="1">
        <v>37</v>
      </c>
      <c r="Y193" s="1">
        <v>9</v>
      </c>
      <c r="Z193" s="1">
        <v>9</v>
      </c>
      <c r="AB193" s="1">
        <f t="shared" si="2"/>
        <v>9</v>
      </c>
    </row>
    <row r="194" spans="1:28" x14ac:dyDescent="0.35">
      <c r="A194" s="1">
        <v>56560</v>
      </c>
      <c r="B194" s="1" t="s">
        <v>132</v>
      </c>
      <c r="C194" s="1" t="s">
        <v>428</v>
      </c>
      <c r="D194" s="1" t="s">
        <v>134</v>
      </c>
      <c r="E194" s="2">
        <v>46274</v>
      </c>
      <c r="F194" s="1" t="s">
        <v>149</v>
      </c>
      <c r="G194" s="1" t="s">
        <v>610</v>
      </c>
      <c r="H194" s="1">
        <v>109</v>
      </c>
      <c r="I194" s="1" t="s">
        <v>150</v>
      </c>
      <c r="J194" s="1">
        <v>31</v>
      </c>
      <c r="K194" s="1" t="s">
        <v>142</v>
      </c>
      <c r="L194" s="1" t="s">
        <v>613</v>
      </c>
      <c r="M194" s="2">
        <v>46281</v>
      </c>
      <c r="N194" s="1" t="s">
        <v>9</v>
      </c>
      <c r="O194" s="1" t="s">
        <v>137</v>
      </c>
      <c r="P194" s="1" t="s">
        <v>137</v>
      </c>
      <c r="Q194" s="2"/>
      <c r="S194" s="1">
        <v>1</v>
      </c>
      <c r="T194" s="1">
        <v>0</v>
      </c>
      <c r="U194" s="1">
        <v>0</v>
      </c>
      <c r="V194" s="1">
        <v>0</v>
      </c>
      <c r="W194" s="1">
        <v>2026</v>
      </c>
      <c r="X194" s="1">
        <v>37</v>
      </c>
      <c r="Y194" s="1">
        <v>9</v>
      </c>
      <c r="Z194" s="1">
        <v>9</v>
      </c>
      <c r="AB194" s="1">
        <f t="shared" ref="AB194:AB257" si="3">MONTH(M194)</f>
        <v>9</v>
      </c>
    </row>
    <row r="195" spans="1:28" x14ac:dyDescent="0.35">
      <c r="A195" s="1">
        <v>1443299</v>
      </c>
      <c r="B195" s="1" t="s">
        <v>132</v>
      </c>
      <c r="C195" s="1" t="s">
        <v>428</v>
      </c>
      <c r="D195" s="1" t="s">
        <v>134</v>
      </c>
      <c r="E195" s="2">
        <v>46274</v>
      </c>
      <c r="F195" s="1" t="s">
        <v>135</v>
      </c>
      <c r="G195" s="1" t="s">
        <v>345</v>
      </c>
      <c r="H195" s="1">
        <v>1037</v>
      </c>
      <c r="I195" s="1" t="s">
        <v>615</v>
      </c>
      <c r="J195" s="1">
        <v>82</v>
      </c>
      <c r="K195" s="1" t="s">
        <v>606</v>
      </c>
      <c r="M195" s="2">
        <v>46281</v>
      </c>
      <c r="N195" s="1" t="s">
        <v>24</v>
      </c>
      <c r="O195" s="1" t="s">
        <v>137</v>
      </c>
      <c r="P195" s="1" t="s">
        <v>137</v>
      </c>
      <c r="Q195" s="2"/>
      <c r="S195" s="1">
        <v>1</v>
      </c>
      <c r="T195" s="1">
        <v>0</v>
      </c>
      <c r="U195" s="1">
        <v>0</v>
      </c>
      <c r="V195" s="1">
        <v>0</v>
      </c>
      <c r="W195" s="1">
        <v>2026</v>
      </c>
      <c r="X195" s="1">
        <v>37</v>
      </c>
      <c r="Y195" s="1">
        <v>9</v>
      </c>
      <c r="Z195" s="1">
        <v>9</v>
      </c>
      <c r="AB195" s="1">
        <f t="shared" si="3"/>
        <v>9</v>
      </c>
    </row>
    <row r="196" spans="1:28" x14ac:dyDescent="0.35">
      <c r="A196" s="1">
        <v>1443299</v>
      </c>
      <c r="B196" s="1" t="s">
        <v>132</v>
      </c>
      <c r="C196" s="1" t="s">
        <v>428</v>
      </c>
      <c r="D196" s="1" t="s">
        <v>134</v>
      </c>
      <c r="E196" s="2">
        <v>46274</v>
      </c>
      <c r="F196" s="1" t="s">
        <v>135</v>
      </c>
      <c r="G196" s="1" t="s">
        <v>345</v>
      </c>
      <c r="H196" s="1">
        <v>1037</v>
      </c>
      <c r="I196" s="1" t="s">
        <v>615</v>
      </c>
      <c r="J196" s="1">
        <v>96</v>
      </c>
      <c r="K196" s="1" t="s">
        <v>606</v>
      </c>
      <c r="M196" s="2">
        <v>46281</v>
      </c>
      <c r="N196" s="1" t="s">
        <v>24</v>
      </c>
      <c r="O196" s="1" t="s">
        <v>137</v>
      </c>
      <c r="P196" s="1" t="s">
        <v>137</v>
      </c>
      <c r="Q196" s="2"/>
      <c r="S196" s="1">
        <v>1</v>
      </c>
      <c r="T196" s="1">
        <v>0</v>
      </c>
      <c r="U196" s="1">
        <v>0</v>
      </c>
      <c r="V196" s="1">
        <v>0</v>
      </c>
      <c r="W196" s="1">
        <v>2026</v>
      </c>
      <c r="X196" s="1">
        <v>37</v>
      </c>
      <c r="Y196" s="1">
        <v>9</v>
      </c>
      <c r="Z196" s="1">
        <v>9</v>
      </c>
      <c r="AB196" s="1">
        <f t="shared" si="3"/>
        <v>9</v>
      </c>
    </row>
    <row r="197" spans="1:28" x14ac:dyDescent="0.35">
      <c r="A197" s="1">
        <v>1443299</v>
      </c>
      <c r="B197" s="1" t="s">
        <v>132</v>
      </c>
      <c r="C197" s="1" t="s">
        <v>428</v>
      </c>
      <c r="D197" s="1" t="s">
        <v>134</v>
      </c>
      <c r="E197" s="2">
        <v>46274</v>
      </c>
      <c r="F197" s="1" t="s">
        <v>135</v>
      </c>
      <c r="G197" s="1" t="s">
        <v>345</v>
      </c>
      <c r="H197" s="1">
        <v>1037</v>
      </c>
      <c r="I197" s="1" t="s">
        <v>615</v>
      </c>
      <c r="J197" s="1">
        <v>85</v>
      </c>
      <c r="K197" s="1" t="s">
        <v>606</v>
      </c>
      <c r="M197" s="2">
        <v>46281</v>
      </c>
      <c r="N197" s="1" t="s">
        <v>24</v>
      </c>
      <c r="O197" s="1" t="s">
        <v>137</v>
      </c>
      <c r="P197" s="1" t="s">
        <v>137</v>
      </c>
      <c r="Q197" s="2"/>
      <c r="S197" s="1">
        <v>1</v>
      </c>
      <c r="T197" s="1">
        <v>0</v>
      </c>
      <c r="U197" s="1">
        <v>0</v>
      </c>
      <c r="V197" s="1">
        <v>0</v>
      </c>
      <c r="W197" s="1">
        <v>2026</v>
      </c>
      <c r="X197" s="1">
        <v>37</v>
      </c>
      <c r="Y197" s="1">
        <v>9</v>
      </c>
      <c r="Z197" s="1">
        <v>9</v>
      </c>
      <c r="AB197" s="1">
        <f t="shared" si="3"/>
        <v>9</v>
      </c>
    </row>
    <row r="198" spans="1:28" x14ac:dyDescent="0.35">
      <c r="A198" s="1">
        <v>1424563</v>
      </c>
      <c r="B198" s="1" t="s">
        <v>132</v>
      </c>
      <c r="C198" s="1" t="s">
        <v>428</v>
      </c>
      <c r="D198" s="1" t="s">
        <v>134</v>
      </c>
      <c r="E198" s="2">
        <v>46274</v>
      </c>
      <c r="F198" s="1" t="s">
        <v>149</v>
      </c>
      <c r="G198" s="1" t="s">
        <v>610</v>
      </c>
      <c r="H198" s="1">
        <v>53</v>
      </c>
      <c r="I198" s="1" t="s">
        <v>150</v>
      </c>
      <c r="J198" s="1">
        <v>31</v>
      </c>
      <c r="K198" s="1" t="s">
        <v>191</v>
      </c>
      <c r="L198" s="1" t="s">
        <v>348</v>
      </c>
      <c r="M198" s="2">
        <v>46281</v>
      </c>
      <c r="N198" s="1" t="s">
        <v>9</v>
      </c>
      <c r="O198" s="1" t="s">
        <v>137</v>
      </c>
      <c r="P198" s="1" t="s">
        <v>137</v>
      </c>
      <c r="Q198" s="2"/>
      <c r="S198" s="1">
        <v>1</v>
      </c>
      <c r="T198" s="1">
        <v>0</v>
      </c>
      <c r="U198" s="1">
        <v>0</v>
      </c>
      <c r="V198" s="1">
        <v>0</v>
      </c>
      <c r="W198" s="1">
        <v>2026</v>
      </c>
      <c r="X198" s="1">
        <v>37</v>
      </c>
      <c r="Y198" s="1">
        <v>9</v>
      </c>
      <c r="Z198" s="1">
        <v>9</v>
      </c>
      <c r="AB198" s="1">
        <f t="shared" si="3"/>
        <v>9</v>
      </c>
    </row>
    <row r="199" spans="1:28" x14ac:dyDescent="0.35">
      <c r="A199" s="1">
        <v>1435359</v>
      </c>
      <c r="B199" s="1" t="s">
        <v>132</v>
      </c>
      <c r="C199" s="1" t="s">
        <v>428</v>
      </c>
      <c r="D199" s="1" t="s">
        <v>134</v>
      </c>
      <c r="E199" s="2">
        <v>46274</v>
      </c>
      <c r="F199" s="1" t="s">
        <v>149</v>
      </c>
      <c r="G199" s="1" t="s">
        <v>618</v>
      </c>
      <c r="H199" s="1">
        <v>233</v>
      </c>
      <c r="I199" s="1" t="s">
        <v>180</v>
      </c>
      <c r="J199" s="1">
        <v>35</v>
      </c>
      <c r="K199" s="1" t="s">
        <v>299</v>
      </c>
      <c r="M199" s="2">
        <v>46281</v>
      </c>
      <c r="N199" s="1" t="s">
        <v>21</v>
      </c>
      <c r="O199" s="1" t="s">
        <v>137</v>
      </c>
      <c r="P199" s="1" t="s">
        <v>137</v>
      </c>
      <c r="Q199" s="2"/>
      <c r="S199" s="1">
        <v>1</v>
      </c>
      <c r="T199" s="1">
        <v>0</v>
      </c>
      <c r="U199" s="1">
        <v>0</v>
      </c>
      <c r="V199" s="1">
        <v>0</v>
      </c>
      <c r="W199" s="1">
        <v>2026</v>
      </c>
      <c r="X199" s="1">
        <v>37</v>
      </c>
      <c r="Y199" s="1">
        <v>9</v>
      </c>
      <c r="Z199" s="1">
        <v>9</v>
      </c>
      <c r="AB199" s="1">
        <f t="shared" si="3"/>
        <v>9</v>
      </c>
    </row>
    <row r="200" spans="1:28" x14ac:dyDescent="0.35">
      <c r="A200" s="1">
        <v>1535241</v>
      </c>
      <c r="B200" s="1" t="s">
        <v>132</v>
      </c>
      <c r="C200" s="1" t="s">
        <v>428</v>
      </c>
      <c r="D200" s="1" t="s">
        <v>134</v>
      </c>
      <c r="E200" s="2">
        <v>46274</v>
      </c>
      <c r="F200" s="1" t="s">
        <v>146</v>
      </c>
      <c r="G200" s="1" t="s">
        <v>620</v>
      </c>
      <c r="H200" s="1">
        <v>2556</v>
      </c>
      <c r="I200" s="1" t="s">
        <v>621</v>
      </c>
      <c r="J200" s="1">
        <v>64</v>
      </c>
      <c r="K200" s="1" t="s">
        <v>169</v>
      </c>
      <c r="L200" s="1" t="s">
        <v>622</v>
      </c>
      <c r="M200" s="2">
        <v>46281</v>
      </c>
      <c r="N200" s="1" t="s">
        <v>5</v>
      </c>
      <c r="O200" s="1" t="s">
        <v>137</v>
      </c>
      <c r="P200" s="1" t="s">
        <v>137</v>
      </c>
      <c r="Q200" s="2"/>
      <c r="S200" s="1">
        <v>1</v>
      </c>
      <c r="T200" s="1">
        <v>0</v>
      </c>
      <c r="U200" s="1">
        <v>0</v>
      </c>
      <c r="V200" s="1">
        <v>0</v>
      </c>
      <c r="W200" s="1">
        <v>2026</v>
      </c>
      <c r="X200" s="1">
        <v>37</v>
      </c>
      <c r="Y200" s="1">
        <v>9</v>
      </c>
      <c r="Z200" s="1">
        <v>9</v>
      </c>
      <c r="AB200" s="1">
        <f t="shared" si="3"/>
        <v>9</v>
      </c>
    </row>
    <row r="201" spans="1:28" x14ac:dyDescent="0.35">
      <c r="A201" s="1">
        <v>1604017</v>
      </c>
      <c r="B201" s="1" t="s">
        <v>132</v>
      </c>
      <c r="C201" s="1" t="s">
        <v>428</v>
      </c>
      <c r="D201" s="1" t="s">
        <v>134</v>
      </c>
      <c r="E201" s="2">
        <v>46274</v>
      </c>
      <c r="F201" s="1" t="s">
        <v>146</v>
      </c>
      <c r="G201" s="1" t="s">
        <v>223</v>
      </c>
      <c r="H201" s="1">
        <v>115</v>
      </c>
      <c r="I201" s="1" t="s">
        <v>177</v>
      </c>
      <c r="J201" s="1">
        <v>74</v>
      </c>
      <c r="K201" s="1" t="s">
        <v>167</v>
      </c>
      <c r="M201" s="2">
        <v>46281</v>
      </c>
      <c r="N201" s="1" t="s">
        <v>5</v>
      </c>
      <c r="O201" s="1" t="s">
        <v>137</v>
      </c>
      <c r="P201" s="1" t="s">
        <v>137</v>
      </c>
      <c r="Q201" s="2"/>
      <c r="S201" s="1">
        <v>1</v>
      </c>
      <c r="T201" s="1">
        <v>0</v>
      </c>
      <c r="U201" s="1">
        <v>0</v>
      </c>
      <c r="V201" s="1">
        <v>0</v>
      </c>
      <c r="W201" s="1">
        <v>2026</v>
      </c>
      <c r="X201" s="1">
        <v>37</v>
      </c>
      <c r="Y201" s="1">
        <v>9</v>
      </c>
      <c r="Z201" s="1">
        <v>9</v>
      </c>
      <c r="AB201" s="1">
        <f t="shared" si="3"/>
        <v>9</v>
      </c>
    </row>
    <row r="202" spans="1:28" x14ac:dyDescent="0.35">
      <c r="A202" s="1">
        <v>1606709</v>
      </c>
      <c r="B202" s="1" t="s">
        <v>132</v>
      </c>
      <c r="C202" s="1" t="s">
        <v>428</v>
      </c>
      <c r="D202" s="1" t="s">
        <v>134</v>
      </c>
      <c r="E202" s="2">
        <v>46275</v>
      </c>
      <c r="F202" s="1" t="s">
        <v>155</v>
      </c>
      <c r="G202" s="1" t="s">
        <v>627</v>
      </c>
      <c r="H202" s="1">
        <v>1273</v>
      </c>
      <c r="I202" s="1" t="s">
        <v>440</v>
      </c>
      <c r="J202" s="1">
        <v>11</v>
      </c>
      <c r="K202" s="1" t="s">
        <v>167</v>
      </c>
      <c r="L202" s="1" t="s">
        <v>628</v>
      </c>
      <c r="M202" s="2">
        <v>46281</v>
      </c>
      <c r="N202" s="1" t="s">
        <v>5</v>
      </c>
      <c r="O202" s="1" t="s">
        <v>137</v>
      </c>
      <c r="P202" s="1" t="s">
        <v>137</v>
      </c>
      <c r="Q202" s="2"/>
      <c r="S202" s="1">
        <v>1</v>
      </c>
      <c r="T202" s="1">
        <v>0</v>
      </c>
      <c r="U202" s="1">
        <v>0</v>
      </c>
      <c r="V202" s="1">
        <v>0</v>
      </c>
      <c r="W202" s="1">
        <v>2026</v>
      </c>
      <c r="X202" s="1">
        <v>37</v>
      </c>
      <c r="Y202" s="1">
        <v>9</v>
      </c>
      <c r="Z202" s="1">
        <v>10</v>
      </c>
      <c r="AB202" s="1">
        <f t="shared" si="3"/>
        <v>9</v>
      </c>
    </row>
    <row r="203" spans="1:28" x14ac:dyDescent="0.35">
      <c r="A203" s="1">
        <v>1609837</v>
      </c>
      <c r="B203" s="1" t="s">
        <v>132</v>
      </c>
      <c r="C203" s="1" t="s">
        <v>428</v>
      </c>
      <c r="D203" s="1" t="s">
        <v>134</v>
      </c>
      <c r="E203" s="2">
        <v>46275</v>
      </c>
      <c r="F203" s="1" t="s">
        <v>149</v>
      </c>
      <c r="G203" s="1" t="s">
        <v>629</v>
      </c>
      <c r="H203" s="1">
        <v>286</v>
      </c>
      <c r="I203" s="1" t="s">
        <v>220</v>
      </c>
      <c r="J203" s="1">
        <v>91</v>
      </c>
      <c r="K203" s="1" t="s">
        <v>181</v>
      </c>
      <c r="L203" s="1" t="s">
        <v>630</v>
      </c>
      <c r="M203" s="2">
        <v>46281</v>
      </c>
      <c r="N203" s="1" t="s">
        <v>21</v>
      </c>
      <c r="O203" s="1" t="s">
        <v>145</v>
      </c>
      <c r="P203" s="1" t="s">
        <v>137</v>
      </c>
      <c r="Q203" s="2">
        <v>46281</v>
      </c>
      <c r="R203" s="1" t="s">
        <v>137</v>
      </c>
      <c r="S203" s="1">
        <v>1</v>
      </c>
      <c r="T203" s="1">
        <v>0</v>
      </c>
      <c r="U203" s="1">
        <v>1</v>
      </c>
      <c r="V203" s="1">
        <v>0</v>
      </c>
      <c r="W203" s="1">
        <v>2026</v>
      </c>
      <c r="X203" s="1">
        <v>37</v>
      </c>
      <c r="Y203" s="1">
        <v>9</v>
      </c>
      <c r="Z203" s="1">
        <v>10</v>
      </c>
      <c r="AB203" s="1">
        <f t="shared" si="3"/>
        <v>9</v>
      </c>
    </row>
    <row r="204" spans="1:28" x14ac:dyDescent="0.35">
      <c r="A204" s="1">
        <v>1534491</v>
      </c>
      <c r="B204" s="1" t="s">
        <v>132</v>
      </c>
      <c r="C204" s="1" t="s">
        <v>428</v>
      </c>
      <c r="D204" s="1" t="s">
        <v>134</v>
      </c>
      <c r="E204" s="2">
        <v>46279</v>
      </c>
      <c r="F204" s="1" t="s">
        <v>149</v>
      </c>
      <c r="G204" s="1" t="s">
        <v>271</v>
      </c>
      <c r="H204" s="1">
        <v>435</v>
      </c>
      <c r="I204" s="1" t="s">
        <v>662</v>
      </c>
      <c r="J204" s="1">
        <v>1</v>
      </c>
      <c r="K204" s="1" t="s">
        <v>170</v>
      </c>
      <c r="M204" s="2">
        <v>46281</v>
      </c>
      <c r="N204" s="1" t="s">
        <v>21</v>
      </c>
      <c r="O204" s="1" t="s">
        <v>137</v>
      </c>
      <c r="P204" s="1" t="s">
        <v>137</v>
      </c>
      <c r="Q204" s="2"/>
      <c r="S204" s="1">
        <v>1</v>
      </c>
      <c r="T204" s="1">
        <v>0</v>
      </c>
      <c r="U204" s="1">
        <v>0</v>
      </c>
      <c r="V204" s="1">
        <v>0</v>
      </c>
      <c r="W204" s="1">
        <v>2026</v>
      </c>
      <c r="X204" s="1">
        <v>38</v>
      </c>
      <c r="Y204" s="1">
        <v>9</v>
      </c>
      <c r="Z204" s="1">
        <v>14</v>
      </c>
      <c r="AB204" s="1">
        <f t="shared" si="3"/>
        <v>9</v>
      </c>
    </row>
    <row r="205" spans="1:28" x14ac:dyDescent="0.35">
      <c r="A205" s="1">
        <v>98229</v>
      </c>
      <c r="B205" s="1" t="s">
        <v>132</v>
      </c>
      <c r="C205" s="1" t="s">
        <v>428</v>
      </c>
      <c r="D205" s="1" t="s">
        <v>134</v>
      </c>
      <c r="E205" s="2">
        <v>46281</v>
      </c>
      <c r="F205" s="1" t="s">
        <v>155</v>
      </c>
      <c r="G205" s="1" t="s">
        <v>682</v>
      </c>
      <c r="H205" s="1">
        <v>771</v>
      </c>
      <c r="I205" s="1" t="s">
        <v>364</v>
      </c>
      <c r="J205" s="1">
        <v>97</v>
      </c>
      <c r="K205" s="1" t="s">
        <v>148</v>
      </c>
      <c r="L205" s="1" t="s">
        <v>683</v>
      </c>
      <c r="M205" s="2">
        <v>46281</v>
      </c>
      <c r="N205" s="1" t="s">
        <v>5</v>
      </c>
      <c r="O205" s="1" t="s">
        <v>137</v>
      </c>
      <c r="P205" s="1" t="s">
        <v>137</v>
      </c>
      <c r="Q205" s="2"/>
      <c r="S205" s="1">
        <v>1</v>
      </c>
      <c r="T205" s="1">
        <v>0</v>
      </c>
      <c r="U205" s="1">
        <v>0</v>
      </c>
      <c r="V205" s="1">
        <v>0</v>
      </c>
      <c r="W205" s="1">
        <v>2026</v>
      </c>
      <c r="X205" s="1">
        <v>38</v>
      </c>
      <c r="Y205" s="1">
        <v>9</v>
      </c>
      <c r="Z205" s="1">
        <v>16</v>
      </c>
      <c r="AB205" s="1">
        <f t="shared" si="3"/>
        <v>9</v>
      </c>
    </row>
    <row r="206" spans="1:28" x14ac:dyDescent="0.35">
      <c r="A206" s="1">
        <v>1444700</v>
      </c>
      <c r="B206" s="1" t="s">
        <v>132</v>
      </c>
      <c r="C206" s="1" t="s">
        <v>428</v>
      </c>
      <c r="D206" s="1" t="s">
        <v>134</v>
      </c>
      <c r="E206" s="2">
        <v>46274</v>
      </c>
      <c r="F206" s="1" t="s">
        <v>135</v>
      </c>
      <c r="G206" s="1" t="s">
        <v>619</v>
      </c>
      <c r="H206" s="1">
        <v>637</v>
      </c>
      <c r="I206" s="1" t="s">
        <v>533</v>
      </c>
      <c r="J206" s="1">
        <v>72</v>
      </c>
      <c r="K206" s="1" t="s">
        <v>169</v>
      </c>
      <c r="L206" s="1" t="s">
        <v>611</v>
      </c>
      <c r="M206" s="2">
        <v>46282</v>
      </c>
      <c r="N206" s="1" t="s">
        <v>21</v>
      </c>
      <c r="O206" s="1" t="s">
        <v>137</v>
      </c>
      <c r="P206" s="1" t="s">
        <v>137</v>
      </c>
      <c r="Q206" s="2"/>
      <c r="S206" s="1">
        <v>1</v>
      </c>
      <c r="T206" s="1">
        <v>0</v>
      </c>
      <c r="U206" s="1">
        <v>0</v>
      </c>
      <c r="V206" s="1">
        <v>0</v>
      </c>
      <c r="W206" s="1">
        <v>2026</v>
      </c>
      <c r="X206" s="1">
        <v>37</v>
      </c>
      <c r="Y206" s="1">
        <v>9</v>
      </c>
      <c r="Z206" s="1">
        <v>9</v>
      </c>
      <c r="AB206" s="1">
        <f t="shared" si="3"/>
        <v>9</v>
      </c>
    </row>
    <row r="207" spans="1:28" x14ac:dyDescent="0.35">
      <c r="A207" s="1">
        <v>1444690</v>
      </c>
      <c r="B207" s="1" t="s">
        <v>132</v>
      </c>
      <c r="C207" s="1" t="s">
        <v>428</v>
      </c>
      <c r="D207" s="1" t="s">
        <v>134</v>
      </c>
      <c r="E207" s="2">
        <v>46274</v>
      </c>
      <c r="F207" s="1" t="s">
        <v>135</v>
      </c>
      <c r="G207" s="1" t="s">
        <v>619</v>
      </c>
      <c r="H207" s="1">
        <v>313</v>
      </c>
      <c r="I207" s="1" t="s">
        <v>588</v>
      </c>
      <c r="J207" s="1">
        <v>73</v>
      </c>
      <c r="K207" s="1" t="s">
        <v>170</v>
      </c>
      <c r="M207" s="2">
        <v>46282</v>
      </c>
      <c r="N207" s="1" t="s">
        <v>21</v>
      </c>
      <c r="O207" s="1" t="s">
        <v>137</v>
      </c>
      <c r="P207" s="1" t="s">
        <v>137</v>
      </c>
      <c r="Q207" s="2"/>
      <c r="S207" s="1">
        <v>1</v>
      </c>
      <c r="T207" s="1">
        <v>0</v>
      </c>
      <c r="U207" s="1">
        <v>0</v>
      </c>
      <c r="V207" s="1">
        <v>0</v>
      </c>
      <c r="W207" s="1">
        <v>2026</v>
      </c>
      <c r="X207" s="1">
        <v>37</v>
      </c>
      <c r="Y207" s="1">
        <v>9</v>
      </c>
      <c r="Z207" s="1">
        <v>9</v>
      </c>
      <c r="AB207" s="1">
        <f t="shared" si="3"/>
        <v>9</v>
      </c>
    </row>
    <row r="208" spans="1:28" x14ac:dyDescent="0.35">
      <c r="A208" s="1">
        <v>1362219</v>
      </c>
      <c r="B208" s="1" t="s">
        <v>132</v>
      </c>
      <c r="C208" s="1" t="s">
        <v>428</v>
      </c>
      <c r="D208" s="1" t="s">
        <v>134</v>
      </c>
      <c r="E208" s="2">
        <v>46274</v>
      </c>
      <c r="F208" s="1" t="s">
        <v>165</v>
      </c>
      <c r="G208" s="1" t="s">
        <v>302</v>
      </c>
      <c r="H208" s="1">
        <v>2229</v>
      </c>
      <c r="I208" s="1" t="s">
        <v>189</v>
      </c>
      <c r="J208" s="1">
        <v>76</v>
      </c>
      <c r="K208" s="1" t="s">
        <v>170</v>
      </c>
      <c r="L208" s="1" t="s">
        <v>623</v>
      </c>
      <c r="M208" s="2">
        <v>46282</v>
      </c>
      <c r="N208" s="1" t="s">
        <v>24</v>
      </c>
      <c r="O208" s="1" t="s">
        <v>137</v>
      </c>
      <c r="P208" s="1" t="s">
        <v>137</v>
      </c>
      <c r="Q208" s="2"/>
      <c r="S208" s="1">
        <v>1</v>
      </c>
      <c r="T208" s="1">
        <v>0</v>
      </c>
      <c r="U208" s="1">
        <v>0</v>
      </c>
      <c r="V208" s="1">
        <v>0</v>
      </c>
      <c r="W208" s="1">
        <v>2026</v>
      </c>
      <c r="X208" s="1">
        <v>37</v>
      </c>
      <c r="Y208" s="1">
        <v>9</v>
      </c>
      <c r="Z208" s="1">
        <v>9</v>
      </c>
      <c r="AB208" s="1">
        <f t="shared" si="3"/>
        <v>9</v>
      </c>
    </row>
    <row r="209" spans="1:28" x14ac:dyDescent="0.35">
      <c r="A209" s="1">
        <v>1526859</v>
      </c>
      <c r="B209" s="1" t="s">
        <v>132</v>
      </c>
      <c r="C209" s="1" t="s">
        <v>428</v>
      </c>
      <c r="D209" s="1" t="s">
        <v>134</v>
      </c>
      <c r="E209" s="2">
        <v>46274</v>
      </c>
      <c r="F209" s="1" t="s">
        <v>165</v>
      </c>
      <c r="G209" s="1" t="s">
        <v>624</v>
      </c>
      <c r="H209" s="1">
        <v>111</v>
      </c>
      <c r="I209" s="1" t="s">
        <v>189</v>
      </c>
      <c r="J209" s="1">
        <v>76</v>
      </c>
      <c r="K209" s="1" t="s">
        <v>170</v>
      </c>
      <c r="L209" s="1" t="s">
        <v>623</v>
      </c>
      <c r="M209" s="2">
        <v>46282</v>
      </c>
      <c r="N209" s="1" t="s">
        <v>24</v>
      </c>
      <c r="O209" s="1" t="s">
        <v>136</v>
      </c>
      <c r="P209" s="1" t="s">
        <v>137</v>
      </c>
      <c r="Q209" s="2"/>
      <c r="S209" s="1">
        <v>1</v>
      </c>
      <c r="T209" s="1">
        <v>0</v>
      </c>
      <c r="U209" s="1">
        <v>0</v>
      </c>
      <c r="V209" s="1">
        <v>1</v>
      </c>
      <c r="W209" s="1">
        <v>2026</v>
      </c>
      <c r="X209" s="1">
        <v>37</v>
      </c>
      <c r="Y209" s="1">
        <v>9</v>
      </c>
      <c r="Z209" s="1">
        <v>9</v>
      </c>
      <c r="AB209" s="1">
        <f t="shared" si="3"/>
        <v>9</v>
      </c>
    </row>
    <row r="210" spans="1:28" x14ac:dyDescent="0.35">
      <c r="A210" s="1">
        <v>1434158</v>
      </c>
      <c r="B210" s="1" t="s">
        <v>132</v>
      </c>
      <c r="C210" s="1" t="s">
        <v>428</v>
      </c>
      <c r="D210" s="1" t="s">
        <v>134</v>
      </c>
      <c r="E210" s="2">
        <v>46275</v>
      </c>
      <c r="F210" s="1" t="s">
        <v>153</v>
      </c>
      <c r="G210" s="1" t="s">
        <v>631</v>
      </c>
      <c r="H210" s="1">
        <v>356</v>
      </c>
      <c r="I210" s="1" t="s">
        <v>162</v>
      </c>
      <c r="J210" s="1">
        <v>35</v>
      </c>
      <c r="K210" s="1" t="s">
        <v>181</v>
      </c>
      <c r="L210" s="1" t="s">
        <v>632</v>
      </c>
      <c r="M210" s="2">
        <v>46282</v>
      </c>
      <c r="N210" s="1" t="s">
        <v>5</v>
      </c>
      <c r="O210" s="1" t="s">
        <v>137</v>
      </c>
      <c r="P210" s="1" t="s">
        <v>137</v>
      </c>
      <c r="Q210" s="2"/>
      <c r="S210" s="1">
        <v>1</v>
      </c>
      <c r="T210" s="1">
        <v>0</v>
      </c>
      <c r="U210" s="1">
        <v>0</v>
      </c>
      <c r="V210" s="1">
        <v>0</v>
      </c>
      <c r="W210" s="1">
        <v>2026</v>
      </c>
      <c r="X210" s="1">
        <v>37</v>
      </c>
      <c r="Y210" s="1">
        <v>9</v>
      </c>
      <c r="Z210" s="1">
        <v>10</v>
      </c>
      <c r="AB210" s="1">
        <f t="shared" si="3"/>
        <v>9</v>
      </c>
    </row>
    <row r="211" spans="1:28" x14ac:dyDescent="0.35">
      <c r="A211" s="1">
        <v>1607552</v>
      </c>
      <c r="B211" s="1" t="s">
        <v>132</v>
      </c>
      <c r="C211" s="1" t="s">
        <v>428</v>
      </c>
      <c r="D211" s="1" t="s">
        <v>134</v>
      </c>
      <c r="E211" s="2">
        <v>46275</v>
      </c>
      <c r="F211" s="1" t="s">
        <v>155</v>
      </c>
      <c r="G211" s="1" t="s">
        <v>633</v>
      </c>
      <c r="H211" s="1">
        <v>1259</v>
      </c>
      <c r="I211" s="1" t="s">
        <v>634</v>
      </c>
      <c r="J211" s="1">
        <v>41</v>
      </c>
      <c r="K211" s="1" t="s">
        <v>191</v>
      </c>
      <c r="L211" s="1" t="s">
        <v>630</v>
      </c>
      <c r="M211" s="2">
        <v>46282</v>
      </c>
      <c r="N211" s="1" t="s">
        <v>5</v>
      </c>
      <c r="O211" s="1" t="s">
        <v>137</v>
      </c>
      <c r="P211" s="1" t="s">
        <v>137</v>
      </c>
      <c r="Q211" s="2"/>
      <c r="S211" s="1">
        <v>1</v>
      </c>
      <c r="T211" s="1">
        <v>0</v>
      </c>
      <c r="U211" s="1">
        <v>0</v>
      </c>
      <c r="V211" s="1">
        <v>0</v>
      </c>
      <c r="W211" s="1">
        <v>2026</v>
      </c>
      <c r="X211" s="1">
        <v>37</v>
      </c>
      <c r="Y211" s="1">
        <v>9</v>
      </c>
      <c r="Z211" s="1">
        <v>10</v>
      </c>
      <c r="AB211" s="1">
        <f t="shared" si="3"/>
        <v>9</v>
      </c>
    </row>
    <row r="212" spans="1:28" x14ac:dyDescent="0.35">
      <c r="A212" s="1">
        <v>1493903</v>
      </c>
      <c r="B212" s="1" t="s">
        <v>132</v>
      </c>
      <c r="C212" s="1" t="s">
        <v>428</v>
      </c>
      <c r="D212" s="1" t="s">
        <v>134</v>
      </c>
      <c r="E212" s="2">
        <v>46275</v>
      </c>
      <c r="F212" s="1" t="s">
        <v>135</v>
      </c>
      <c r="G212" s="1" t="s">
        <v>365</v>
      </c>
      <c r="H212" s="1">
        <v>280</v>
      </c>
      <c r="I212" s="1" t="s">
        <v>591</v>
      </c>
      <c r="J212" s="1">
        <v>63</v>
      </c>
      <c r="K212" s="1" t="s">
        <v>170</v>
      </c>
      <c r="L212" s="1" t="s">
        <v>433</v>
      </c>
      <c r="M212" s="2">
        <v>46282</v>
      </c>
      <c r="N212" s="1" t="s">
        <v>5</v>
      </c>
      <c r="O212" s="1" t="s">
        <v>137</v>
      </c>
      <c r="P212" s="1" t="s">
        <v>137</v>
      </c>
      <c r="Q212" s="2"/>
      <c r="S212" s="1">
        <v>1</v>
      </c>
      <c r="T212" s="1">
        <v>0</v>
      </c>
      <c r="U212" s="1">
        <v>0</v>
      </c>
      <c r="V212" s="1">
        <v>0</v>
      </c>
      <c r="W212" s="1">
        <v>2026</v>
      </c>
      <c r="X212" s="1">
        <v>37</v>
      </c>
      <c r="Y212" s="1">
        <v>9</v>
      </c>
      <c r="Z212" s="1">
        <v>10</v>
      </c>
      <c r="AB212" s="1">
        <f t="shared" si="3"/>
        <v>9</v>
      </c>
    </row>
    <row r="213" spans="1:28" x14ac:dyDescent="0.35">
      <c r="A213" s="1">
        <v>1546524</v>
      </c>
      <c r="B213" s="1" t="s">
        <v>132</v>
      </c>
      <c r="C213" s="1" t="s">
        <v>428</v>
      </c>
      <c r="D213" s="1" t="s">
        <v>134</v>
      </c>
      <c r="E213" s="2">
        <v>46276</v>
      </c>
      <c r="F213" s="1" t="s">
        <v>149</v>
      </c>
      <c r="G213" s="1" t="s">
        <v>396</v>
      </c>
      <c r="H213" s="1">
        <v>77</v>
      </c>
      <c r="I213" s="1" t="s">
        <v>637</v>
      </c>
      <c r="J213" s="1">
        <v>35</v>
      </c>
      <c r="K213" s="1" t="s">
        <v>638</v>
      </c>
      <c r="L213" s="1" t="s">
        <v>639</v>
      </c>
      <c r="M213" s="2">
        <v>46282</v>
      </c>
      <c r="N213" s="1" t="s">
        <v>5</v>
      </c>
      <c r="O213" s="1" t="s">
        <v>137</v>
      </c>
      <c r="P213" s="1" t="s">
        <v>137</v>
      </c>
      <c r="Q213" s="2"/>
      <c r="S213" s="1">
        <v>1</v>
      </c>
      <c r="T213" s="1">
        <v>0</v>
      </c>
      <c r="U213" s="1">
        <v>0</v>
      </c>
      <c r="V213" s="1">
        <v>0</v>
      </c>
      <c r="W213" s="1">
        <v>2026</v>
      </c>
      <c r="X213" s="1">
        <v>37</v>
      </c>
      <c r="Y213" s="1">
        <v>9</v>
      </c>
      <c r="Z213" s="1">
        <v>11</v>
      </c>
      <c r="AB213" s="1">
        <f t="shared" si="3"/>
        <v>9</v>
      </c>
    </row>
    <row r="214" spans="1:28" x14ac:dyDescent="0.35">
      <c r="A214" s="1">
        <v>1426568</v>
      </c>
      <c r="B214" s="1" t="s">
        <v>132</v>
      </c>
      <c r="C214" s="1" t="s">
        <v>428</v>
      </c>
      <c r="D214" s="1" t="s">
        <v>134</v>
      </c>
      <c r="E214" s="2">
        <v>46276</v>
      </c>
      <c r="F214" s="1" t="s">
        <v>135</v>
      </c>
      <c r="G214" s="1" t="s">
        <v>640</v>
      </c>
      <c r="H214" s="1">
        <v>420</v>
      </c>
      <c r="I214" s="1" t="s">
        <v>641</v>
      </c>
      <c r="J214" s="1">
        <v>102</v>
      </c>
      <c r="K214" s="1" t="s">
        <v>642</v>
      </c>
      <c r="L214" s="1" t="s">
        <v>643</v>
      </c>
      <c r="M214" s="2">
        <v>46282</v>
      </c>
      <c r="N214" s="1" t="s">
        <v>22</v>
      </c>
      <c r="O214" s="1" t="s">
        <v>136</v>
      </c>
      <c r="P214" s="1" t="s">
        <v>137</v>
      </c>
      <c r="Q214" s="2"/>
      <c r="S214" s="1">
        <v>1</v>
      </c>
      <c r="T214" s="1">
        <v>0</v>
      </c>
      <c r="U214" s="1">
        <v>0</v>
      </c>
      <c r="V214" s="1">
        <v>1</v>
      </c>
      <c r="W214" s="1">
        <v>2026</v>
      </c>
      <c r="X214" s="1">
        <v>37</v>
      </c>
      <c r="Y214" s="1">
        <v>9</v>
      </c>
      <c r="Z214" s="1">
        <v>11</v>
      </c>
      <c r="AB214" s="1">
        <f t="shared" si="3"/>
        <v>9</v>
      </c>
    </row>
    <row r="215" spans="1:28" x14ac:dyDescent="0.35">
      <c r="A215" s="1">
        <v>920724</v>
      </c>
      <c r="B215" s="1" t="s">
        <v>132</v>
      </c>
      <c r="C215" s="1" t="s">
        <v>428</v>
      </c>
      <c r="D215" s="1" t="s">
        <v>134</v>
      </c>
      <c r="E215" s="2">
        <v>46276</v>
      </c>
      <c r="F215" s="1" t="s">
        <v>153</v>
      </c>
      <c r="G215" s="1" t="s">
        <v>645</v>
      </c>
      <c r="H215" s="1">
        <v>106</v>
      </c>
      <c r="I215" s="1" t="s">
        <v>646</v>
      </c>
      <c r="J215" s="1">
        <v>137</v>
      </c>
      <c r="K215" s="1" t="s">
        <v>251</v>
      </c>
      <c r="L215" s="1" t="s">
        <v>630</v>
      </c>
      <c r="M215" s="2">
        <v>46282</v>
      </c>
      <c r="N215" s="1" t="s">
        <v>5</v>
      </c>
      <c r="O215" s="1" t="s">
        <v>137</v>
      </c>
      <c r="P215" s="1" t="s">
        <v>137</v>
      </c>
      <c r="Q215" s="2"/>
      <c r="S215" s="1">
        <v>1</v>
      </c>
      <c r="T215" s="1">
        <v>0</v>
      </c>
      <c r="U215" s="1">
        <v>0</v>
      </c>
      <c r="V215" s="1">
        <v>0</v>
      </c>
      <c r="W215" s="1">
        <v>2026</v>
      </c>
      <c r="X215" s="1">
        <v>37</v>
      </c>
      <c r="Y215" s="1">
        <v>9</v>
      </c>
      <c r="Z215" s="1">
        <v>11</v>
      </c>
      <c r="AB215" s="1">
        <f t="shared" si="3"/>
        <v>9</v>
      </c>
    </row>
    <row r="216" spans="1:28" x14ac:dyDescent="0.35">
      <c r="A216" s="1">
        <v>1425901</v>
      </c>
      <c r="B216" s="1" t="s">
        <v>132</v>
      </c>
      <c r="C216" s="1" t="s">
        <v>428</v>
      </c>
      <c r="D216" s="1" t="s">
        <v>134</v>
      </c>
      <c r="E216" s="2">
        <v>46276</v>
      </c>
      <c r="F216" s="1" t="s">
        <v>153</v>
      </c>
      <c r="G216" s="1" t="s">
        <v>647</v>
      </c>
      <c r="H216" s="1">
        <v>270</v>
      </c>
      <c r="I216" s="1" t="s">
        <v>648</v>
      </c>
      <c r="J216" s="1">
        <v>36</v>
      </c>
      <c r="K216" s="1" t="s">
        <v>649</v>
      </c>
      <c r="L216" s="1" t="s">
        <v>650</v>
      </c>
      <c r="M216" s="2">
        <v>46282</v>
      </c>
      <c r="N216" s="1" t="s">
        <v>5</v>
      </c>
      <c r="O216" s="1" t="s">
        <v>137</v>
      </c>
      <c r="P216" s="1" t="s">
        <v>137</v>
      </c>
      <c r="Q216" s="2"/>
      <c r="S216" s="1">
        <v>1</v>
      </c>
      <c r="T216" s="1">
        <v>0</v>
      </c>
      <c r="U216" s="1">
        <v>0</v>
      </c>
      <c r="V216" s="1">
        <v>0</v>
      </c>
      <c r="W216" s="1">
        <v>2026</v>
      </c>
      <c r="X216" s="1">
        <v>37</v>
      </c>
      <c r="Y216" s="1">
        <v>9</v>
      </c>
      <c r="Z216" s="1">
        <v>11</v>
      </c>
      <c r="AB216" s="1">
        <f t="shared" si="3"/>
        <v>9</v>
      </c>
    </row>
    <row r="217" spans="1:28" x14ac:dyDescent="0.35">
      <c r="A217" s="1">
        <v>1424052</v>
      </c>
      <c r="B217" s="1" t="s">
        <v>132</v>
      </c>
      <c r="C217" s="1" t="s">
        <v>428</v>
      </c>
      <c r="D217" s="1" t="s">
        <v>134</v>
      </c>
      <c r="E217" s="2">
        <v>46276</v>
      </c>
      <c r="F217" s="1" t="s">
        <v>161</v>
      </c>
      <c r="G217" s="1" t="s">
        <v>651</v>
      </c>
      <c r="H217" s="1">
        <v>726</v>
      </c>
      <c r="I217" s="1" t="s">
        <v>652</v>
      </c>
      <c r="J217" s="1">
        <v>61</v>
      </c>
      <c r="K217" s="1" t="s">
        <v>638</v>
      </c>
      <c r="L217" s="1" t="s">
        <v>653</v>
      </c>
      <c r="M217" s="2">
        <v>46282</v>
      </c>
      <c r="N217" s="1" t="s">
        <v>5</v>
      </c>
      <c r="O217" s="1" t="s">
        <v>145</v>
      </c>
      <c r="P217" s="1" t="s">
        <v>137</v>
      </c>
      <c r="Q217" s="2">
        <v>46282</v>
      </c>
      <c r="R217" s="1" t="s">
        <v>137</v>
      </c>
      <c r="S217" s="1">
        <v>1</v>
      </c>
      <c r="T217" s="1">
        <v>0</v>
      </c>
      <c r="U217" s="1">
        <v>1</v>
      </c>
      <c r="V217" s="1">
        <v>0</v>
      </c>
      <c r="W217" s="1">
        <v>2026</v>
      </c>
      <c r="X217" s="1">
        <v>37</v>
      </c>
      <c r="Y217" s="1">
        <v>9</v>
      </c>
      <c r="Z217" s="1">
        <v>11</v>
      </c>
      <c r="AB217" s="1">
        <f t="shared" si="3"/>
        <v>9</v>
      </c>
    </row>
    <row r="218" spans="1:28" x14ac:dyDescent="0.35">
      <c r="A218" s="1">
        <v>1441171</v>
      </c>
      <c r="B218" s="1" t="s">
        <v>132</v>
      </c>
      <c r="C218" s="1" t="s">
        <v>428</v>
      </c>
      <c r="D218" s="1" t="s">
        <v>134</v>
      </c>
      <c r="E218" s="2">
        <v>46276</v>
      </c>
      <c r="F218" s="1" t="s">
        <v>165</v>
      </c>
      <c r="G218" s="1" t="s">
        <v>654</v>
      </c>
      <c r="H218" s="1">
        <v>1234</v>
      </c>
      <c r="I218" s="1" t="s">
        <v>655</v>
      </c>
      <c r="J218" s="1">
        <v>11</v>
      </c>
      <c r="K218" s="1" t="s">
        <v>170</v>
      </c>
      <c r="L218" s="1" t="s">
        <v>656</v>
      </c>
      <c r="M218" s="2">
        <v>46282</v>
      </c>
      <c r="N218" s="1" t="s">
        <v>24</v>
      </c>
      <c r="O218" s="1" t="s">
        <v>137</v>
      </c>
      <c r="P218" s="1" t="s">
        <v>137</v>
      </c>
      <c r="Q218" s="2"/>
      <c r="S218" s="1">
        <v>1</v>
      </c>
      <c r="T218" s="1">
        <v>0</v>
      </c>
      <c r="U218" s="1">
        <v>0</v>
      </c>
      <c r="V218" s="1">
        <v>0</v>
      </c>
      <c r="W218" s="1">
        <v>2026</v>
      </c>
      <c r="X218" s="1">
        <v>37</v>
      </c>
      <c r="Y218" s="1">
        <v>9</v>
      </c>
      <c r="Z218" s="1">
        <v>11</v>
      </c>
      <c r="AB218" s="1">
        <f t="shared" si="3"/>
        <v>9</v>
      </c>
    </row>
    <row r="219" spans="1:28" x14ac:dyDescent="0.35">
      <c r="A219" s="1">
        <v>1436163</v>
      </c>
      <c r="B219" s="1" t="s">
        <v>132</v>
      </c>
      <c r="C219" s="1" t="s">
        <v>428</v>
      </c>
      <c r="D219" s="1" t="s">
        <v>134</v>
      </c>
      <c r="E219" s="2">
        <v>46281</v>
      </c>
      <c r="F219" s="1" t="s">
        <v>165</v>
      </c>
      <c r="G219" s="1" t="s">
        <v>684</v>
      </c>
      <c r="H219" s="1">
        <v>734</v>
      </c>
      <c r="I219" s="1" t="s">
        <v>685</v>
      </c>
      <c r="J219" s="1">
        <v>99</v>
      </c>
      <c r="K219" s="1" t="s">
        <v>251</v>
      </c>
      <c r="L219" s="1" t="s">
        <v>643</v>
      </c>
      <c r="M219" s="2">
        <v>46282</v>
      </c>
      <c r="N219" s="1" t="s">
        <v>24</v>
      </c>
      <c r="O219" s="1" t="s">
        <v>137</v>
      </c>
      <c r="P219" s="1" t="s">
        <v>137</v>
      </c>
      <c r="Q219" s="2"/>
      <c r="S219" s="1">
        <v>1</v>
      </c>
      <c r="T219" s="1">
        <v>0</v>
      </c>
      <c r="U219" s="1">
        <v>0</v>
      </c>
      <c r="V219" s="1">
        <v>0</v>
      </c>
      <c r="W219" s="1">
        <v>2026</v>
      </c>
      <c r="X219" s="1">
        <v>38</v>
      </c>
      <c r="Y219" s="1">
        <v>9</v>
      </c>
      <c r="Z219" s="1">
        <v>16</v>
      </c>
      <c r="AB219" s="1">
        <f t="shared" si="3"/>
        <v>9</v>
      </c>
    </row>
    <row r="220" spans="1:28" x14ac:dyDescent="0.35">
      <c r="A220" s="1">
        <v>1545235</v>
      </c>
      <c r="B220" s="1" t="s">
        <v>132</v>
      </c>
      <c r="C220" s="1" t="s">
        <v>428</v>
      </c>
      <c r="D220" s="1" t="s">
        <v>134</v>
      </c>
      <c r="E220" s="2">
        <v>46276</v>
      </c>
      <c r="F220" s="1" t="s">
        <v>165</v>
      </c>
      <c r="G220" s="1" t="s">
        <v>184</v>
      </c>
      <c r="H220" s="1">
        <v>1316</v>
      </c>
      <c r="I220" s="1" t="s">
        <v>644</v>
      </c>
      <c r="J220" s="1">
        <v>52</v>
      </c>
      <c r="K220" s="1" t="s">
        <v>157</v>
      </c>
      <c r="L220" s="1" t="s">
        <v>435</v>
      </c>
      <c r="M220" s="2">
        <v>46283</v>
      </c>
      <c r="N220" s="1" t="s">
        <v>24</v>
      </c>
      <c r="O220" s="1" t="s">
        <v>137</v>
      </c>
      <c r="P220" s="1" t="s">
        <v>137</v>
      </c>
      <c r="Q220" s="2"/>
      <c r="S220" s="1">
        <v>1</v>
      </c>
      <c r="T220" s="1">
        <v>0</v>
      </c>
      <c r="U220" s="1">
        <v>0</v>
      </c>
      <c r="V220" s="1">
        <v>0</v>
      </c>
      <c r="W220" s="1">
        <v>2026</v>
      </c>
      <c r="X220" s="1">
        <v>37</v>
      </c>
      <c r="Y220" s="1">
        <v>9</v>
      </c>
      <c r="Z220" s="1">
        <v>11</v>
      </c>
      <c r="AB220" s="1">
        <f t="shared" si="3"/>
        <v>9</v>
      </c>
    </row>
    <row r="221" spans="1:28" x14ac:dyDescent="0.35">
      <c r="A221" s="1">
        <v>1610841</v>
      </c>
      <c r="B221" s="1" t="s">
        <v>132</v>
      </c>
      <c r="C221" s="1" t="s">
        <v>428</v>
      </c>
      <c r="D221" s="1" t="s">
        <v>134</v>
      </c>
      <c r="E221" s="2">
        <v>46279</v>
      </c>
      <c r="F221" s="1" t="s">
        <v>165</v>
      </c>
      <c r="G221" s="1" t="s">
        <v>657</v>
      </c>
      <c r="H221" s="1">
        <v>687</v>
      </c>
      <c r="I221" s="1" t="s">
        <v>658</v>
      </c>
      <c r="J221" s="1">
        <v>38</v>
      </c>
      <c r="K221" s="1" t="s">
        <v>151</v>
      </c>
      <c r="M221" s="2">
        <v>46283</v>
      </c>
      <c r="N221" s="1" t="s">
        <v>28</v>
      </c>
      <c r="O221" s="1" t="s">
        <v>136</v>
      </c>
      <c r="P221" s="1" t="s">
        <v>137</v>
      </c>
      <c r="Q221" s="2"/>
      <c r="S221" s="1">
        <v>1</v>
      </c>
      <c r="T221" s="1">
        <v>0</v>
      </c>
      <c r="U221" s="1">
        <v>0</v>
      </c>
      <c r="V221" s="1">
        <v>1</v>
      </c>
      <c r="W221" s="1">
        <v>2026</v>
      </c>
      <c r="X221" s="1">
        <v>38</v>
      </c>
      <c r="Y221" s="1">
        <v>9</v>
      </c>
      <c r="Z221" s="1">
        <v>14</v>
      </c>
      <c r="AB221" s="1">
        <f t="shared" si="3"/>
        <v>9</v>
      </c>
    </row>
    <row r="222" spans="1:28" x14ac:dyDescent="0.35">
      <c r="A222" s="1">
        <v>1443314</v>
      </c>
      <c r="B222" s="1" t="s">
        <v>132</v>
      </c>
      <c r="C222" s="1" t="s">
        <v>428</v>
      </c>
      <c r="D222" s="1" t="s">
        <v>134</v>
      </c>
      <c r="E222" s="2">
        <v>46279</v>
      </c>
      <c r="F222" s="1" t="s">
        <v>165</v>
      </c>
      <c r="G222" s="1" t="s">
        <v>659</v>
      </c>
      <c r="H222" s="1">
        <v>136</v>
      </c>
      <c r="I222" s="1" t="s">
        <v>660</v>
      </c>
      <c r="J222" s="1">
        <v>55</v>
      </c>
      <c r="K222" s="1" t="s">
        <v>661</v>
      </c>
      <c r="M222" s="2">
        <v>46283</v>
      </c>
      <c r="N222" s="1" t="s">
        <v>28</v>
      </c>
      <c r="O222" s="1" t="s">
        <v>136</v>
      </c>
      <c r="P222" s="1" t="s">
        <v>137</v>
      </c>
      <c r="Q222" s="2"/>
      <c r="S222" s="1">
        <v>1</v>
      </c>
      <c r="T222" s="1">
        <v>0</v>
      </c>
      <c r="U222" s="1">
        <v>0</v>
      </c>
      <c r="V222" s="1">
        <v>1</v>
      </c>
      <c r="W222" s="1">
        <v>2026</v>
      </c>
      <c r="X222" s="1">
        <v>38</v>
      </c>
      <c r="Y222" s="1">
        <v>9</v>
      </c>
      <c r="Z222" s="1">
        <v>14</v>
      </c>
      <c r="AB222" s="1">
        <f t="shared" si="3"/>
        <v>9</v>
      </c>
    </row>
    <row r="223" spans="1:28" x14ac:dyDescent="0.35">
      <c r="A223" s="1">
        <v>1443314</v>
      </c>
      <c r="B223" s="1" t="s">
        <v>132</v>
      </c>
      <c r="C223" s="1" t="s">
        <v>428</v>
      </c>
      <c r="D223" s="1" t="s">
        <v>134</v>
      </c>
      <c r="E223" s="2">
        <v>46279</v>
      </c>
      <c r="F223" s="1" t="s">
        <v>165</v>
      </c>
      <c r="G223" s="1" t="s">
        <v>659</v>
      </c>
      <c r="H223" s="1">
        <v>136</v>
      </c>
      <c r="I223" s="1" t="s">
        <v>660</v>
      </c>
      <c r="J223" s="1">
        <v>57</v>
      </c>
      <c r="K223" s="1" t="s">
        <v>661</v>
      </c>
      <c r="M223" s="2">
        <v>46283</v>
      </c>
      <c r="N223" s="1" t="s">
        <v>28</v>
      </c>
      <c r="O223" s="1" t="s">
        <v>136</v>
      </c>
      <c r="P223" s="1" t="s">
        <v>137</v>
      </c>
      <c r="Q223" s="2"/>
      <c r="S223" s="1">
        <v>1</v>
      </c>
      <c r="T223" s="1">
        <v>0</v>
      </c>
      <c r="U223" s="1">
        <v>0</v>
      </c>
      <c r="V223" s="1">
        <v>1</v>
      </c>
      <c r="W223" s="1">
        <v>2026</v>
      </c>
      <c r="X223" s="1">
        <v>38</v>
      </c>
      <c r="Y223" s="1">
        <v>9</v>
      </c>
      <c r="Z223" s="1">
        <v>14</v>
      </c>
      <c r="AB223" s="1">
        <f t="shared" si="3"/>
        <v>9</v>
      </c>
    </row>
    <row r="224" spans="1:28" x14ac:dyDescent="0.35">
      <c r="A224" s="1">
        <v>1443363</v>
      </c>
      <c r="B224" s="1" t="s">
        <v>132</v>
      </c>
      <c r="C224" s="1" t="s">
        <v>428</v>
      </c>
      <c r="D224" s="1" t="s">
        <v>134</v>
      </c>
      <c r="E224" s="2">
        <v>46281</v>
      </c>
      <c r="F224" s="1" t="s">
        <v>165</v>
      </c>
      <c r="G224" s="1" t="s">
        <v>671</v>
      </c>
      <c r="H224" s="1">
        <v>1260</v>
      </c>
      <c r="I224" s="1" t="s">
        <v>660</v>
      </c>
      <c r="J224" s="1">
        <v>59</v>
      </c>
      <c r="K224" s="1" t="s">
        <v>661</v>
      </c>
      <c r="L224" s="1" t="s">
        <v>672</v>
      </c>
      <c r="M224" s="2">
        <v>46283</v>
      </c>
      <c r="N224" s="1" t="s">
        <v>28</v>
      </c>
      <c r="O224" s="1" t="s">
        <v>136</v>
      </c>
      <c r="P224" s="1" t="s">
        <v>137</v>
      </c>
      <c r="Q224" s="2"/>
      <c r="S224" s="1">
        <v>1</v>
      </c>
      <c r="T224" s="1">
        <v>0</v>
      </c>
      <c r="U224" s="1">
        <v>0</v>
      </c>
      <c r="V224" s="1">
        <v>1</v>
      </c>
      <c r="W224" s="1">
        <v>2026</v>
      </c>
      <c r="X224" s="1">
        <v>38</v>
      </c>
      <c r="Y224" s="1">
        <v>9</v>
      </c>
      <c r="Z224" s="1">
        <v>16</v>
      </c>
      <c r="AB224" s="1">
        <f t="shared" si="3"/>
        <v>9</v>
      </c>
    </row>
    <row r="225" spans="1:28" x14ac:dyDescent="0.35">
      <c r="A225" s="1">
        <v>1443363</v>
      </c>
      <c r="B225" s="1" t="s">
        <v>132</v>
      </c>
      <c r="C225" s="1" t="s">
        <v>428</v>
      </c>
      <c r="D225" s="1" t="s">
        <v>134</v>
      </c>
      <c r="E225" s="2">
        <v>46281</v>
      </c>
      <c r="F225" s="1" t="s">
        <v>165</v>
      </c>
      <c r="G225" s="1" t="s">
        <v>671</v>
      </c>
      <c r="H225" s="1">
        <v>1260</v>
      </c>
      <c r="I225" s="1" t="s">
        <v>660</v>
      </c>
      <c r="J225" s="1">
        <v>61</v>
      </c>
      <c r="K225" s="1" t="s">
        <v>661</v>
      </c>
      <c r="L225" s="1" t="s">
        <v>673</v>
      </c>
      <c r="M225" s="2">
        <v>46283</v>
      </c>
      <c r="N225" s="1" t="s">
        <v>28</v>
      </c>
      <c r="O225" s="1" t="s">
        <v>136</v>
      </c>
      <c r="P225" s="1" t="s">
        <v>137</v>
      </c>
      <c r="Q225" s="2"/>
      <c r="S225" s="1">
        <v>1</v>
      </c>
      <c r="T225" s="1">
        <v>0</v>
      </c>
      <c r="U225" s="1">
        <v>0</v>
      </c>
      <c r="V225" s="1">
        <v>1</v>
      </c>
      <c r="W225" s="1">
        <v>2026</v>
      </c>
      <c r="X225" s="1">
        <v>38</v>
      </c>
      <c r="Y225" s="1">
        <v>9</v>
      </c>
      <c r="Z225" s="1">
        <v>16</v>
      </c>
      <c r="AB225" s="1">
        <f t="shared" si="3"/>
        <v>9</v>
      </c>
    </row>
    <row r="226" spans="1:28" x14ac:dyDescent="0.35">
      <c r="A226" s="1">
        <v>1443363</v>
      </c>
      <c r="B226" s="1" t="s">
        <v>132</v>
      </c>
      <c r="C226" s="1" t="s">
        <v>428</v>
      </c>
      <c r="D226" s="1" t="s">
        <v>134</v>
      </c>
      <c r="E226" s="2">
        <v>46281</v>
      </c>
      <c r="F226" s="1" t="s">
        <v>165</v>
      </c>
      <c r="G226" s="1" t="s">
        <v>671</v>
      </c>
      <c r="H226" s="1">
        <v>1260</v>
      </c>
      <c r="I226" s="1" t="s">
        <v>660</v>
      </c>
      <c r="J226" s="1">
        <v>63</v>
      </c>
      <c r="K226" s="1" t="s">
        <v>251</v>
      </c>
      <c r="L226" s="1" t="s">
        <v>674</v>
      </c>
      <c r="M226" s="2">
        <v>46283</v>
      </c>
      <c r="N226" s="1" t="s">
        <v>28</v>
      </c>
      <c r="O226" s="1" t="s">
        <v>136</v>
      </c>
      <c r="P226" s="1" t="s">
        <v>137</v>
      </c>
      <c r="Q226" s="2"/>
      <c r="S226" s="1">
        <v>1</v>
      </c>
      <c r="T226" s="1">
        <v>0</v>
      </c>
      <c r="U226" s="1">
        <v>0</v>
      </c>
      <c r="V226" s="1">
        <v>1</v>
      </c>
      <c r="W226" s="1">
        <v>2026</v>
      </c>
      <c r="X226" s="1">
        <v>38</v>
      </c>
      <c r="Y226" s="1">
        <v>9</v>
      </c>
      <c r="Z226" s="1">
        <v>16</v>
      </c>
      <c r="AB226" s="1">
        <f t="shared" si="3"/>
        <v>9</v>
      </c>
    </row>
    <row r="227" spans="1:28" x14ac:dyDescent="0.35">
      <c r="A227" s="1">
        <v>1443323</v>
      </c>
      <c r="B227" s="1" t="s">
        <v>132</v>
      </c>
      <c r="C227" s="1" t="s">
        <v>428</v>
      </c>
      <c r="D227" s="1" t="s">
        <v>134</v>
      </c>
      <c r="E227" s="2">
        <v>46281</v>
      </c>
      <c r="F227" s="1" t="s">
        <v>146</v>
      </c>
      <c r="G227" s="1" t="s">
        <v>675</v>
      </c>
      <c r="H227" s="1">
        <v>160</v>
      </c>
      <c r="I227" s="1" t="s">
        <v>676</v>
      </c>
      <c r="J227" s="1">
        <v>49</v>
      </c>
      <c r="K227" s="1" t="s">
        <v>661</v>
      </c>
      <c r="L227" s="1" t="s">
        <v>677</v>
      </c>
      <c r="M227" s="2">
        <v>46283</v>
      </c>
      <c r="N227" s="1" t="s">
        <v>5</v>
      </c>
      <c r="O227" s="1" t="s">
        <v>136</v>
      </c>
      <c r="P227" s="1" t="s">
        <v>137</v>
      </c>
      <c r="Q227" s="2"/>
      <c r="S227" s="1">
        <v>1</v>
      </c>
      <c r="T227" s="1">
        <v>0</v>
      </c>
      <c r="U227" s="1">
        <v>0</v>
      </c>
      <c r="V227" s="1">
        <v>1</v>
      </c>
      <c r="W227" s="1">
        <v>2026</v>
      </c>
      <c r="X227" s="1">
        <v>38</v>
      </c>
      <c r="Y227" s="1">
        <v>9</v>
      </c>
      <c r="Z227" s="1">
        <v>16</v>
      </c>
      <c r="AB227" s="1">
        <f t="shared" si="3"/>
        <v>9</v>
      </c>
    </row>
    <row r="228" spans="1:28" x14ac:dyDescent="0.35">
      <c r="A228" s="1">
        <v>1443323</v>
      </c>
      <c r="B228" s="1" t="s">
        <v>132</v>
      </c>
      <c r="C228" s="1" t="s">
        <v>428</v>
      </c>
      <c r="D228" s="1" t="s">
        <v>134</v>
      </c>
      <c r="E228" s="2">
        <v>46281</v>
      </c>
      <c r="F228" s="1" t="s">
        <v>146</v>
      </c>
      <c r="G228" s="1" t="s">
        <v>675</v>
      </c>
      <c r="H228" s="1">
        <v>160</v>
      </c>
      <c r="I228" s="1" t="s">
        <v>676</v>
      </c>
      <c r="J228" s="1">
        <v>37</v>
      </c>
      <c r="K228" s="1" t="s">
        <v>678</v>
      </c>
      <c r="L228" s="1" t="s">
        <v>679</v>
      </c>
      <c r="M228" s="2">
        <v>46283</v>
      </c>
      <c r="N228" s="1" t="s">
        <v>5</v>
      </c>
      <c r="O228" s="1" t="s">
        <v>136</v>
      </c>
      <c r="P228" s="1" t="s">
        <v>137</v>
      </c>
      <c r="Q228" s="2"/>
      <c r="S228" s="1">
        <v>1</v>
      </c>
      <c r="T228" s="1">
        <v>0</v>
      </c>
      <c r="U228" s="1">
        <v>0</v>
      </c>
      <c r="V228" s="1">
        <v>1</v>
      </c>
      <c r="W228" s="1">
        <v>2026</v>
      </c>
      <c r="X228" s="1">
        <v>38</v>
      </c>
      <c r="Y228" s="1">
        <v>9</v>
      </c>
      <c r="Z228" s="1">
        <v>16</v>
      </c>
      <c r="AB228" s="1">
        <f t="shared" si="3"/>
        <v>9</v>
      </c>
    </row>
    <row r="229" spans="1:28" x14ac:dyDescent="0.35">
      <c r="A229" s="1">
        <v>1443323</v>
      </c>
      <c r="B229" s="1" t="s">
        <v>132</v>
      </c>
      <c r="C229" s="1" t="s">
        <v>428</v>
      </c>
      <c r="D229" s="1" t="s">
        <v>134</v>
      </c>
      <c r="E229" s="2">
        <v>46281</v>
      </c>
      <c r="F229" s="1" t="s">
        <v>146</v>
      </c>
      <c r="G229" s="1" t="s">
        <v>675</v>
      </c>
      <c r="H229" s="1">
        <v>160</v>
      </c>
      <c r="I229" s="1" t="s">
        <v>676</v>
      </c>
      <c r="J229" s="1">
        <v>51</v>
      </c>
      <c r="K229" s="1" t="s">
        <v>680</v>
      </c>
      <c r="L229" s="1" t="s">
        <v>679</v>
      </c>
      <c r="M229" s="2">
        <v>46283</v>
      </c>
      <c r="N229" s="1" t="s">
        <v>5</v>
      </c>
      <c r="O229" s="1" t="s">
        <v>136</v>
      </c>
      <c r="P229" s="1" t="s">
        <v>137</v>
      </c>
      <c r="Q229" s="2"/>
      <c r="S229" s="1">
        <v>1</v>
      </c>
      <c r="T229" s="1">
        <v>0</v>
      </c>
      <c r="U229" s="1">
        <v>0</v>
      </c>
      <c r="V229" s="1">
        <v>1</v>
      </c>
      <c r="W229" s="1">
        <v>2026</v>
      </c>
      <c r="X229" s="1">
        <v>38</v>
      </c>
      <c r="Y229" s="1">
        <v>9</v>
      </c>
      <c r="Z229" s="1">
        <v>16</v>
      </c>
      <c r="AB229" s="1">
        <f t="shared" si="3"/>
        <v>9</v>
      </c>
    </row>
    <row r="230" spans="1:28" x14ac:dyDescent="0.35">
      <c r="A230" s="1">
        <v>1443323</v>
      </c>
      <c r="B230" s="1" t="s">
        <v>132</v>
      </c>
      <c r="C230" s="1" t="s">
        <v>428</v>
      </c>
      <c r="D230" s="1" t="s">
        <v>134</v>
      </c>
      <c r="E230" s="2">
        <v>46281</v>
      </c>
      <c r="F230" s="1" t="s">
        <v>146</v>
      </c>
      <c r="G230" s="1" t="s">
        <v>675</v>
      </c>
      <c r="H230" s="1">
        <v>160</v>
      </c>
      <c r="I230" s="1" t="s">
        <v>676</v>
      </c>
      <c r="J230" s="1">
        <v>39</v>
      </c>
      <c r="K230" s="1" t="s">
        <v>167</v>
      </c>
      <c r="L230" s="1" t="s">
        <v>681</v>
      </c>
      <c r="M230" s="2">
        <v>46283</v>
      </c>
      <c r="N230" s="1" t="s">
        <v>5</v>
      </c>
      <c r="O230" s="1" t="s">
        <v>136</v>
      </c>
      <c r="P230" s="1" t="s">
        <v>137</v>
      </c>
      <c r="Q230" s="2"/>
      <c r="S230" s="1">
        <v>1</v>
      </c>
      <c r="T230" s="1">
        <v>0</v>
      </c>
      <c r="U230" s="1">
        <v>0</v>
      </c>
      <c r="V230" s="1">
        <v>1</v>
      </c>
      <c r="W230" s="1">
        <v>2026</v>
      </c>
      <c r="X230" s="1">
        <v>38</v>
      </c>
      <c r="Y230" s="1">
        <v>9</v>
      </c>
      <c r="Z230" s="1">
        <v>16</v>
      </c>
      <c r="AB230" s="1">
        <f t="shared" si="3"/>
        <v>9</v>
      </c>
    </row>
    <row r="231" spans="1:28" x14ac:dyDescent="0.35">
      <c r="A231" s="1">
        <v>1460847</v>
      </c>
      <c r="B231" s="1" t="s">
        <v>132</v>
      </c>
      <c r="C231" s="1" t="s">
        <v>428</v>
      </c>
      <c r="D231" s="1" t="s">
        <v>134</v>
      </c>
      <c r="E231" s="2">
        <v>46275</v>
      </c>
      <c r="F231" s="1" t="s">
        <v>135</v>
      </c>
      <c r="G231" s="1" t="s">
        <v>368</v>
      </c>
      <c r="H231" s="1">
        <v>470</v>
      </c>
      <c r="I231" s="1" t="s">
        <v>588</v>
      </c>
      <c r="J231" s="1">
        <v>124</v>
      </c>
      <c r="K231" s="1" t="s">
        <v>181</v>
      </c>
      <c r="L231" s="1" t="s">
        <v>426</v>
      </c>
      <c r="M231" s="2">
        <v>46288</v>
      </c>
      <c r="N231" s="1" t="s">
        <v>5</v>
      </c>
      <c r="O231" s="1" t="s">
        <v>137</v>
      </c>
      <c r="P231" s="1" t="s">
        <v>137</v>
      </c>
      <c r="Q231" s="2"/>
      <c r="S231" s="1">
        <v>1</v>
      </c>
      <c r="T231" s="1">
        <v>0</v>
      </c>
      <c r="U231" s="1">
        <v>0</v>
      </c>
      <c r="V231" s="1">
        <v>0</v>
      </c>
      <c r="W231" s="1">
        <v>2026</v>
      </c>
      <c r="X231" s="1">
        <v>37</v>
      </c>
      <c r="Y231" s="1">
        <v>9</v>
      </c>
      <c r="Z231" s="1">
        <v>10</v>
      </c>
      <c r="AB231" s="1">
        <f t="shared" si="3"/>
        <v>9</v>
      </c>
    </row>
    <row r="232" spans="1:28" x14ac:dyDescent="0.35">
      <c r="A232" s="1">
        <v>1460859</v>
      </c>
      <c r="B232" s="1" t="s">
        <v>132</v>
      </c>
      <c r="C232" s="1" t="s">
        <v>428</v>
      </c>
      <c r="D232" s="1" t="s">
        <v>134</v>
      </c>
      <c r="E232" s="2">
        <v>46275</v>
      </c>
      <c r="F232" s="1" t="s">
        <v>135</v>
      </c>
      <c r="G232" s="1" t="s">
        <v>368</v>
      </c>
      <c r="H232" s="1">
        <v>649</v>
      </c>
      <c r="I232" s="1" t="s">
        <v>588</v>
      </c>
      <c r="J232" s="1">
        <v>124</v>
      </c>
      <c r="K232" s="1" t="s">
        <v>169</v>
      </c>
      <c r="L232" s="1" t="s">
        <v>426</v>
      </c>
      <c r="M232" s="2">
        <v>46288</v>
      </c>
      <c r="N232" s="1" t="s">
        <v>24</v>
      </c>
      <c r="O232" s="1" t="s">
        <v>137</v>
      </c>
      <c r="P232" s="1" t="s">
        <v>137</v>
      </c>
      <c r="Q232" s="2"/>
      <c r="S232" s="1">
        <v>1</v>
      </c>
      <c r="T232" s="1">
        <v>0</v>
      </c>
      <c r="U232" s="1">
        <v>0</v>
      </c>
      <c r="V232" s="1">
        <v>0</v>
      </c>
      <c r="W232" s="1">
        <v>2026</v>
      </c>
      <c r="X232" s="1">
        <v>37</v>
      </c>
      <c r="Y232" s="1">
        <v>9</v>
      </c>
      <c r="Z232" s="1">
        <v>10</v>
      </c>
      <c r="AB232" s="1">
        <f t="shared" si="3"/>
        <v>9</v>
      </c>
    </row>
    <row r="233" spans="1:28" x14ac:dyDescent="0.35">
      <c r="A233" s="1">
        <v>853763</v>
      </c>
      <c r="B233" s="1" t="s">
        <v>132</v>
      </c>
      <c r="C233" s="1" t="s">
        <v>428</v>
      </c>
      <c r="D233" s="1" t="s">
        <v>134</v>
      </c>
      <c r="E233" s="2">
        <v>46280</v>
      </c>
      <c r="F233" s="1" t="s">
        <v>139</v>
      </c>
      <c r="G233" s="1" t="s">
        <v>663</v>
      </c>
      <c r="H233" s="1">
        <v>1877</v>
      </c>
      <c r="I233" s="1" t="s">
        <v>544</v>
      </c>
      <c r="J233" s="1">
        <v>40</v>
      </c>
      <c r="K233" s="1" t="s">
        <v>664</v>
      </c>
      <c r="M233" s="2">
        <v>46288</v>
      </c>
      <c r="N233" s="1" t="s">
        <v>3</v>
      </c>
      <c r="O233" s="1" t="s">
        <v>137</v>
      </c>
      <c r="P233" s="1" t="s">
        <v>137</v>
      </c>
      <c r="Q233" s="2"/>
      <c r="S233" s="1">
        <v>1</v>
      </c>
      <c r="T233" s="1">
        <v>0</v>
      </c>
      <c r="U233" s="1">
        <v>0</v>
      </c>
      <c r="V233" s="1">
        <v>0</v>
      </c>
      <c r="W233" s="1">
        <v>2026</v>
      </c>
      <c r="X233" s="1">
        <v>38</v>
      </c>
      <c r="Y233" s="1">
        <v>9</v>
      </c>
      <c r="Z233" s="1">
        <v>15</v>
      </c>
      <c r="AB233" s="1">
        <f t="shared" si="3"/>
        <v>9</v>
      </c>
    </row>
    <row r="234" spans="1:28" x14ac:dyDescent="0.35">
      <c r="A234" s="1">
        <v>64164</v>
      </c>
      <c r="B234" s="1" t="s">
        <v>132</v>
      </c>
      <c r="C234" s="1" t="s">
        <v>428</v>
      </c>
      <c r="D234" s="1" t="s">
        <v>134</v>
      </c>
      <c r="E234" s="2">
        <v>46281</v>
      </c>
      <c r="F234" s="1" t="s">
        <v>135</v>
      </c>
      <c r="G234" s="1" t="s">
        <v>362</v>
      </c>
      <c r="H234" s="1">
        <v>706</v>
      </c>
      <c r="I234" s="1" t="s">
        <v>692</v>
      </c>
      <c r="J234" s="1">
        <v>125</v>
      </c>
      <c r="K234" s="1" t="s">
        <v>693</v>
      </c>
      <c r="L234" s="1" t="s">
        <v>691</v>
      </c>
      <c r="M234" s="2">
        <v>46288</v>
      </c>
      <c r="N234" s="1" t="s">
        <v>24</v>
      </c>
      <c r="O234" s="1" t="s">
        <v>137</v>
      </c>
      <c r="P234" s="1" t="s">
        <v>137</v>
      </c>
      <c r="Q234" s="2"/>
      <c r="S234" s="1">
        <v>1</v>
      </c>
      <c r="T234" s="1">
        <v>0</v>
      </c>
      <c r="U234" s="1">
        <v>0</v>
      </c>
      <c r="V234" s="1">
        <v>0</v>
      </c>
      <c r="W234" s="1">
        <v>2026</v>
      </c>
      <c r="X234" s="1">
        <v>38</v>
      </c>
      <c r="Y234" s="1">
        <v>9</v>
      </c>
      <c r="Z234" s="1">
        <v>16</v>
      </c>
      <c r="AB234" s="1">
        <f t="shared" si="3"/>
        <v>9</v>
      </c>
    </row>
    <row r="235" spans="1:28" x14ac:dyDescent="0.35">
      <c r="A235" s="1">
        <v>1432193</v>
      </c>
      <c r="B235" s="1" t="s">
        <v>132</v>
      </c>
      <c r="C235" s="1" t="s">
        <v>428</v>
      </c>
      <c r="D235" s="1" t="s">
        <v>134</v>
      </c>
      <c r="E235" s="2">
        <v>46282</v>
      </c>
      <c r="F235" s="1" t="s">
        <v>135</v>
      </c>
      <c r="G235" s="1" t="s">
        <v>362</v>
      </c>
      <c r="H235" s="1">
        <v>238</v>
      </c>
      <c r="I235" s="1" t="s">
        <v>710</v>
      </c>
      <c r="J235" s="1">
        <v>127</v>
      </c>
      <c r="K235" s="1" t="s">
        <v>168</v>
      </c>
      <c r="L235" s="1" t="s">
        <v>711</v>
      </c>
      <c r="M235" s="2">
        <v>46288</v>
      </c>
      <c r="N235" s="1" t="s">
        <v>24</v>
      </c>
      <c r="O235" s="1" t="s">
        <v>145</v>
      </c>
      <c r="P235" s="1" t="s">
        <v>137</v>
      </c>
      <c r="Q235" s="2">
        <v>46289</v>
      </c>
      <c r="R235" s="1" t="s">
        <v>137</v>
      </c>
      <c r="S235" s="1">
        <v>1</v>
      </c>
      <c r="T235" s="1">
        <v>0</v>
      </c>
      <c r="U235" s="1">
        <v>1</v>
      </c>
      <c r="V235" s="1">
        <v>0</v>
      </c>
      <c r="W235" s="1">
        <v>2026</v>
      </c>
      <c r="X235" s="1">
        <v>38</v>
      </c>
      <c r="Y235" s="1">
        <v>9</v>
      </c>
      <c r="Z235" s="1">
        <v>17</v>
      </c>
      <c r="AB235" s="1">
        <f t="shared" si="3"/>
        <v>9</v>
      </c>
    </row>
    <row r="236" spans="1:28" x14ac:dyDescent="0.35">
      <c r="A236" s="1">
        <v>1560926</v>
      </c>
      <c r="B236" s="1" t="s">
        <v>132</v>
      </c>
      <c r="C236" s="1" t="s">
        <v>428</v>
      </c>
      <c r="D236" s="1" t="s">
        <v>134</v>
      </c>
      <c r="E236" s="2">
        <v>46286</v>
      </c>
      <c r="F236" s="1" t="s">
        <v>135</v>
      </c>
      <c r="G236" s="1" t="s">
        <v>259</v>
      </c>
      <c r="H236" s="1">
        <v>180</v>
      </c>
      <c r="I236" s="1" t="s">
        <v>710</v>
      </c>
      <c r="J236" s="1">
        <v>82</v>
      </c>
      <c r="K236" s="1" t="s">
        <v>696</v>
      </c>
      <c r="M236" s="2">
        <v>46288</v>
      </c>
      <c r="N236" s="1" t="s">
        <v>21</v>
      </c>
      <c r="O236" s="1" t="s">
        <v>137</v>
      </c>
      <c r="P236" s="1" t="s">
        <v>137</v>
      </c>
      <c r="Q236" s="2"/>
      <c r="S236" s="1">
        <v>1</v>
      </c>
      <c r="T236" s="1">
        <v>0</v>
      </c>
      <c r="U236" s="1">
        <v>0</v>
      </c>
      <c r="V236" s="1">
        <v>0</v>
      </c>
      <c r="W236" s="1">
        <v>2026</v>
      </c>
      <c r="X236" s="1">
        <v>39</v>
      </c>
      <c r="Y236" s="1">
        <v>9</v>
      </c>
      <c r="Z236" s="1">
        <v>21</v>
      </c>
      <c r="AB236" s="1">
        <f t="shared" si="3"/>
        <v>9</v>
      </c>
    </row>
    <row r="237" spans="1:28" x14ac:dyDescent="0.35">
      <c r="A237" s="1">
        <v>10752</v>
      </c>
      <c r="B237" s="1" t="s">
        <v>132</v>
      </c>
      <c r="C237" s="1" t="s">
        <v>428</v>
      </c>
      <c r="D237" s="1" t="s">
        <v>134</v>
      </c>
      <c r="E237" s="2">
        <v>46286</v>
      </c>
      <c r="F237" s="1" t="s">
        <v>139</v>
      </c>
      <c r="G237" s="1" t="s">
        <v>722</v>
      </c>
      <c r="H237" s="1">
        <v>84</v>
      </c>
      <c r="I237" s="1" t="s">
        <v>562</v>
      </c>
      <c r="J237" s="1">
        <v>115</v>
      </c>
      <c r="K237" s="1" t="s">
        <v>361</v>
      </c>
      <c r="M237" s="2">
        <v>46288</v>
      </c>
      <c r="N237" s="1" t="s">
        <v>3</v>
      </c>
      <c r="O237" s="1" t="s">
        <v>136</v>
      </c>
      <c r="P237" s="1" t="s">
        <v>137</v>
      </c>
      <c r="Q237" s="2"/>
      <c r="S237" s="1">
        <v>1</v>
      </c>
      <c r="T237" s="1">
        <v>0</v>
      </c>
      <c r="U237" s="1">
        <v>0</v>
      </c>
      <c r="V237" s="1">
        <v>1</v>
      </c>
      <c r="W237" s="1">
        <v>2026</v>
      </c>
      <c r="X237" s="1">
        <v>39</v>
      </c>
      <c r="Y237" s="1">
        <v>9</v>
      </c>
      <c r="Z237" s="1">
        <v>21</v>
      </c>
      <c r="AB237" s="1">
        <f t="shared" si="3"/>
        <v>9</v>
      </c>
    </row>
    <row r="238" spans="1:28" x14ac:dyDescent="0.35">
      <c r="A238" s="1">
        <v>1597499</v>
      </c>
      <c r="B238" s="1" t="s">
        <v>132</v>
      </c>
      <c r="C238" s="1" t="s">
        <v>428</v>
      </c>
      <c r="D238" s="1" t="s">
        <v>134</v>
      </c>
      <c r="E238" s="2">
        <v>46288</v>
      </c>
      <c r="F238" s="1" t="s">
        <v>165</v>
      </c>
      <c r="G238" s="1" t="s">
        <v>176</v>
      </c>
      <c r="H238" s="1">
        <v>148</v>
      </c>
      <c r="I238" s="1" t="s">
        <v>733</v>
      </c>
      <c r="J238" s="1">
        <v>64</v>
      </c>
      <c r="K238" s="1" t="s">
        <v>734</v>
      </c>
      <c r="L238" s="1" t="s">
        <v>735</v>
      </c>
      <c r="M238" s="2">
        <v>46288</v>
      </c>
      <c r="N238" s="1" t="s">
        <v>24</v>
      </c>
      <c r="O238" s="1" t="s">
        <v>137</v>
      </c>
      <c r="P238" s="1" t="s">
        <v>137</v>
      </c>
      <c r="Q238" s="2"/>
      <c r="S238" s="1">
        <v>1</v>
      </c>
      <c r="T238" s="1">
        <v>0</v>
      </c>
      <c r="U238" s="1">
        <v>0</v>
      </c>
      <c r="V238" s="1">
        <v>0</v>
      </c>
      <c r="W238" s="1">
        <v>2026</v>
      </c>
      <c r="X238" s="1">
        <v>39</v>
      </c>
      <c r="Y238" s="1">
        <v>9</v>
      </c>
      <c r="Z238" s="1">
        <v>23</v>
      </c>
      <c r="AB238" s="1">
        <f t="shared" si="3"/>
        <v>9</v>
      </c>
    </row>
    <row r="239" spans="1:28" x14ac:dyDescent="0.35">
      <c r="A239" s="1">
        <v>1606107</v>
      </c>
      <c r="B239" s="1" t="s">
        <v>132</v>
      </c>
      <c r="C239" s="1" t="s">
        <v>428</v>
      </c>
      <c r="D239" s="1" t="s">
        <v>134</v>
      </c>
      <c r="E239" s="2">
        <v>46280</v>
      </c>
      <c r="F239" s="1" t="s">
        <v>135</v>
      </c>
      <c r="G239" s="1" t="s">
        <v>666</v>
      </c>
      <c r="H239" s="1">
        <v>92</v>
      </c>
      <c r="I239" s="1" t="s">
        <v>667</v>
      </c>
      <c r="J239" s="1">
        <v>39</v>
      </c>
      <c r="K239" s="1" t="s">
        <v>167</v>
      </c>
      <c r="L239" s="1" t="s">
        <v>668</v>
      </c>
      <c r="M239" s="2">
        <v>46289</v>
      </c>
      <c r="N239" s="1" t="s">
        <v>21</v>
      </c>
      <c r="O239" s="1" t="s">
        <v>137</v>
      </c>
      <c r="P239" s="1" t="s">
        <v>137</v>
      </c>
      <c r="Q239" s="2"/>
      <c r="S239" s="1">
        <v>1</v>
      </c>
      <c r="T239" s="1">
        <v>0</v>
      </c>
      <c r="U239" s="1">
        <v>0</v>
      </c>
      <c r="V239" s="1">
        <v>0</v>
      </c>
      <c r="W239" s="1">
        <v>2026</v>
      </c>
      <c r="X239" s="1">
        <v>38</v>
      </c>
      <c r="Y239" s="1">
        <v>9</v>
      </c>
      <c r="Z239" s="1">
        <v>15</v>
      </c>
      <c r="AB239" s="1">
        <f t="shared" si="3"/>
        <v>9</v>
      </c>
    </row>
    <row r="240" spans="1:28" x14ac:dyDescent="0.35">
      <c r="A240" s="1">
        <v>1426588</v>
      </c>
      <c r="B240" s="1" t="s">
        <v>132</v>
      </c>
      <c r="C240" s="1" t="s">
        <v>428</v>
      </c>
      <c r="D240" s="1" t="s">
        <v>134</v>
      </c>
      <c r="E240" s="2">
        <v>46281</v>
      </c>
      <c r="F240" s="1" t="s">
        <v>155</v>
      </c>
      <c r="G240" s="1" t="s">
        <v>686</v>
      </c>
      <c r="H240" s="1">
        <v>161</v>
      </c>
      <c r="I240" s="1" t="s">
        <v>687</v>
      </c>
      <c r="J240" s="1">
        <v>1</v>
      </c>
      <c r="K240" s="1" t="s">
        <v>251</v>
      </c>
      <c r="L240" s="1" t="s">
        <v>688</v>
      </c>
      <c r="M240" s="2">
        <v>46289</v>
      </c>
      <c r="N240" s="1" t="s">
        <v>5</v>
      </c>
      <c r="O240" s="1" t="s">
        <v>137</v>
      </c>
      <c r="P240" s="1" t="s">
        <v>137</v>
      </c>
      <c r="Q240" s="2"/>
      <c r="S240" s="1">
        <v>1</v>
      </c>
      <c r="T240" s="1">
        <v>0</v>
      </c>
      <c r="U240" s="1">
        <v>0</v>
      </c>
      <c r="V240" s="1">
        <v>0</v>
      </c>
      <c r="W240" s="1">
        <v>2026</v>
      </c>
      <c r="X240" s="1">
        <v>38</v>
      </c>
      <c r="Y240" s="1">
        <v>9</v>
      </c>
      <c r="Z240" s="1">
        <v>16</v>
      </c>
      <c r="AB240" s="1">
        <f t="shared" si="3"/>
        <v>9</v>
      </c>
    </row>
    <row r="241" spans="1:28" x14ac:dyDescent="0.35">
      <c r="A241" s="1">
        <v>1539757</v>
      </c>
      <c r="B241" s="1" t="s">
        <v>132</v>
      </c>
      <c r="C241" s="1" t="s">
        <v>428</v>
      </c>
      <c r="D241" s="1" t="s">
        <v>134</v>
      </c>
      <c r="E241" s="2">
        <v>46282</v>
      </c>
      <c r="F241" s="1" t="s">
        <v>135</v>
      </c>
      <c r="G241" s="1" t="s">
        <v>715</v>
      </c>
      <c r="H241" s="1">
        <v>1251</v>
      </c>
      <c r="I241" s="1" t="s">
        <v>641</v>
      </c>
      <c r="J241" s="1">
        <v>16</v>
      </c>
      <c r="K241" s="1" t="s">
        <v>170</v>
      </c>
      <c r="L241" s="1" t="s">
        <v>716</v>
      </c>
      <c r="M241" s="2">
        <v>46289</v>
      </c>
      <c r="N241" s="1" t="s">
        <v>28</v>
      </c>
      <c r="O241" s="1" t="s">
        <v>137</v>
      </c>
      <c r="P241" s="1" t="s">
        <v>137</v>
      </c>
      <c r="Q241" s="2"/>
      <c r="S241" s="1">
        <v>1</v>
      </c>
      <c r="T241" s="1">
        <v>0</v>
      </c>
      <c r="U241" s="1">
        <v>0</v>
      </c>
      <c r="V241" s="1">
        <v>0</v>
      </c>
      <c r="W241" s="1">
        <v>2026</v>
      </c>
      <c r="X241" s="1">
        <v>38</v>
      </c>
      <c r="Y241" s="1">
        <v>9</v>
      </c>
      <c r="Z241" s="1">
        <v>17</v>
      </c>
      <c r="AB241" s="1">
        <f t="shared" si="3"/>
        <v>9</v>
      </c>
    </row>
    <row r="242" spans="1:28" x14ac:dyDescent="0.35">
      <c r="A242" s="1">
        <v>1443235</v>
      </c>
      <c r="B242" s="1" t="s">
        <v>132</v>
      </c>
      <c r="C242" s="1" t="s">
        <v>428</v>
      </c>
      <c r="D242" s="1" t="s">
        <v>134</v>
      </c>
      <c r="E242" s="2">
        <v>46287</v>
      </c>
      <c r="F242" s="1" t="s">
        <v>155</v>
      </c>
      <c r="G242" s="1" t="s">
        <v>457</v>
      </c>
      <c r="H242" s="1">
        <v>470</v>
      </c>
      <c r="I242" s="1" t="s">
        <v>258</v>
      </c>
      <c r="J242" s="1">
        <v>45</v>
      </c>
      <c r="K242" s="1" t="s">
        <v>702</v>
      </c>
      <c r="M242" s="2">
        <v>46289</v>
      </c>
      <c r="N242" s="1" t="s">
        <v>5</v>
      </c>
      <c r="O242" s="1" t="s">
        <v>137</v>
      </c>
      <c r="P242" s="1" t="s">
        <v>137</v>
      </c>
      <c r="Q242" s="2"/>
      <c r="S242" s="1">
        <v>1</v>
      </c>
      <c r="T242" s="1">
        <v>0</v>
      </c>
      <c r="U242" s="1">
        <v>0</v>
      </c>
      <c r="V242" s="1">
        <v>0</v>
      </c>
      <c r="W242" s="1">
        <v>2026</v>
      </c>
      <c r="X242" s="1">
        <v>39</v>
      </c>
      <c r="Y242" s="1">
        <v>9</v>
      </c>
      <c r="Z242" s="1">
        <v>22</v>
      </c>
      <c r="AB242" s="1">
        <f t="shared" si="3"/>
        <v>9</v>
      </c>
    </row>
    <row r="243" spans="1:28" x14ac:dyDescent="0.35">
      <c r="A243" s="1">
        <v>1444624</v>
      </c>
      <c r="B243" s="1" t="s">
        <v>132</v>
      </c>
      <c r="C243" s="1" t="s">
        <v>428</v>
      </c>
      <c r="D243" s="1" t="s">
        <v>134</v>
      </c>
      <c r="E243" s="2">
        <v>46281</v>
      </c>
      <c r="F243" s="1" t="s">
        <v>135</v>
      </c>
      <c r="G243" s="1" t="s">
        <v>193</v>
      </c>
      <c r="H243" s="1">
        <v>1295</v>
      </c>
      <c r="I243" s="1" t="s">
        <v>692</v>
      </c>
      <c r="J243" s="1">
        <v>14</v>
      </c>
      <c r="K243" s="1" t="s">
        <v>179</v>
      </c>
      <c r="L243" s="1" t="s">
        <v>697</v>
      </c>
      <c r="M243" s="2">
        <v>46291</v>
      </c>
      <c r="N243" s="1" t="s">
        <v>5</v>
      </c>
      <c r="O243" s="1" t="s">
        <v>137</v>
      </c>
      <c r="P243" s="1" t="s">
        <v>137</v>
      </c>
      <c r="Q243" s="2"/>
      <c r="S243" s="1">
        <v>1</v>
      </c>
      <c r="T243" s="1">
        <v>0</v>
      </c>
      <c r="U243" s="1">
        <v>0</v>
      </c>
      <c r="V243" s="1">
        <v>0</v>
      </c>
      <c r="W243" s="1">
        <v>2026</v>
      </c>
      <c r="X243" s="1">
        <v>38</v>
      </c>
      <c r="Y243" s="1">
        <v>9</v>
      </c>
      <c r="Z243" s="1">
        <v>16</v>
      </c>
      <c r="AB243" s="1">
        <f t="shared" si="3"/>
        <v>9</v>
      </c>
    </row>
    <row r="244" spans="1:28" x14ac:dyDescent="0.35">
      <c r="A244" s="1">
        <v>1395482</v>
      </c>
      <c r="B244" s="1" t="s">
        <v>132</v>
      </c>
      <c r="C244" s="1" t="s">
        <v>428</v>
      </c>
      <c r="D244" s="1" t="s">
        <v>134</v>
      </c>
      <c r="E244" s="2">
        <v>46282</v>
      </c>
      <c r="F244" s="1" t="s">
        <v>135</v>
      </c>
      <c r="G244" s="1" t="s">
        <v>619</v>
      </c>
      <c r="H244" s="1">
        <v>1036</v>
      </c>
      <c r="I244" s="1" t="s">
        <v>667</v>
      </c>
      <c r="J244" s="1">
        <v>91</v>
      </c>
      <c r="K244" s="1" t="s">
        <v>702</v>
      </c>
      <c r="L244" s="1" t="s">
        <v>703</v>
      </c>
      <c r="M244" s="2">
        <v>46291</v>
      </c>
      <c r="N244" s="1" t="s">
        <v>5</v>
      </c>
      <c r="O244" s="1" t="s">
        <v>137</v>
      </c>
      <c r="P244" s="1" t="s">
        <v>137</v>
      </c>
      <c r="Q244" s="2">
        <v>46293</v>
      </c>
      <c r="R244" s="1" t="s">
        <v>137</v>
      </c>
      <c r="S244" s="1">
        <v>1</v>
      </c>
      <c r="T244" s="1">
        <v>0</v>
      </c>
      <c r="U244" s="1">
        <v>0</v>
      </c>
      <c r="V244" s="1">
        <v>0</v>
      </c>
      <c r="W244" s="1">
        <v>2026</v>
      </c>
      <c r="X244" s="1">
        <v>38</v>
      </c>
      <c r="Y244" s="1">
        <v>9</v>
      </c>
      <c r="Z244" s="1">
        <v>17</v>
      </c>
      <c r="AB244" s="1">
        <f t="shared" si="3"/>
        <v>9</v>
      </c>
    </row>
    <row r="245" spans="1:28" x14ac:dyDescent="0.35">
      <c r="A245" s="1">
        <v>1395482</v>
      </c>
      <c r="B245" s="1" t="s">
        <v>132</v>
      </c>
      <c r="C245" s="1" t="s">
        <v>428</v>
      </c>
      <c r="D245" s="1" t="s">
        <v>134</v>
      </c>
      <c r="E245" s="2">
        <v>46282</v>
      </c>
      <c r="F245" s="1" t="s">
        <v>135</v>
      </c>
      <c r="G245" s="1" t="s">
        <v>619</v>
      </c>
      <c r="H245" s="1">
        <v>1036</v>
      </c>
      <c r="I245" s="1" t="s">
        <v>667</v>
      </c>
      <c r="J245" s="1">
        <v>93</v>
      </c>
      <c r="K245" s="1" t="s">
        <v>702</v>
      </c>
      <c r="L245" s="1" t="s">
        <v>704</v>
      </c>
      <c r="M245" s="2">
        <v>46291</v>
      </c>
      <c r="N245" s="1" t="s">
        <v>5</v>
      </c>
      <c r="O245" s="1" t="s">
        <v>137</v>
      </c>
      <c r="P245" s="1" t="s">
        <v>137</v>
      </c>
      <c r="Q245" s="2"/>
      <c r="S245" s="1">
        <v>1</v>
      </c>
      <c r="T245" s="1">
        <v>0</v>
      </c>
      <c r="U245" s="1">
        <v>0</v>
      </c>
      <c r="V245" s="1">
        <v>0</v>
      </c>
      <c r="W245" s="1">
        <v>2026</v>
      </c>
      <c r="X245" s="1">
        <v>38</v>
      </c>
      <c r="Y245" s="1">
        <v>9</v>
      </c>
      <c r="Z245" s="1">
        <v>17</v>
      </c>
      <c r="AB245" s="1">
        <f t="shared" si="3"/>
        <v>9</v>
      </c>
    </row>
    <row r="246" spans="1:28" x14ac:dyDescent="0.35">
      <c r="A246" s="1">
        <v>1395482</v>
      </c>
      <c r="B246" s="1" t="s">
        <v>132</v>
      </c>
      <c r="C246" s="1" t="s">
        <v>428</v>
      </c>
      <c r="D246" s="1" t="s">
        <v>134</v>
      </c>
      <c r="E246" s="2">
        <v>46282</v>
      </c>
      <c r="F246" s="1" t="s">
        <v>135</v>
      </c>
      <c r="G246" s="1" t="s">
        <v>619</v>
      </c>
      <c r="H246" s="1">
        <v>1036</v>
      </c>
      <c r="I246" s="1" t="s">
        <v>667</v>
      </c>
      <c r="J246" s="1">
        <v>95</v>
      </c>
      <c r="K246" s="1" t="s">
        <v>173</v>
      </c>
      <c r="L246" s="1" t="s">
        <v>705</v>
      </c>
      <c r="M246" s="2">
        <v>46291</v>
      </c>
      <c r="N246" s="1" t="s">
        <v>5</v>
      </c>
      <c r="O246" s="1" t="s">
        <v>137</v>
      </c>
      <c r="P246" s="1" t="s">
        <v>137</v>
      </c>
      <c r="Q246" s="2"/>
      <c r="S246" s="1">
        <v>1</v>
      </c>
      <c r="T246" s="1">
        <v>0</v>
      </c>
      <c r="U246" s="1">
        <v>0</v>
      </c>
      <c r="V246" s="1">
        <v>0</v>
      </c>
      <c r="W246" s="1">
        <v>2026</v>
      </c>
      <c r="X246" s="1">
        <v>38</v>
      </c>
      <c r="Y246" s="1">
        <v>9</v>
      </c>
      <c r="Z246" s="1">
        <v>17</v>
      </c>
      <c r="AB246" s="1">
        <f t="shared" si="3"/>
        <v>9</v>
      </c>
    </row>
    <row r="247" spans="1:28" x14ac:dyDescent="0.35">
      <c r="A247" s="1">
        <v>1395482</v>
      </c>
      <c r="B247" s="1" t="s">
        <v>132</v>
      </c>
      <c r="C247" s="1" t="s">
        <v>428</v>
      </c>
      <c r="D247" s="1" t="s">
        <v>134</v>
      </c>
      <c r="E247" s="2">
        <v>46282</v>
      </c>
      <c r="F247" s="1" t="s">
        <v>135</v>
      </c>
      <c r="G247" s="1" t="s">
        <v>619</v>
      </c>
      <c r="H247" s="1">
        <v>1036</v>
      </c>
      <c r="I247" s="1" t="s">
        <v>667</v>
      </c>
      <c r="J247" s="1">
        <v>89</v>
      </c>
      <c r="K247" s="1" t="s">
        <v>702</v>
      </c>
      <c r="L247" s="1" t="s">
        <v>706</v>
      </c>
      <c r="M247" s="2">
        <v>46291</v>
      </c>
      <c r="N247" s="1" t="s">
        <v>5</v>
      </c>
      <c r="O247" s="1" t="s">
        <v>137</v>
      </c>
      <c r="P247" s="1" t="s">
        <v>137</v>
      </c>
      <c r="Q247" s="2"/>
      <c r="S247" s="1">
        <v>1</v>
      </c>
      <c r="T247" s="1">
        <v>0</v>
      </c>
      <c r="U247" s="1">
        <v>0</v>
      </c>
      <c r="V247" s="1">
        <v>0</v>
      </c>
      <c r="W247" s="1">
        <v>2026</v>
      </c>
      <c r="X247" s="1">
        <v>38</v>
      </c>
      <c r="Y247" s="1">
        <v>9</v>
      </c>
      <c r="Z247" s="1">
        <v>17</v>
      </c>
      <c r="AB247" s="1">
        <f t="shared" si="3"/>
        <v>9</v>
      </c>
    </row>
    <row r="248" spans="1:28" x14ac:dyDescent="0.35">
      <c r="A248" s="1">
        <v>1395482</v>
      </c>
      <c r="B248" s="1" t="s">
        <v>132</v>
      </c>
      <c r="C248" s="1" t="s">
        <v>428</v>
      </c>
      <c r="D248" s="1" t="s">
        <v>134</v>
      </c>
      <c r="E248" s="2">
        <v>46282</v>
      </c>
      <c r="F248" s="1" t="s">
        <v>135</v>
      </c>
      <c r="G248" s="1" t="s">
        <v>619</v>
      </c>
      <c r="H248" s="1">
        <v>1036</v>
      </c>
      <c r="I248" s="1" t="s">
        <v>667</v>
      </c>
      <c r="J248" s="1">
        <v>87</v>
      </c>
      <c r="K248" s="1" t="s">
        <v>702</v>
      </c>
      <c r="L248" s="1" t="s">
        <v>707</v>
      </c>
      <c r="M248" s="2">
        <v>46291</v>
      </c>
      <c r="N248" s="1" t="s">
        <v>5</v>
      </c>
      <c r="O248" s="1" t="s">
        <v>137</v>
      </c>
      <c r="P248" s="1" t="s">
        <v>137</v>
      </c>
      <c r="Q248" s="2"/>
      <c r="S248" s="1">
        <v>1</v>
      </c>
      <c r="T248" s="1">
        <v>0</v>
      </c>
      <c r="U248" s="1">
        <v>0</v>
      </c>
      <c r="V248" s="1">
        <v>0</v>
      </c>
      <c r="W248" s="1">
        <v>2026</v>
      </c>
      <c r="X248" s="1">
        <v>38</v>
      </c>
      <c r="Y248" s="1">
        <v>9</v>
      </c>
      <c r="Z248" s="1">
        <v>17</v>
      </c>
      <c r="AB248" s="1">
        <f t="shared" si="3"/>
        <v>9</v>
      </c>
    </row>
    <row r="249" spans="1:28" x14ac:dyDescent="0.35">
      <c r="A249" s="1">
        <v>1448611</v>
      </c>
      <c r="B249" s="1" t="s">
        <v>132</v>
      </c>
      <c r="C249" s="1" t="s">
        <v>428</v>
      </c>
      <c r="D249" s="1" t="s">
        <v>134</v>
      </c>
      <c r="E249" s="2">
        <v>46280</v>
      </c>
      <c r="F249" s="1" t="s">
        <v>135</v>
      </c>
      <c r="G249" s="1" t="s">
        <v>326</v>
      </c>
      <c r="H249" s="1">
        <v>1116</v>
      </c>
      <c r="I249" s="1" t="s">
        <v>665</v>
      </c>
      <c r="J249" s="1">
        <v>20</v>
      </c>
      <c r="K249" s="1" t="s">
        <v>167</v>
      </c>
      <c r="M249" s="2">
        <v>46293</v>
      </c>
      <c r="N249" s="1" t="s">
        <v>5</v>
      </c>
      <c r="O249" s="1" t="s">
        <v>137</v>
      </c>
      <c r="P249" s="1" t="s">
        <v>137</v>
      </c>
      <c r="Q249" s="2"/>
      <c r="S249" s="1">
        <v>1</v>
      </c>
      <c r="T249" s="1">
        <v>0</v>
      </c>
      <c r="U249" s="1">
        <v>0</v>
      </c>
      <c r="V249" s="1">
        <v>0</v>
      </c>
      <c r="W249" s="1">
        <v>2026</v>
      </c>
      <c r="X249" s="1">
        <v>38</v>
      </c>
      <c r="Y249" s="1">
        <v>9</v>
      </c>
      <c r="Z249" s="1">
        <v>15</v>
      </c>
      <c r="AB249" s="1">
        <f t="shared" si="3"/>
        <v>9</v>
      </c>
    </row>
    <row r="250" spans="1:28" x14ac:dyDescent="0.35">
      <c r="A250" s="1">
        <v>1609731</v>
      </c>
      <c r="B250" s="1" t="s">
        <v>132</v>
      </c>
      <c r="C250" s="1" t="s">
        <v>428</v>
      </c>
      <c r="D250" s="1" t="s">
        <v>134</v>
      </c>
      <c r="E250" s="2">
        <v>46280</v>
      </c>
      <c r="F250" s="1" t="s">
        <v>135</v>
      </c>
      <c r="G250" s="1" t="s">
        <v>669</v>
      </c>
      <c r="H250" s="1">
        <v>250</v>
      </c>
      <c r="I250" s="1" t="s">
        <v>533</v>
      </c>
      <c r="J250" s="1">
        <v>27</v>
      </c>
      <c r="K250" s="1" t="s">
        <v>251</v>
      </c>
      <c r="L250" s="1" t="s">
        <v>670</v>
      </c>
      <c r="M250" s="2">
        <v>46293</v>
      </c>
      <c r="N250" s="1" t="s">
        <v>5</v>
      </c>
      <c r="O250" s="1" t="s">
        <v>137</v>
      </c>
      <c r="P250" s="1" t="s">
        <v>137</v>
      </c>
      <c r="Q250" s="2"/>
      <c r="S250" s="1">
        <v>1</v>
      </c>
      <c r="T250" s="1">
        <v>0</v>
      </c>
      <c r="U250" s="1">
        <v>0</v>
      </c>
      <c r="V250" s="1">
        <v>0</v>
      </c>
      <c r="W250" s="1">
        <v>2026</v>
      </c>
      <c r="X250" s="1">
        <v>38</v>
      </c>
      <c r="Y250" s="1">
        <v>9</v>
      </c>
      <c r="Z250" s="1">
        <v>15</v>
      </c>
      <c r="AB250" s="1">
        <f t="shared" si="3"/>
        <v>9</v>
      </c>
    </row>
    <row r="251" spans="1:28" x14ac:dyDescent="0.35">
      <c r="A251" s="1">
        <v>1612058</v>
      </c>
      <c r="B251" s="1" t="s">
        <v>132</v>
      </c>
      <c r="C251" s="1" t="s">
        <v>428</v>
      </c>
      <c r="D251" s="1" t="s">
        <v>134</v>
      </c>
      <c r="E251" s="2">
        <v>46282</v>
      </c>
      <c r="F251" s="1" t="s">
        <v>153</v>
      </c>
      <c r="G251" s="1" t="s">
        <v>717</v>
      </c>
      <c r="H251" s="1">
        <v>525</v>
      </c>
      <c r="I251" s="1" t="s">
        <v>570</v>
      </c>
      <c r="J251" s="1">
        <v>49</v>
      </c>
      <c r="K251" s="1" t="s">
        <v>144</v>
      </c>
      <c r="M251" s="2">
        <v>46293</v>
      </c>
      <c r="N251" s="1" t="s">
        <v>5</v>
      </c>
      <c r="O251" s="1" t="s">
        <v>137</v>
      </c>
      <c r="P251" s="1" t="s">
        <v>137</v>
      </c>
      <c r="Q251" s="2"/>
      <c r="S251" s="1">
        <v>1</v>
      </c>
      <c r="T251" s="1">
        <v>0</v>
      </c>
      <c r="U251" s="1">
        <v>0</v>
      </c>
      <c r="V251" s="1">
        <v>0</v>
      </c>
      <c r="W251" s="1">
        <v>2026</v>
      </c>
      <c r="X251" s="1">
        <v>38</v>
      </c>
      <c r="Y251" s="1">
        <v>9</v>
      </c>
      <c r="Z251" s="1">
        <v>17</v>
      </c>
      <c r="AB251" s="1">
        <f t="shared" si="3"/>
        <v>9</v>
      </c>
    </row>
    <row r="252" spans="1:28" x14ac:dyDescent="0.35">
      <c r="A252" s="1">
        <v>1361937</v>
      </c>
      <c r="B252" s="1" t="s">
        <v>132</v>
      </c>
      <c r="C252" s="1" t="s">
        <v>428</v>
      </c>
      <c r="D252" s="1" t="s">
        <v>134</v>
      </c>
      <c r="E252" s="2">
        <v>46288</v>
      </c>
      <c r="F252" s="1" t="s">
        <v>135</v>
      </c>
      <c r="G252" s="1" t="s">
        <v>728</v>
      </c>
      <c r="H252" s="1">
        <v>350</v>
      </c>
      <c r="I252" s="1" t="s">
        <v>588</v>
      </c>
      <c r="J252" s="1">
        <v>60</v>
      </c>
      <c r="K252" s="1" t="s">
        <v>167</v>
      </c>
      <c r="L252" s="1" t="s">
        <v>729</v>
      </c>
      <c r="M252" s="2">
        <v>46293</v>
      </c>
      <c r="N252" s="1" t="s">
        <v>5</v>
      </c>
      <c r="O252" s="1" t="s">
        <v>137</v>
      </c>
      <c r="P252" s="1" t="s">
        <v>137</v>
      </c>
      <c r="Q252" s="2"/>
      <c r="S252" s="1">
        <v>1</v>
      </c>
      <c r="T252" s="1">
        <v>0</v>
      </c>
      <c r="U252" s="1">
        <v>0</v>
      </c>
      <c r="V252" s="1">
        <v>0</v>
      </c>
      <c r="W252" s="1">
        <v>2026</v>
      </c>
      <c r="X252" s="1">
        <v>39</v>
      </c>
      <c r="Y252" s="1">
        <v>9</v>
      </c>
      <c r="Z252" s="1">
        <v>23</v>
      </c>
      <c r="AB252" s="1">
        <f t="shared" si="3"/>
        <v>9</v>
      </c>
    </row>
    <row r="253" spans="1:28" x14ac:dyDescent="0.35">
      <c r="A253" s="1">
        <v>1374021</v>
      </c>
      <c r="B253" s="1" t="s">
        <v>132</v>
      </c>
      <c r="C253" s="1" t="s">
        <v>428</v>
      </c>
      <c r="D253" s="1" t="s">
        <v>134</v>
      </c>
      <c r="E253" s="2">
        <v>46288</v>
      </c>
      <c r="F253" s="1" t="s">
        <v>153</v>
      </c>
      <c r="G253" s="1" t="s">
        <v>736</v>
      </c>
      <c r="H253" s="1">
        <v>200</v>
      </c>
      <c r="I253" s="1" t="s">
        <v>737</v>
      </c>
      <c r="J253" s="1">
        <v>33</v>
      </c>
      <c r="K253" s="1" t="s">
        <v>251</v>
      </c>
      <c r="M253" s="2">
        <v>46293</v>
      </c>
      <c r="N253" s="1" t="s">
        <v>5</v>
      </c>
      <c r="O253" s="1" t="s">
        <v>137</v>
      </c>
      <c r="P253" s="1" t="s">
        <v>137</v>
      </c>
      <c r="Q253" s="2"/>
      <c r="S253" s="1">
        <v>1</v>
      </c>
      <c r="T253" s="1">
        <v>0</v>
      </c>
      <c r="U253" s="1">
        <v>0</v>
      </c>
      <c r="V253" s="1">
        <v>0</v>
      </c>
      <c r="W253" s="1">
        <v>2026</v>
      </c>
      <c r="X253" s="1">
        <v>39</v>
      </c>
      <c r="Y253" s="1">
        <v>9</v>
      </c>
      <c r="Z253" s="1">
        <v>23</v>
      </c>
      <c r="AB253" s="1">
        <f t="shared" si="3"/>
        <v>9</v>
      </c>
    </row>
    <row r="254" spans="1:28" x14ac:dyDescent="0.35">
      <c r="A254" s="1">
        <v>1610710</v>
      </c>
      <c r="B254" s="1" t="s">
        <v>132</v>
      </c>
      <c r="C254" s="1" t="s">
        <v>428</v>
      </c>
      <c r="D254" s="1" t="s">
        <v>134</v>
      </c>
      <c r="E254" s="2">
        <v>46286</v>
      </c>
      <c r="F254" s="1" t="s">
        <v>161</v>
      </c>
      <c r="G254" s="1" t="s">
        <v>723</v>
      </c>
      <c r="H254" s="1">
        <v>789</v>
      </c>
      <c r="I254" s="1" t="s">
        <v>724</v>
      </c>
      <c r="J254" s="1">
        <v>13</v>
      </c>
      <c r="K254" s="1" t="s">
        <v>725</v>
      </c>
      <c r="M254" s="2">
        <v>46294</v>
      </c>
      <c r="N254" s="1" t="s">
        <v>3</v>
      </c>
      <c r="O254" s="1" t="s">
        <v>136</v>
      </c>
      <c r="P254" s="1" t="s">
        <v>137</v>
      </c>
      <c r="Q254" s="2"/>
      <c r="S254" s="1">
        <v>1</v>
      </c>
      <c r="T254" s="1">
        <v>0</v>
      </c>
      <c r="U254" s="1">
        <v>0</v>
      </c>
      <c r="V254" s="1">
        <v>1</v>
      </c>
      <c r="W254" s="1">
        <v>2026</v>
      </c>
      <c r="X254" s="1">
        <v>39</v>
      </c>
      <c r="Y254" s="1">
        <v>9</v>
      </c>
      <c r="Z254" s="1">
        <v>21</v>
      </c>
      <c r="AB254" s="1">
        <f t="shared" si="3"/>
        <v>9</v>
      </c>
    </row>
    <row r="255" spans="1:28" x14ac:dyDescent="0.35">
      <c r="A255" s="1">
        <v>1435689</v>
      </c>
      <c r="B255" s="1" t="s">
        <v>132</v>
      </c>
      <c r="C255" s="1" t="s">
        <v>428</v>
      </c>
      <c r="D255" s="1" t="s">
        <v>134</v>
      </c>
      <c r="E255" s="2">
        <v>46289</v>
      </c>
      <c r="F255" s="1" t="s">
        <v>161</v>
      </c>
      <c r="G255" s="1" t="s">
        <v>745</v>
      </c>
      <c r="H255" s="1">
        <v>60</v>
      </c>
      <c r="I255" s="1" t="s">
        <v>746</v>
      </c>
      <c r="J255" s="1">
        <v>101</v>
      </c>
      <c r="K255" s="1" t="s">
        <v>157</v>
      </c>
      <c r="L255" s="1" t="s">
        <v>747</v>
      </c>
      <c r="M255" s="2">
        <v>46294</v>
      </c>
      <c r="N255" s="1" t="s">
        <v>3</v>
      </c>
      <c r="O255" s="1" t="s">
        <v>145</v>
      </c>
      <c r="P255" s="1" t="s">
        <v>137</v>
      </c>
      <c r="Q255" s="2">
        <v>46300</v>
      </c>
      <c r="R255" s="1" t="s">
        <v>137</v>
      </c>
      <c r="S255" s="1">
        <v>1</v>
      </c>
      <c r="T255" s="1">
        <v>0</v>
      </c>
      <c r="U255" s="1">
        <v>1</v>
      </c>
      <c r="V255" s="1">
        <v>0</v>
      </c>
      <c r="W255" s="1">
        <v>2026</v>
      </c>
      <c r="X255" s="1">
        <v>39</v>
      </c>
      <c r="Y255" s="1">
        <v>9</v>
      </c>
      <c r="Z255" s="1">
        <v>24</v>
      </c>
      <c r="AB255" s="1">
        <f t="shared" si="3"/>
        <v>9</v>
      </c>
    </row>
    <row r="256" spans="1:28" x14ac:dyDescent="0.35">
      <c r="A256" s="1">
        <v>1435360</v>
      </c>
      <c r="B256" s="1" t="s">
        <v>132</v>
      </c>
      <c r="C256" s="1" t="s">
        <v>428</v>
      </c>
      <c r="D256" s="1" t="s">
        <v>134</v>
      </c>
      <c r="E256" s="2">
        <v>46286</v>
      </c>
      <c r="F256" s="1" t="s">
        <v>149</v>
      </c>
      <c r="G256" s="1" t="s">
        <v>219</v>
      </c>
      <c r="H256" s="1">
        <v>577</v>
      </c>
      <c r="I256" s="1" t="s">
        <v>721</v>
      </c>
      <c r="J256" s="1">
        <v>7</v>
      </c>
      <c r="K256" s="1" t="s">
        <v>167</v>
      </c>
      <c r="M256" s="2">
        <v>46295</v>
      </c>
      <c r="N256" s="1" t="s">
        <v>3</v>
      </c>
      <c r="O256" s="1" t="s">
        <v>137</v>
      </c>
      <c r="P256" s="1" t="s">
        <v>137</v>
      </c>
      <c r="Q256" s="2"/>
      <c r="S256" s="1">
        <v>1</v>
      </c>
      <c r="T256" s="1">
        <v>0</v>
      </c>
      <c r="U256" s="1">
        <v>0</v>
      </c>
      <c r="V256" s="1">
        <v>0</v>
      </c>
      <c r="W256" s="1">
        <v>2026</v>
      </c>
      <c r="X256" s="1">
        <v>39</v>
      </c>
      <c r="Y256" s="1">
        <v>9</v>
      </c>
      <c r="Z256" s="1">
        <v>21</v>
      </c>
      <c r="AB256" s="1">
        <f t="shared" si="3"/>
        <v>9</v>
      </c>
    </row>
    <row r="257" spans="1:28" x14ac:dyDescent="0.35">
      <c r="A257" s="1">
        <v>1425446</v>
      </c>
      <c r="B257" s="1" t="s">
        <v>132</v>
      </c>
      <c r="C257" s="1" t="s">
        <v>428</v>
      </c>
      <c r="D257" s="1" t="s">
        <v>134</v>
      </c>
      <c r="E257" s="2">
        <v>46288</v>
      </c>
      <c r="F257" s="1" t="s">
        <v>149</v>
      </c>
      <c r="G257" s="1" t="s">
        <v>726</v>
      </c>
      <c r="H257" s="1">
        <v>669</v>
      </c>
      <c r="I257" s="1" t="s">
        <v>727</v>
      </c>
      <c r="J257" s="1">
        <v>97</v>
      </c>
      <c r="K257" s="1" t="s">
        <v>181</v>
      </c>
      <c r="M257" s="2">
        <v>46295</v>
      </c>
      <c r="N257" s="1" t="s">
        <v>3</v>
      </c>
      <c r="O257" s="1" t="s">
        <v>137</v>
      </c>
      <c r="P257" s="1" t="s">
        <v>137</v>
      </c>
      <c r="Q257" s="2"/>
      <c r="S257" s="1">
        <v>1</v>
      </c>
      <c r="T257" s="1">
        <v>0</v>
      </c>
      <c r="U257" s="1">
        <v>0</v>
      </c>
      <c r="V257" s="1">
        <v>0</v>
      </c>
      <c r="W257" s="1">
        <v>2026</v>
      </c>
      <c r="X257" s="1">
        <v>39</v>
      </c>
      <c r="Y257" s="1">
        <v>9</v>
      </c>
      <c r="Z257" s="1">
        <v>23</v>
      </c>
      <c r="AB257" s="1">
        <f t="shared" si="3"/>
        <v>9</v>
      </c>
    </row>
    <row r="258" spans="1:28" x14ac:dyDescent="0.35">
      <c r="A258" s="1">
        <v>1606224</v>
      </c>
      <c r="B258" s="1" t="s">
        <v>132</v>
      </c>
      <c r="C258" s="1" t="s">
        <v>428</v>
      </c>
      <c r="D258" s="1" t="s">
        <v>134</v>
      </c>
      <c r="E258" s="2">
        <v>46288</v>
      </c>
      <c r="F258" s="1" t="s">
        <v>135</v>
      </c>
      <c r="G258" s="1" t="s">
        <v>730</v>
      </c>
      <c r="H258" s="1">
        <v>453</v>
      </c>
      <c r="I258" s="1" t="s">
        <v>327</v>
      </c>
      <c r="J258" s="1">
        <v>10</v>
      </c>
      <c r="K258" s="1" t="s">
        <v>169</v>
      </c>
      <c r="L258" s="1" t="s">
        <v>731</v>
      </c>
      <c r="M258" s="2">
        <v>46295</v>
      </c>
      <c r="N258" s="1" t="s">
        <v>28</v>
      </c>
      <c r="O258" s="1" t="s">
        <v>136</v>
      </c>
      <c r="P258" s="1" t="s">
        <v>137</v>
      </c>
      <c r="Q258" s="2"/>
      <c r="S258" s="1">
        <v>1</v>
      </c>
      <c r="T258" s="1">
        <v>0</v>
      </c>
      <c r="U258" s="1">
        <v>0</v>
      </c>
      <c r="V258" s="1">
        <v>1</v>
      </c>
      <c r="W258" s="1">
        <v>2026</v>
      </c>
      <c r="X258" s="1">
        <v>39</v>
      </c>
      <c r="Y258" s="1">
        <v>9</v>
      </c>
      <c r="Z258" s="1">
        <v>23</v>
      </c>
      <c r="AB258" s="1">
        <f t="shared" ref="AB258:AB304" si="4">MONTH(M258)</f>
        <v>9</v>
      </c>
    </row>
    <row r="259" spans="1:28" x14ac:dyDescent="0.35">
      <c r="A259" s="1">
        <v>1099315</v>
      </c>
      <c r="B259" s="1" t="s">
        <v>132</v>
      </c>
      <c r="C259" s="1" t="s">
        <v>428</v>
      </c>
      <c r="D259" s="1" t="s">
        <v>134</v>
      </c>
      <c r="E259" s="2">
        <v>46288</v>
      </c>
      <c r="F259" s="1" t="s">
        <v>165</v>
      </c>
      <c r="G259" s="1" t="s">
        <v>732</v>
      </c>
      <c r="H259" s="1">
        <v>200</v>
      </c>
      <c r="I259" s="1" t="s">
        <v>600</v>
      </c>
      <c r="J259" s="1">
        <v>95</v>
      </c>
      <c r="K259" s="1" t="s">
        <v>367</v>
      </c>
      <c r="M259" s="2">
        <v>46295</v>
      </c>
      <c r="N259" s="1" t="s">
        <v>24</v>
      </c>
      <c r="O259" s="1" t="s">
        <v>137</v>
      </c>
      <c r="P259" s="1" t="s">
        <v>137</v>
      </c>
      <c r="Q259" s="2"/>
      <c r="S259" s="1">
        <v>1</v>
      </c>
      <c r="T259" s="1">
        <v>0</v>
      </c>
      <c r="U259" s="1">
        <v>0</v>
      </c>
      <c r="V259" s="1">
        <v>0</v>
      </c>
      <c r="W259" s="1">
        <v>2026</v>
      </c>
      <c r="X259" s="1">
        <v>39</v>
      </c>
      <c r="Y259" s="1">
        <v>9</v>
      </c>
      <c r="Z259" s="1">
        <v>23</v>
      </c>
      <c r="AB259" s="1">
        <f t="shared" si="4"/>
        <v>9</v>
      </c>
    </row>
    <row r="260" spans="1:28" x14ac:dyDescent="0.35">
      <c r="A260" s="1">
        <v>1426921</v>
      </c>
      <c r="B260" s="1" t="s">
        <v>132</v>
      </c>
      <c r="C260" s="1" t="s">
        <v>428</v>
      </c>
      <c r="D260" s="1" t="s">
        <v>134</v>
      </c>
      <c r="E260" s="2">
        <v>46289</v>
      </c>
      <c r="F260" s="1" t="s">
        <v>149</v>
      </c>
      <c r="G260" s="1" t="s">
        <v>597</v>
      </c>
      <c r="H260" s="1">
        <v>406</v>
      </c>
      <c r="I260" s="1" t="s">
        <v>182</v>
      </c>
      <c r="J260" s="1">
        <v>13</v>
      </c>
      <c r="K260" s="1" t="s">
        <v>157</v>
      </c>
      <c r="M260" s="2">
        <v>46295</v>
      </c>
      <c r="N260" s="1" t="s">
        <v>3</v>
      </c>
      <c r="O260" s="1" t="s">
        <v>137</v>
      </c>
      <c r="P260" s="1" t="s">
        <v>137</v>
      </c>
      <c r="Q260" s="2"/>
      <c r="S260" s="1">
        <v>1</v>
      </c>
      <c r="T260" s="1">
        <v>0</v>
      </c>
      <c r="U260" s="1">
        <v>0</v>
      </c>
      <c r="V260" s="1">
        <v>0</v>
      </c>
      <c r="W260" s="1">
        <v>2026</v>
      </c>
      <c r="X260" s="1">
        <v>39</v>
      </c>
      <c r="Y260" s="1">
        <v>9</v>
      </c>
      <c r="Z260" s="1">
        <v>24</v>
      </c>
      <c r="AB260" s="1">
        <f t="shared" si="4"/>
        <v>9</v>
      </c>
    </row>
    <row r="261" spans="1:28" x14ac:dyDescent="0.35">
      <c r="A261" s="1">
        <v>1514756</v>
      </c>
      <c r="B261" s="1" t="s">
        <v>132</v>
      </c>
      <c r="C261" s="1" t="s">
        <v>428</v>
      </c>
      <c r="D261" s="1" t="s">
        <v>134</v>
      </c>
      <c r="E261" s="2">
        <v>46289</v>
      </c>
      <c r="F261" s="1" t="s">
        <v>149</v>
      </c>
      <c r="G261" s="1" t="s">
        <v>629</v>
      </c>
      <c r="H261" s="1">
        <v>96</v>
      </c>
      <c r="I261" s="1" t="s">
        <v>637</v>
      </c>
      <c r="J261" s="1">
        <v>73</v>
      </c>
      <c r="K261" s="1" t="s">
        <v>163</v>
      </c>
      <c r="L261" s="1" t="s">
        <v>729</v>
      </c>
      <c r="M261" s="2">
        <v>46295</v>
      </c>
      <c r="N261" s="1" t="s">
        <v>3</v>
      </c>
      <c r="O261" s="1" t="s">
        <v>137</v>
      </c>
      <c r="P261" s="1" t="s">
        <v>137</v>
      </c>
      <c r="Q261" s="2"/>
      <c r="S261" s="1">
        <v>1</v>
      </c>
      <c r="T261" s="1">
        <v>0</v>
      </c>
      <c r="U261" s="1">
        <v>0</v>
      </c>
      <c r="V261" s="1">
        <v>0</v>
      </c>
      <c r="W261" s="1">
        <v>2026</v>
      </c>
      <c r="X261" s="1">
        <v>39</v>
      </c>
      <c r="Y261" s="1">
        <v>9</v>
      </c>
      <c r="Z261" s="1">
        <v>24</v>
      </c>
      <c r="AB261" s="1">
        <f t="shared" si="4"/>
        <v>9</v>
      </c>
    </row>
    <row r="262" spans="1:28" x14ac:dyDescent="0.35">
      <c r="A262" s="1">
        <v>1609290</v>
      </c>
      <c r="B262" s="1" t="s">
        <v>132</v>
      </c>
      <c r="C262" s="1" t="s">
        <v>428</v>
      </c>
      <c r="D262" s="1" t="s">
        <v>134</v>
      </c>
      <c r="E262" s="2">
        <v>46289</v>
      </c>
      <c r="F262" s="1" t="s">
        <v>135</v>
      </c>
      <c r="G262" s="1" t="s">
        <v>224</v>
      </c>
      <c r="H262" s="1">
        <v>90</v>
      </c>
      <c r="I262" s="1" t="s">
        <v>588</v>
      </c>
      <c r="J262" s="1">
        <v>97</v>
      </c>
      <c r="K262" s="1" t="s">
        <v>183</v>
      </c>
      <c r="L262" s="1" t="s">
        <v>744</v>
      </c>
      <c r="M262" s="2">
        <v>46295</v>
      </c>
      <c r="N262" s="1" t="s">
        <v>28</v>
      </c>
      <c r="O262" s="1" t="s">
        <v>137</v>
      </c>
      <c r="P262" s="1" t="s">
        <v>137</v>
      </c>
      <c r="Q262" s="2"/>
      <c r="S262" s="1">
        <v>1</v>
      </c>
      <c r="T262" s="1">
        <v>0</v>
      </c>
      <c r="U262" s="1">
        <v>0</v>
      </c>
      <c r="V262" s="1">
        <v>0</v>
      </c>
      <c r="W262" s="1">
        <v>2026</v>
      </c>
      <c r="X262" s="1">
        <v>39</v>
      </c>
      <c r="Y262" s="1">
        <v>9</v>
      </c>
      <c r="Z262" s="1">
        <v>24</v>
      </c>
      <c r="AB262" s="1">
        <f t="shared" si="4"/>
        <v>9</v>
      </c>
    </row>
    <row r="263" spans="1:28" x14ac:dyDescent="0.35">
      <c r="A263" s="1">
        <v>1425671</v>
      </c>
      <c r="B263" s="1" t="s">
        <v>132</v>
      </c>
      <c r="C263" s="1" t="s">
        <v>428</v>
      </c>
      <c r="D263" s="1" t="s">
        <v>134</v>
      </c>
      <c r="E263" s="2">
        <v>46290</v>
      </c>
      <c r="F263" s="1" t="s">
        <v>135</v>
      </c>
      <c r="G263" s="1" t="s">
        <v>751</v>
      </c>
      <c r="H263" s="1">
        <v>475</v>
      </c>
      <c r="I263" s="1" t="s">
        <v>692</v>
      </c>
      <c r="J263" s="1">
        <v>10</v>
      </c>
      <c r="K263" s="1" t="s">
        <v>170</v>
      </c>
      <c r="M263" s="2">
        <v>46295</v>
      </c>
      <c r="N263" s="1" t="s">
        <v>28</v>
      </c>
      <c r="O263" s="1" t="s">
        <v>145</v>
      </c>
      <c r="P263" s="1" t="s">
        <v>137</v>
      </c>
      <c r="Q263" s="2">
        <v>46295</v>
      </c>
      <c r="R263" s="1" t="s">
        <v>137</v>
      </c>
      <c r="S263" s="1">
        <v>1</v>
      </c>
      <c r="T263" s="1">
        <v>0</v>
      </c>
      <c r="U263" s="1">
        <v>1</v>
      </c>
      <c r="V263" s="1">
        <v>0</v>
      </c>
      <c r="W263" s="1">
        <v>2026</v>
      </c>
      <c r="X263" s="1">
        <v>39</v>
      </c>
      <c r="Y263" s="1">
        <v>9</v>
      </c>
      <c r="Z263" s="1">
        <v>25</v>
      </c>
      <c r="AB263" s="1">
        <f t="shared" si="4"/>
        <v>9</v>
      </c>
    </row>
    <row r="264" spans="1:28" x14ac:dyDescent="0.35">
      <c r="A264" s="1">
        <v>1607690</v>
      </c>
      <c r="B264" s="1" t="s">
        <v>132</v>
      </c>
      <c r="C264" s="1" t="s">
        <v>428</v>
      </c>
      <c r="D264" s="1" t="s">
        <v>134</v>
      </c>
      <c r="E264" s="2">
        <v>46275</v>
      </c>
      <c r="F264" s="1" t="s">
        <v>146</v>
      </c>
      <c r="G264" s="1" t="s">
        <v>635</v>
      </c>
      <c r="H264" s="1">
        <v>524</v>
      </c>
      <c r="I264" s="1" t="s">
        <v>269</v>
      </c>
      <c r="J264" s="1">
        <v>63</v>
      </c>
      <c r="K264" s="1" t="s">
        <v>361</v>
      </c>
      <c r="L264" s="1" t="s">
        <v>636</v>
      </c>
      <c r="M264" s="2">
        <v>46296</v>
      </c>
      <c r="N264" s="1" t="s">
        <v>22</v>
      </c>
      <c r="O264" s="1" t="s">
        <v>136</v>
      </c>
      <c r="P264" s="1" t="s">
        <v>137</v>
      </c>
      <c r="Q264" s="2"/>
      <c r="S264" s="1">
        <v>1</v>
      </c>
      <c r="T264" s="1">
        <v>0</v>
      </c>
      <c r="U264" s="1">
        <v>0</v>
      </c>
      <c r="V264" s="1">
        <v>1</v>
      </c>
      <c r="W264" s="1">
        <v>2026</v>
      </c>
      <c r="X264" s="1">
        <v>37</v>
      </c>
      <c r="Y264" s="1">
        <v>9</v>
      </c>
      <c r="Z264" s="1">
        <v>10</v>
      </c>
      <c r="AB264" s="1">
        <f t="shared" si="4"/>
        <v>10</v>
      </c>
    </row>
    <row r="265" spans="1:28" x14ac:dyDescent="0.35">
      <c r="A265" s="1">
        <v>1490277</v>
      </c>
      <c r="B265" s="1" t="s">
        <v>132</v>
      </c>
      <c r="C265" s="1" t="s">
        <v>428</v>
      </c>
      <c r="D265" s="1" t="s">
        <v>134</v>
      </c>
      <c r="E265" s="2">
        <v>46282</v>
      </c>
      <c r="F265" s="1" t="s">
        <v>135</v>
      </c>
      <c r="G265" s="1" t="s">
        <v>712</v>
      </c>
      <c r="H265" s="1">
        <v>1216</v>
      </c>
      <c r="I265" s="1" t="s">
        <v>562</v>
      </c>
      <c r="J265" s="1">
        <v>88</v>
      </c>
      <c r="K265" s="1" t="s">
        <v>191</v>
      </c>
      <c r="L265" s="1" t="s">
        <v>713</v>
      </c>
      <c r="M265" s="2">
        <v>46296</v>
      </c>
      <c r="N265" s="1" t="s">
        <v>9</v>
      </c>
      <c r="O265" s="1" t="s">
        <v>137</v>
      </c>
      <c r="P265" s="1" t="s">
        <v>137</v>
      </c>
      <c r="Q265" s="2"/>
      <c r="S265" s="1">
        <v>1</v>
      </c>
      <c r="T265" s="1">
        <v>0</v>
      </c>
      <c r="U265" s="1">
        <v>0</v>
      </c>
      <c r="V265" s="1">
        <v>0</v>
      </c>
      <c r="W265" s="1">
        <v>2026</v>
      </c>
      <c r="X265" s="1">
        <v>38</v>
      </c>
      <c r="Y265" s="1">
        <v>9</v>
      </c>
      <c r="Z265" s="1">
        <v>17</v>
      </c>
      <c r="AB265" s="1">
        <f t="shared" si="4"/>
        <v>10</v>
      </c>
    </row>
    <row r="266" spans="1:28" x14ac:dyDescent="0.35">
      <c r="A266" s="1">
        <v>1490277</v>
      </c>
      <c r="B266" s="1" t="s">
        <v>132</v>
      </c>
      <c r="C266" s="1" t="s">
        <v>428</v>
      </c>
      <c r="D266" s="1" t="s">
        <v>134</v>
      </c>
      <c r="E266" s="2">
        <v>46282</v>
      </c>
      <c r="F266" s="1" t="s">
        <v>135</v>
      </c>
      <c r="G266" s="1" t="s">
        <v>712</v>
      </c>
      <c r="H266" s="1">
        <v>1216</v>
      </c>
      <c r="I266" s="1" t="s">
        <v>562</v>
      </c>
      <c r="J266" s="1">
        <v>89</v>
      </c>
      <c r="K266" s="1" t="s">
        <v>181</v>
      </c>
      <c r="L266" s="1" t="s">
        <v>714</v>
      </c>
      <c r="M266" s="2">
        <v>46296</v>
      </c>
      <c r="N266" s="1" t="s">
        <v>9</v>
      </c>
      <c r="O266" s="1" t="s">
        <v>137</v>
      </c>
      <c r="P266" s="1" t="s">
        <v>137</v>
      </c>
      <c r="Q266" s="2"/>
      <c r="S266" s="1">
        <v>1</v>
      </c>
      <c r="T266" s="1">
        <v>0</v>
      </c>
      <c r="U266" s="1">
        <v>0</v>
      </c>
      <c r="V266" s="1">
        <v>0</v>
      </c>
      <c r="W266" s="1">
        <v>2026</v>
      </c>
      <c r="X266" s="1">
        <v>38</v>
      </c>
      <c r="Y266" s="1">
        <v>9</v>
      </c>
      <c r="Z266" s="1">
        <v>17</v>
      </c>
      <c r="AB266" s="1">
        <f t="shared" si="4"/>
        <v>10</v>
      </c>
    </row>
    <row r="267" spans="1:28" x14ac:dyDescent="0.35">
      <c r="A267" s="1">
        <v>1610703</v>
      </c>
      <c r="B267" s="1" t="s">
        <v>132</v>
      </c>
      <c r="C267" s="1" t="s">
        <v>428</v>
      </c>
      <c r="D267" s="1" t="s">
        <v>134</v>
      </c>
      <c r="E267" s="2">
        <v>46282</v>
      </c>
      <c r="F267" s="1" t="s">
        <v>146</v>
      </c>
      <c r="G267" s="1" t="s">
        <v>559</v>
      </c>
      <c r="H267" s="1">
        <v>150</v>
      </c>
      <c r="I267" s="1" t="s">
        <v>676</v>
      </c>
      <c r="J267" s="1">
        <v>19</v>
      </c>
      <c r="K267" s="1" t="s">
        <v>171</v>
      </c>
      <c r="M267" s="2">
        <v>46296</v>
      </c>
      <c r="N267" s="1" t="s">
        <v>22</v>
      </c>
      <c r="O267" s="1" t="s">
        <v>145</v>
      </c>
      <c r="P267" s="1" t="s">
        <v>137</v>
      </c>
      <c r="Q267" s="2">
        <v>46300</v>
      </c>
      <c r="R267" s="1" t="s">
        <v>124</v>
      </c>
      <c r="S267" s="1">
        <v>1</v>
      </c>
      <c r="T267" s="1">
        <v>0</v>
      </c>
      <c r="U267" s="1">
        <v>1</v>
      </c>
      <c r="V267" s="1">
        <v>0</v>
      </c>
      <c r="W267" s="1">
        <v>2026</v>
      </c>
      <c r="X267" s="1">
        <v>38</v>
      </c>
      <c r="Y267" s="1">
        <v>9</v>
      </c>
      <c r="Z267" s="1">
        <v>17</v>
      </c>
      <c r="AB267" s="1">
        <f t="shared" si="4"/>
        <v>10</v>
      </c>
    </row>
    <row r="268" spans="1:28" x14ac:dyDescent="0.35">
      <c r="A268" s="1">
        <v>1429654</v>
      </c>
      <c r="B268" s="1" t="s">
        <v>132</v>
      </c>
      <c r="C268" s="1" t="s">
        <v>428</v>
      </c>
      <c r="D268" s="1" t="s">
        <v>134</v>
      </c>
      <c r="E268" s="2">
        <v>46289</v>
      </c>
      <c r="F268" s="1" t="s">
        <v>139</v>
      </c>
      <c r="G268" s="1" t="s">
        <v>741</v>
      </c>
      <c r="H268" s="1">
        <v>1858</v>
      </c>
      <c r="I268" s="1" t="s">
        <v>548</v>
      </c>
      <c r="J268" s="1">
        <v>73</v>
      </c>
      <c r="K268" s="1" t="s">
        <v>151</v>
      </c>
      <c r="L268" s="1" t="s">
        <v>742</v>
      </c>
      <c r="M268" s="2">
        <v>46296</v>
      </c>
      <c r="N268" s="1" t="s">
        <v>9</v>
      </c>
      <c r="O268" s="1" t="s">
        <v>137</v>
      </c>
      <c r="P268" s="1" t="s">
        <v>137</v>
      </c>
      <c r="Q268" s="2"/>
      <c r="S268" s="1">
        <v>1</v>
      </c>
      <c r="T268" s="1">
        <v>0</v>
      </c>
      <c r="U268" s="1">
        <v>0</v>
      </c>
      <c r="V268" s="1">
        <v>0</v>
      </c>
      <c r="W268" s="1">
        <v>2026</v>
      </c>
      <c r="X268" s="1">
        <v>39</v>
      </c>
      <c r="Y268" s="1">
        <v>9</v>
      </c>
      <c r="Z268" s="1">
        <v>24</v>
      </c>
      <c r="AB268" s="1">
        <f t="shared" si="4"/>
        <v>10</v>
      </c>
    </row>
    <row r="269" spans="1:28" x14ac:dyDescent="0.35">
      <c r="A269" s="1">
        <v>25276</v>
      </c>
      <c r="B269" s="1" t="s">
        <v>132</v>
      </c>
      <c r="C269" s="1" t="s">
        <v>428</v>
      </c>
      <c r="D269" s="1" t="s">
        <v>134</v>
      </c>
      <c r="E269" s="2">
        <v>46290</v>
      </c>
      <c r="F269" s="1" t="s">
        <v>139</v>
      </c>
      <c r="G269" s="1" t="s">
        <v>195</v>
      </c>
      <c r="H269" s="1">
        <v>1523</v>
      </c>
      <c r="I269" s="1" t="s">
        <v>596</v>
      </c>
      <c r="J269" s="1">
        <v>55</v>
      </c>
      <c r="K269" s="1" t="s">
        <v>173</v>
      </c>
      <c r="L269" s="1" t="s">
        <v>749</v>
      </c>
      <c r="M269" s="2">
        <v>46296</v>
      </c>
      <c r="N269" s="1" t="s">
        <v>9</v>
      </c>
      <c r="O269" s="1" t="s">
        <v>137</v>
      </c>
      <c r="P269" s="1" t="s">
        <v>137</v>
      </c>
      <c r="Q269" s="2"/>
      <c r="S269" s="1">
        <v>1</v>
      </c>
      <c r="T269" s="1">
        <v>0</v>
      </c>
      <c r="U269" s="1">
        <v>0</v>
      </c>
      <c r="V269" s="1">
        <v>0</v>
      </c>
      <c r="W269" s="1">
        <v>2026</v>
      </c>
      <c r="X269" s="1">
        <v>39</v>
      </c>
      <c r="Y269" s="1">
        <v>9</v>
      </c>
      <c r="Z269" s="1">
        <v>25</v>
      </c>
      <c r="AB269" s="1">
        <f t="shared" si="4"/>
        <v>10</v>
      </c>
    </row>
    <row r="270" spans="1:28" x14ac:dyDescent="0.35">
      <c r="A270" s="1">
        <v>1425108</v>
      </c>
      <c r="B270" s="1" t="s">
        <v>132</v>
      </c>
      <c r="C270" s="1" t="s">
        <v>428</v>
      </c>
      <c r="D270" s="1" t="s">
        <v>134</v>
      </c>
      <c r="E270" s="2">
        <v>46290</v>
      </c>
      <c r="F270" s="1" t="s">
        <v>165</v>
      </c>
      <c r="G270" s="1" t="s">
        <v>175</v>
      </c>
      <c r="H270" s="1">
        <v>2004</v>
      </c>
      <c r="I270" s="1" t="s">
        <v>644</v>
      </c>
      <c r="J270" s="1">
        <v>124</v>
      </c>
      <c r="K270" s="1" t="s">
        <v>201</v>
      </c>
      <c r="L270" s="1" t="s">
        <v>679</v>
      </c>
      <c r="M270" s="2">
        <v>46296</v>
      </c>
      <c r="N270" s="1" t="s">
        <v>28</v>
      </c>
      <c r="O270" s="1" t="s">
        <v>137</v>
      </c>
      <c r="P270" s="1" t="s">
        <v>137</v>
      </c>
      <c r="Q270" s="2"/>
      <c r="S270" s="1">
        <v>1</v>
      </c>
      <c r="T270" s="1">
        <v>0</v>
      </c>
      <c r="U270" s="1">
        <v>0</v>
      </c>
      <c r="V270" s="1">
        <v>0</v>
      </c>
      <c r="W270" s="1">
        <v>2026</v>
      </c>
      <c r="X270" s="1">
        <v>39</v>
      </c>
      <c r="Y270" s="1">
        <v>9</v>
      </c>
      <c r="Z270" s="1">
        <v>25</v>
      </c>
      <c r="AB270" s="1">
        <f t="shared" si="4"/>
        <v>10</v>
      </c>
    </row>
    <row r="271" spans="1:28" x14ac:dyDescent="0.35">
      <c r="A271" s="1">
        <v>997973</v>
      </c>
      <c r="B271" s="1" t="s">
        <v>132</v>
      </c>
      <c r="C271" s="1" t="s">
        <v>428</v>
      </c>
      <c r="D271" s="1" t="s">
        <v>134</v>
      </c>
      <c r="E271" s="2">
        <v>46286</v>
      </c>
      <c r="F271" s="1" t="s">
        <v>146</v>
      </c>
      <c r="G271" s="1" t="s">
        <v>718</v>
      </c>
      <c r="H271" s="1">
        <v>126</v>
      </c>
      <c r="I271" s="1" t="s">
        <v>560</v>
      </c>
      <c r="J271" s="1">
        <v>16</v>
      </c>
      <c r="K271" s="1" t="s">
        <v>167</v>
      </c>
      <c r="L271" s="1" t="s">
        <v>691</v>
      </c>
      <c r="M271" s="2">
        <v>46300</v>
      </c>
      <c r="N271" s="1" t="s">
        <v>5</v>
      </c>
      <c r="O271" s="1" t="s">
        <v>145</v>
      </c>
      <c r="P271" s="1" t="s">
        <v>137</v>
      </c>
      <c r="Q271" s="2">
        <v>46300</v>
      </c>
      <c r="R271" s="1" t="s">
        <v>137</v>
      </c>
      <c r="S271" s="1">
        <v>1</v>
      </c>
      <c r="T271" s="1">
        <v>0</v>
      </c>
      <c r="U271" s="1">
        <v>1</v>
      </c>
      <c r="V271" s="1">
        <v>0</v>
      </c>
      <c r="W271" s="1">
        <v>2026</v>
      </c>
      <c r="X271" s="1">
        <v>39</v>
      </c>
      <c r="Y271" s="1">
        <v>9</v>
      </c>
      <c r="Z271" s="1">
        <v>21</v>
      </c>
      <c r="AB271" s="1">
        <f t="shared" si="4"/>
        <v>10</v>
      </c>
    </row>
    <row r="272" spans="1:28" x14ac:dyDescent="0.35">
      <c r="A272" s="1">
        <v>1092808</v>
      </c>
      <c r="B272" s="1" t="s">
        <v>132</v>
      </c>
      <c r="C272" s="1" t="s">
        <v>428</v>
      </c>
      <c r="D272" s="1" t="s">
        <v>134</v>
      </c>
      <c r="E272" s="2">
        <v>46288</v>
      </c>
      <c r="F272" s="1" t="s">
        <v>146</v>
      </c>
      <c r="G272" s="1" t="s">
        <v>738</v>
      </c>
      <c r="H272" s="1">
        <v>302</v>
      </c>
      <c r="I272" s="1" t="s">
        <v>739</v>
      </c>
      <c r="J272" s="1">
        <v>77</v>
      </c>
      <c r="K272" s="1" t="s">
        <v>142</v>
      </c>
      <c r="L272" s="1" t="s">
        <v>740</v>
      </c>
      <c r="M272" s="2">
        <v>46300</v>
      </c>
      <c r="N272" s="1" t="s">
        <v>5</v>
      </c>
      <c r="O272" s="1" t="s">
        <v>137</v>
      </c>
      <c r="P272" s="1" t="s">
        <v>137</v>
      </c>
      <c r="Q272" s="2"/>
      <c r="S272" s="1">
        <v>1</v>
      </c>
      <c r="T272" s="1">
        <v>0</v>
      </c>
      <c r="U272" s="1">
        <v>0</v>
      </c>
      <c r="V272" s="1">
        <v>0</v>
      </c>
      <c r="W272" s="1">
        <v>2026</v>
      </c>
      <c r="X272" s="1">
        <v>39</v>
      </c>
      <c r="Y272" s="1">
        <v>9</v>
      </c>
      <c r="Z272" s="1">
        <v>23</v>
      </c>
      <c r="AB272" s="1">
        <f t="shared" si="4"/>
        <v>10</v>
      </c>
    </row>
    <row r="273" spans="1:28" x14ac:dyDescent="0.35">
      <c r="A273" s="1">
        <v>1218053</v>
      </c>
      <c r="B273" s="1" t="s">
        <v>132</v>
      </c>
      <c r="C273" s="1" t="s">
        <v>428</v>
      </c>
      <c r="D273" s="1" t="s">
        <v>134</v>
      </c>
      <c r="E273" s="2">
        <v>46289</v>
      </c>
      <c r="F273" s="1" t="s">
        <v>146</v>
      </c>
      <c r="G273" s="1" t="s">
        <v>748</v>
      </c>
      <c r="H273" s="1">
        <v>805</v>
      </c>
      <c r="I273" s="1" t="s">
        <v>323</v>
      </c>
      <c r="J273" s="1">
        <v>69</v>
      </c>
      <c r="K273" s="1" t="s">
        <v>191</v>
      </c>
      <c r="L273" s="1" t="s">
        <v>630</v>
      </c>
      <c r="M273" s="2">
        <v>46300</v>
      </c>
      <c r="N273" s="1" t="s">
        <v>5</v>
      </c>
      <c r="O273" s="1" t="s">
        <v>136</v>
      </c>
      <c r="P273" s="1" t="s">
        <v>137</v>
      </c>
      <c r="Q273" s="2"/>
      <c r="S273" s="1">
        <v>1</v>
      </c>
      <c r="T273" s="1">
        <v>0</v>
      </c>
      <c r="U273" s="1">
        <v>0</v>
      </c>
      <c r="V273" s="1">
        <v>1</v>
      </c>
      <c r="W273" s="1">
        <v>2026</v>
      </c>
      <c r="X273" s="1">
        <v>39</v>
      </c>
      <c r="Y273" s="1">
        <v>9</v>
      </c>
      <c r="Z273" s="1">
        <v>24</v>
      </c>
      <c r="AB273" s="1">
        <f t="shared" si="4"/>
        <v>10</v>
      </c>
    </row>
    <row r="274" spans="1:28" x14ac:dyDescent="0.35">
      <c r="A274" s="1">
        <v>659852</v>
      </c>
      <c r="B274" s="1" t="s">
        <v>132</v>
      </c>
      <c r="C274" s="1" t="s">
        <v>428</v>
      </c>
      <c r="D274" s="1" t="s">
        <v>134</v>
      </c>
      <c r="E274" s="2">
        <v>46290</v>
      </c>
      <c r="F274" s="1" t="s">
        <v>146</v>
      </c>
      <c r="G274" s="1" t="s">
        <v>755</v>
      </c>
      <c r="H274" s="1">
        <v>670</v>
      </c>
      <c r="I274" s="1" t="s">
        <v>756</v>
      </c>
      <c r="J274" s="1">
        <v>23</v>
      </c>
      <c r="K274" s="1" t="s">
        <v>151</v>
      </c>
      <c r="L274" s="1" t="s">
        <v>668</v>
      </c>
      <c r="M274" s="2">
        <v>46300</v>
      </c>
      <c r="N274" s="1" t="s">
        <v>5</v>
      </c>
      <c r="O274" s="1" t="s">
        <v>137</v>
      </c>
      <c r="P274" s="1" t="s">
        <v>137</v>
      </c>
      <c r="Q274" s="2"/>
      <c r="S274" s="1">
        <v>1</v>
      </c>
      <c r="T274" s="1">
        <v>0</v>
      </c>
      <c r="U274" s="1">
        <v>0</v>
      </c>
      <c r="V274" s="1">
        <v>0</v>
      </c>
      <c r="W274" s="1">
        <v>2026</v>
      </c>
      <c r="X274" s="1">
        <v>39</v>
      </c>
      <c r="Y274" s="1">
        <v>9</v>
      </c>
      <c r="Z274" s="1">
        <v>25</v>
      </c>
      <c r="AB274" s="1">
        <f t="shared" si="4"/>
        <v>10</v>
      </c>
    </row>
    <row r="275" spans="1:28" x14ac:dyDescent="0.35">
      <c r="A275" s="1">
        <v>1527654</v>
      </c>
      <c r="B275" s="1" t="s">
        <v>132</v>
      </c>
      <c r="C275" s="1" t="s">
        <v>428</v>
      </c>
      <c r="D275" s="1" t="s">
        <v>134</v>
      </c>
      <c r="E275" s="2">
        <v>46293</v>
      </c>
      <c r="F275" s="1" t="s">
        <v>146</v>
      </c>
      <c r="G275" s="1" t="s">
        <v>217</v>
      </c>
      <c r="H275" s="1">
        <v>4900</v>
      </c>
      <c r="I275" s="1" t="s">
        <v>756</v>
      </c>
      <c r="J275" s="1">
        <v>43</v>
      </c>
      <c r="K275" s="1" t="s">
        <v>757</v>
      </c>
      <c r="L275" s="1" t="s">
        <v>758</v>
      </c>
      <c r="M275" s="2">
        <v>46300</v>
      </c>
      <c r="N275" s="1" t="s">
        <v>5</v>
      </c>
      <c r="O275" s="1" t="s">
        <v>137</v>
      </c>
      <c r="P275" s="1" t="s">
        <v>137</v>
      </c>
      <c r="Q275" s="2"/>
      <c r="S275" s="1">
        <v>1</v>
      </c>
      <c r="T275" s="1">
        <v>0</v>
      </c>
      <c r="U275" s="1">
        <v>0</v>
      </c>
      <c r="V275" s="1">
        <v>0</v>
      </c>
      <c r="W275" s="1">
        <v>2026</v>
      </c>
      <c r="X275" s="1">
        <v>40</v>
      </c>
      <c r="Y275" s="1">
        <v>9</v>
      </c>
      <c r="Z275" s="1">
        <v>28</v>
      </c>
      <c r="AB275" s="1">
        <f t="shared" si="4"/>
        <v>10</v>
      </c>
    </row>
    <row r="276" spans="1:28" x14ac:dyDescent="0.35">
      <c r="A276" s="1">
        <v>1527654</v>
      </c>
      <c r="B276" s="1" t="s">
        <v>132</v>
      </c>
      <c r="C276" s="1" t="s">
        <v>428</v>
      </c>
      <c r="D276" s="1" t="s">
        <v>134</v>
      </c>
      <c r="E276" s="2">
        <v>46293</v>
      </c>
      <c r="F276" s="1" t="s">
        <v>146</v>
      </c>
      <c r="G276" s="1" t="s">
        <v>217</v>
      </c>
      <c r="H276" s="1">
        <v>4900</v>
      </c>
      <c r="I276" s="1" t="s">
        <v>756</v>
      </c>
      <c r="J276" s="1">
        <v>45</v>
      </c>
      <c r="K276" s="1" t="s">
        <v>661</v>
      </c>
      <c r="L276" s="1" t="s">
        <v>759</v>
      </c>
      <c r="M276" s="2">
        <v>46300</v>
      </c>
      <c r="N276" s="1" t="s">
        <v>5</v>
      </c>
      <c r="O276" s="1" t="s">
        <v>137</v>
      </c>
      <c r="P276" s="1" t="s">
        <v>137</v>
      </c>
      <c r="Q276" s="2"/>
      <c r="S276" s="1">
        <v>1</v>
      </c>
      <c r="T276" s="1">
        <v>0</v>
      </c>
      <c r="U276" s="1">
        <v>0</v>
      </c>
      <c r="V276" s="1">
        <v>0</v>
      </c>
      <c r="W276" s="1">
        <v>2026</v>
      </c>
      <c r="X276" s="1">
        <v>40</v>
      </c>
      <c r="Y276" s="1">
        <v>9</v>
      </c>
      <c r="Z276" s="1">
        <v>28</v>
      </c>
      <c r="AB276" s="1">
        <f t="shared" si="4"/>
        <v>10</v>
      </c>
    </row>
    <row r="277" spans="1:28" x14ac:dyDescent="0.35">
      <c r="A277" s="1">
        <v>1527654</v>
      </c>
      <c r="B277" s="1" t="s">
        <v>132</v>
      </c>
      <c r="C277" s="1" t="s">
        <v>428</v>
      </c>
      <c r="D277" s="1" t="s">
        <v>134</v>
      </c>
      <c r="E277" s="2">
        <v>46293</v>
      </c>
      <c r="F277" s="1" t="s">
        <v>146</v>
      </c>
      <c r="G277" s="1" t="s">
        <v>217</v>
      </c>
      <c r="H277" s="1">
        <v>4900</v>
      </c>
      <c r="I277" s="1" t="s">
        <v>756</v>
      </c>
      <c r="J277" s="1">
        <v>47</v>
      </c>
      <c r="K277" s="1" t="s">
        <v>661</v>
      </c>
      <c r="L277" s="1" t="s">
        <v>760</v>
      </c>
      <c r="M277" s="2">
        <v>46300</v>
      </c>
      <c r="N277" s="1" t="s">
        <v>5</v>
      </c>
      <c r="O277" s="1" t="s">
        <v>137</v>
      </c>
      <c r="P277" s="1" t="s">
        <v>137</v>
      </c>
      <c r="Q277" s="2"/>
      <c r="S277" s="1">
        <v>1</v>
      </c>
      <c r="T277" s="1">
        <v>0</v>
      </c>
      <c r="U277" s="1">
        <v>0</v>
      </c>
      <c r="V277" s="1">
        <v>0</v>
      </c>
      <c r="W277" s="1">
        <v>2026</v>
      </c>
      <c r="X277" s="1">
        <v>40</v>
      </c>
      <c r="Y277" s="1">
        <v>9</v>
      </c>
      <c r="Z277" s="1">
        <v>28</v>
      </c>
      <c r="AB277" s="1">
        <f t="shared" si="4"/>
        <v>10</v>
      </c>
    </row>
    <row r="278" spans="1:28" x14ac:dyDescent="0.35">
      <c r="A278" s="1">
        <v>1443389</v>
      </c>
      <c r="B278" s="1" t="s">
        <v>132</v>
      </c>
      <c r="C278" s="1" t="s">
        <v>428</v>
      </c>
      <c r="D278" s="1" t="s">
        <v>134</v>
      </c>
      <c r="E278" s="2">
        <v>46281</v>
      </c>
      <c r="F278" s="1" t="s">
        <v>135</v>
      </c>
      <c r="G278" s="1" t="s">
        <v>694</v>
      </c>
      <c r="H278" s="1">
        <v>867</v>
      </c>
      <c r="I278" s="1" t="s">
        <v>695</v>
      </c>
      <c r="J278" s="1">
        <v>7</v>
      </c>
      <c r="K278" s="1" t="s">
        <v>696</v>
      </c>
      <c r="M278" s="2">
        <v>46301</v>
      </c>
      <c r="N278" s="1" t="s">
        <v>28</v>
      </c>
      <c r="O278" s="1" t="s">
        <v>136</v>
      </c>
      <c r="P278" s="1" t="s">
        <v>137</v>
      </c>
      <c r="Q278" s="2"/>
      <c r="S278" s="1">
        <v>1</v>
      </c>
      <c r="T278" s="1">
        <v>0</v>
      </c>
      <c r="U278" s="1">
        <v>0</v>
      </c>
      <c r="V278" s="1">
        <v>1</v>
      </c>
      <c r="W278" s="1">
        <v>2026</v>
      </c>
      <c r="X278" s="1">
        <v>38</v>
      </c>
      <c r="Y278" s="1">
        <v>9</v>
      </c>
      <c r="Z278" s="1">
        <v>16</v>
      </c>
      <c r="AB278" s="1">
        <f t="shared" si="4"/>
        <v>10</v>
      </c>
    </row>
    <row r="279" spans="1:28" x14ac:dyDescent="0.35">
      <c r="A279" s="1">
        <v>1443198</v>
      </c>
      <c r="B279" s="1" t="s">
        <v>132</v>
      </c>
      <c r="C279" s="1" t="s">
        <v>428</v>
      </c>
      <c r="D279" s="1" t="s">
        <v>134</v>
      </c>
      <c r="E279" s="2">
        <v>46289</v>
      </c>
      <c r="F279" s="1" t="s">
        <v>135</v>
      </c>
      <c r="G279" s="1" t="s">
        <v>326</v>
      </c>
      <c r="H279" s="1">
        <v>432</v>
      </c>
      <c r="I279" s="1" t="s">
        <v>710</v>
      </c>
      <c r="J279" s="1">
        <v>141</v>
      </c>
      <c r="K279" s="1" t="s">
        <v>702</v>
      </c>
      <c r="L279" s="1" t="s">
        <v>743</v>
      </c>
      <c r="M279" s="2">
        <v>46301</v>
      </c>
      <c r="N279" s="1" t="s">
        <v>28</v>
      </c>
      <c r="O279" s="1" t="s">
        <v>137</v>
      </c>
      <c r="P279" s="1" t="s">
        <v>137</v>
      </c>
      <c r="Q279" s="2"/>
      <c r="S279" s="1">
        <v>1</v>
      </c>
      <c r="T279" s="1">
        <v>0</v>
      </c>
      <c r="U279" s="1">
        <v>0</v>
      </c>
      <c r="V279" s="1">
        <v>0</v>
      </c>
      <c r="W279" s="1">
        <v>2026</v>
      </c>
      <c r="X279" s="1">
        <v>39</v>
      </c>
      <c r="Y279" s="1">
        <v>9</v>
      </c>
      <c r="Z279" s="1">
        <v>24</v>
      </c>
      <c r="AB279" s="1">
        <f t="shared" si="4"/>
        <v>10</v>
      </c>
    </row>
    <row r="280" spans="1:28" x14ac:dyDescent="0.35">
      <c r="A280" s="1">
        <v>1427063</v>
      </c>
      <c r="B280" s="1" t="s">
        <v>132</v>
      </c>
      <c r="C280" s="1" t="s">
        <v>428</v>
      </c>
      <c r="D280" s="1" t="s">
        <v>134</v>
      </c>
      <c r="E280" s="2">
        <v>46294</v>
      </c>
      <c r="F280" s="1" t="s">
        <v>139</v>
      </c>
      <c r="G280" s="1" t="s">
        <v>140</v>
      </c>
      <c r="H280" s="1">
        <v>251</v>
      </c>
      <c r="I280" s="1" t="s">
        <v>596</v>
      </c>
      <c r="J280" s="1">
        <v>119</v>
      </c>
      <c r="K280" s="1" t="s">
        <v>394</v>
      </c>
      <c r="L280" s="1" t="s">
        <v>764</v>
      </c>
      <c r="M280" s="2">
        <v>46301</v>
      </c>
      <c r="N280" s="1" t="s">
        <v>3</v>
      </c>
      <c r="O280" s="1" t="s">
        <v>136</v>
      </c>
      <c r="P280" s="1" t="s">
        <v>137</v>
      </c>
      <c r="Q280" s="2"/>
      <c r="S280" s="1">
        <v>1</v>
      </c>
      <c r="T280" s="1">
        <v>0</v>
      </c>
      <c r="U280" s="1">
        <v>0</v>
      </c>
      <c r="V280" s="1">
        <v>1</v>
      </c>
      <c r="W280" s="1">
        <v>2026</v>
      </c>
      <c r="X280" s="1">
        <v>40</v>
      </c>
      <c r="Y280" s="1">
        <v>9</v>
      </c>
      <c r="Z280" s="1">
        <v>29</v>
      </c>
      <c r="AB280" s="1">
        <f t="shared" si="4"/>
        <v>10</v>
      </c>
    </row>
    <row r="281" spans="1:28" x14ac:dyDescent="0.35">
      <c r="A281" s="1">
        <v>1324178</v>
      </c>
      <c r="B281" s="1" t="s">
        <v>132</v>
      </c>
      <c r="C281" s="1" t="s">
        <v>428</v>
      </c>
      <c r="D281" s="1" t="s">
        <v>134</v>
      </c>
      <c r="E281" s="2">
        <v>46294</v>
      </c>
      <c r="F281" s="1" t="s">
        <v>135</v>
      </c>
      <c r="G281" s="1" t="s">
        <v>765</v>
      </c>
      <c r="H281" s="1">
        <v>597</v>
      </c>
      <c r="I281" s="1" t="s">
        <v>766</v>
      </c>
      <c r="J281" s="1">
        <v>110</v>
      </c>
      <c r="K281" s="1" t="s">
        <v>191</v>
      </c>
      <c r="L281" s="1" t="s">
        <v>767</v>
      </c>
      <c r="M281" s="2">
        <v>46301</v>
      </c>
      <c r="N281" s="1" t="s">
        <v>24</v>
      </c>
      <c r="O281" s="1" t="s">
        <v>137</v>
      </c>
      <c r="P281" s="1" t="s">
        <v>137</v>
      </c>
      <c r="Q281" s="2"/>
      <c r="S281" s="1">
        <v>1</v>
      </c>
      <c r="T281" s="1">
        <v>0</v>
      </c>
      <c r="U281" s="1">
        <v>0</v>
      </c>
      <c r="V281" s="1">
        <v>0</v>
      </c>
      <c r="W281" s="1">
        <v>2026</v>
      </c>
      <c r="X281" s="1">
        <v>40</v>
      </c>
      <c r="Y281" s="1">
        <v>9</v>
      </c>
      <c r="Z281" s="1">
        <v>29</v>
      </c>
      <c r="AB281" s="1">
        <f t="shared" si="4"/>
        <v>10</v>
      </c>
    </row>
    <row r="282" spans="1:28" x14ac:dyDescent="0.35">
      <c r="A282" s="1">
        <v>1324178</v>
      </c>
      <c r="B282" s="1" t="s">
        <v>132</v>
      </c>
      <c r="C282" s="1" t="s">
        <v>428</v>
      </c>
      <c r="D282" s="1" t="s">
        <v>134</v>
      </c>
      <c r="E282" s="2">
        <v>46294</v>
      </c>
      <c r="F282" s="1" t="s">
        <v>135</v>
      </c>
      <c r="G282" s="1" t="s">
        <v>765</v>
      </c>
      <c r="H282" s="1">
        <v>597</v>
      </c>
      <c r="I282" s="1" t="s">
        <v>766</v>
      </c>
      <c r="J282" s="1">
        <v>105</v>
      </c>
      <c r="K282" s="1" t="s">
        <v>191</v>
      </c>
      <c r="L282" s="1" t="s">
        <v>768</v>
      </c>
      <c r="M282" s="2">
        <v>46301</v>
      </c>
      <c r="N282" s="1" t="s">
        <v>24</v>
      </c>
      <c r="O282" s="1" t="s">
        <v>137</v>
      </c>
      <c r="P282" s="1" t="s">
        <v>137</v>
      </c>
      <c r="Q282" s="2"/>
      <c r="S282" s="1">
        <v>1</v>
      </c>
      <c r="T282" s="1">
        <v>0</v>
      </c>
      <c r="U282" s="1">
        <v>0</v>
      </c>
      <c r="V282" s="1">
        <v>0</v>
      </c>
      <c r="W282" s="1">
        <v>2026</v>
      </c>
      <c r="X282" s="1">
        <v>40</v>
      </c>
      <c r="Y282" s="1">
        <v>9</v>
      </c>
      <c r="Z282" s="1">
        <v>29</v>
      </c>
      <c r="AB282" s="1">
        <f t="shared" si="4"/>
        <v>10</v>
      </c>
    </row>
    <row r="283" spans="1:28" x14ac:dyDescent="0.35">
      <c r="A283" s="1">
        <v>1421684</v>
      </c>
      <c r="B283" s="1" t="s">
        <v>132</v>
      </c>
      <c r="C283" s="1" t="s">
        <v>428</v>
      </c>
      <c r="D283" s="1" t="s">
        <v>134</v>
      </c>
      <c r="E283" s="2">
        <v>46294</v>
      </c>
      <c r="F283" s="1" t="s">
        <v>135</v>
      </c>
      <c r="G283" s="1" t="s">
        <v>769</v>
      </c>
      <c r="H283" s="1">
        <v>1794</v>
      </c>
      <c r="I283" s="1" t="s">
        <v>692</v>
      </c>
      <c r="J283" s="1">
        <v>118</v>
      </c>
      <c r="K283" s="1" t="s">
        <v>179</v>
      </c>
      <c r="L283" s="1" t="s">
        <v>770</v>
      </c>
      <c r="M283" s="2">
        <v>46301</v>
      </c>
      <c r="N283" s="1" t="s">
        <v>24</v>
      </c>
      <c r="O283" s="1" t="s">
        <v>137</v>
      </c>
      <c r="P283" s="1" t="s">
        <v>137</v>
      </c>
      <c r="Q283" s="2"/>
      <c r="S283" s="1">
        <v>1</v>
      </c>
      <c r="T283" s="1">
        <v>0</v>
      </c>
      <c r="U283" s="1">
        <v>0</v>
      </c>
      <c r="V283" s="1">
        <v>0</v>
      </c>
      <c r="W283" s="1">
        <v>2026</v>
      </c>
      <c r="X283" s="1">
        <v>40</v>
      </c>
      <c r="Y283" s="1">
        <v>9</v>
      </c>
      <c r="Z283" s="1">
        <v>29</v>
      </c>
      <c r="AB283" s="1">
        <f t="shared" si="4"/>
        <v>10</v>
      </c>
    </row>
    <row r="284" spans="1:28" x14ac:dyDescent="0.35">
      <c r="A284" s="1">
        <v>1634024</v>
      </c>
      <c r="B284" s="1" t="s">
        <v>132</v>
      </c>
      <c r="C284" s="1" t="s">
        <v>428</v>
      </c>
      <c r="D284" s="1" t="s">
        <v>134</v>
      </c>
      <c r="E284" s="2">
        <v>46300</v>
      </c>
      <c r="F284" s="1" t="s">
        <v>135</v>
      </c>
      <c r="G284" s="1" t="s">
        <v>778</v>
      </c>
      <c r="H284" s="1">
        <v>88</v>
      </c>
      <c r="I284" s="1" t="s">
        <v>766</v>
      </c>
      <c r="J284" s="1">
        <v>99</v>
      </c>
      <c r="K284" s="1" t="s">
        <v>169</v>
      </c>
      <c r="L284" s="1" t="s">
        <v>630</v>
      </c>
      <c r="M284" s="2">
        <v>46301</v>
      </c>
      <c r="N284" s="1" t="s">
        <v>28</v>
      </c>
      <c r="O284" s="1" t="s">
        <v>136</v>
      </c>
      <c r="P284" s="1" t="s">
        <v>137</v>
      </c>
      <c r="Q284" s="2"/>
      <c r="S284" s="1">
        <v>1</v>
      </c>
      <c r="T284" s="1">
        <v>0</v>
      </c>
      <c r="U284" s="1">
        <v>0</v>
      </c>
      <c r="V284" s="1">
        <v>1</v>
      </c>
      <c r="W284" s="1">
        <v>2026</v>
      </c>
      <c r="X284" s="1">
        <v>41</v>
      </c>
      <c r="Y284" s="1">
        <v>10</v>
      </c>
      <c r="Z284" s="1">
        <v>5</v>
      </c>
      <c r="AB284" s="1">
        <f t="shared" si="4"/>
        <v>10</v>
      </c>
    </row>
    <row r="285" spans="1:28" x14ac:dyDescent="0.35">
      <c r="A285" s="1">
        <v>1424918</v>
      </c>
      <c r="B285" s="1" t="s">
        <v>132</v>
      </c>
      <c r="C285" s="1" t="s">
        <v>428</v>
      </c>
      <c r="D285" s="1" t="s">
        <v>134</v>
      </c>
      <c r="E285" s="2">
        <v>46286</v>
      </c>
      <c r="F285" s="1" t="s">
        <v>146</v>
      </c>
      <c r="G285" s="1" t="s">
        <v>719</v>
      </c>
      <c r="H285" s="1">
        <v>184</v>
      </c>
      <c r="I285" s="1" t="s">
        <v>720</v>
      </c>
      <c r="J285" s="1">
        <v>6</v>
      </c>
      <c r="K285" s="1" t="s">
        <v>251</v>
      </c>
      <c r="L285" s="1" t="s">
        <v>688</v>
      </c>
      <c r="M285" s="2">
        <v>46302</v>
      </c>
      <c r="N285" s="1" t="s">
        <v>5</v>
      </c>
      <c r="O285" s="1" t="s">
        <v>136</v>
      </c>
      <c r="P285" s="1" t="s">
        <v>137</v>
      </c>
      <c r="Q285" s="2"/>
      <c r="S285" s="1">
        <v>1</v>
      </c>
      <c r="T285" s="1">
        <v>0</v>
      </c>
      <c r="U285" s="1">
        <v>0</v>
      </c>
      <c r="V285" s="1">
        <v>1</v>
      </c>
      <c r="W285" s="1">
        <v>2026</v>
      </c>
      <c r="X285" s="1">
        <v>39</v>
      </c>
      <c r="Y285" s="1">
        <v>9</v>
      </c>
      <c r="Z285" s="1">
        <v>21</v>
      </c>
      <c r="AB285" s="1">
        <f t="shared" si="4"/>
        <v>10</v>
      </c>
    </row>
    <row r="286" spans="1:28" x14ac:dyDescent="0.35">
      <c r="A286" s="1">
        <v>1424678</v>
      </c>
      <c r="B286" s="1" t="s">
        <v>132</v>
      </c>
      <c r="C286" s="1" t="s">
        <v>428</v>
      </c>
      <c r="D286" s="1" t="s">
        <v>134</v>
      </c>
      <c r="E286" s="2">
        <v>46290</v>
      </c>
      <c r="F286" s="1" t="s">
        <v>196</v>
      </c>
      <c r="G286" s="1" t="s">
        <v>753</v>
      </c>
      <c r="H286" s="1">
        <v>726</v>
      </c>
      <c r="I286" s="1" t="s">
        <v>754</v>
      </c>
      <c r="J286" s="1">
        <v>9</v>
      </c>
      <c r="K286" s="1" t="s">
        <v>173</v>
      </c>
      <c r="M286" s="2">
        <v>46302</v>
      </c>
      <c r="N286" s="1" t="s">
        <v>5</v>
      </c>
      <c r="O286" s="1" t="s">
        <v>137</v>
      </c>
      <c r="P286" s="1" t="s">
        <v>137</v>
      </c>
      <c r="Q286" s="2"/>
      <c r="S286" s="1">
        <v>1</v>
      </c>
      <c r="T286" s="1">
        <v>0</v>
      </c>
      <c r="U286" s="1">
        <v>0</v>
      </c>
      <c r="V286" s="1">
        <v>0</v>
      </c>
      <c r="W286" s="1">
        <v>2026</v>
      </c>
      <c r="X286" s="1">
        <v>39</v>
      </c>
      <c r="Y286" s="1">
        <v>9</v>
      </c>
      <c r="Z286" s="1">
        <v>25</v>
      </c>
      <c r="AB286" s="1">
        <f t="shared" si="4"/>
        <v>10</v>
      </c>
    </row>
    <row r="287" spans="1:28" x14ac:dyDescent="0.35">
      <c r="A287" s="1">
        <v>1487369</v>
      </c>
      <c r="B287" s="1" t="s">
        <v>132</v>
      </c>
      <c r="C287" s="1" t="s">
        <v>428</v>
      </c>
      <c r="D287" s="1" t="s">
        <v>134</v>
      </c>
      <c r="E287" s="2">
        <v>46293</v>
      </c>
      <c r="F287" s="1" t="s">
        <v>146</v>
      </c>
      <c r="G287" s="1" t="s">
        <v>187</v>
      </c>
      <c r="H287" s="1">
        <v>166</v>
      </c>
      <c r="I287" s="1" t="s">
        <v>761</v>
      </c>
      <c r="J287" s="1">
        <v>13</v>
      </c>
      <c r="K287" s="1" t="s">
        <v>762</v>
      </c>
      <c r="L287" s="1" t="s">
        <v>763</v>
      </c>
      <c r="M287" s="2">
        <v>46302</v>
      </c>
      <c r="N287" s="1" t="s">
        <v>5</v>
      </c>
      <c r="O287" s="1" t="s">
        <v>137</v>
      </c>
      <c r="P287" s="1" t="s">
        <v>137</v>
      </c>
      <c r="Q287" s="2"/>
      <c r="S287" s="1">
        <v>1</v>
      </c>
      <c r="T287" s="1">
        <v>0</v>
      </c>
      <c r="U287" s="1">
        <v>0</v>
      </c>
      <c r="V287" s="1">
        <v>0</v>
      </c>
      <c r="W287" s="1">
        <v>2026</v>
      </c>
      <c r="X287" s="1">
        <v>40</v>
      </c>
      <c r="Y287" s="1">
        <v>9</v>
      </c>
      <c r="Z287" s="1">
        <v>28</v>
      </c>
      <c r="AB287" s="1">
        <f t="shared" si="4"/>
        <v>10</v>
      </c>
    </row>
    <row r="288" spans="1:28" x14ac:dyDescent="0.35">
      <c r="A288" s="1">
        <v>1487369</v>
      </c>
      <c r="B288" s="1" t="s">
        <v>132</v>
      </c>
      <c r="C288" s="1" t="s">
        <v>428</v>
      </c>
      <c r="D288" s="1" t="s">
        <v>134</v>
      </c>
      <c r="E288" s="2">
        <v>46293</v>
      </c>
      <c r="F288" s="1" t="s">
        <v>146</v>
      </c>
      <c r="G288" s="1" t="s">
        <v>187</v>
      </c>
      <c r="H288" s="1">
        <v>166</v>
      </c>
      <c r="I288" s="1" t="s">
        <v>761</v>
      </c>
      <c r="J288" s="1">
        <v>15</v>
      </c>
      <c r="K288" s="1" t="s">
        <v>229</v>
      </c>
      <c r="L288" s="1" t="s">
        <v>688</v>
      </c>
      <c r="M288" s="2">
        <v>46302</v>
      </c>
      <c r="N288" s="1" t="s">
        <v>5</v>
      </c>
      <c r="O288" s="1" t="s">
        <v>137</v>
      </c>
      <c r="P288" s="1" t="s">
        <v>137</v>
      </c>
      <c r="Q288" s="2"/>
      <c r="S288" s="1">
        <v>1</v>
      </c>
      <c r="T288" s="1">
        <v>0</v>
      </c>
      <c r="U288" s="1">
        <v>0</v>
      </c>
      <c r="V288" s="1">
        <v>0</v>
      </c>
      <c r="W288" s="1">
        <v>2026</v>
      </c>
      <c r="X288" s="1">
        <v>40</v>
      </c>
      <c r="Y288" s="1">
        <v>9</v>
      </c>
      <c r="Z288" s="1">
        <v>28</v>
      </c>
      <c r="AB288" s="1">
        <f t="shared" si="4"/>
        <v>10</v>
      </c>
    </row>
    <row r="289" spans="1:28" x14ac:dyDescent="0.35">
      <c r="A289" s="1">
        <v>1360680</v>
      </c>
      <c r="B289" s="1" t="s">
        <v>132</v>
      </c>
      <c r="C289" s="1" t="s">
        <v>428</v>
      </c>
      <c r="D289" s="1" t="s">
        <v>134</v>
      </c>
      <c r="E289" s="2">
        <v>46294</v>
      </c>
      <c r="F289" s="1" t="s">
        <v>161</v>
      </c>
      <c r="G289" s="1" t="s">
        <v>213</v>
      </c>
      <c r="H289" s="1">
        <v>1208</v>
      </c>
      <c r="I289" s="1" t="s">
        <v>746</v>
      </c>
      <c r="J289" s="1">
        <v>93</v>
      </c>
      <c r="K289" s="1" t="s">
        <v>167</v>
      </c>
      <c r="L289" s="1" t="s">
        <v>681</v>
      </c>
      <c r="M289" s="2">
        <v>46302</v>
      </c>
      <c r="N289" s="1" t="s">
        <v>5</v>
      </c>
      <c r="O289" s="1" t="s">
        <v>137</v>
      </c>
      <c r="P289" s="1" t="s">
        <v>137</v>
      </c>
      <c r="Q289" s="2"/>
      <c r="S289" s="1">
        <v>1</v>
      </c>
      <c r="T289" s="1">
        <v>0</v>
      </c>
      <c r="U289" s="1">
        <v>0</v>
      </c>
      <c r="V289" s="1">
        <v>0</v>
      </c>
      <c r="W289" s="1">
        <v>2026</v>
      </c>
      <c r="X289" s="1">
        <v>40</v>
      </c>
      <c r="Y289" s="1">
        <v>9</v>
      </c>
      <c r="Z289" s="1">
        <v>29</v>
      </c>
      <c r="AB289" s="1">
        <f t="shared" si="4"/>
        <v>10</v>
      </c>
    </row>
    <row r="290" spans="1:28" x14ac:dyDescent="0.35">
      <c r="A290" s="1">
        <v>1425845</v>
      </c>
      <c r="B290" s="1" t="s">
        <v>132</v>
      </c>
      <c r="C290" s="1" t="s">
        <v>428</v>
      </c>
      <c r="D290" s="1" t="s">
        <v>134</v>
      </c>
      <c r="E290" s="2">
        <v>46300</v>
      </c>
      <c r="F290" s="1" t="s">
        <v>135</v>
      </c>
      <c r="G290" s="1" t="s">
        <v>771</v>
      </c>
      <c r="H290" s="1">
        <v>502</v>
      </c>
      <c r="I290" s="1" t="s">
        <v>772</v>
      </c>
      <c r="J290" s="1">
        <v>82</v>
      </c>
      <c r="K290" s="1" t="s">
        <v>142</v>
      </c>
      <c r="L290" s="1" t="s">
        <v>752</v>
      </c>
      <c r="M290" s="2">
        <v>46303</v>
      </c>
      <c r="N290" s="1" t="s">
        <v>24</v>
      </c>
      <c r="O290" s="1" t="s">
        <v>145</v>
      </c>
      <c r="P290" s="1" t="s">
        <v>137</v>
      </c>
      <c r="Q290" s="2">
        <v>46303</v>
      </c>
      <c r="R290" s="1" t="s">
        <v>124</v>
      </c>
      <c r="S290" s="1">
        <v>1</v>
      </c>
      <c r="T290" s="1">
        <v>0</v>
      </c>
      <c r="U290" s="1">
        <v>1</v>
      </c>
      <c r="V290" s="1">
        <v>0</v>
      </c>
      <c r="W290" s="1">
        <v>2026</v>
      </c>
      <c r="X290" s="1">
        <v>41</v>
      </c>
      <c r="Y290" s="1">
        <v>10</v>
      </c>
      <c r="Z290" s="1">
        <v>5</v>
      </c>
      <c r="AB290" s="1">
        <f t="shared" si="4"/>
        <v>10</v>
      </c>
    </row>
    <row r="291" spans="1:28" x14ac:dyDescent="0.35">
      <c r="A291" s="1">
        <v>1634208</v>
      </c>
      <c r="B291" s="1" t="s">
        <v>132</v>
      </c>
      <c r="C291" s="1" t="s">
        <v>428</v>
      </c>
      <c r="D291" s="1" t="s">
        <v>134</v>
      </c>
      <c r="E291" s="2">
        <v>46300</v>
      </c>
      <c r="F291" s="1" t="s">
        <v>135</v>
      </c>
      <c r="G291" s="1" t="s">
        <v>771</v>
      </c>
      <c r="H291" s="1">
        <v>456</v>
      </c>
      <c r="I291" s="1" t="s">
        <v>772</v>
      </c>
      <c r="J291" s="1">
        <v>3</v>
      </c>
      <c r="K291" s="1" t="s">
        <v>181</v>
      </c>
      <c r="L291" s="1" t="s">
        <v>779</v>
      </c>
      <c r="M291" s="2">
        <v>46303</v>
      </c>
      <c r="N291" s="1" t="s">
        <v>24</v>
      </c>
      <c r="O291" s="1" t="s">
        <v>137</v>
      </c>
      <c r="P291" s="1" t="s">
        <v>137</v>
      </c>
      <c r="Q291" s="2"/>
      <c r="S291" s="1">
        <v>1</v>
      </c>
      <c r="T291" s="1">
        <v>0</v>
      </c>
      <c r="U291" s="1">
        <v>0</v>
      </c>
      <c r="V291" s="1">
        <v>0</v>
      </c>
      <c r="W291" s="1">
        <v>2026</v>
      </c>
      <c r="X291" s="1">
        <v>41</v>
      </c>
      <c r="Y291" s="1">
        <v>10</v>
      </c>
      <c r="Z291" s="1">
        <v>5</v>
      </c>
      <c r="AB291" s="1">
        <f t="shared" si="4"/>
        <v>10</v>
      </c>
    </row>
    <row r="292" spans="1:28" x14ac:dyDescent="0.35">
      <c r="A292" s="1">
        <v>1425779</v>
      </c>
      <c r="B292" s="1" t="s">
        <v>132</v>
      </c>
      <c r="C292" s="1" t="s">
        <v>428</v>
      </c>
      <c r="D292" s="1" t="s">
        <v>134</v>
      </c>
      <c r="E292" s="2">
        <v>46282</v>
      </c>
      <c r="F292" s="1" t="s">
        <v>135</v>
      </c>
      <c r="G292" s="1" t="s">
        <v>708</v>
      </c>
      <c r="H292" s="1">
        <v>2145</v>
      </c>
      <c r="I292" s="1" t="s">
        <v>591</v>
      </c>
      <c r="J292" s="1">
        <v>54</v>
      </c>
      <c r="K292" s="1" t="s">
        <v>181</v>
      </c>
      <c r="L292" s="1" t="s">
        <v>709</v>
      </c>
      <c r="M292" s="2">
        <v>46304</v>
      </c>
      <c r="N292" s="1" t="s">
        <v>24</v>
      </c>
      <c r="O292" s="1" t="s">
        <v>145</v>
      </c>
      <c r="P292" s="1" t="s">
        <v>137</v>
      </c>
      <c r="Q292" s="2">
        <v>46304</v>
      </c>
      <c r="R292" s="1" t="s">
        <v>124</v>
      </c>
      <c r="S292" s="1">
        <v>1</v>
      </c>
      <c r="T292" s="1">
        <v>0</v>
      </c>
      <c r="U292" s="1">
        <v>1</v>
      </c>
      <c r="V292" s="1">
        <v>0</v>
      </c>
      <c r="W292" s="1">
        <v>2026</v>
      </c>
      <c r="X292" s="1">
        <v>38</v>
      </c>
      <c r="Y292" s="1">
        <v>9</v>
      </c>
      <c r="Z292" s="1">
        <v>17</v>
      </c>
      <c r="AB292" s="1">
        <f t="shared" si="4"/>
        <v>10</v>
      </c>
    </row>
    <row r="293" spans="1:28" x14ac:dyDescent="0.35">
      <c r="A293" s="1">
        <v>1635979</v>
      </c>
      <c r="B293" s="1" t="s">
        <v>132</v>
      </c>
      <c r="C293" s="1" t="s">
        <v>428</v>
      </c>
      <c r="D293" s="1" t="s">
        <v>134</v>
      </c>
      <c r="E293" s="2">
        <v>46301</v>
      </c>
      <c r="F293" s="1" t="s">
        <v>146</v>
      </c>
      <c r="G293" s="1" t="s">
        <v>780</v>
      </c>
      <c r="H293" s="1">
        <v>228</v>
      </c>
      <c r="I293" s="1" t="s">
        <v>781</v>
      </c>
      <c r="J293" s="1">
        <v>45</v>
      </c>
      <c r="K293" s="1" t="s">
        <v>191</v>
      </c>
      <c r="L293" s="1" t="s">
        <v>752</v>
      </c>
      <c r="M293" s="2">
        <v>46304</v>
      </c>
      <c r="N293" s="1" t="s">
        <v>3</v>
      </c>
      <c r="O293" s="1" t="s">
        <v>137</v>
      </c>
      <c r="P293" s="1" t="s">
        <v>137</v>
      </c>
      <c r="Q293" s="2"/>
      <c r="S293" s="1">
        <v>1</v>
      </c>
      <c r="T293" s="1">
        <v>0</v>
      </c>
      <c r="U293" s="1">
        <v>0</v>
      </c>
      <c r="V293" s="1">
        <v>0</v>
      </c>
      <c r="W293" s="1">
        <v>2026</v>
      </c>
      <c r="X293" s="1">
        <v>41</v>
      </c>
      <c r="Y293" s="1">
        <v>10</v>
      </c>
      <c r="Z293" s="1">
        <v>6</v>
      </c>
      <c r="AB293" s="1">
        <f t="shared" si="4"/>
        <v>10</v>
      </c>
    </row>
    <row r="294" spans="1:28" x14ac:dyDescent="0.35">
      <c r="A294" s="1">
        <v>1432774</v>
      </c>
      <c r="B294" s="1" t="s">
        <v>132</v>
      </c>
      <c r="C294" s="1" t="s">
        <v>428</v>
      </c>
      <c r="D294" s="1" t="s">
        <v>134</v>
      </c>
      <c r="E294" s="2">
        <v>46281</v>
      </c>
      <c r="F294" s="1" t="s">
        <v>155</v>
      </c>
      <c r="G294" s="1" t="s">
        <v>689</v>
      </c>
      <c r="H294" s="1">
        <v>392</v>
      </c>
      <c r="I294" s="1" t="s">
        <v>690</v>
      </c>
      <c r="J294" s="1">
        <v>141</v>
      </c>
      <c r="K294" s="1" t="s">
        <v>229</v>
      </c>
      <c r="L294" s="1" t="s">
        <v>691</v>
      </c>
      <c r="M294" s="2">
        <v>46308</v>
      </c>
      <c r="N294" s="1" t="s">
        <v>21</v>
      </c>
      <c r="O294" s="1" t="s">
        <v>137</v>
      </c>
      <c r="P294" s="1" t="s">
        <v>137</v>
      </c>
      <c r="Q294" s="2"/>
      <c r="S294" s="1">
        <v>1</v>
      </c>
      <c r="T294" s="1">
        <v>0</v>
      </c>
      <c r="U294" s="1">
        <v>0</v>
      </c>
      <c r="V294" s="1">
        <v>0</v>
      </c>
      <c r="W294" s="1">
        <v>2026</v>
      </c>
      <c r="X294" s="1">
        <v>38</v>
      </c>
      <c r="Y294" s="1">
        <v>9</v>
      </c>
      <c r="Z294" s="1">
        <v>16</v>
      </c>
      <c r="AB294" s="1">
        <f t="shared" si="4"/>
        <v>10</v>
      </c>
    </row>
    <row r="295" spans="1:28" x14ac:dyDescent="0.35">
      <c r="A295" s="1">
        <v>1610265</v>
      </c>
      <c r="B295" s="1" t="s">
        <v>132</v>
      </c>
      <c r="C295" s="1" t="s">
        <v>428</v>
      </c>
      <c r="D295" s="1" t="s">
        <v>134</v>
      </c>
      <c r="E295" s="2">
        <v>46290</v>
      </c>
      <c r="F295" s="1" t="s">
        <v>155</v>
      </c>
      <c r="G295" s="1" t="s">
        <v>159</v>
      </c>
      <c r="H295" s="1">
        <v>336</v>
      </c>
      <c r="I295" s="1" t="s">
        <v>750</v>
      </c>
      <c r="J295" s="1">
        <v>111</v>
      </c>
      <c r="K295" s="1" t="s">
        <v>163</v>
      </c>
      <c r="L295" s="1" t="s">
        <v>668</v>
      </c>
      <c r="M295" s="2">
        <v>46308</v>
      </c>
      <c r="N295" s="1" t="s">
        <v>24</v>
      </c>
      <c r="O295" s="1" t="s">
        <v>137</v>
      </c>
      <c r="P295" s="1" t="s">
        <v>137</v>
      </c>
      <c r="Q295" s="2"/>
      <c r="S295" s="1">
        <v>1</v>
      </c>
      <c r="T295" s="1">
        <v>0</v>
      </c>
      <c r="U295" s="1">
        <v>0</v>
      </c>
      <c r="V295" s="1">
        <v>0</v>
      </c>
      <c r="W295" s="1">
        <v>2026</v>
      </c>
      <c r="X295" s="1">
        <v>39</v>
      </c>
      <c r="Y295" s="1">
        <v>9</v>
      </c>
      <c r="Z295" s="1">
        <v>25</v>
      </c>
      <c r="AB295" s="1">
        <f t="shared" si="4"/>
        <v>10</v>
      </c>
    </row>
    <row r="296" spans="1:28" x14ac:dyDescent="0.35">
      <c r="A296" s="1">
        <v>1360704</v>
      </c>
      <c r="B296" s="1" t="s">
        <v>132</v>
      </c>
      <c r="C296" s="1" t="s">
        <v>428</v>
      </c>
      <c r="D296" s="1" t="s">
        <v>134</v>
      </c>
      <c r="E296" s="2">
        <v>46290</v>
      </c>
      <c r="F296" s="1" t="s">
        <v>161</v>
      </c>
      <c r="G296" s="1" t="s">
        <v>553</v>
      </c>
      <c r="H296" s="1">
        <v>63</v>
      </c>
      <c r="I296" s="1" t="s">
        <v>549</v>
      </c>
      <c r="J296" s="1">
        <v>49</v>
      </c>
      <c r="K296" s="1" t="s">
        <v>151</v>
      </c>
      <c r="L296" s="1" t="s">
        <v>752</v>
      </c>
      <c r="M296" s="2">
        <v>46308</v>
      </c>
      <c r="N296" s="1" t="s">
        <v>5</v>
      </c>
      <c r="O296" s="1" t="s">
        <v>137</v>
      </c>
      <c r="P296" s="1" t="s">
        <v>137</v>
      </c>
      <c r="Q296" s="2"/>
      <c r="S296" s="1">
        <v>1</v>
      </c>
      <c r="T296" s="1">
        <v>0</v>
      </c>
      <c r="U296" s="1">
        <v>0</v>
      </c>
      <c r="V296" s="1">
        <v>0</v>
      </c>
      <c r="W296" s="1">
        <v>2026</v>
      </c>
      <c r="X296" s="1">
        <v>39</v>
      </c>
      <c r="Y296" s="1">
        <v>9</v>
      </c>
      <c r="Z296" s="1">
        <v>25</v>
      </c>
      <c r="AB296" s="1">
        <f t="shared" si="4"/>
        <v>10</v>
      </c>
    </row>
    <row r="297" spans="1:28" x14ac:dyDescent="0.35">
      <c r="A297" s="1">
        <v>1536477</v>
      </c>
      <c r="B297" s="1" t="s">
        <v>132</v>
      </c>
      <c r="C297" s="1" t="s">
        <v>428</v>
      </c>
      <c r="D297" s="1" t="s">
        <v>134</v>
      </c>
      <c r="E297" s="2">
        <v>46300</v>
      </c>
      <c r="F297" s="1" t="s">
        <v>135</v>
      </c>
      <c r="G297" s="1" t="s">
        <v>773</v>
      </c>
      <c r="H297" s="1">
        <v>679</v>
      </c>
      <c r="I297" s="1" t="s">
        <v>692</v>
      </c>
      <c r="J297" s="1">
        <v>23</v>
      </c>
      <c r="K297" s="1" t="s">
        <v>774</v>
      </c>
      <c r="L297" s="1" t="s">
        <v>775</v>
      </c>
      <c r="M297" s="2">
        <v>46308</v>
      </c>
      <c r="N297" s="1" t="s">
        <v>24</v>
      </c>
      <c r="O297" s="1" t="s">
        <v>145</v>
      </c>
      <c r="P297" s="1" t="s">
        <v>137</v>
      </c>
      <c r="Q297" s="2">
        <v>46308</v>
      </c>
      <c r="R297" s="1" t="s">
        <v>137</v>
      </c>
      <c r="S297" s="1">
        <v>1</v>
      </c>
      <c r="T297" s="1">
        <v>0</v>
      </c>
      <c r="U297" s="1">
        <v>1</v>
      </c>
      <c r="V297" s="1">
        <v>0</v>
      </c>
      <c r="W297" s="1">
        <v>2026</v>
      </c>
      <c r="X297" s="1">
        <v>41</v>
      </c>
      <c r="Y297" s="1">
        <v>10</v>
      </c>
      <c r="Z297" s="1">
        <v>5</v>
      </c>
      <c r="AB297" s="1">
        <f t="shared" si="4"/>
        <v>10</v>
      </c>
    </row>
    <row r="298" spans="1:28" x14ac:dyDescent="0.35">
      <c r="A298" s="1">
        <v>1554491</v>
      </c>
      <c r="B298" s="1" t="s">
        <v>132</v>
      </c>
      <c r="C298" s="1" t="s">
        <v>428</v>
      </c>
      <c r="D298" s="1" t="s">
        <v>134</v>
      </c>
      <c r="E298" s="2">
        <v>46300</v>
      </c>
      <c r="F298" s="1" t="s">
        <v>135</v>
      </c>
      <c r="G298" s="1" t="s">
        <v>362</v>
      </c>
      <c r="H298" s="1">
        <v>233</v>
      </c>
      <c r="I298" s="1" t="s">
        <v>710</v>
      </c>
      <c r="J298" s="1">
        <v>111</v>
      </c>
      <c r="K298" s="1" t="s">
        <v>776</v>
      </c>
      <c r="L298" s="1" t="s">
        <v>777</v>
      </c>
      <c r="M298" s="2">
        <v>46308</v>
      </c>
      <c r="N298" s="1" t="s">
        <v>28</v>
      </c>
      <c r="O298" s="1" t="s">
        <v>137</v>
      </c>
      <c r="P298" s="1" t="s">
        <v>137</v>
      </c>
      <c r="Q298" s="2"/>
      <c r="S298" s="1">
        <v>1</v>
      </c>
      <c r="T298" s="1">
        <v>0</v>
      </c>
      <c r="U298" s="1">
        <v>0</v>
      </c>
      <c r="V298" s="1">
        <v>0</v>
      </c>
      <c r="W298" s="1">
        <v>2026</v>
      </c>
      <c r="X298" s="1">
        <v>41</v>
      </c>
      <c r="Y298" s="1">
        <v>10</v>
      </c>
      <c r="Z298" s="1">
        <v>5</v>
      </c>
      <c r="AB298" s="1">
        <f t="shared" si="4"/>
        <v>10</v>
      </c>
    </row>
    <row r="299" spans="1:28" x14ac:dyDescent="0.35">
      <c r="A299" s="1">
        <v>1426370</v>
      </c>
      <c r="B299" s="1" t="s">
        <v>132</v>
      </c>
      <c r="C299" s="1" t="s">
        <v>428</v>
      </c>
      <c r="D299" s="1" t="s">
        <v>134</v>
      </c>
      <c r="E299" s="2">
        <v>46301</v>
      </c>
      <c r="F299" s="1" t="s">
        <v>161</v>
      </c>
      <c r="G299" s="1" t="s">
        <v>209</v>
      </c>
      <c r="H299" s="1">
        <v>517</v>
      </c>
      <c r="I299" s="1" t="s">
        <v>549</v>
      </c>
      <c r="J299" s="1">
        <v>39</v>
      </c>
      <c r="K299" s="1" t="s">
        <v>251</v>
      </c>
      <c r="L299" s="1" t="s">
        <v>681</v>
      </c>
      <c r="M299" s="2">
        <v>46308</v>
      </c>
      <c r="N299" s="1" t="s">
        <v>3</v>
      </c>
      <c r="O299" s="1" t="s">
        <v>137</v>
      </c>
      <c r="P299" s="1" t="s">
        <v>137</v>
      </c>
      <c r="Q299" s="2"/>
      <c r="S299" s="1">
        <v>1</v>
      </c>
      <c r="T299" s="1">
        <v>0</v>
      </c>
      <c r="U299" s="1">
        <v>0</v>
      </c>
      <c r="V299" s="1">
        <v>0</v>
      </c>
      <c r="W299" s="1">
        <v>2026</v>
      </c>
      <c r="X299" s="1">
        <v>41</v>
      </c>
      <c r="Y299" s="1">
        <v>10</v>
      </c>
      <c r="Z299" s="1">
        <v>6</v>
      </c>
      <c r="AB299" s="1">
        <f t="shared" si="4"/>
        <v>10</v>
      </c>
    </row>
    <row r="300" spans="1:28" x14ac:dyDescent="0.35">
      <c r="A300" s="1">
        <v>1362038</v>
      </c>
      <c r="B300" s="1" t="s">
        <v>132</v>
      </c>
      <c r="C300" s="1" t="s">
        <v>428</v>
      </c>
      <c r="D300" s="1" t="s">
        <v>134</v>
      </c>
      <c r="E300" s="2">
        <v>46303</v>
      </c>
      <c r="F300" s="1" t="s">
        <v>135</v>
      </c>
      <c r="G300" s="1" t="s">
        <v>782</v>
      </c>
      <c r="H300" s="1">
        <v>1450</v>
      </c>
      <c r="I300" s="1" t="s">
        <v>667</v>
      </c>
      <c r="J300" s="1">
        <v>127</v>
      </c>
      <c r="K300" s="1" t="s">
        <v>783</v>
      </c>
      <c r="L300" s="1" t="s">
        <v>784</v>
      </c>
      <c r="M300" s="2">
        <v>46308</v>
      </c>
      <c r="N300" s="1" t="s">
        <v>24</v>
      </c>
      <c r="O300" s="1" t="s">
        <v>145</v>
      </c>
      <c r="P300" s="1" t="s">
        <v>137</v>
      </c>
      <c r="Q300" s="2">
        <v>46308</v>
      </c>
      <c r="R300" s="1" t="s">
        <v>124</v>
      </c>
      <c r="S300" s="1">
        <v>1</v>
      </c>
      <c r="T300" s="1">
        <v>0</v>
      </c>
      <c r="U300" s="1">
        <v>1</v>
      </c>
      <c r="V300" s="1">
        <v>0</v>
      </c>
      <c r="W300" s="1">
        <v>2026</v>
      </c>
      <c r="X300" s="1">
        <v>41</v>
      </c>
      <c r="Y300" s="1">
        <v>10</v>
      </c>
      <c r="Z300" s="1">
        <v>8</v>
      </c>
      <c r="AB300" s="1">
        <f t="shared" si="4"/>
        <v>10</v>
      </c>
    </row>
    <row r="301" spans="1:28" x14ac:dyDescent="0.35">
      <c r="A301" s="1">
        <v>1427450</v>
      </c>
      <c r="B301" s="1" t="s">
        <v>132</v>
      </c>
      <c r="C301" s="1" t="s">
        <v>428</v>
      </c>
      <c r="D301" s="1" t="s">
        <v>134</v>
      </c>
      <c r="E301" s="2">
        <v>46303</v>
      </c>
      <c r="F301" s="1" t="s">
        <v>161</v>
      </c>
      <c r="G301" s="1" t="s">
        <v>785</v>
      </c>
      <c r="H301" s="1">
        <v>643</v>
      </c>
      <c r="I301" s="1" t="s">
        <v>786</v>
      </c>
      <c r="J301" s="1">
        <v>1</v>
      </c>
      <c r="K301" s="1" t="s">
        <v>447</v>
      </c>
      <c r="L301" s="1" t="s">
        <v>787</v>
      </c>
      <c r="M301" s="2">
        <v>46308</v>
      </c>
      <c r="N301" s="1" t="s">
        <v>3</v>
      </c>
      <c r="O301" s="1" t="s">
        <v>137</v>
      </c>
      <c r="P301" s="1" t="s">
        <v>137</v>
      </c>
      <c r="Q301" s="2"/>
      <c r="S301" s="1">
        <v>1</v>
      </c>
      <c r="T301" s="1">
        <v>0</v>
      </c>
      <c r="U301" s="1">
        <v>0</v>
      </c>
      <c r="V301" s="1">
        <v>0</v>
      </c>
      <c r="W301" s="1">
        <v>2026</v>
      </c>
      <c r="X301" s="1">
        <v>41</v>
      </c>
      <c r="Y301" s="1">
        <v>10</v>
      </c>
      <c r="Z301" s="1">
        <v>8</v>
      </c>
      <c r="AB301" s="1">
        <f t="shared" si="4"/>
        <v>10</v>
      </c>
    </row>
    <row r="302" spans="1:28" x14ac:dyDescent="0.35">
      <c r="A302" s="1">
        <v>1532159</v>
      </c>
      <c r="B302" s="1" t="s">
        <v>132</v>
      </c>
      <c r="C302" s="1" t="s">
        <v>428</v>
      </c>
      <c r="D302" s="1" t="s">
        <v>134</v>
      </c>
      <c r="E302" s="2">
        <v>46281</v>
      </c>
      <c r="F302" s="1" t="s">
        <v>196</v>
      </c>
      <c r="G302" s="1" t="s">
        <v>698</v>
      </c>
      <c r="H302" s="1">
        <v>777</v>
      </c>
      <c r="I302" s="1" t="s">
        <v>699</v>
      </c>
      <c r="J302" s="1">
        <v>136</v>
      </c>
      <c r="K302" s="1" t="s">
        <v>700</v>
      </c>
      <c r="L302" s="1" t="s">
        <v>701</v>
      </c>
      <c r="M302" s="2">
        <v>46310</v>
      </c>
      <c r="N302" s="1" t="s">
        <v>3</v>
      </c>
      <c r="O302" s="1" t="s">
        <v>137</v>
      </c>
      <c r="P302" s="1" t="s">
        <v>137</v>
      </c>
      <c r="Q302" s="2"/>
      <c r="S302" s="1">
        <v>1</v>
      </c>
      <c r="T302" s="1">
        <v>0</v>
      </c>
      <c r="U302" s="1">
        <v>0</v>
      </c>
      <c r="V302" s="1">
        <v>0</v>
      </c>
      <c r="W302" s="1">
        <v>2026</v>
      </c>
      <c r="X302" s="1">
        <v>38</v>
      </c>
      <c r="Y302" s="1">
        <v>9</v>
      </c>
      <c r="Z302" s="1">
        <v>16</v>
      </c>
      <c r="AB302" s="1">
        <f t="shared" si="4"/>
        <v>10</v>
      </c>
    </row>
    <row r="303" spans="1:28" x14ac:dyDescent="0.35">
      <c r="A303" s="1">
        <v>1321096</v>
      </c>
      <c r="B303" s="1" t="s">
        <v>132</v>
      </c>
      <c r="C303" s="1" t="s">
        <v>428</v>
      </c>
      <c r="D303" s="1" t="s">
        <v>134</v>
      </c>
      <c r="E303" s="2">
        <v>46308</v>
      </c>
      <c r="F303" s="1" t="s">
        <v>149</v>
      </c>
      <c r="G303" s="1" t="s">
        <v>219</v>
      </c>
      <c r="H303" s="1">
        <v>324</v>
      </c>
      <c r="I303" s="1" t="s">
        <v>598</v>
      </c>
      <c r="J303" s="1">
        <v>15</v>
      </c>
      <c r="K303" s="1" t="s">
        <v>465</v>
      </c>
      <c r="L303" s="1" t="s">
        <v>1040</v>
      </c>
      <c r="M303" s="2">
        <v>46318</v>
      </c>
      <c r="N303" s="1" t="s">
        <v>5</v>
      </c>
      <c r="O303" s="1" t="s">
        <v>137</v>
      </c>
      <c r="P303" s="1" t="s">
        <v>137</v>
      </c>
      <c r="Q303" s="2"/>
      <c r="S303" s="1">
        <v>1</v>
      </c>
      <c r="T303" s="1">
        <v>0</v>
      </c>
      <c r="U303" s="1">
        <v>0</v>
      </c>
      <c r="V303" s="1">
        <v>0</v>
      </c>
      <c r="W303" s="1">
        <v>2026</v>
      </c>
      <c r="X303" s="1">
        <v>42</v>
      </c>
      <c r="Y303" s="1">
        <v>10</v>
      </c>
      <c r="Z303" s="1">
        <v>13</v>
      </c>
      <c r="AB303" s="1">
        <f t="shared" si="4"/>
        <v>10</v>
      </c>
    </row>
    <row r="304" spans="1:28" x14ac:dyDescent="0.35">
      <c r="A304" s="1">
        <v>1635633</v>
      </c>
      <c r="B304" s="1" t="s">
        <v>132</v>
      </c>
      <c r="C304" s="1" t="s">
        <v>428</v>
      </c>
      <c r="D304" s="1" t="s">
        <v>134</v>
      </c>
      <c r="E304" s="2">
        <v>46308</v>
      </c>
      <c r="F304" s="1" t="s">
        <v>135</v>
      </c>
      <c r="G304" s="1" t="s">
        <v>1134</v>
      </c>
      <c r="H304" s="1">
        <v>1430</v>
      </c>
      <c r="I304" s="1" t="s">
        <v>667</v>
      </c>
      <c r="J304" s="1">
        <v>127</v>
      </c>
      <c r="K304" s="1" t="s">
        <v>170</v>
      </c>
      <c r="L304" s="1" t="s">
        <v>691</v>
      </c>
      <c r="M304" s="2">
        <v>46321</v>
      </c>
      <c r="N304" s="1" t="s">
        <v>5</v>
      </c>
      <c r="O304" s="1" t="s">
        <v>137</v>
      </c>
      <c r="P304" s="1" t="s">
        <v>137</v>
      </c>
      <c r="Q304" s="2"/>
      <c r="S304" s="1">
        <v>1</v>
      </c>
      <c r="T304" s="1">
        <v>0</v>
      </c>
      <c r="U304" s="1">
        <v>0</v>
      </c>
      <c r="V304" s="1">
        <v>0</v>
      </c>
      <c r="W304" s="1">
        <v>2026</v>
      </c>
      <c r="X304" s="1">
        <v>42</v>
      </c>
      <c r="Y304" s="1">
        <v>10</v>
      </c>
      <c r="Z304" s="1">
        <v>13</v>
      </c>
      <c r="AB304" s="1">
        <f t="shared" si="4"/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BCCD-1E97-4751-AE50-A6713DBDC652}">
  <dimension ref="A1:I366"/>
  <sheetViews>
    <sheetView showGridLines="0" workbookViewId="0">
      <selection activeCell="L8" sqref="L8"/>
    </sheetView>
  </sheetViews>
  <sheetFormatPr defaultRowHeight="10.5" x14ac:dyDescent="0.35"/>
  <cols>
    <col min="1" max="1" width="8.7265625" style="1"/>
    <col min="2" max="2" width="11.453125" style="4" customWidth="1"/>
    <col min="3" max="3" width="11.90625" style="1" customWidth="1"/>
    <col min="4" max="4" width="8.7265625" style="1"/>
    <col min="5" max="5" width="11.26953125" style="1" bestFit="1" customWidth="1"/>
    <col min="6" max="6" width="8.7265625" style="1"/>
    <col min="7" max="7" width="15.36328125" style="1" customWidth="1"/>
    <col min="8" max="8" width="8.7265625" style="1"/>
    <col min="9" max="9" width="14.7265625" style="1" customWidth="1"/>
    <col min="10" max="16384" width="8.7265625" style="1"/>
  </cols>
  <sheetData>
    <row r="1" spans="1:9" ht="11.5" thickTop="1" thickBot="1" x14ac:dyDescent="0.4">
      <c r="A1" s="8" t="s">
        <v>1</v>
      </c>
      <c r="B1" s="9" t="s">
        <v>36</v>
      </c>
      <c r="C1" s="10" t="s">
        <v>35</v>
      </c>
      <c r="D1" s="10" t="s">
        <v>29</v>
      </c>
      <c r="E1" s="11" t="s">
        <v>37</v>
      </c>
      <c r="G1" s="5" t="s">
        <v>38</v>
      </c>
      <c r="H1" s="5" t="s">
        <v>35</v>
      </c>
      <c r="I1" s="5" t="s">
        <v>39</v>
      </c>
    </row>
    <row r="2" spans="1:9" ht="11.5" thickTop="1" thickBot="1" x14ac:dyDescent="0.4">
      <c r="A2" s="12">
        <v>46023</v>
      </c>
      <c r="B2" s="13" t="str">
        <f t="shared" ref="B2:B65" si="0">UPPER(TEXT(A2,"DDD"))</f>
        <v>QUI</v>
      </c>
      <c r="C2" s="14">
        <v>0</v>
      </c>
      <c r="D2" s="14">
        <f t="shared" ref="D2:D65" si="1">MONTH(A2)</f>
        <v>1</v>
      </c>
      <c r="E2" s="15">
        <v>0</v>
      </c>
      <c r="G2" s="6">
        <f ca="1">TODAY()-1</f>
        <v>46323</v>
      </c>
      <c r="H2" s="7">
        <f ca="1">VLOOKUP(G2,A:E,5,0)</f>
        <v>19</v>
      </c>
      <c r="I2" s="7">
        <v>14.5</v>
      </c>
    </row>
    <row r="3" spans="1:9" ht="11.5" thickTop="1" thickBot="1" x14ac:dyDescent="0.4">
      <c r="A3" s="12">
        <v>46024</v>
      </c>
      <c r="B3" s="13" t="str">
        <f t="shared" si="0"/>
        <v>SEX</v>
      </c>
      <c r="C3" s="14">
        <v>1</v>
      </c>
      <c r="D3" s="14">
        <f t="shared" si="1"/>
        <v>1</v>
      </c>
      <c r="E3" s="15">
        <v>1</v>
      </c>
    </row>
    <row r="4" spans="1:9" ht="11.5" thickTop="1" thickBot="1" x14ac:dyDescent="0.4">
      <c r="A4" s="12">
        <v>46025</v>
      </c>
      <c r="B4" s="13" t="str">
        <f t="shared" si="0"/>
        <v>SÁB</v>
      </c>
      <c r="C4" s="14">
        <v>0</v>
      </c>
      <c r="D4" s="14">
        <f t="shared" si="1"/>
        <v>1</v>
      </c>
      <c r="E4" s="15">
        <v>1</v>
      </c>
    </row>
    <row r="5" spans="1:9" ht="11.5" thickTop="1" thickBot="1" x14ac:dyDescent="0.4">
      <c r="A5" s="12">
        <v>46026</v>
      </c>
      <c r="B5" s="13" t="str">
        <f t="shared" si="0"/>
        <v>DOM</v>
      </c>
      <c r="C5" s="14">
        <v>0</v>
      </c>
      <c r="D5" s="14">
        <f t="shared" si="1"/>
        <v>1</v>
      </c>
      <c r="E5" s="15">
        <v>1</v>
      </c>
    </row>
    <row r="6" spans="1:9" ht="11.5" thickTop="1" thickBot="1" x14ac:dyDescent="0.4">
      <c r="A6" s="12">
        <v>46027</v>
      </c>
      <c r="B6" s="13" t="str">
        <f t="shared" si="0"/>
        <v>SEG</v>
      </c>
      <c r="C6" s="14">
        <v>1</v>
      </c>
      <c r="D6" s="14">
        <f t="shared" si="1"/>
        <v>1</v>
      </c>
      <c r="E6" s="15">
        <v>2</v>
      </c>
      <c r="G6" s="5" t="s">
        <v>40</v>
      </c>
      <c r="H6" s="5" t="s">
        <v>48</v>
      </c>
      <c r="I6" s="5" t="s">
        <v>49</v>
      </c>
    </row>
    <row r="7" spans="1:9" ht="11.5" thickTop="1" thickBot="1" x14ac:dyDescent="0.4">
      <c r="A7" s="12">
        <v>46028</v>
      </c>
      <c r="B7" s="13" t="str">
        <f t="shared" si="0"/>
        <v>TER</v>
      </c>
      <c r="C7" s="14">
        <v>1</v>
      </c>
      <c r="D7" s="14">
        <f t="shared" si="1"/>
        <v>1</v>
      </c>
      <c r="E7" s="15">
        <v>3</v>
      </c>
      <c r="G7" s="6" t="s">
        <v>41</v>
      </c>
      <c r="H7" s="7">
        <v>4</v>
      </c>
      <c r="I7" s="7">
        <f t="shared" ref="I7:I13" ca="1" si="2">H7*$H$2</f>
        <v>76</v>
      </c>
    </row>
    <row r="8" spans="1:9" ht="11.5" thickTop="1" thickBot="1" x14ac:dyDescent="0.4">
      <c r="A8" s="12">
        <v>46029</v>
      </c>
      <c r="B8" s="13" t="str">
        <f t="shared" si="0"/>
        <v>QUA</v>
      </c>
      <c r="C8" s="14">
        <v>1</v>
      </c>
      <c r="D8" s="14">
        <f t="shared" si="1"/>
        <v>1</v>
      </c>
      <c r="E8" s="15">
        <v>4</v>
      </c>
      <c r="G8" s="6" t="s">
        <v>42</v>
      </c>
      <c r="H8" s="7">
        <v>2</v>
      </c>
      <c r="I8" s="7">
        <f t="shared" ca="1" si="2"/>
        <v>38</v>
      </c>
    </row>
    <row r="9" spans="1:9" ht="11.5" thickTop="1" thickBot="1" x14ac:dyDescent="0.4">
      <c r="A9" s="12">
        <v>46030</v>
      </c>
      <c r="B9" s="13" t="str">
        <f t="shared" si="0"/>
        <v>QUI</v>
      </c>
      <c r="C9" s="14">
        <v>1</v>
      </c>
      <c r="D9" s="14">
        <f t="shared" si="1"/>
        <v>1</v>
      </c>
      <c r="E9" s="15">
        <v>5</v>
      </c>
      <c r="G9" s="6" t="s">
        <v>43</v>
      </c>
      <c r="H9" s="7" t="s">
        <v>31</v>
      </c>
      <c r="I9" s="20">
        <f ca="1">I7*I2/100</f>
        <v>11.02</v>
      </c>
    </row>
    <row r="10" spans="1:9" ht="11.5" thickTop="1" thickBot="1" x14ac:dyDescent="0.4">
      <c r="A10" s="12">
        <v>46031</v>
      </c>
      <c r="B10" s="13" t="str">
        <f t="shared" si="0"/>
        <v>SEX</v>
      </c>
      <c r="C10" s="14">
        <v>1</v>
      </c>
      <c r="D10" s="14">
        <f t="shared" si="1"/>
        <v>1</v>
      </c>
      <c r="E10" s="15">
        <v>6</v>
      </c>
      <c r="G10" s="6" t="s">
        <v>44</v>
      </c>
      <c r="H10" s="7">
        <v>4</v>
      </c>
      <c r="I10" s="7">
        <f t="shared" ca="1" si="2"/>
        <v>76</v>
      </c>
    </row>
    <row r="11" spans="1:9" ht="11.5" thickTop="1" thickBot="1" x14ac:dyDescent="0.4">
      <c r="A11" s="12">
        <v>46032</v>
      </c>
      <c r="B11" s="13" t="str">
        <f t="shared" si="0"/>
        <v>SÁB</v>
      </c>
      <c r="C11" s="14">
        <v>0</v>
      </c>
      <c r="D11" s="14">
        <f t="shared" si="1"/>
        <v>1</v>
      </c>
      <c r="E11" s="15">
        <v>6</v>
      </c>
      <c r="G11" s="6" t="s">
        <v>45</v>
      </c>
      <c r="H11" s="7">
        <v>2</v>
      </c>
      <c r="I11" s="7">
        <f t="shared" ca="1" si="2"/>
        <v>38</v>
      </c>
    </row>
    <row r="12" spans="1:9" ht="11.5" thickTop="1" thickBot="1" x14ac:dyDescent="0.4">
      <c r="A12" s="12">
        <v>46033</v>
      </c>
      <c r="B12" s="13" t="str">
        <f t="shared" si="0"/>
        <v>DOM</v>
      </c>
      <c r="C12" s="14">
        <v>0</v>
      </c>
      <c r="D12" s="14">
        <f t="shared" si="1"/>
        <v>1</v>
      </c>
      <c r="E12" s="15">
        <v>6</v>
      </c>
      <c r="G12" s="6" t="s">
        <v>46</v>
      </c>
      <c r="H12" s="7">
        <v>0.5</v>
      </c>
      <c r="I12" s="7">
        <f t="shared" ca="1" si="2"/>
        <v>9.5</v>
      </c>
    </row>
    <row r="13" spans="1:9" ht="11.5" thickTop="1" thickBot="1" x14ac:dyDescent="0.4">
      <c r="A13" s="12">
        <v>46034</v>
      </c>
      <c r="B13" s="13" t="str">
        <f t="shared" si="0"/>
        <v>SEG</v>
      </c>
      <c r="C13" s="14">
        <v>1</v>
      </c>
      <c r="D13" s="14">
        <f t="shared" si="1"/>
        <v>1</v>
      </c>
      <c r="E13" s="15">
        <v>7</v>
      </c>
      <c r="G13" s="6" t="s">
        <v>47</v>
      </c>
      <c r="H13" s="7">
        <v>4</v>
      </c>
      <c r="I13" s="7">
        <f t="shared" ca="1" si="2"/>
        <v>76</v>
      </c>
    </row>
    <row r="14" spans="1:9" ht="11.5" thickTop="1" thickBot="1" x14ac:dyDescent="0.4">
      <c r="A14" s="12">
        <v>46035</v>
      </c>
      <c r="B14" s="13" t="str">
        <f t="shared" si="0"/>
        <v>TER</v>
      </c>
      <c r="C14" s="14">
        <v>1</v>
      </c>
      <c r="D14" s="14">
        <f t="shared" si="1"/>
        <v>1</v>
      </c>
      <c r="E14" s="15">
        <v>8</v>
      </c>
      <c r="G14" s="6" t="s">
        <v>104</v>
      </c>
      <c r="H14" s="7">
        <v>0</v>
      </c>
      <c r="I14" s="7">
        <f t="shared" ref="I14" ca="1" si="3">H14*$H$2</f>
        <v>0</v>
      </c>
    </row>
    <row r="15" spans="1:9" ht="11.5" thickTop="1" thickBot="1" x14ac:dyDescent="0.4">
      <c r="A15" s="12">
        <v>46036</v>
      </c>
      <c r="B15" s="13" t="str">
        <f t="shared" si="0"/>
        <v>QUA</v>
      </c>
      <c r="C15" s="14">
        <v>1</v>
      </c>
      <c r="D15" s="14">
        <f t="shared" si="1"/>
        <v>1</v>
      </c>
      <c r="E15" s="15">
        <v>9</v>
      </c>
    </row>
    <row r="16" spans="1:9" ht="11.5" thickTop="1" thickBot="1" x14ac:dyDescent="0.4">
      <c r="A16" s="12">
        <v>46037</v>
      </c>
      <c r="B16" s="13" t="str">
        <f t="shared" si="0"/>
        <v>QUI</v>
      </c>
      <c r="C16" s="14">
        <v>1</v>
      </c>
      <c r="D16" s="14">
        <f t="shared" si="1"/>
        <v>1</v>
      </c>
      <c r="E16" s="15">
        <v>10</v>
      </c>
    </row>
    <row r="17" spans="1:5" ht="11.5" thickTop="1" thickBot="1" x14ac:dyDescent="0.4">
      <c r="A17" s="12">
        <v>46038</v>
      </c>
      <c r="B17" s="13" t="str">
        <f t="shared" si="0"/>
        <v>SEX</v>
      </c>
      <c r="C17" s="14">
        <v>1</v>
      </c>
      <c r="D17" s="14">
        <f t="shared" si="1"/>
        <v>1</v>
      </c>
      <c r="E17" s="15">
        <v>11</v>
      </c>
    </row>
    <row r="18" spans="1:5" ht="11.5" thickTop="1" thickBot="1" x14ac:dyDescent="0.4">
      <c r="A18" s="12">
        <v>46039</v>
      </c>
      <c r="B18" s="13" t="str">
        <f t="shared" si="0"/>
        <v>SÁB</v>
      </c>
      <c r="C18" s="14">
        <v>0</v>
      </c>
      <c r="D18" s="14">
        <f t="shared" si="1"/>
        <v>1</v>
      </c>
      <c r="E18" s="15">
        <v>11</v>
      </c>
    </row>
    <row r="19" spans="1:5" ht="11.5" thickTop="1" thickBot="1" x14ac:dyDescent="0.4">
      <c r="A19" s="12">
        <v>46040</v>
      </c>
      <c r="B19" s="13" t="str">
        <f t="shared" si="0"/>
        <v>DOM</v>
      </c>
      <c r="C19" s="14">
        <v>0</v>
      </c>
      <c r="D19" s="14">
        <f t="shared" si="1"/>
        <v>1</v>
      </c>
      <c r="E19" s="15">
        <v>11</v>
      </c>
    </row>
    <row r="20" spans="1:5" ht="11.5" thickTop="1" thickBot="1" x14ac:dyDescent="0.4">
      <c r="A20" s="12">
        <v>46041</v>
      </c>
      <c r="B20" s="13" t="str">
        <f t="shared" si="0"/>
        <v>SEG</v>
      </c>
      <c r="C20" s="14">
        <v>1</v>
      </c>
      <c r="D20" s="14">
        <f t="shared" si="1"/>
        <v>1</v>
      </c>
      <c r="E20" s="15">
        <v>12</v>
      </c>
    </row>
    <row r="21" spans="1:5" ht="11.5" thickTop="1" thickBot="1" x14ac:dyDescent="0.4">
      <c r="A21" s="12">
        <v>46042</v>
      </c>
      <c r="B21" s="13" t="str">
        <f t="shared" si="0"/>
        <v>TER</v>
      </c>
      <c r="C21" s="14">
        <v>1</v>
      </c>
      <c r="D21" s="14">
        <f t="shared" si="1"/>
        <v>1</v>
      </c>
      <c r="E21" s="15">
        <v>13</v>
      </c>
    </row>
    <row r="22" spans="1:5" ht="11.5" thickTop="1" thickBot="1" x14ac:dyDescent="0.4">
      <c r="A22" s="12">
        <v>46043</v>
      </c>
      <c r="B22" s="13" t="str">
        <f t="shared" si="0"/>
        <v>QUA</v>
      </c>
      <c r="C22" s="14">
        <v>1</v>
      </c>
      <c r="D22" s="14">
        <f t="shared" si="1"/>
        <v>1</v>
      </c>
      <c r="E22" s="15">
        <v>14</v>
      </c>
    </row>
    <row r="23" spans="1:5" ht="11.5" thickTop="1" thickBot="1" x14ac:dyDescent="0.4">
      <c r="A23" s="12">
        <v>46044</v>
      </c>
      <c r="B23" s="13" t="str">
        <f t="shared" si="0"/>
        <v>QUI</v>
      </c>
      <c r="C23" s="14">
        <v>1</v>
      </c>
      <c r="D23" s="14">
        <f t="shared" si="1"/>
        <v>1</v>
      </c>
      <c r="E23" s="15">
        <v>15</v>
      </c>
    </row>
    <row r="24" spans="1:5" ht="11.5" thickTop="1" thickBot="1" x14ac:dyDescent="0.4">
      <c r="A24" s="12">
        <v>46045</v>
      </c>
      <c r="B24" s="13" t="str">
        <f t="shared" si="0"/>
        <v>SEX</v>
      </c>
      <c r="C24" s="14">
        <v>1</v>
      </c>
      <c r="D24" s="14">
        <f t="shared" si="1"/>
        <v>1</v>
      </c>
      <c r="E24" s="15">
        <v>16</v>
      </c>
    </row>
    <row r="25" spans="1:5" ht="11.5" thickTop="1" thickBot="1" x14ac:dyDescent="0.4">
      <c r="A25" s="12">
        <v>46046</v>
      </c>
      <c r="B25" s="13" t="str">
        <f t="shared" si="0"/>
        <v>SÁB</v>
      </c>
      <c r="C25" s="14">
        <v>0</v>
      </c>
      <c r="D25" s="14">
        <f t="shared" si="1"/>
        <v>1</v>
      </c>
      <c r="E25" s="15">
        <v>16</v>
      </c>
    </row>
    <row r="26" spans="1:5" ht="11.5" thickTop="1" thickBot="1" x14ac:dyDescent="0.4">
      <c r="A26" s="12">
        <v>46047</v>
      </c>
      <c r="B26" s="13" t="str">
        <f t="shared" si="0"/>
        <v>DOM</v>
      </c>
      <c r="C26" s="14">
        <v>0</v>
      </c>
      <c r="D26" s="14">
        <f t="shared" si="1"/>
        <v>1</v>
      </c>
      <c r="E26" s="15">
        <v>16</v>
      </c>
    </row>
    <row r="27" spans="1:5" ht="11.5" thickTop="1" thickBot="1" x14ac:dyDescent="0.4">
      <c r="A27" s="12">
        <v>46048</v>
      </c>
      <c r="B27" s="13" t="str">
        <f t="shared" si="0"/>
        <v>SEG</v>
      </c>
      <c r="C27" s="14">
        <v>1</v>
      </c>
      <c r="D27" s="14">
        <f t="shared" si="1"/>
        <v>1</v>
      </c>
      <c r="E27" s="15">
        <v>17</v>
      </c>
    </row>
    <row r="28" spans="1:5" ht="11.5" thickTop="1" thickBot="1" x14ac:dyDescent="0.4">
      <c r="A28" s="12">
        <v>46049</v>
      </c>
      <c r="B28" s="13" t="str">
        <f t="shared" si="0"/>
        <v>TER</v>
      </c>
      <c r="C28" s="14">
        <v>1</v>
      </c>
      <c r="D28" s="14">
        <f t="shared" si="1"/>
        <v>1</v>
      </c>
      <c r="E28" s="15">
        <v>18</v>
      </c>
    </row>
    <row r="29" spans="1:5" ht="11.5" thickTop="1" thickBot="1" x14ac:dyDescent="0.4">
      <c r="A29" s="12">
        <v>46050</v>
      </c>
      <c r="B29" s="13" t="str">
        <f t="shared" si="0"/>
        <v>QUA</v>
      </c>
      <c r="C29" s="14">
        <v>1</v>
      </c>
      <c r="D29" s="14">
        <f t="shared" si="1"/>
        <v>1</v>
      </c>
      <c r="E29" s="15">
        <v>19</v>
      </c>
    </row>
    <row r="30" spans="1:5" ht="11.5" thickTop="1" thickBot="1" x14ac:dyDescent="0.4">
      <c r="A30" s="12">
        <v>46051</v>
      </c>
      <c r="B30" s="13" t="str">
        <f t="shared" si="0"/>
        <v>QUI</v>
      </c>
      <c r="C30" s="14">
        <v>1</v>
      </c>
      <c r="D30" s="14">
        <f t="shared" si="1"/>
        <v>1</v>
      </c>
      <c r="E30" s="15">
        <v>20</v>
      </c>
    </row>
    <row r="31" spans="1:5" ht="11.5" thickTop="1" thickBot="1" x14ac:dyDescent="0.4">
      <c r="A31" s="12">
        <v>46052</v>
      </c>
      <c r="B31" s="13" t="str">
        <f t="shared" si="0"/>
        <v>SEX</v>
      </c>
      <c r="C31" s="14">
        <v>1</v>
      </c>
      <c r="D31" s="14">
        <f t="shared" si="1"/>
        <v>1</v>
      </c>
      <c r="E31" s="15">
        <v>21</v>
      </c>
    </row>
    <row r="32" spans="1:5" ht="11.5" thickTop="1" thickBot="1" x14ac:dyDescent="0.4">
      <c r="A32" s="12">
        <v>46053</v>
      </c>
      <c r="B32" s="13" t="str">
        <f t="shared" si="0"/>
        <v>SÁB</v>
      </c>
      <c r="C32" s="14">
        <v>0</v>
      </c>
      <c r="D32" s="14">
        <f t="shared" si="1"/>
        <v>1</v>
      </c>
      <c r="E32" s="15">
        <v>21</v>
      </c>
    </row>
    <row r="33" spans="1:5" ht="11.5" thickTop="1" thickBot="1" x14ac:dyDescent="0.4">
      <c r="A33" s="12">
        <v>46054</v>
      </c>
      <c r="B33" s="13" t="str">
        <f t="shared" si="0"/>
        <v>DOM</v>
      </c>
      <c r="C33" s="14">
        <v>0</v>
      </c>
      <c r="D33" s="14">
        <f t="shared" si="1"/>
        <v>2</v>
      </c>
      <c r="E33" s="15">
        <v>0</v>
      </c>
    </row>
    <row r="34" spans="1:5" ht="11.5" thickTop="1" thickBot="1" x14ac:dyDescent="0.4">
      <c r="A34" s="12">
        <v>46055</v>
      </c>
      <c r="B34" s="13" t="str">
        <f t="shared" si="0"/>
        <v>SEG</v>
      </c>
      <c r="C34" s="14">
        <v>1</v>
      </c>
      <c r="D34" s="14">
        <f t="shared" si="1"/>
        <v>2</v>
      </c>
      <c r="E34" s="15">
        <v>1</v>
      </c>
    </row>
    <row r="35" spans="1:5" ht="11.5" thickTop="1" thickBot="1" x14ac:dyDescent="0.4">
      <c r="A35" s="12">
        <v>46056</v>
      </c>
      <c r="B35" s="13" t="str">
        <f t="shared" si="0"/>
        <v>TER</v>
      </c>
      <c r="C35" s="14">
        <v>1</v>
      </c>
      <c r="D35" s="14">
        <f t="shared" si="1"/>
        <v>2</v>
      </c>
      <c r="E35" s="15">
        <v>2</v>
      </c>
    </row>
    <row r="36" spans="1:5" ht="11.5" thickTop="1" thickBot="1" x14ac:dyDescent="0.4">
      <c r="A36" s="12">
        <v>46057</v>
      </c>
      <c r="B36" s="13" t="str">
        <f t="shared" si="0"/>
        <v>QUA</v>
      </c>
      <c r="C36" s="14">
        <v>1</v>
      </c>
      <c r="D36" s="14">
        <f t="shared" si="1"/>
        <v>2</v>
      </c>
      <c r="E36" s="15">
        <v>3</v>
      </c>
    </row>
    <row r="37" spans="1:5" ht="11.5" thickTop="1" thickBot="1" x14ac:dyDescent="0.4">
      <c r="A37" s="12">
        <v>46058</v>
      </c>
      <c r="B37" s="13" t="str">
        <f t="shared" si="0"/>
        <v>QUI</v>
      </c>
      <c r="C37" s="14">
        <v>1</v>
      </c>
      <c r="D37" s="14">
        <f t="shared" si="1"/>
        <v>2</v>
      </c>
      <c r="E37" s="15">
        <v>4</v>
      </c>
    </row>
    <row r="38" spans="1:5" ht="11.5" thickTop="1" thickBot="1" x14ac:dyDescent="0.4">
      <c r="A38" s="12">
        <v>46059</v>
      </c>
      <c r="B38" s="13" t="str">
        <f t="shared" si="0"/>
        <v>SEX</v>
      </c>
      <c r="C38" s="14">
        <v>1</v>
      </c>
      <c r="D38" s="14">
        <f t="shared" si="1"/>
        <v>2</v>
      </c>
      <c r="E38" s="15">
        <v>5</v>
      </c>
    </row>
    <row r="39" spans="1:5" ht="11.5" thickTop="1" thickBot="1" x14ac:dyDescent="0.4">
      <c r="A39" s="12">
        <v>46060</v>
      </c>
      <c r="B39" s="13" t="str">
        <f t="shared" si="0"/>
        <v>SÁB</v>
      </c>
      <c r="C39" s="14">
        <v>0</v>
      </c>
      <c r="D39" s="14">
        <f t="shared" si="1"/>
        <v>2</v>
      </c>
      <c r="E39" s="15">
        <v>5</v>
      </c>
    </row>
    <row r="40" spans="1:5" ht="11.5" thickTop="1" thickBot="1" x14ac:dyDescent="0.4">
      <c r="A40" s="12">
        <v>46061</v>
      </c>
      <c r="B40" s="13" t="str">
        <f t="shared" si="0"/>
        <v>DOM</v>
      </c>
      <c r="C40" s="14">
        <v>0</v>
      </c>
      <c r="D40" s="14">
        <f t="shared" si="1"/>
        <v>2</v>
      </c>
      <c r="E40" s="15">
        <v>5</v>
      </c>
    </row>
    <row r="41" spans="1:5" ht="11.5" thickTop="1" thickBot="1" x14ac:dyDescent="0.4">
      <c r="A41" s="12">
        <v>46062</v>
      </c>
      <c r="B41" s="13" t="str">
        <f t="shared" si="0"/>
        <v>SEG</v>
      </c>
      <c r="C41" s="14">
        <v>1</v>
      </c>
      <c r="D41" s="14">
        <f t="shared" si="1"/>
        <v>2</v>
      </c>
      <c r="E41" s="15">
        <v>6</v>
      </c>
    </row>
    <row r="42" spans="1:5" ht="11.5" thickTop="1" thickBot="1" x14ac:dyDescent="0.4">
      <c r="A42" s="12">
        <v>46063</v>
      </c>
      <c r="B42" s="13" t="str">
        <f t="shared" si="0"/>
        <v>TER</v>
      </c>
      <c r="C42" s="14">
        <v>1</v>
      </c>
      <c r="D42" s="14">
        <f t="shared" si="1"/>
        <v>2</v>
      </c>
      <c r="E42" s="15">
        <v>7</v>
      </c>
    </row>
    <row r="43" spans="1:5" ht="11.5" thickTop="1" thickBot="1" x14ac:dyDescent="0.4">
      <c r="A43" s="12">
        <v>46064</v>
      </c>
      <c r="B43" s="13" t="str">
        <f t="shared" si="0"/>
        <v>QUA</v>
      </c>
      <c r="C43" s="14">
        <v>1</v>
      </c>
      <c r="D43" s="14">
        <f t="shared" si="1"/>
        <v>2</v>
      </c>
      <c r="E43" s="15">
        <v>8</v>
      </c>
    </row>
    <row r="44" spans="1:5" ht="11.5" thickTop="1" thickBot="1" x14ac:dyDescent="0.4">
      <c r="A44" s="12">
        <v>46065</v>
      </c>
      <c r="B44" s="13" t="str">
        <f t="shared" si="0"/>
        <v>QUI</v>
      </c>
      <c r="C44" s="14">
        <v>1</v>
      </c>
      <c r="D44" s="14">
        <f t="shared" si="1"/>
        <v>2</v>
      </c>
      <c r="E44" s="15">
        <v>9</v>
      </c>
    </row>
    <row r="45" spans="1:5" ht="11.5" thickTop="1" thickBot="1" x14ac:dyDescent="0.4">
      <c r="A45" s="12">
        <v>46066</v>
      </c>
      <c r="B45" s="13" t="str">
        <f t="shared" si="0"/>
        <v>SEX</v>
      </c>
      <c r="C45" s="14">
        <v>1</v>
      </c>
      <c r="D45" s="14">
        <f t="shared" si="1"/>
        <v>2</v>
      </c>
      <c r="E45" s="15">
        <v>10</v>
      </c>
    </row>
    <row r="46" spans="1:5" ht="11.5" thickTop="1" thickBot="1" x14ac:dyDescent="0.4">
      <c r="A46" s="12">
        <v>46067</v>
      </c>
      <c r="B46" s="13" t="str">
        <f t="shared" si="0"/>
        <v>SÁB</v>
      </c>
      <c r="C46" s="14">
        <v>0</v>
      </c>
      <c r="D46" s="14">
        <f t="shared" si="1"/>
        <v>2</v>
      </c>
      <c r="E46" s="15">
        <v>10</v>
      </c>
    </row>
    <row r="47" spans="1:5" ht="11.5" thickTop="1" thickBot="1" x14ac:dyDescent="0.4">
      <c r="A47" s="12">
        <v>46068</v>
      </c>
      <c r="B47" s="13" t="str">
        <f t="shared" si="0"/>
        <v>DOM</v>
      </c>
      <c r="C47" s="14">
        <v>0</v>
      </c>
      <c r="D47" s="14">
        <f t="shared" si="1"/>
        <v>2</v>
      </c>
      <c r="E47" s="15">
        <v>10</v>
      </c>
    </row>
    <row r="48" spans="1:5" ht="11.5" thickTop="1" thickBot="1" x14ac:dyDescent="0.4">
      <c r="A48" s="12">
        <v>46069</v>
      </c>
      <c r="B48" s="13" t="str">
        <f t="shared" si="0"/>
        <v>SEG</v>
      </c>
      <c r="C48" s="14">
        <v>1</v>
      </c>
      <c r="D48" s="14">
        <f t="shared" si="1"/>
        <v>2</v>
      </c>
      <c r="E48" s="15">
        <v>11</v>
      </c>
    </row>
    <row r="49" spans="1:5" ht="11.5" thickTop="1" thickBot="1" x14ac:dyDescent="0.4">
      <c r="A49" s="12">
        <v>46070</v>
      </c>
      <c r="B49" s="13" t="str">
        <f t="shared" si="0"/>
        <v>TER</v>
      </c>
      <c r="C49" s="14">
        <v>0</v>
      </c>
      <c r="D49" s="14">
        <f t="shared" si="1"/>
        <v>2</v>
      </c>
      <c r="E49" s="15">
        <v>11</v>
      </c>
    </row>
    <row r="50" spans="1:5" ht="11.5" thickTop="1" thickBot="1" x14ac:dyDescent="0.4">
      <c r="A50" s="12">
        <v>46071</v>
      </c>
      <c r="B50" s="13" t="str">
        <f t="shared" si="0"/>
        <v>QUA</v>
      </c>
      <c r="C50" s="14">
        <v>1</v>
      </c>
      <c r="D50" s="14">
        <f t="shared" si="1"/>
        <v>2</v>
      </c>
      <c r="E50" s="15">
        <v>12</v>
      </c>
    </row>
    <row r="51" spans="1:5" ht="11.5" thickTop="1" thickBot="1" x14ac:dyDescent="0.4">
      <c r="A51" s="12">
        <v>46072</v>
      </c>
      <c r="B51" s="13" t="str">
        <f t="shared" si="0"/>
        <v>QUI</v>
      </c>
      <c r="C51" s="14">
        <v>1</v>
      </c>
      <c r="D51" s="14">
        <f t="shared" si="1"/>
        <v>2</v>
      </c>
      <c r="E51" s="15">
        <v>13</v>
      </c>
    </row>
    <row r="52" spans="1:5" ht="11.5" thickTop="1" thickBot="1" x14ac:dyDescent="0.4">
      <c r="A52" s="12">
        <v>46073</v>
      </c>
      <c r="B52" s="13" t="str">
        <f t="shared" si="0"/>
        <v>SEX</v>
      </c>
      <c r="C52" s="14">
        <v>1</v>
      </c>
      <c r="D52" s="14">
        <f t="shared" si="1"/>
        <v>2</v>
      </c>
      <c r="E52" s="15">
        <v>14</v>
      </c>
    </row>
    <row r="53" spans="1:5" ht="11.5" thickTop="1" thickBot="1" x14ac:dyDescent="0.4">
      <c r="A53" s="12">
        <v>46074</v>
      </c>
      <c r="B53" s="13" t="str">
        <f t="shared" si="0"/>
        <v>SÁB</v>
      </c>
      <c r="C53" s="14">
        <v>0</v>
      </c>
      <c r="D53" s="14">
        <f t="shared" si="1"/>
        <v>2</v>
      </c>
      <c r="E53" s="15">
        <v>14</v>
      </c>
    </row>
    <row r="54" spans="1:5" ht="11.5" thickTop="1" thickBot="1" x14ac:dyDescent="0.4">
      <c r="A54" s="12">
        <v>46075</v>
      </c>
      <c r="B54" s="13" t="str">
        <f t="shared" si="0"/>
        <v>DOM</v>
      </c>
      <c r="C54" s="14">
        <v>0</v>
      </c>
      <c r="D54" s="14">
        <f t="shared" si="1"/>
        <v>2</v>
      </c>
      <c r="E54" s="15">
        <v>14</v>
      </c>
    </row>
    <row r="55" spans="1:5" ht="11.5" thickTop="1" thickBot="1" x14ac:dyDescent="0.4">
      <c r="A55" s="12">
        <v>46076</v>
      </c>
      <c r="B55" s="13" t="str">
        <f t="shared" si="0"/>
        <v>SEG</v>
      </c>
      <c r="C55" s="14">
        <v>1</v>
      </c>
      <c r="D55" s="14">
        <f t="shared" si="1"/>
        <v>2</v>
      </c>
      <c r="E55" s="15">
        <v>15</v>
      </c>
    </row>
    <row r="56" spans="1:5" ht="11.5" thickTop="1" thickBot="1" x14ac:dyDescent="0.4">
      <c r="A56" s="12">
        <v>46077</v>
      </c>
      <c r="B56" s="13" t="str">
        <f t="shared" si="0"/>
        <v>TER</v>
      </c>
      <c r="C56" s="14">
        <v>1</v>
      </c>
      <c r="D56" s="14">
        <f t="shared" si="1"/>
        <v>2</v>
      </c>
      <c r="E56" s="15">
        <v>16</v>
      </c>
    </row>
    <row r="57" spans="1:5" ht="11.5" thickTop="1" thickBot="1" x14ac:dyDescent="0.4">
      <c r="A57" s="12">
        <v>46078</v>
      </c>
      <c r="B57" s="13" t="str">
        <f t="shared" si="0"/>
        <v>QUA</v>
      </c>
      <c r="C57" s="14">
        <v>1</v>
      </c>
      <c r="D57" s="14">
        <f t="shared" si="1"/>
        <v>2</v>
      </c>
      <c r="E57" s="15">
        <v>17</v>
      </c>
    </row>
    <row r="58" spans="1:5" ht="11.5" thickTop="1" thickBot="1" x14ac:dyDescent="0.4">
      <c r="A58" s="12">
        <v>46079</v>
      </c>
      <c r="B58" s="13" t="str">
        <f t="shared" si="0"/>
        <v>QUI</v>
      </c>
      <c r="C58" s="14">
        <v>1</v>
      </c>
      <c r="D58" s="14">
        <f t="shared" si="1"/>
        <v>2</v>
      </c>
      <c r="E58" s="15">
        <v>18</v>
      </c>
    </row>
    <row r="59" spans="1:5" ht="11.5" thickTop="1" thickBot="1" x14ac:dyDescent="0.4">
      <c r="A59" s="12">
        <v>46080</v>
      </c>
      <c r="B59" s="13" t="str">
        <f t="shared" si="0"/>
        <v>SEX</v>
      </c>
      <c r="C59" s="14">
        <v>1</v>
      </c>
      <c r="D59" s="14">
        <f t="shared" si="1"/>
        <v>2</v>
      </c>
      <c r="E59" s="15">
        <v>19</v>
      </c>
    </row>
    <row r="60" spans="1:5" ht="11.5" thickTop="1" thickBot="1" x14ac:dyDescent="0.4">
      <c r="A60" s="12">
        <v>46081</v>
      </c>
      <c r="B60" s="13" t="str">
        <f t="shared" si="0"/>
        <v>SÁB</v>
      </c>
      <c r="C60" s="14">
        <v>0</v>
      </c>
      <c r="D60" s="14">
        <f t="shared" si="1"/>
        <v>2</v>
      </c>
      <c r="E60" s="15">
        <v>19</v>
      </c>
    </row>
    <row r="61" spans="1:5" ht="11.5" thickTop="1" thickBot="1" x14ac:dyDescent="0.4">
      <c r="A61" s="12">
        <v>46082</v>
      </c>
      <c r="B61" s="13" t="str">
        <f t="shared" si="0"/>
        <v>DOM</v>
      </c>
      <c r="C61" s="14">
        <v>0</v>
      </c>
      <c r="D61" s="14">
        <f t="shared" si="1"/>
        <v>3</v>
      </c>
      <c r="E61" s="15">
        <v>0</v>
      </c>
    </row>
    <row r="62" spans="1:5" ht="11.5" thickTop="1" thickBot="1" x14ac:dyDescent="0.4">
      <c r="A62" s="12">
        <v>46083</v>
      </c>
      <c r="B62" s="13" t="str">
        <f t="shared" si="0"/>
        <v>SEG</v>
      </c>
      <c r="C62" s="14">
        <v>1</v>
      </c>
      <c r="D62" s="14">
        <f t="shared" si="1"/>
        <v>3</v>
      </c>
      <c r="E62" s="15">
        <v>1</v>
      </c>
    </row>
    <row r="63" spans="1:5" ht="11.5" thickTop="1" thickBot="1" x14ac:dyDescent="0.4">
      <c r="A63" s="12">
        <v>46084</v>
      </c>
      <c r="B63" s="13" t="str">
        <f t="shared" si="0"/>
        <v>TER</v>
      </c>
      <c r="C63" s="14">
        <v>1</v>
      </c>
      <c r="D63" s="14">
        <f t="shared" si="1"/>
        <v>3</v>
      </c>
      <c r="E63" s="15">
        <v>2</v>
      </c>
    </row>
    <row r="64" spans="1:5" ht="11.5" thickTop="1" thickBot="1" x14ac:dyDescent="0.4">
      <c r="A64" s="12">
        <v>46085</v>
      </c>
      <c r="B64" s="13" t="str">
        <f t="shared" si="0"/>
        <v>QUA</v>
      </c>
      <c r="C64" s="14">
        <v>1</v>
      </c>
      <c r="D64" s="14">
        <f t="shared" si="1"/>
        <v>3</v>
      </c>
      <c r="E64" s="15">
        <v>3</v>
      </c>
    </row>
    <row r="65" spans="1:5" ht="11.5" thickTop="1" thickBot="1" x14ac:dyDescent="0.4">
      <c r="A65" s="12">
        <v>46086</v>
      </c>
      <c r="B65" s="13" t="str">
        <f t="shared" si="0"/>
        <v>QUI</v>
      </c>
      <c r="C65" s="14">
        <v>1</v>
      </c>
      <c r="D65" s="14">
        <f t="shared" si="1"/>
        <v>3</v>
      </c>
      <c r="E65" s="15">
        <v>4</v>
      </c>
    </row>
    <row r="66" spans="1:5" ht="11.5" thickTop="1" thickBot="1" x14ac:dyDescent="0.4">
      <c r="A66" s="12">
        <v>46087</v>
      </c>
      <c r="B66" s="13" t="str">
        <f t="shared" ref="B66:B129" si="4">UPPER(TEXT(A66,"DDD"))</f>
        <v>SEX</v>
      </c>
      <c r="C66" s="14">
        <v>1</v>
      </c>
      <c r="D66" s="14">
        <f t="shared" ref="D66:D129" si="5">MONTH(A66)</f>
        <v>3</v>
      </c>
      <c r="E66" s="15">
        <v>5</v>
      </c>
    </row>
    <row r="67" spans="1:5" ht="11.5" thickTop="1" thickBot="1" x14ac:dyDescent="0.4">
      <c r="A67" s="12">
        <v>46088</v>
      </c>
      <c r="B67" s="13" t="str">
        <f t="shared" si="4"/>
        <v>SÁB</v>
      </c>
      <c r="C67" s="14">
        <v>0</v>
      </c>
      <c r="D67" s="14">
        <f t="shared" si="5"/>
        <v>3</v>
      </c>
      <c r="E67" s="15">
        <v>5</v>
      </c>
    </row>
    <row r="68" spans="1:5" ht="11.5" thickTop="1" thickBot="1" x14ac:dyDescent="0.4">
      <c r="A68" s="12">
        <v>46089</v>
      </c>
      <c r="B68" s="13" t="str">
        <f t="shared" si="4"/>
        <v>DOM</v>
      </c>
      <c r="C68" s="14">
        <v>0</v>
      </c>
      <c r="D68" s="14">
        <f t="shared" si="5"/>
        <v>3</v>
      </c>
      <c r="E68" s="15">
        <v>5</v>
      </c>
    </row>
    <row r="69" spans="1:5" ht="11.5" thickTop="1" thickBot="1" x14ac:dyDescent="0.4">
      <c r="A69" s="12">
        <v>46090</v>
      </c>
      <c r="B69" s="13" t="str">
        <f t="shared" si="4"/>
        <v>SEG</v>
      </c>
      <c r="C69" s="14">
        <v>1</v>
      </c>
      <c r="D69" s="14">
        <f t="shared" si="5"/>
        <v>3</v>
      </c>
      <c r="E69" s="15">
        <v>6</v>
      </c>
    </row>
    <row r="70" spans="1:5" ht="11.5" thickTop="1" thickBot="1" x14ac:dyDescent="0.4">
      <c r="A70" s="12">
        <v>46091</v>
      </c>
      <c r="B70" s="13" t="str">
        <f t="shared" si="4"/>
        <v>TER</v>
      </c>
      <c r="C70" s="14">
        <v>1</v>
      </c>
      <c r="D70" s="14">
        <f t="shared" si="5"/>
        <v>3</v>
      </c>
      <c r="E70" s="15">
        <v>7</v>
      </c>
    </row>
    <row r="71" spans="1:5" ht="11.5" thickTop="1" thickBot="1" x14ac:dyDescent="0.4">
      <c r="A71" s="12">
        <v>46092</v>
      </c>
      <c r="B71" s="13" t="str">
        <f t="shared" si="4"/>
        <v>QUA</v>
      </c>
      <c r="C71" s="14">
        <v>1</v>
      </c>
      <c r="D71" s="14">
        <f t="shared" si="5"/>
        <v>3</v>
      </c>
      <c r="E71" s="15">
        <v>8</v>
      </c>
    </row>
    <row r="72" spans="1:5" ht="11.5" thickTop="1" thickBot="1" x14ac:dyDescent="0.4">
      <c r="A72" s="12">
        <v>46093</v>
      </c>
      <c r="B72" s="13" t="str">
        <f t="shared" si="4"/>
        <v>QUI</v>
      </c>
      <c r="C72" s="14">
        <v>1</v>
      </c>
      <c r="D72" s="14">
        <f t="shared" si="5"/>
        <v>3</v>
      </c>
      <c r="E72" s="15">
        <v>9</v>
      </c>
    </row>
    <row r="73" spans="1:5" ht="11.5" thickTop="1" thickBot="1" x14ac:dyDescent="0.4">
      <c r="A73" s="12">
        <v>46094</v>
      </c>
      <c r="B73" s="13" t="str">
        <f t="shared" si="4"/>
        <v>SEX</v>
      </c>
      <c r="C73" s="14">
        <v>1</v>
      </c>
      <c r="D73" s="14">
        <f t="shared" si="5"/>
        <v>3</v>
      </c>
      <c r="E73" s="15">
        <v>10</v>
      </c>
    </row>
    <row r="74" spans="1:5" ht="11.5" thickTop="1" thickBot="1" x14ac:dyDescent="0.4">
      <c r="A74" s="12">
        <v>46095</v>
      </c>
      <c r="B74" s="13" t="str">
        <f t="shared" si="4"/>
        <v>SÁB</v>
      </c>
      <c r="C74" s="14">
        <v>0</v>
      </c>
      <c r="D74" s="14">
        <f t="shared" si="5"/>
        <v>3</v>
      </c>
      <c r="E74" s="15">
        <v>10</v>
      </c>
    </row>
    <row r="75" spans="1:5" ht="11.5" thickTop="1" thickBot="1" x14ac:dyDescent="0.4">
      <c r="A75" s="12">
        <v>46096</v>
      </c>
      <c r="B75" s="13" t="str">
        <f t="shared" si="4"/>
        <v>DOM</v>
      </c>
      <c r="C75" s="14">
        <v>0</v>
      </c>
      <c r="D75" s="14">
        <f t="shared" si="5"/>
        <v>3</v>
      </c>
      <c r="E75" s="15">
        <v>10</v>
      </c>
    </row>
    <row r="76" spans="1:5" ht="11.5" thickTop="1" thickBot="1" x14ac:dyDescent="0.4">
      <c r="A76" s="12">
        <v>46097</v>
      </c>
      <c r="B76" s="13" t="str">
        <f t="shared" si="4"/>
        <v>SEG</v>
      </c>
      <c r="C76" s="14">
        <v>1</v>
      </c>
      <c r="D76" s="14">
        <f t="shared" si="5"/>
        <v>3</v>
      </c>
      <c r="E76" s="15">
        <v>11</v>
      </c>
    </row>
    <row r="77" spans="1:5" ht="11.5" thickTop="1" thickBot="1" x14ac:dyDescent="0.4">
      <c r="A77" s="12">
        <v>46098</v>
      </c>
      <c r="B77" s="13" t="str">
        <f t="shared" si="4"/>
        <v>TER</v>
      </c>
      <c r="C77" s="14">
        <v>1</v>
      </c>
      <c r="D77" s="14">
        <f t="shared" si="5"/>
        <v>3</v>
      </c>
      <c r="E77" s="15">
        <v>12</v>
      </c>
    </row>
    <row r="78" spans="1:5" ht="11.5" thickTop="1" thickBot="1" x14ac:dyDescent="0.4">
      <c r="A78" s="12">
        <v>46099</v>
      </c>
      <c r="B78" s="13" t="str">
        <f t="shared" si="4"/>
        <v>QUA</v>
      </c>
      <c r="C78" s="14">
        <v>1</v>
      </c>
      <c r="D78" s="14">
        <f t="shared" si="5"/>
        <v>3</v>
      </c>
      <c r="E78" s="15">
        <v>13</v>
      </c>
    </row>
    <row r="79" spans="1:5" ht="11.5" thickTop="1" thickBot="1" x14ac:dyDescent="0.4">
      <c r="A79" s="12">
        <v>46100</v>
      </c>
      <c r="B79" s="13" t="str">
        <f t="shared" si="4"/>
        <v>QUI</v>
      </c>
      <c r="C79" s="14">
        <v>1</v>
      </c>
      <c r="D79" s="14">
        <f t="shared" si="5"/>
        <v>3</v>
      </c>
      <c r="E79" s="15">
        <v>14</v>
      </c>
    </row>
    <row r="80" spans="1:5" ht="11.5" thickTop="1" thickBot="1" x14ac:dyDescent="0.4">
      <c r="A80" s="12">
        <v>46101</v>
      </c>
      <c r="B80" s="13" t="str">
        <f t="shared" si="4"/>
        <v>SEX</v>
      </c>
      <c r="C80" s="14">
        <v>1</v>
      </c>
      <c r="D80" s="14">
        <f t="shared" si="5"/>
        <v>3</v>
      </c>
      <c r="E80" s="15">
        <v>15</v>
      </c>
    </row>
    <row r="81" spans="1:5" ht="11.5" thickTop="1" thickBot="1" x14ac:dyDescent="0.4">
      <c r="A81" s="12">
        <v>46102</v>
      </c>
      <c r="B81" s="13" t="str">
        <f t="shared" si="4"/>
        <v>SÁB</v>
      </c>
      <c r="C81" s="14">
        <v>0</v>
      </c>
      <c r="D81" s="14">
        <f t="shared" si="5"/>
        <v>3</v>
      </c>
      <c r="E81" s="15">
        <v>15</v>
      </c>
    </row>
    <row r="82" spans="1:5" ht="11.5" thickTop="1" thickBot="1" x14ac:dyDescent="0.4">
      <c r="A82" s="12">
        <v>46103</v>
      </c>
      <c r="B82" s="13" t="str">
        <f t="shared" si="4"/>
        <v>DOM</v>
      </c>
      <c r="C82" s="14">
        <v>0</v>
      </c>
      <c r="D82" s="14">
        <f t="shared" si="5"/>
        <v>3</v>
      </c>
      <c r="E82" s="15">
        <v>15</v>
      </c>
    </row>
    <row r="83" spans="1:5" ht="11.5" thickTop="1" thickBot="1" x14ac:dyDescent="0.4">
      <c r="A83" s="12">
        <v>46104</v>
      </c>
      <c r="B83" s="13" t="str">
        <f t="shared" si="4"/>
        <v>SEG</v>
      </c>
      <c r="C83" s="14">
        <v>1</v>
      </c>
      <c r="D83" s="14">
        <f t="shared" si="5"/>
        <v>3</v>
      </c>
      <c r="E83" s="15">
        <v>16</v>
      </c>
    </row>
    <row r="84" spans="1:5" ht="11.5" thickTop="1" thickBot="1" x14ac:dyDescent="0.4">
      <c r="A84" s="12">
        <v>46105</v>
      </c>
      <c r="B84" s="13" t="str">
        <f t="shared" si="4"/>
        <v>TER</v>
      </c>
      <c r="C84" s="14">
        <v>1</v>
      </c>
      <c r="D84" s="14">
        <f t="shared" si="5"/>
        <v>3</v>
      </c>
      <c r="E84" s="15">
        <v>17</v>
      </c>
    </row>
    <row r="85" spans="1:5" ht="11.5" thickTop="1" thickBot="1" x14ac:dyDescent="0.4">
      <c r="A85" s="12">
        <v>46106</v>
      </c>
      <c r="B85" s="13" t="str">
        <f t="shared" si="4"/>
        <v>QUA</v>
      </c>
      <c r="C85" s="14">
        <v>1</v>
      </c>
      <c r="D85" s="14">
        <f t="shared" si="5"/>
        <v>3</v>
      </c>
      <c r="E85" s="15">
        <v>18</v>
      </c>
    </row>
    <row r="86" spans="1:5" ht="11.5" thickTop="1" thickBot="1" x14ac:dyDescent="0.4">
      <c r="A86" s="12">
        <v>46107</v>
      </c>
      <c r="B86" s="13" t="str">
        <f t="shared" si="4"/>
        <v>QUI</v>
      </c>
      <c r="C86" s="14">
        <v>1</v>
      </c>
      <c r="D86" s="14">
        <f t="shared" si="5"/>
        <v>3</v>
      </c>
      <c r="E86" s="15">
        <v>19</v>
      </c>
    </row>
    <row r="87" spans="1:5" ht="11.5" thickTop="1" thickBot="1" x14ac:dyDescent="0.4">
      <c r="A87" s="12">
        <v>46108</v>
      </c>
      <c r="B87" s="13" t="str">
        <f t="shared" si="4"/>
        <v>SEX</v>
      </c>
      <c r="C87" s="14">
        <v>1</v>
      </c>
      <c r="D87" s="14">
        <f t="shared" si="5"/>
        <v>3</v>
      </c>
      <c r="E87" s="15">
        <v>20</v>
      </c>
    </row>
    <row r="88" spans="1:5" ht="11.5" thickTop="1" thickBot="1" x14ac:dyDescent="0.4">
      <c r="A88" s="12">
        <v>46109</v>
      </c>
      <c r="B88" s="13" t="str">
        <f t="shared" si="4"/>
        <v>SÁB</v>
      </c>
      <c r="C88" s="14">
        <v>0</v>
      </c>
      <c r="D88" s="14">
        <f t="shared" si="5"/>
        <v>3</v>
      </c>
      <c r="E88" s="15">
        <v>20</v>
      </c>
    </row>
    <row r="89" spans="1:5" ht="11.5" thickTop="1" thickBot="1" x14ac:dyDescent="0.4">
      <c r="A89" s="12">
        <v>46110</v>
      </c>
      <c r="B89" s="13" t="str">
        <f t="shared" si="4"/>
        <v>DOM</v>
      </c>
      <c r="C89" s="14">
        <v>0</v>
      </c>
      <c r="D89" s="14">
        <f t="shared" si="5"/>
        <v>3</v>
      </c>
      <c r="E89" s="15">
        <v>20</v>
      </c>
    </row>
    <row r="90" spans="1:5" ht="11.5" thickTop="1" thickBot="1" x14ac:dyDescent="0.4">
      <c r="A90" s="12">
        <v>46111</v>
      </c>
      <c r="B90" s="13" t="str">
        <f t="shared" si="4"/>
        <v>SEG</v>
      </c>
      <c r="C90" s="14">
        <v>1</v>
      </c>
      <c r="D90" s="14">
        <f t="shared" si="5"/>
        <v>3</v>
      </c>
      <c r="E90" s="15">
        <v>21</v>
      </c>
    </row>
    <row r="91" spans="1:5" ht="11.5" thickTop="1" thickBot="1" x14ac:dyDescent="0.4">
      <c r="A91" s="12">
        <v>46112</v>
      </c>
      <c r="B91" s="13" t="str">
        <f t="shared" si="4"/>
        <v>TER</v>
      </c>
      <c r="C91" s="14">
        <v>1</v>
      </c>
      <c r="D91" s="14">
        <f t="shared" si="5"/>
        <v>3</v>
      </c>
      <c r="E91" s="15">
        <v>22</v>
      </c>
    </row>
    <row r="92" spans="1:5" ht="11.5" thickTop="1" thickBot="1" x14ac:dyDescent="0.4">
      <c r="A92" s="12">
        <v>46113</v>
      </c>
      <c r="B92" s="13" t="str">
        <f t="shared" si="4"/>
        <v>QUA</v>
      </c>
      <c r="C92" s="14">
        <v>1</v>
      </c>
      <c r="D92" s="14">
        <f t="shared" si="5"/>
        <v>4</v>
      </c>
      <c r="E92" s="15">
        <v>1</v>
      </c>
    </row>
    <row r="93" spans="1:5" ht="11.5" thickTop="1" thickBot="1" x14ac:dyDescent="0.4">
      <c r="A93" s="12">
        <v>46114</v>
      </c>
      <c r="B93" s="13" t="str">
        <f t="shared" si="4"/>
        <v>QUI</v>
      </c>
      <c r="C93" s="14">
        <v>1</v>
      </c>
      <c r="D93" s="14">
        <f t="shared" si="5"/>
        <v>4</v>
      </c>
      <c r="E93" s="15">
        <v>2</v>
      </c>
    </row>
    <row r="94" spans="1:5" ht="11.5" thickTop="1" thickBot="1" x14ac:dyDescent="0.4">
      <c r="A94" s="12">
        <v>46115</v>
      </c>
      <c r="B94" s="13" t="str">
        <f t="shared" si="4"/>
        <v>SEX</v>
      </c>
      <c r="C94" s="14">
        <v>0</v>
      </c>
      <c r="D94" s="14">
        <f t="shared" si="5"/>
        <v>4</v>
      </c>
      <c r="E94" s="15">
        <v>2</v>
      </c>
    </row>
    <row r="95" spans="1:5" ht="11.5" thickTop="1" thickBot="1" x14ac:dyDescent="0.4">
      <c r="A95" s="12">
        <v>46116</v>
      </c>
      <c r="B95" s="13" t="str">
        <f t="shared" si="4"/>
        <v>SÁB</v>
      </c>
      <c r="C95" s="14">
        <v>0</v>
      </c>
      <c r="D95" s="14">
        <f t="shared" si="5"/>
        <v>4</v>
      </c>
      <c r="E95" s="15">
        <v>2</v>
      </c>
    </row>
    <row r="96" spans="1:5" ht="11.5" thickTop="1" thickBot="1" x14ac:dyDescent="0.4">
      <c r="A96" s="12">
        <v>46117</v>
      </c>
      <c r="B96" s="13" t="str">
        <f t="shared" si="4"/>
        <v>DOM</v>
      </c>
      <c r="C96" s="14">
        <v>0</v>
      </c>
      <c r="D96" s="14">
        <f t="shared" si="5"/>
        <v>4</v>
      </c>
      <c r="E96" s="15">
        <v>2</v>
      </c>
    </row>
    <row r="97" spans="1:5" ht="11.5" thickTop="1" thickBot="1" x14ac:dyDescent="0.4">
      <c r="A97" s="12">
        <v>46118</v>
      </c>
      <c r="B97" s="13" t="str">
        <f t="shared" si="4"/>
        <v>SEG</v>
      </c>
      <c r="C97" s="14">
        <v>1</v>
      </c>
      <c r="D97" s="14">
        <f t="shared" si="5"/>
        <v>4</v>
      </c>
      <c r="E97" s="15">
        <v>3</v>
      </c>
    </row>
    <row r="98" spans="1:5" ht="11.5" thickTop="1" thickBot="1" x14ac:dyDescent="0.4">
      <c r="A98" s="12">
        <v>46119</v>
      </c>
      <c r="B98" s="13" t="str">
        <f t="shared" si="4"/>
        <v>TER</v>
      </c>
      <c r="C98" s="14">
        <v>1</v>
      </c>
      <c r="D98" s="14">
        <f t="shared" si="5"/>
        <v>4</v>
      </c>
      <c r="E98" s="15">
        <v>4</v>
      </c>
    </row>
    <row r="99" spans="1:5" ht="11.5" thickTop="1" thickBot="1" x14ac:dyDescent="0.4">
      <c r="A99" s="12">
        <v>46120</v>
      </c>
      <c r="B99" s="13" t="str">
        <f t="shared" si="4"/>
        <v>QUA</v>
      </c>
      <c r="C99" s="14">
        <v>1</v>
      </c>
      <c r="D99" s="14">
        <f t="shared" si="5"/>
        <v>4</v>
      </c>
      <c r="E99" s="15">
        <v>5</v>
      </c>
    </row>
    <row r="100" spans="1:5" ht="11.5" thickTop="1" thickBot="1" x14ac:dyDescent="0.4">
      <c r="A100" s="12">
        <v>46121</v>
      </c>
      <c r="B100" s="13" t="str">
        <f t="shared" si="4"/>
        <v>QUI</v>
      </c>
      <c r="C100" s="14">
        <v>1</v>
      </c>
      <c r="D100" s="14">
        <f t="shared" si="5"/>
        <v>4</v>
      </c>
      <c r="E100" s="15">
        <v>6</v>
      </c>
    </row>
    <row r="101" spans="1:5" ht="11.5" thickTop="1" thickBot="1" x14ac:dyDescent="0.4">
      <c r="A101" s="12">
        <v>46122</v>
      </c>
      <c r="B101" s="13" t="str">
        <f t="shared" si="4"/>
        <v>SEX</v>
      </c>
      <c r="C101" s="14">
        <v>1</v>
      </c>
      <c r="D101" s="14">
        <f t="shared" si="5"/>
        <v>4</v>
      </c>
      <c r="E101" s="15">
        <v>7</v>
      </c>
    </row>
    <row r="102" spans="1:5" ht="11.5" thickTop="1" thickBot="1" x14ac:dyDescent="0.4">
      <c r="A102" s="12">
        <v>46123</v>
      </c>
      <c r="B102" s="13" t="str">
        <f t="shared" si="4"/>
        <v>SÁB</v>
      </c>
      <c r="C102" s="14">
        <v>0</v>
      </c>
      <c r="D102" s="14">
        <f t="shared" si="5"/>
        <v>4</v>
      </c>
      <c r="E102" s="15">
        <v>7</v>
      </c>
    </row>
    <row r="103" spans="1:5" ht="11.5" thickTop="1" thickBot="1" x14ac:dyDescent="0.4">
      <c r="A103" s="12">
        <v>46124</v>
      </c>
      <c r="B103" s="13" t="str">
        <f t="shared" si="4"/>
        <v>DOM</v>
      </c>
      <c r="C103" s="14">
        <v>0</v>
      </c>
      <c r="D103" s="14">
        <f t="shared" si="5"/>
        <v>4</v>
      </c>
      <c r="E103" s="15">
        <v>7</v>
      </c>
    </row>
    <row r="104" spans="1:5" ht="11.5" thickTop="1" thickBot="1" x14ac:dyDescent="0.4">
      <c r="A104" s="12">
        <v>46125</v>
      </c>
      <c r="B104" s="13" t="str">
        <f t="shared" si="4"/>
        <v>SEG</v>
      </c>
      <c r="C104" s="14">
        <v>1</v>
      </c>
      <c r="D104" s="14">
        <f t="shared" si="5"/>
        <v>4</v>
      </c>
      <c r="E104" s="15">
        <v>8</v>
      </c>
    </row>
    <row r="105" spans="1:5" ht="11.5" thickTop="1" thickBot="1" x14ac:dyDescent="0.4">
      <c r="A105" s="12">
        <v>46126</v>
      </c>
      <c r="B105" s="13" t="str">
        <f t="shared" si="4"/>
        <v>TER</v>
      </c>
      <c r="C105" s="14">
        <v>1</v>
      </c>
      <c r="D105" s="14">
        <f t="shared" si="5"/>
        <v>4</v>
      </c>
      <c r="E105" s="15">
        <v>9</v>
      </c>
    </row>
    <row r="106" spans="1:5" ht="11.5" thickTop="1" thickBot="1" x14ac:dyDescent="0.4">
      <c r="A106" s="12">
        <v>46127</v>
      </c>
      <c r="B106" s="13" t="str">
        <f t="shared" si="4"/>
        <v>QUA</v>
      </c>
      <c r="C106" s="14">
        <v>1</v>
      </c>
      <c r="D106" s="14">
        <f t="shared" si="5"/>
        <v>4</v>
      </c>
      <c r="E106" s="15">
        <v>10</v>
      </c>
    </row>
    <row r="107" spans="1:5" ht="11.5" thickTop="1" thickBot="1" x14ac:dyDescent="0.4">
      <c r="A107" s="12">
        <v>46128</v>
      </c>
      <c r="B107" s="13" t="str">
        <f t="shared" si="4"/>
        <v>QUI</v>
      </c>
      <c r="C107" s="14">
        <v>1</v>
      </c>
      <c r="D107" s="14">
        <f t="shared" si="5"/>
        <v>4</v>
      </c>
      <c r="E107" s="15">
        <v>11</v>
      </c>
    </row>
    <row r="108" spans="1:5" ht="11.5" thickTop="1" thickBot="1" x14ac:dyDescent="0.4">
      <c r="A108" s="12">
        <v>46129</v>
      </c>
      <c r="B108" s="13" t="str">
        <f t="shared" si="4"/>
        <v>SEX</v>
      </c>
      <c r="C108" s="14">
        <v>1</v>
      </c>
      <c r="D108" s="14">
        <f t="shared" si="5"/>
        <v>4</v>
      </c>
      <c r="E108" s="15">
        <v>12</v>
      </c>
    </row>
    <row r="109" spans="1:5" ht="11.5" thickTop="1" thickBot="1" x14ac:dyDescent="0.4">
      <c r="A109" s="12">
        <v>46130</v>
      </c>
      <c r="B109" s="13" t="str">
        <f t="shared" si="4"/>
        <v>SÁB</v>
      </c>
      <c r="C109" s="14">
        <v>0</v>
      </c>
      <c r="D109" s="14">
        <f t="shared" si="5"/>
        <v>4</v>
      </c>
      <c r="E109" s="15">
        <v>12</v>
      </c>
    </row>
    <row r="110" spans="1:5" ht="11.5" thickTop="1" thickBot="1" x14ac:dyDescent="0.4">
      <c r="A110" s="12">
        <v>46131</v>
      </c>
      <c r="B110" s="13" t="str">
        <f t="shared" si="4"/>
        <v>DOM</v>
      </c>
      <c r="C110" s="14">
        <v>0</v>
      </c>
      <c r="D110" s="14">
        <f t="shared" si="5"/>
        <v>4</v>
      </c>
      <c r="E110" s="15">
        <v>12</v>
      </c>
    </row>
    <row r="111" spans="1:5" ht="11.5" thickTop="1" thickBot="1" x14ac:dyDescent="0.4">
      <c r="A111" s="12">
        <v>46132</v>
      </c>
      <c r="B111" s="13" t="str">
        <f t="shared" si="4"/>
        <v>SEG</v>
      </c>
      <c r="C111" s="14">
        <v>1</v>
      </c>
      <c r="D111" s="14">
        <f t="shared" si="5"/>
        <v>4</v>
      </c>
      <c r="E111" s="15">
        <v>13</v>
      </c>
    </row>
    <row r="112" spans="1:5" ht="11.5" thickTop="1" thickBot="1" x14ac:dyDescent="0.4">
      <c r="A112" s="12">
        <v>46133</v>
      </c>
      <c r="B112" s="13" t="str">
        <f t="shared" si="4"/>
        <v>TER</v>
      </c>
      <c r="C112" s="14">
        <v>0</v>
      </c>
      <c r="D112" s="14">
        <f t="shared" si="5"/>
        <v>4</v>
      </c>
      <c r="E112" s="15">
        <v>13</v>
      </c>
    </row>
    <row r="113" spans="1:5" ht="11.5" thickTop="1" thickBot="1" x14ac:dyDescent="0.4">
      <c r="A113" s="12">
        <v>46134</v>
      </c>
      <c r="B113" s="13" t="str">
        <f t="shared" si="4"/>
        <v>QUA</v>
      </c>
      <c r="C113" s="14">
        <v>1</v>
      </c>
      <c r="D113" s="14">
        <f t="shared" si="5"/>
        <v>4</v>
      </c>
      <c r="E113" s="15">
        <v>14</v>
      </c>
    </row>
    <row r="114" spans="1:5" ht="11.5" thickTop="1" thickBot="1" x14ac:dyDescent="0.4">
      <c r="A114" s="12">
        <v>46135</v>
      </c>
      <c r="B114" s="13" t="str">
        <f t="shared" si="4"/>
        <v>QUI</v>
      </c>
      <c r="C114" s="14">
        <v>1</v>
      </c>
      <c r="D114" s="14">
        <f t="shared" si="5"/>
        <v>4</v>
      </c>
      <c r="E114" s="15">
        <v>15</v>
      </c>
    </row>
    <row r="115" spans="1:5" ht="11.5" thickTop="1" thickBot="1" x14ac:dyDescent="0.4">
      <c r="A115" s="12">
        <v>46136</v>
      </c>
      <c r="B115" s="13" t="str">
        <f t="shared" si="4"/>
        <v>SEX</v>
      </c>
      <c r="C115" s="14">
        <v>1</v>
      </c>
      <c r="D115" s="14">
        <f t="shared" si="5"/>
        <v>4</v>
      </c>
      <c r="E115" s="15">
        <v>16</v>
      </c>
    </row>
    <row r="116" spans="1:5" ht="11.5" thickTop="1" thickBot="1" x14ac:dyDescent="0.4">
      <c r="A116" s="12">
        <v>46137</v>
      </c>
      <c r="B116" s="13" t="str">
        <f t="shared" si="4"/>
        <v>SÁB</v>
      </c>
      <c r="C116" s="14">
        <v>0</v>
      </c>
      <c r="D116" s="14">
        <f t="shared" si="5"/>
        <v>4</v>
      </c>
      <c r="E116" s="15">
        <v>16</v>
      </c>
    </row>
    <row r="117" spans="1:5" ht="11.5" thickTop="1" thickBot="1" x14ac:dyDescent="0.4">
      <c r="A117" s="12">
        <v>46138</v>
      </c>
      <c r="B117" s="13" t="str">
        <f t="shared" si="4"/>
        <v>DOM</v>
      </c>
      <c r="C117" s="14">
        <v>0</v>
      </c>
      <c r="D117" s="14">
        <f t="shared" si="5"/>
        <v>4</v>
      </c>
      <c r="E117" s="15">
        <v>16</v>
      </c>
    </row>
    <row r="118" spans="1:5" ht="11.5" thickTop="1" thickBot="1" x14ac:dyDescent="0.4">
      <c r="A118" s="12">
        <v>46139</v>
      </c>
      <c r="B118" s="13" t="str">
        <f t="shared" si="4"/>
        <v>SEG</v>
      </c>
      <c r="C118" s="14">
        <v>1</v>
      </c>
      <c r="D118" s="14">
        <f t="shared" si="5"/>
        <v>4</v>
      </c>
      <c r="E118" s="15">
        <v>17</v>
      </c>
    </row>
    <row r="119" spans="1:5" ht="11.5" thickTop="1" thickBot="1" x14ac:dyDescent="0.4">
      <c r="A119" s="12">
        <v>46140</v>
      </c>
      <c r="B119" s="13" t="str">
        <f t="shared" si="4"/>
        <v>TER</v>
      </c>
      <c r="C119" s="14">
        <v>1</v>
      </c>
      <c r="D119" s="14">
        <f t="shared" si="5"/>
        <v>4</v>
      </c>
      <c r="E119" s="15">
        <v>18</v>
      </c>
    </row>
    <row r="120" spans="1:5" ht="11.5" thickTop="1" thickBot="1" x14ac:dyDescent="0.4">
      <c r="A120" s="12">
        <v>46141</v>
      </c>
      <c r="B120" s="13" t="str">
        <f t="shared" si="4"/>
        <v>QUA</v>
      </c>
      <c r="C120" s="14">
        <v>1</v>
      </c>
      <c r="D120" s="14">
        <f t="shared" si="5"/>
        <v>4</v>
      </c>
      <c r="E120" s="15">
        <v>19</v>
      </c>
    </row>
    <row r="121" spans="1:5" ht="11.5" thickTop="1" thickBot="1" x14ac:dyDescent="0.4">
      <c r="A121" s="12">
        <v>46142</v>
      </c>
      <c r="B121" s="13" t="str">
        <f t="shared" si="4"/>
        <v>QUI</v>
      </c>
      <c r="C121" s="14">
        <v>1</v>
      </c>
      <c r="D121" s="14">
        <f t="shared" si="5"/>
        <v>4</v>
      </c>
      <c r="E121" s="15">
        <v>20</v>
      </c>
    </row>
    <row r="122" spans="1:5" ht="11.5" thickTop="1" thickBot="1" x14ac:dyDescent="0.4">
      <c r="A122" s="12">
        <v>46143</v>
      </c>
      <c r="B122" s="13" t="str">
        <f t="shared" si="4"/>
        <v>SEX</v>
      </c>
      <c r="C122" s="14">
        <v>0</v>
      </c>
      <c r="D122" s="14">
        <f t="shared" si="5"/>
        <v>5</v>
      </c>
      <c r="E122" s="15">
        <v>0</v>
      </c>
    </row>
    <row r="123" spans="1:5" ht="11.5" thickTop="1" thickBot="1" x14ac:dyDescent="0.4">
      <c r="A123" s="12">
        <v>46144</v>
      </c>
      <c r="B123" s="13" t="str">
        <f t="shared" si="4"/>
        <v>SÁB</v>
      </c>
      <c r="C123" s="14">
        <v>0</v>
      </c>
      <c r="D123" s="14">
        <f t="shared" si="5"/>
        <v>5</v>
      </c>
      <c r="E123" s="15">
        <v>0</v>
      </c>
    </row>
    <row r="124" spans="1:5" ht="11.5" thickTop="1" thickBot="1" x14ac:dyDescent="0.4">
      <c r="A124" s="12">
        <v>46145</v>
      </c>
      <c r="B124" s="13" t="str">
        <f t="shared" si="4"/>
        <v>DOM</v>
      </c>
      <c r="C124" s="14">
        <v>0</v>
      </c>
      <c r="D124" s="14">
        <f t="shared" si="5"/>
        <v>5</v>
      </c>
      <c r="E124" s="15">
        <v>0</v>
      </c>
    </row>
    <row r="125" spans="1:5" ht="11.5" thickTop="1" thickBot="1" x14ac:dyDescent="0.4">
      <c r="A125" s="12">
        <v>46146</v>
      </c>
      <c r="B125" s="13" t="str">
        <f t="shared" si="4"/>
        <v>SEG</v>
      </c>
      <c r="C125" s="14">
        <v>1</v>
      </c>
      <c r="D125" s="14">
        <f t="shared" si="5"/>
        <v>5</v>
      </c>
      <c r="E125" s="15">
        <v>1</v>
      </c>
    </row>
    <row r="126" spans="1:5" ht="11.5" thickTop="1" thickBot="1" x14ac:dyDescent="0.4">
      <c r="A126" s="12">
        <v>46147</v>
      </c>
      <c r="B126" s="13" t="str">
        <f t="shared" si="4"/>
        <v>TER</v>
      </c>
      <c r="C126" s="14">
        <v>1</v>
      </c>
      <c r="D126" s="14">
        <f t="shared" si="5"/>
        <v>5</v>
      </c>
      <c r="E126" s="15">
        <v>2</v>
      </c>
    </row>
    <row r="127" spans="1:5" ht="11.5" thickTop="1" thickBot="1" x14ac:dyDescent="0.4">
      <c r="A127" s="12">
        <v>46148</v>
      </c>
      <c r="B127" s="13" t="str">
        <f t="shared" si="4"/>
        <v>QUA</v>
      </c>
      <c r="C127" s="14">
        <v>1</v>
      </c>
      <c r="D127" s="14">
        <f t="shared" si="5"/>
        <v>5</v>
      </c>
      <c r="E127" s="15">
        <v>3</v>
      </c>
    </row>
    <row r="128" spans="1:5" ht="11.5" thickTop="1" thickBot="1" x14ac:dyDescent="0.4">
      <c r="A128" s="12">
        <v>46149</v>
      </c>
      <c r="B128" s="13" t="str">
        <f t="shared" si="4"/>
        <v>QUI</v>
      </c>
      <c r="C128" s="14">
        <v>1</v>
      </c>
      <c r="D128" s="14">
        <f t="shared" si="5"/>
        <v>5</v>
      </c>
      <c r="E128" s="15">
        <v>4</v>
      </c>
    </row>
    <row r="129" spans="1:5" ht="11.5" thickTop="1" thickBot="1" x14ac:dyDescent="0.4">
      <c r="A129" s="12">
        <v>46150</v>
      </c>
      <c r="B129" s="13" t="str">
        <f t="shared" si="4"/>
        <v>SEX</v>
      </c>
      <c r="C129" s="14">
        <v>1</v>
      </c>
      <c r="D129" s="14">
        <f t="shared" si="5"/>
        <v>5</v>
      </c>
      <c r="E129" s="15">
        <v>5</v>
      </c>
    </row>
    <row r="130" spans="1:5" ht="11.5" thickTop="1" thickBot="1" x14ac:dyDescent="0.4">
      <c r="A130" s="12">
        <v>46151</v>
      </c>
      <c r="B130" s="13" t="str">
        <f t="shared" ref="B130:B193" si="6">UPPER(TEXT(A130,"DDD"))</f>
        <v>SÁB</v>
      </c>
      <c r="C130" s="14">
        <v>0</v>
      </c>
      <c r="D130" s="14">
        <f t="shared" ref="D130:D193" si="7">MONTH(A130)</f>
        <v>5</v>
      </c>
      <c r="E130" s="15">
        <v>5</v>
      </c>
    </row>
    <row r="131" spans="1:5" ht="11.5" thickTop="1" thickBot="1" x14ac:dyDescent="0.4">
      <c r="A131" s="12">
        <v>46152</v>
      </c>
      <c r="B131" s="13" t="str">
        <f t="shared" si="6"/>
        <v>DOM</v>
      </c>
      <c r="C131" s="14">
        <v>0</v>
      </c>
      <c r="D131" s="14">
        <f t="shared" si="7"/>
        <v>5</v>
      </c>
      <c r="E131" s="15">
        <v>5</v>
      </c>
    </row>
    <row r="132" spans="1:5" ht="11.5" thickTop="1" thickBot="1" x14ac:dyDescent="0.4">
      <c r="A132" s="12">
        <v>46153</v>
      </c>
      <c r="B132" s="13" t="str">
        <f t="shared" si="6"/>
        <v>SEG</v>
      </c>
      <c r="C132" s="14">
        <v>1</v>
      </c>
      <c r="D132" s="14">
        <f t="shared" si="7"/>
        <v>5</v>
      </c>
      <c r="E132" s="15">
        <v>6</v>
      </c>
    </row>
    <row r="133" spans="1:5" ht="11.5" thickTop="1" thickBot="1" x14ac:dyDescent="0.4">
      <c r="A133" s="12">
        <v>46154</v>
      </c>
      <c r="B133" s="13" t="str">
        <f t="shared" si="6"/>
        <v>TER</v>
      </c>
      <c r="C133" s="14">
        <v>1</v>
      </c>
      <c r="D133" s="14">
        <f t="shared" si="7"/>
        <v>5</v>
      </c>
      <c r="E133" s="15">
        <v>7</v>
      </c>
    </row>
    <row r="134" spans="1:5" ht="11.5" thickTop="1" thickBot="1" x14ac:dyDescent="0.4">
      <c r="A134" s="12">
        <v>46155</v>
      </c>
      <c r="B134" s="13" t="str">
        <f t="shared" si="6"/>
        <v>QUA</v>
      </c>
      <c r="C134" s="14">
        <v>1</v>
      </c>
      <c r="D134" s="14">
        <f t="shared" si="7"/>
        <v>5</v>
      </c>
      <c r="E134" s="15">
        <v>8</v>
      </c>
    </row>
    <row r="135" spans="1:5" ht="11.5" thickTop="1" thickBot="1" x14ac:dyDescent="0.4">
      <c r="A135" s="12">
        <v>46156</v>
      </c>
      <c r="B135" s="13" t="str">
        <f t="shared" si="6"/>
        <v>QUI</v>
      </c>
      <c r="C135" s="14">
        <v>1</v>
      </c>
      <c r="D135" s="14">
        <f t="shared" si="7"/>
        <v>5</v>
      </c>
      <c r="E135" s="15">
        <v>9</v>
      </c>
    </row>
    <row r="136" spans="1:5" ht="11.5" thickTop="1" thickBot="1" x14ac:dyDescent="0.4">
      <c r="A136" s="12">
        <v>46157</v>
      </c>
      <c r="B136" s="13" t="str">
        <f t="shared" si="6"/>
        <v>SEX</v>
      </c>
      <c r="C136" s="14">
        <v>1</v>
      </c>
      <c r="D136" s="14">
        <f t="shared" si="7"/>
        <v>5</v>
      </c>
      <c r="E136" s="15">
        <v>10</v>
      </c>
    </row>
    <row r="137" spans="1:5" ht="11.5" thickTop="1" thickBot="1" x14ac:dyDescent="0.4">
      <c r="A137" s="12">
        <v>46158</v>
      </c>
      <c r="B137" s="13" t="str">
        <f t="shared" si="6"/>
        <v>SÁB</v>
      </c>
      <c r="C137" s="14">
        <v>0</v>
      </c>
      <c r="D137" s="14">
        <f t="shared" si="7"/>
        <v>5</v>
      </c>
      <c r="E137" s="15">
        <v>10</v>
      </c>
    </row>
    <row r="138" spans="1:5" ht="11.5" thickTop="1" thickBot="1" x14ac:dyDescent="0.4">
      <c r="A138" s="12">
        <v>46159</v>
      </c>
      <c r="B138" s="13" t="str">
        <f t="shared" si="6"/>
        <v>DOM</v>
      </c>
      <c r="C138" s="14">
        <v>0</v>
      </c>
      <c r="D138" s="14">
        <f t="shared" si="7"/>
        <v>5</v>
      </c>
      <c r="E138" s="15">
        <v>10</v>
      </c>
    </row>
    <row r="139" spans="1:5" ht="11.5" thickTop="1" thickBot="1" x14ac:dyDescent="0.4">
      <c r="A139" s="12">
        <v>46160</v>
      </c>
      <c r="B139" s="13" t="str">
        <f t="shared" si="6"/>
        <v>SEG</v>
      </c>
      <c r="C139" s="14">
        <v>1</v>
      </c>
      <c r="D139" s="14">
        <f t="shared" si="7"/>
        <v>5</v>
      </c>
      <c r="E139" s="15">
        <v>11</v>
      </c>
    </row>
    <row r="140" spans="1:5" ht="11.5" thickTop="1" thickBot="1" x14ac:dyDescent="0.4">
      <c r="A140" s="12">
        <v>46161</v>
      </c>
      <c r="B140" s="13" t="str">
        <f t="shared" si="6"/>
        <v>TER</v>
      </c>
      <c r="C140" s="14">
        <v>1</v>
      </c>
      <c r="D140" s="14">
        <f t="shared" si="7"/>
        <v>5</v>
      </c>
      <c r="E140" s="15">
        <v>12</v>
      </c>
    </row>
    <row r="141" spans="1:5" ht="11.5" thickTop="1" thickBot="1" x14ac:dyDescent="0.4">
      <c r="A141" s="12">
        <v>46162</v>
      </c>
      <c r="B141" s="13" t="str">
        <f t="shared" si="6"/>
        <v>QUA</v>
      </c>
      <c r="C141" s="14">
        <v>1</v>
      </c>
      <c r="D141" s="14">
        <f t="shared" si="7"/>
        <v>5</v>
      </c>
      <c r="E141" s="15">
        <v>13</v>
      </c>
    </row>
    <row r="142" spans="1:5" ht="11.5" thickTop="1" thickBot="1" x14ac:dyDescent="0.4">
      <c r="A142" s="12">
        <v>46163</v>
      </c>
      <c r="B142" s="13" t="str">
        <f t="shared" si="6"/>
        <v>QUI</v>
      </c>
      <c r="C142" s="14">
        <v>1</v>
      </c>
      <c r="D142" s="14">
        <f t="shared" si="7"/>
        <v>5</v>
      </c>
      <c r="E142" s="15">
        <v>14</v>
      </c>
    </row>
    <row r="143" spans="1:5" ht="11.5" thickTop="1" thickBot="1" x14ac:dyDescent="0.4">
      <c r="A143" s="12">
        <v>46164</v>
      </c>
      <c r="B143" s="13" t="str">
        <f t="shared" si="6"/>
        <v>SEX</v>
      </c>
      <c r="C143" s="14">
        <v>1</v>
      </c>
      <c r="D143" s="14">
        <f t="shared" si="7"/>
        <v>5</v>
      </c>
      <c r="E143" s="15">
        <v>15</v>
      </c>
    </row>
    <row r="144" spans="1:5" ht="11.5" thickTop="1" thickBot="1" x14ac:dyDescent="0.4">
      <c r="A144" s="12">
        <v>46165</v>
      </c>
      <c r="B144" s="13" t="str">
        <f t="shared" si="6"/>
        <v>SÁB</v>
      </c>
      <c r="C144" s="14">
        <v>0</v>
      </c>
      <c r="D144" s="14">
        <f t="shared" si="7"/>
        <v>5</v>
      </c>
      <c r="E144" s="15">
        <v>15</v>
      </c>
    </row>
    <row r="145" spans="1:5" ht="11.5" thickTop="1" thickBot="1" x14ac:dyDescent="0.4">
      <c r="A145" s="12">
        <v>46166</v>
      </c>
      <c r="B145" s="13" t="str">
        <f t="shared" si="6"/>
        <v>DOM</v>
      </c>
      <c r="C145" s="14">
        <v>0</v>
      </c>
      <c r="D145" s="14">
        <f t="shared" si="7"/>
        <v>5</v>
      </c>
      <c r="E145" s="15">
        <v>15</v>
      </c>
    </row>
    <row r="146" spans="1:5" ht="11.5" thickTop="1" thickBot="1" x14ac:dyDescent="0.4">
      <c r="A146" s="12">
        <v>46167</v>
      </c>
      <c r="B146" s="13" t="str">
        <f t="shared" si="6"/>
        <v>SEG</v>
      </c>
      <c r="C146" s="14">
        <v>1</v>
      </c>
      <c r="D146" s="14">
        <f t="shared" si="7"/>
        <v>5</v>
      </c>
      <c r="E146" s="15">
        <v>16</v>
      </c>
    </row>
    <row r="147" spans="1:5" ht="11.5" thickTop="1" thickBot="1" x14ac:dyDescent="0.4">
      <c r="A147" s="12">
        <v>46168</v>
      </c>
      <c r="B147" s="13" t="str">
        <f t="shared" si="6"/>
        <v>TER</v>
      </c>
      <c r="C147" s="14">
        <v>1</v>
      </c>
      <c r="D147" s="14">
        <f t="shared" si="7"/>
        <v>5</v>
      </c>
      <c r="E147" s="15">
        <v>17</v>
      </c>
    </row>
    <row r="148" spans="1:5" ht="11.5" thickTop="1" thickBot="1" x14ac:dyDescent="0.4">
      <c r="A148" s="12">
        <v>46169</v>
      </c>
      <c r="B148" s="13" t="str">
        <f t="shared" si="6"/>
        <v>QUA</v>
      </c>
      <c r="C148" s="14">
        <v>1</v>
      </c>
      <c r="D148" s="14">
        <f t="shared" si="7"/>
        <v>5</v>
      </c>
      <c r="E148" s="15">
        <v>18</v>
      </c>
    </row>
    <row r="149" spans="1:5" ht="11.5" thickTop="1" thickBot="1" x14ac:dyDescent="0.4">
      <c r="A149" s="12">
        <v>46170</v>
      </c>
      <c r="B149" s="13" t="str">
        <f t="shared" si="6"/>
        <v>QUI</v>
      </c>
      <c r="C149" s="14">
        <v>1</v>
      </c>
      <c r="D149" s="14">
        <f t="shared" si="7"/>
        <v>5</v>
      </c>
      <c r="E149" s="15">
        <v>19</v>
      </c>
    </row>
    <row r="150" spans="1:5" ht="11.5" thickTop="1" thickBot="1" x14ac:dyDescent="0.4">
      <c r="A150" s="12">
        <v>46171</v>
      </c>
      <c r="B150" s="13" t="str">
        <f t="shared" si="6"/>
        <v>SEX</v>
      </c>
      <c r="C150" s="14">
        <v>1</v>
      </c>
      <c r="D150" s="14">
        <f t="shared" si="7"/>
        <v>5</v>
      </c>
      <c r="E150" s="15">
        <v>20</v>
      </c>
    </row>
    <row r="151" spans="1:5" ht="11.5" thickTop="1" thickBot="1" x14ac:dyDescent="0.4">
      <c r="A151" s="12">
        <v>46172</v>
      </c>
      <c r="B151" s="13" t="str">
        <f t="shared" si="6"/>
        <v>SÁB</v>
      </c>
      <c r="C151" s="14">
        <v>0</v>
      </c>
      <c r="D151" s="14">
        <f t="shared" si="7"/>
        <v>5</v>
      </c>
      <c r="E151" s="15">
        <v>20</v>
      </c>
    </row>
    <row r="152" spans="1:5" ht="11.5" thickTop="1" thickBot="1" x14ac:dyDescent="0.4">
      <c r="A152" s="12">
        <v>46173</v>
      </c>
      <c r="B152" s="13" t="str">
        <f t="shared" si="6"/>
        <v>DOM</v>
      </c>
      <c r="C152" s="14">
        <v>0</v>
      </c>
      <c r="D152" s="14">
        <f t="shared" si="7"/>
        <v>5</v>
      </c>
      <c r="E152" s="15">
        <v>20</v>
      </c>
    </row>
    <row r="153" spans="1:5" ht="11.5" thickTop="1" thickBot="1" x14ac:dyDescent="0.4">
      <c r="A153" s="12">
        <v>46174</v>
      </c>
      <c r="B153" s="13" t="str">
        <f t="shared" si="6"/>
        <v>SEG</v>
      </c>
      <c r="C153" s="14">
        <v>1</v>
      </c>
      <c r="D153" s="14">
        <f t="shared" si="7"/>
        <v>6</v>
      </c>
      <c r="E153" s="15">
        <v>1</v>
      </c>
    </row>
    <row r="154" spans="1:5" ht="11.5" thickTop="1" thickBot="1" x14ac:dyDescent="0.4">
      <c r="A154" s="12">
        <v>46175</v>
      </c>
      <c r="B154" s="13" t="str">
        <f t="shared" si="6"/>
        <v>TER</v>
      </c>
      <c r="C154" s="14">
        <v>1</v>
      </c>
      <c r="D154" s="14">
        <f t="shared" si="7"/>
        <v>6</v>
      </c>
      <c r="E154" s="15">
        <v>2</v>
      </c>
    </row>
    <row r="155" spans="1:5" ht="11.5" thickTop="1" thickBot="1" x14ac:dyDescent="0.4">
      <c r="A155" s="12">
        <v>46176</v>
      </c>
      <c r="B155" s="13" t="str">
        <f t="shared" si="6"/>
        <v>QUA</v>
      </c>
      <c r="C155" s="14">
        <v>1</v>
      </c>
      <c r="D155" s="14">
        <f t="shared" si="7"/>
        <v>6</v>
      </c>
      <c r="E155" s="15">
        <v>3</v>
      </c>
    </row>
    <row r="156" spans="1:5" ht="11.5" thickTop="1" thickBot="1" x14ac:dyDescent="0.4">
      <c r="A156" s="12">
        <v>46177</v>
      </c>
      <c r="B156" s="13" t="str">
        <f t="shared" si="6"/>
        <v>QUI</v>
      </c>
      <c r="C156" s="14">
        <v>0</v>
      </c>
      <c r="D156" s="14">
        <f t="shared" si="7"/>
        <v>6</v>
      </c>
      <c r="E156" s="15">
        <v>3</v>
      </c>
    </row>
    <row r="157" spans="1:5" ht="11.5" thickTop="1" thickBot="1" x14ac:dyDescent="0.4">
      <c r="A157" s="12">
        <v>46178</v>
      </c>
      <c r="B157" s="13" t="str">
        <f t="shared" si="6"/>
        <v>SEX</v>
      </c>
      <c r="C157" s="14">
        <v>1</v>
      </c>
      <c r="D157" s="14">
        <f t="shared" si="7"/>
        <v>6</v>
      </c>
      <c r="E157" s="15">
        <v>4</v>
      </c>
    </row>
    <row r="158" spans="1:5" ht="11.5" thickTop="1" thickBot="1" x14ac:dyDescent="0.4">
      <c r="A158" s="12">
        <v>46179</v>
      </c>
      <c r="B158" s="13" t="str">
        <f t="shared" si="6"/>
        <v>SÁB</v>
      </c>
      <c r="C158" s="14">
        <v>0</v>
      </c>
      <c r="D158" s="14">
        <f t="shared" si="7"/>
        <v>6</v>
      </c>
      <c r="E158" s="15">
        <v>4</v>
      </c>
    </row>
    <row r="159" spans="1:5" ht="11.5" thickTop="1" thickBot="1" x14ac:dyDescent="0.4">
      <c r="A159" s="12">
        <v>46180</v>
      </c>
      <c r="B159" s="13" t="str">
        <f t="shared" si="6"/>
        <v>DOM</v>
      </c>
      <c r="C159" s="14">
        <v>0</v>
      </c>
      <c r="D159" s="14">
        <f t="shared" si="7"/>
        <v>6</v>
      </c>
      <c r="E159" s="15">
        <v>4</v>
      </c>
    </row>
    <row r="160" spans="1:5" ht="11.5" thickTop="1" thickBot="1" x14ac:dyDescent="0.4">
      <c r="A160" s="12">
        <v>46181</v>
      </c>
      <c r="B160" s="13" t="str">
        <f t="shared" si="6"/>
        <v>SEG</v>
      </c>
      <c r="C160" s="14">
        <v>1</v>
      </c>
      <c r="D160" s="14">
        <f t="shared" si="7"/>
        <v>6</v>
      </c>
      <c r="E160" s="15">
        <v>5</v>
      </c>
    </row>
    <row r="161" spans="1:5" ht="11.5" thickTop="1" thickBot="1" x14ac:dyDescent="0.4">
      <c r="A161" s="12">
        <v>46182</v>
      </c>
      <c r="B161" s="13" t="str">
        <f t="shared" si="6"/>
        <v>TER</v>
      </c>
      <c r="C161" s="14">
        <v>1</v>
      </c>
      <c r="D161" s="14">
        <f t="shared" si="7"/>
        <v>6</v>
      </c>
      <c r="E161" s="15">
        <v>6</v>
      </c>
    </row>
    <row r="162" spans="1:5" ht="11.5" thickTop="1" thickBot="1" x14ac:dyDescent="0.4">
      <c r="A162" s="12">
        <v>46183</v>
      </c>
      <c r="B162" s="13" t="str">
        <f t="shared" si="6"/>
        <v>QUA</v>
      </c>
      <c r="C162" s="14">
        <v>1</v>
      </c>
      <c r="D162" s="14">
        <f t="shared" si="7"/>
        <v>6</v>
      </c>
      <c r="E162" s="15">
        <v>7</v>
      </c>
    </row>
    <row r="163" spans="1:5" ht="11.5" thickTop="1" thickBot="1" x14ac:dyDescent="0.4">
      <c r="A163" s="12">
        <v>46184</v>
      </c>
      <c r="B163" s="13" t="str">
        <f t="shared" si="6"/>
        <v>QUI</v>
      </c>
      <c r="C163" s="14">
        <v>1</v>
      </c>
      <c r="D163" s="14">
        <f t="shared" si="7"/>
        <v>6</v>
      </c>
      <c r="E163" s="15">
        <v>8</v>
      </c>
    </row>
    <row r="164" spans="1:5" ht="11.5" thickTop="1" thickBot="1" x14ac:dyDescent="0.4">
      <c r="A164" s="12">
        <v>46185</v>
      </c>
      <c r="B164" s="13" t="str">
        <f t="shared" si="6"/>
        <v>SEX</v>
      </c>
      <c r="C164" s="14">
        <v>1</v>
      </c>
      <c r="D164" s="14">
        <f t="shared" si="7"/>
        <v>6</v>
      </c>
      <c r="E164" s="15">
        <v>9</v>
      </c>
    </row>
    <row r="165" spans="1:5" ht="11.5" thickTop="1" thickBot="1" x14ac:dyDescent="0.4">
      <c r="A165" s="12">
        <v>46186</v>
      </c>
      <c r="B165" s="13" t="str">
        <f t="shared" si="6"/>
        <v>SÁB</v>
      </c>
      <c r="C165" s="14">
        <v>0</v>
      </c>
      <c r="D165" s="14">
        <f t="shared" si="7"/>
        <v>6</v>
      </c>
      <c r="E165" s="15">
        <v>9</v>
      </c>
    </row>
    <row r="166" spans="1:5" ht="11.5" thickTop="1" thickBot="1" x14ac:dyDescent="0.4">
      <c r="A166" s="12">
        <v>46187</v>
      </c>
      <c r="B166" s="13" t="str">
        <f t="shared" si="6"/>
        <v>DOM</v>
      </c>
      <c r="C166" s="14">
        <v>0</v>
      </c>
      <c r="D166" s="14">
        <f t="shared" si="7"/>
        <v>6</v>
      </c>
      <c r="E166" s="15">
        <v>9</v>
      </c>
    </row>
    <row r="167" spans="1:5" ht="11.5" thickTop="1" thickBot="1" x14ac:dyDescent="0.4">
      <c r="A167" s="12">
        <v>46188</v>
      </c>
      <c r="B167" s="13" t="str">
        <f t="shared" si="6"/>
        <v>SEG</v>
      </c>
      <c r="C167" s="14">
        <v>1</v>
      </c>
      <c r="D167" s="14">
        <f t="shared" si="7"/>
        <v>6</v>
      </c>
      <c r="E167" s="15">
        <v>10</v>
      </c>
    </row>
    <row r="168" spans="1:5" ht="11.5" thickTop="1" thickBot="1" x14ac:dyDescent="0.4">
      <c r="A168" s="12">
        <v>46189</v>
      </c>
      <c r="B168" s="13" t="str">
        <f t="shared" si="6"/>
        <v>TER</v>
      </c>
      <c r="C168" s="14">
        <v>1</v>
      </c>
      <c r="D168" s="14">
        <f t="shared" si="7"/>
        <v>6</v>
      </c>
      <c r="E168" s="15">
        <v>11</v>
      </c>
    </row>
    <row r="169" spans="1:5" ht="11.5" thickTop="1" thickBot="1" x14ac:dyDescent="0.4">
      <c r="A169" s="12">
        <v>46190</v>
      </c>
      <c r="B169" s="13" t="str">
        <f t="shared" si="6"/>
        <v>QUA</v>
      </c>
      <c r="C169" s="14">
        <v>1</v>
      </c>
      <c r="D169" s="14">
        <f t="shared" si="7"/>
        <v>6</v>
      </c>
      <c r="E169" s="15">
        <v>12</v>
      </c>
    </row>
    <row r="170" spans="1:5" ht="11.5" thickTop="1" thickBot="1" x14ac:dyDescent="0.4">
      <c r="A170" s="12">
        <v>46191</v>
      </c>
      <c r="B170" s="13" t="str">
        <f t="shared" si="6"/>
        <v>QUI</v>
      </c>
      <c r="C170" s="14">
        <v>1</v>
      </c>
      <c r="D170" s="14">
        <f t="shared" si="7"/>
        <v>6</v>
      </c>
      <c r="E170" s="15">
        <v>13</v>
      </c>
    </row>
    <row r="171" spans="1:5" ht="11.5" thickTop="1" thickBot="1" x14ac:dyDescent="0.4">
      <c r="A171" s="12">
        <v>46192</v>
      </c>
      <c r="B171" s="13" t="str">
        <f t="shared" si="6"/>
        <v>SEX</v>
      </c>
      <c r="C171" s="14">
        <v>1</v>
      </c>
      <c r="D171" s="14">
        <f t="shared" si="7"/>
        <v>6</v>
      </c>
      <c r="E171" s="15">
        <v>14</v>
      </c>
    </row>
    <row r="172" spans="1:5" ht="11.5" thickTop="1" thickBot="1" x14ac:dyDescent="0.4">
      <c r="A172" s="12">
        <v>46193</v>
      </c>
      <c r="B172" s="13" t="str">
        <f t="shared" si="6"/>
        <v>SÁB</v>
      </c>
      <c r="C172" s="14">
        <v>0</v>
      </c>
      <c r="D172" s="14">
        <f t="shared" si="7"/>
        <v>6</v>
      </c>
      <c r="E172" s="15">
        <v>14</v>
      </c>
    </row>
    <row r="173" spans="1:5" ht="11.5" thickTop="1" thickBot="1" x14ac:dyDescent="0.4">
      <c r="A173" s="12">
        <v>46194</v>
      </c>
      <c r="B173" s="13" t="str">
        <f t="shared" si="6"/>
        <v>DOM</v>
      </c>
      <c r="C173" s="14">
        <v>0</v>
      </c>
      <c r="D173" s="14">
        <f t="shared" si="7"/>
        <v>6</v>
      </c>
      <c r="E173" s="15">
        <v>14</v>
      </c>
    </row>
    <row r="174" spans="1:5" ht="11.5" thickTop="1" thickBot="1" x14ac:dyDescent="0.4">
      <c r="A174" s="12">
        <v>46195</v>
      </c>
      <c r="B174" s="13" t="str">
        <f t="shared" si="6"/>
        <v>SEG</v>
      </c>
      <c r="C174" s="14">
        <v>1</v>
      </c>
      <c r="D174" s="14">
        <f t="shared" si="7"/>
        <v>6</v>
      </c>
      <c r="E174" s="15">
        <v>15</v>
      </c>
    </row>
    <row r="175" spans="1:5" ht="11.5" thickTop="1" thickBot="1" x14ac:dyDescent="0.4">
      <c r="A175" s="12">
        <v>46196</v>
      </c>
      <c r="B175" s="13" t="str">
        <f t="shared" si="6"/>
        <v>TER</v>
      </c>
      <c r="C175" s="14">
        <v>1</v>
      </c>
      <c r="D175" s="14">
        <f t="shared" si="7"/>
        <v>6</v>
      </c>
      <c r="E175" s="15">
        <v>16</v>
      </c>
    </row>
    <row r="176" spans="1:5" ht="11.5" thickTop="1" thickBot="1" x14ac:dyDescent="0.4">
      <c r="A176" s="12">
        <v>46197</v>
      </c>
      <c r="B176" s="13" t="str">
        <f t="shared" si="6"/>
        <v>QUA</v>
      </c>
      <c r="C176" s="14">
        <v>1</v>
      </c>
      <c r="D176" s="14">
        <f t="shared" si="7"/>
        <v>6</v>
      </c>
      <c r="E176" s="15">
        <v>17</v>
      </c>
    </row>
    <row r="177" spans="1:5" ht="11.5" thickTop="1" thickBot="1" x14ac:dyDescent="0.4">
      <c r="A177" s="12">
        <v>46198</v>
      </c>
      <c r="B177" s="13" t="str">
        <f t="shared" si="6"/>
        <v>QUI</v>
      </c>
      <c r="C177" s="14">
        <v>1</v>
      </c>
      <c r="D177" s="14">
        <f t="shared" si="7"/>
        <v>6</v>
      </c>
      <c r="E177" s="15">
        <v>18</v>
      </c>
    </row>
    <row r="178" spans="1:5" ht="11.5" thickTop="1" thickBot="1" x14ac:dyDescent="0.4">
      <c r="A178" s="12">
        <v>46199</v>
      </c>
      <c r="B178" s="13" t="str">
        <f t="shared" si="6"/>
        <v>SEX</v>
      </c>
      <c r="C178" s="14">
        <v>1</v>
      </c>
      <c r="D178" s="14">
        <f t="shared" si="7"/>
        <v>6</v>
      </c>
      <c r="E178" s="15">
        <v>19</v>
      </c>
    </row>
    <row r="179" spans="1:5" ht="11.5" thickTop="1" thickBot="1" x14ac:dyDescent="0.4">
      <c r="A179" s="12">
        <v>46200</v>
      </c>
      <c r="B179" s="13" t="str">
        <f t="shared" si="6"/>
        <v>SÁB</v>
      </c>
      <c r="C179" s="14">
        <v>0</v>
      </c>
      <c r="D179" s="14">
        <f t="shared" si="7"/>
        <v>6</v>
      </c>
      <c r="E179" s="15">
        <v>19</v>
      </c>
    </row>
    <row r="180" spans="1:5" ht="11.5" thickTop="1" thickBot="1" x14ac:dyDescent="0.4">
      <c r="A180" s="12">
        <v>46201</v>
      </c>
      <c r="B180" s="13" t="str">
        <f t="shared" si="6"/>
        <v>DOM</v>
      </c>
      <c r="C180" s="14">
        <v>0</v>
      </c>
      <c r="D180" s="14">
        <f t="shared" si="7"/>
        <v>6</v>
      </c>
      <c r="E180" s="15">
        <v>19</v>
      </c>
    </row>
    <row r="181" spans="1:5" ht="11.5" thickTop="1" thickBot="1" x14ac:dyDescent="0.4">
      <c r="A181" s="12">
        <v>46202</v>
      </c>
      <c r="B181" s="13" t="str">
        <f t="shared" si="6"/>
        <v>SEG</v>
      </c>
      <c r="C181" s="14">
        <v>1</v>
      </c>
      <c r="D181" s="14">
        <f t="shared" si="7"/>
        <v>6</v>
      </c>
      <c r="E181" s="15">
        <v>20</v>
      </c>
    </row>
    <row r="182" spans="1:5" ht="11.5" thickTop="1" thickBot="1" x14ac:dyDescent="0.4">
      <c r="A182" s="12">
        <v>46203</v>
      </c>
      <c r="B182" s="13" t="str">
        <f t="shared" si="6"/>
        <v>TER</v>
      </c>
      <c r="C182" s="14">
        <v>1</v>
      </c>
      <c r="D182" s="14">
        <f t="shared" si="7"/>
        <v>6</v>
      </c>
      <c r="E182" s="15">
        <v>21</v>
      </c>
    </row>
    <row r="183" spans="1:5" ht="11.5" thickTop="1" thickBot="1" x14ac:dyDescent="0.4">
      <c r="A183" s="12">
        <v>46204</v>
      </c>
      <c r="B183" s="13" t="str">
        <f t="shared" si="6"/>
        <v>QUA</v>
      </c>
      <c r="C183" s="14">
        <v>1</v>
      </c>
      <c r="D183" s="14">
        <f t="shared" si="7"/>
        <v>7</v>
      </c>
      <c r="E183" s="15">
        <v>1</v>
      </c>
    </row>
    <row r="184" spans="1:5" ht="11.5" thickTop="1" thickBot="1" x14ac:dyDescent="0.4">
      <c r="A184" s="12">
        <v>46205</v>
      </c>
      <c r="B184" s="13" t="str">
        <f t="shared" si="6"/>
        <v>QUI</v>
      </c>
      <c r="C184" s="14">
        <v>1</v>
      </c>
      <c r="D184" s="14">
        <f t="shared" si="7"/>
        <v>7</v>
      </c>
      <c r="E184" s="15">
        <v>2</v>
      </c>
    </row>
    <row r="185" spans="1:5" ht="11.5" thickTop="1" thickBot="1" x14ac:dyDescent="0.4">
      <c r="A185" s="12">
        <v>46206</v>
      </c>
      <c r="B185" s="13" t="str">
        <f t="shared" si="6"/>
        <v>SEX</v>
      </c>
      <c r="C185" s="14">
        <v>1</v>
      </c>
      <c r="D185" s="14">
        <f t="shared" si="7"/>
        <v>7</v>
      </c>
      <c r="E185" s="15">
        <v>3</v>
      </c>
    </row>
    <row r="186" spans="1:5" ht="11.5" thickTop="1" thickBot="1" x14ac:dyDescent="0.4">
      <c r="A186" s="12">
        <v>46207</v>
      </c>
      <c r="B186" s="13" t="str">
        <f t="shared" si="6"/>
        <v>SÁB</v>
      </c>
      <c r="C186" s="14">
        <v>0</v>
      </c>
      <c r="D186" s="14">
        <f t="shared" si="7"/>
        <v>7</v>
      </c>
      <c r="E186" s="15">
        <v>3</v>
      </c>
    </row>
    <row r="187" spans="1:5" ht="11.5" thickTop="1" thickBot="1" x14ac:dyDescent="0.4">
      <c r="A187" s="12">
        <v>46208</v>
      </c>
      <c r="B187" s="13" t="str">
        <f t="shared" si="6"/>
        <v>DOM</v>
      </c>
      <c r="C187" s="14">
        <v>0</v>
      </c>
      <c r="D187" s="14">
        <f t="shared" si="7"/>
        <v>7</v>
      </c>
      <c r="E187" s="15">
        <v>3</v>
      </c>
    </row>
    <row r="188" spans="1:5" ht="11.5" thickTop="1" thickBot="1" x14ac:dyDescent="0.4">
      <c r="A188" s="12">
        <v>46209</v>
      </c>
      <c r="B188" s="13" t="str">
        <f t="shared" si="6"/>
        <v>SEG</v>
      </c>
      <c r="C188" s="14">
        <v>1</v>
      </c>
      <c r="D188" s="14">
        <f t="shared" si="7"/>
        <v>7</v>
      </c>
      <c r="E188" s="15">
        <v>4</v>
      </c>
    </row>
    <row r="189" spans="1:5" ht="11.5" thickTop="1" thickBot="1" x14ac:dyDescent="0.4">
      <c r="A189" s="12">
        <v>46210</v>
      </c>
      <c r="B189" s="13" t="str">
        <f t="shared" si="6"/>
        <v>TER</v>
      </c>
      <c r="C189" s="14">
        <v>1</v>
      </c>
      <c r="D189" s="14">
        <f t="shared" si="7"/>
        <v>7</v>
      </c>
      <c r="E189" s="15">
        <v>5</v>
      </c>
    </row>
    <row r="190" spans="1:5" ht="11.5" thickTop="1" thickBot="1" x14ac:dyDescent="0.4">
      <c r="A190" s="12">
        <v>46211</v>
      </c>
      <c r="B190" s="13" t="str">
        <f t="shared" si="6"/>
        <v>QUA</v>
      </c>
      <c r="C190" s="14">
        <v>1</v>
      </c>
      <c r="D190" s="14">
        <f t="shared" si="7"/>
        <v>7</v>
      </c>
      <c r="E190" s="15">
        <v>6</v>
      </c>
    </row>
    <row r="191" spans="1:5" ht="11.5" thickTop="1" thickBot="1" x14ac:dyDescent="0.4">
      <c r="A191" s="12">
        <v>46212</v>
      </c>
      <c r="B191" s="13" t="str">
        <f t="shared" si="6"/>
        <v>QUI</v>
      </c>
      <c r="C191" s="14">
        <v>0</v>
      </c>
      <c r="D191" s="14">
        <f t="shared" si="7"/>
        <v>7</v>
      </c>
      <c r="E191" s="15">
        <v>6</v>
      </c>
    </row>
    <row r="192" spans="1:5" ht="11.5" thickTop="1" thickBot="1" x14ac:dyDescent="0.4">
      <c r="A192" s="12">
        <v>46213</v>
      </c>
      <c r="B192" s="13" t="str">
        <f t="shared" si="6"/>
        <v>SEX</v>
      </c>
      <c r="C192" s="14">
        <v>1</v>
      </c>
      <c r="D192" s="14">
        <f t="shared" si="7"/>
        <v>7</v>
      </c>
      <c r="E192" s="15">
        <v>7</v>
      </c>
    </row>
    <row r="193" spans="1:5" ht="11.5" thickTop="1" thickBot="1" x14ac:dyDescent="0.4">
      <c r="A193" s="12">
        <v>46214</v>
      </c>
      <c r="B193" s="13" t="str">
        <f t="shared" si="6"/>
        <v>SÁB</v>
      </c>
      <c r="C193" s="14">
        <v>0</v>
      </c>
      <c r="D193" s="14">
        <f t="shared" si="7"/>
        <v>7</v>
      </c>
      <c r="E193" s="15">
        <v>7</v>
      </c>
    </row>
    <row r="194" spans="1:5" ht="11.5" thickTop="1" thickBot="1" x14ac:dyDescent="0.4">
      <c r="A194" s="12">
        <v>46215</v>
      </c>
      <c r="B194" s="13" t="str">
        <f t="shared" ref="B194:B257" si="8">UPPER(TEXT(A194,"DDD"))</f>
        <v>DOM</v>
      </c>
      <c r="C194" s="14">
        <v>0</v>
      </c>
      <c r="D194" s="14">
        <f t="shared" ref="D194:D257" si="9">MONTH(A194)</f>
        <v>7</v>
      </c>
      <c r="E194" s="15">
        <v>7</v>
      </c>
    </row>
    <row r="195" spans="1:5" ht="11.5" thickTop="1" thickBot="1" x14ac:dyDescent="0.4">
      <c r="A195" s="12">
        <v>46216</v>
      </c>
      <c r="B195" s="13" t="str">
        <f t="shared" si="8"/>
        <v>SEG</v>
      </c>
      <c r="C195" s="14">
        <v>1</v>
      </c>
      <c r="D195" s="14">
        <f t="shared" si="9"/>
        <v>7</v>
      </c>
      <c r="E195" s="15">
        <v>8</v>
      </c>
    </row>
    <row r="196" spans="1:5" ht="11.5" thickTop="1" thickBot="1" x14ac:dyDescent="0.4">
      <c r="A196" s="12">
        <v>46217</v>
      </c>
      <c r="B196" s="13" t="str">
        <f t="shared" si="8"/>
        <v>TER</v>
      </c>
      <c r="C196" s="14">
        <v>1</v>
      </c>
      <c r="D196" s="14">
        <f t="shared" si="9"/>
        <v>7</v>
      </c>
      <c r="E196" s="15">
        <v>9</v>
      </c>
    </row>
    <row r="197" spans="1:5" ht="11.5" thickTop="1" thickBot="1" x14ac:dyDescent="0.4">
      <c r="A197" s="12">
        <v>46218</v>
      </c>
      <c r="B197" s="13" t="str">
        <f t="shared" si="8"/>
        <v>QUA</v>
      </c>
      <c r="C197" s="14">
        <v>1</v>
      </c>
      <c r="D197" s="14">
        <f t="shared" si="9"/>
        <v>7</v>
      </c>
      <c r="E197" s="15">
        <v>10</v>
      </c>
    </row>
    <row r="198" spans="1:5" ht="11.5" thickTop="1" thickBot="1" x14ac:dyDescent="0.4">
      <c r="A198" s="12">
        <v>46219</v>
      </c>
      <c r="B198" s="13" t="str">
        <f t="shared" si="8"/>
        <v>QUI</v>
      </c>
      <c r="C198" s="14">
        <v>1</v>
      </c>
      <c r="D198" s="14">
        <f t="shared" si="9"/>
        <v>7</v>
      </c>
      <c r="E198" s="15">
        <v>11</v>
      </c>
    </row>
    <row r="199" spans="1:5" ht="11.5" thickTop="1" thickBot="1" x14ac:dyDescent="0.4">
      <c r="A199" s="12">
        <v>46220</v>
      </c>
      <c r="B199" s="13" t="str">
        <f t="shared" si="8"/>
        <v>SEX</v>
      </c>
      <c r="C199" s="14">
        <v>1</v>
      </c>
      <c r="D199" s="14">
        <f t="shared" si="9"/>
        <v>7</v>
      </c>
      <c r="E199" s="15">
        <v>12</v>
      </c>
    </row>
    <row r="200" spans="1:5" ht="11.5" thickTop="1" thickBot="1" x14ac:dyDescent="0.4">
      <c r="A200" s="12">
        <v>46221</v>
      </c>
      <c r="B200" s="13" t="str">
        <f t="shared" si="8"/>
        <v>SÁB</v>
      </c>
      <c r="C200" s="14">
        <v>0</v>
      </c>
      <c r="D200" s="14">
        <f t="shared" si="9"/>
        <v>7</v>
      </c>
      <c r="E200" s="15">
        <v>12</v>
      </c>
    </row>
    <row r="201" spans="1:5" ht="11.5" thickTop="1" thickBot="1" x14ac:dyDescent="0.4">
      <c r="A201" s="12">
        <v>46222</v>
      </c>
      <c r="B201" s="13" t="str">
        <f t="shared" si="8"/>
        <v>DOM</v>
      </c>
      <c r="C201" s="14">
        <v>0</v>
      </c>
      <c r="D201" s="14">
        <f t="shared" si="9"/>
        <v>7</v>
      </c>
      <c r="E201" s="15">
        <v>12</v>
      </c>
    </row>
    <row r="202" spans="1:5" ht="11.5" thickTop="1" thickBot="1" x14ac:dyDescent="0.4">
      <c r="A202" s="12">
        <v>46223</v>
      </c>
      <c r="B202" s="13" t="str">
        <f t="shared" si="8"/>
        <v>SEG</v>
      </c>
      <c r="C202" s="14">
        <v>1</v>
      </c>
      <c r="D202" s="14">
        <f t="shared" si="9"/>
        <v>7</v>
      </c>
      <c r="E202" s="15">
        <v>13</v>
      </c>
    </row>
    <row r="203" spans="1:5" ht="11.5" thickTop="1" thickBot="1" x14ac:dyDescent="0.4">
      <c r="A203" s="12">
        <v>46224</v>
      </c>
      <c r="B203" s="13" t="str">
        <f t="shared" si="8"/>
        <v>TER</v>
      </c>
      <c r="C203" s="14">
        <v>1</v>
      </c>
      <c r="D203" s="14">
        <f t="shared" si="9"/>
        <v>7</v>
      </c>
      <c r="E203" s="15">
        <v>14</v>
      </c>
    </row>
    <row r="204" spans="1:5" ht="11.5" thickTop="1" thickBot="1" x14ac:dyDescent="0.4">
      <c r="A204" s="12">
        <v>46225</v>
      </c>
      <c r="B204" s="13" t="str">
        <f t="shared" si="8"/>
        <v>QUA</v>
      </c>
      <c r="C204" s="14">
        <v>1</v>
      </c>
      <c r="D204" s="14">
        <f t="shared" si="9"/>
        <v>7</v>
      </c>
      <c r="E204" s="15">
        <v>15</v>
      </c>
    </row>
    <row r="205" spans="1:5" ht="11.5" thickTop="1" thickBot="1" x14ac:dyDescent="0.4">
      <c r="A205" s="12">
        <v>46226</v>
      </c>
      <c r="B205" s="13" t="str">
        <f t="shared" si="8"/>
        <v>QUI</v>
      </c>
      <c r="C205" s="14">
        <v>1</v>
      </c>
      <c r="D205" s="14">
        <f t="shared" si="9"/>
        <v>7</v>
      </c>
      <c r="E205" s="15">
        <v>16</v>
      </c>
    </row>
    <row r="206" spans="1:5" ht="11.5" thickTop="1" thickBot="1" x14ac:dyDescent="0.4">
      <c r="A206" s="12">
        <v>46227</v>
      </c>
      <c r="B206" s="13" t="str">
        <f t="shared" si="8"/>
        <v>SEX</v>
      </c>
      <c r="C206" s="14">
        <v>1</v>
      </c>
      <c r="D206" s="14">
        <f t="shared" si="9"/>
        <v>7</v>
      </c>
      <c r="E206" s="15">
        <v>17</v>
      </c>
    </row>
    <row r="207" spans="1:5" ht="11.5" thickTop="1" thickBot="1" x14ac:dyDescent="0.4">
      <c r="A207" s="12">
        <v>46228</v>
      </c>
      <c r="B207" s="13" t="str">
        <f t="shared" si="8"/>
        <v>SÁB</v>
      </c>
      <c r="C207" s="14">
        <v>0</v>
      </c>
      <c r="D207" s="14">
        <f t="shared" si="9"/>
        <v>7</v>
      </c>
      <c r="E207" s="15">
        <v>17</v>
      </c>
    </row>
    <row r="208" spans="1:5" ht="11.5" thickTop="1" thickBot="1" x14ac:dyDescent="0.4">
      <c r="A208" s="12">
        <v>46229</v>
      </c>
      <c r="B208" s="13" t="str">
        <f t="shared" si="8"/>
        <v>DOM</v>
      </c>
      <c r="C208" s="14">
        <v>0</v>
      </c>
      <c r="D208" s="14">
        <f t="shared" si="9"/>
        <v>7</v>
      </c>
      <c r="E208" s="15">
        <v>17</v>
      </c>
    </row>
    <row r="209" spans="1:5" ht="11.5" thickTop="1" thickBot="1" x14ac:dyDescent="0.4">
      <c r="A209" s="12">
        <v>46230</v>
      </c>
      <c r="B209" s="13" t="str">
        <f t="shared" si="8"/>
        <v>SEG</v>
      </c>
      <c r="C209" s="14">
        <v>1</v>
      </c>
      <c r="D209" s="14">
        <f t="shared" si="9"/>
        <v>7</v>
      </c>
      <c r="E209" s="15">
        <v>18</v>
      </c>
    </row>
    <row r="210" spans="1:5" ht="11.5" thickTop="1" thickBot="1" x14ac:dyDescent="0.4">
      <c r="A210" s="12">
        <v>46231</v>
      </c>
      <c r="B210" s="13" t="str">
        <f t="shared" si="8"/>
        <v>TER</v>
      </c>
      <c r="C210" s="14">
        <v>1</v>
      </c>
      <c r="D210" s="14">
        <f t="shared" si="9"/>
        <v>7</v>
      </c>
      <c r="E210" s="15">
        <v>19</v>
      </c>
    </row>
    <row r="211" spans="1:5" ht="11.5" thickTop="1" thickBot="1" x14ac:dyDescent="0.4">
      <c r="A211" s="12">
        <v>46232</v>
      </c>
      <c r="B211" s="13" t="str">
        <f t="shared" si="8"/>
        <v>QUA</v>
      </c>
      <c r="C211" s="14">
        <v>1</v>
      </c>
      <c r="D211" s="14">
        <f t="shared" si="9"/>
        <v>7</v>
      </c>
      <c r="E211" s="15">
        <v>20</v>
      </c>
    </row>
    <row r="212" spans="1:5" ht="11.5" thickTop="1" thickBot="1" x14ac:dyDescent="0.4">
      <c r="A212" s="12">
        <v>46233</v>
      </c>
      <c r="B212" s="13" t="str">
        <f t="shared" si="8"/>
        <v>QUI</v>
      </c>
      <c r="C212" s="14">
        <v>1</v>
      </c>
      <c r="D212" s="14">
        <f t="shared" si="9"/>
        <v>7</v>
      </c>
      <c r="E212" s="15">
        <v>21</v>
      </c>
    </row>
    <row r="213" spans="1:5" ht="11.5" thickTop="1" thickBot="1" x14ac:dyDescent="0.4">
      <c r="A213" s="12">
        <v>46234</v>
      </c>
      <c r="B213" s="13" t="str">
        <f t="shared" si="8"/>
        <v>SEX</v>
      </c>
      <c r="C213" s="14">
        <v>1</v>
      </c>
      <c r="D213" s="14">
        <f t="shared" si="9"/>
        <v>7</v>
      </c>
      <c r="E213" s="15">
        <v>22</v>
      </c>
    </row>
    <row r="214" spans="1:5" ht="11.5" thickTop="1" thickBot="1" x14ac:dyDescent="0.4">
      <c r="A214" s="12">
        <v>46235</v>
      </c>
      <c r="B214" s="13" t="str">
        <f t="shared" si="8"/>
        <v>SÁB</v>
      </c>
      <c r="C214" s="14">
        <v>0</v>
      </c>
      <c r="D214" s="14">
        <f t="shared" si="9"/>
        <v>8</v>
      </c>
      <c r="E214" s="15">
        <v>0</v>
      </c>
    </row>
    <row r="215" spans="1:5" ht="11.5" thickTop="1" thickBot="1" x14ac:dyDescent="0.4">
      <c r="A215" s="12">
        <v>46236</v>
      </c>
      <c r="B215" s="13" t="str">
        <f t="shared" si="8"/>
        <v>DOM</v>
      </c>
      <c r="C215" s="14">
        <v>0</v>
      </c>
      <c r="D215" s="14">
        <f t="shared" si="9"/>
        <v>8</v>
      </c>
      <c r="E215" s="15">
        <v>0</v>
      </c>
    </row>
    <row r="216" spans="1:5" ht="11.5" thickTop="1" thickBot="1" x14ac:dyDescent="0.4">
      <c r="A216" s="12">
        <v>46237</v>
      </c>
      <c r="B216" s="13" t="str">
        <f t="shared" si="8"/>
        <v>SEG</v>
      </c>
      <c r="C216" s="14">
        <v>1</v>
      </c>
      <c r="D216" s="14">
        <f t="shared" si="9"/>
        <v>8</v>
      </c>
      <c r="E216" s="15">
        <v>1</v>
      </c>
    </row>
    <row r="217" spans="1:5" ht="11.5" thickTop="1" thickBot="1" x14ac:dyDescent="0.4">
      <c r="A217" s="12">
        <v>46238</v>
      </c>
      <c r="B217" s="13" t="str">
        <f t="shared" si="8"/>
        <v>TER</v>
      </c>
      <c r="C217" s="14">
        <v>1</v>
      </c>
      <c r="D217" s="14">
        <f t="shared" si="9"/>
        <v>8</v>
      </c>
      <c r="E217" s="15">
        <v>2</v>
      </c>
    </row>
    <row r="218" spans="1:5" ht="11.5" thickTop="1" thickBot="1" x14ac:dyDescent="0.4">
      <c r="A218" s="12">
        <v>46239</v>
      </c>
      <c r="B218" s="13" t="str">
        <f t="shared" si="8"/>
        <v>QUA</v>
      </c>
      <c r="C218" s="14">
        <v>1</v>
      </c>
      <c r="D218" s="14">
        <f t="shared" si="9"/>
        <v>8</v>
      </c>
      <c r="E218" s="15">
        <v>3</v>
      </c>
    </row>
    <row r="219" spans="1:5" ht="11.5" thickTop="1" thickBot="1" x14ac:dyDescent="0.4">
      <c r="A219" s="12">
        <v>46240</v>
      </c>
      <c r="B219" s="13" t="str">
        <f t="shared" si="8"/>
        <v>QUI</v>
      </c>
      <c r="C219" s="14">
        <v>1</v>
      </c>
      <c r="D219" s="14">
        <f t="shared" si="9"/>
        <v>8</v>
      </c>
      <c r="E219" s="15">
        <v>4</v>
      </c>
    </row>
    <row r="220" spans="1:5" ht="11.5" thickTop="1" thickBot="1" x14ac:dyDescent="0.4">
      <c r="A220" s="12">
        <v>46241</v>
      </c>
      <c r="B220" s="13" t="str">
        <f t="shared" si="8"/>
        <v>SEX</v>
      </c>
      <c r="C220" s="14">
        <v>1</v>
      </c>
      <c r="D220" s="14">
        <f t="shared" si="9"/>
        <v>8</v>
      </c>
      <c r="E220" s="15">
        <v>5</v>
      </c>
    </row>
    <row r="221" spans="1:5" ht="11.5" thickTop="1" thickBot="1" x14ac:dyDescent="0.4">
      <c r="A221" s="12">
        <v>46242</v>
      </c>
      <c r="B221" s="13" t="str">
        <f t="shared" si="8"/>
        <v>SÁB</v>
      </c>
      <c r="C221" s="14">
        <v>0</v>
      </c>
      <c r="D221" s="14">
        <f t="shared" si="9"/>
        <v>8</v>
      </c>
      <c r="E221" s="15">
        <v>5</v>
      </c>
    </row>
    <row r="222" spans="1:5" ht="11.5" thickTop="1" thickBot="1" x14ac:dyDescent="0.4">
      <c r="A222" s="12">
        <v>46243</v>
      </c>
      <c r="B222" s="13" t="str">
        <f t="shared" si="8"/>
        <v>DOM</v>
      </c>
      <c r="C222" s="14">
        <v>0</v>
      </c>
      <c r="D222" s="14">
        <f t="shared" si="9"/>
        <v>8</v>
      </c>
      <c r="E222" s="15">
        <v>5</v>
      </c>
    </row>
    <row r="223" spans="1:5" ht="11.5" thickTop="1" thickBot="1" x14ac:dyDescent="0.4">
      <c r="A223" s="12">
        <v>46244</v>
      </c>
      <c r="B223" s="13" t="str">
        <f t="shared" si="8"/>
        <v>SEG</v>
      </c>
      <c r="C223" s="14">
        <v>1</v>
      </c>
      <c r="D223" s="14">
        <f t="shared" si="9"/>
        <v>8</v>
      </c>
      <c r="E223" s="15">
        <v>6</v>
      </c>
    </row>
    <row r="224" spans="1:5" ht="11.5" thickTop="1" thickBot="1" x14ac:dyDescent="0.4">
      <c r="A224" s="12">
        <v>46245</v>
      </c>
      <c r="B224" s="13" t="str">
        <f t="shared" si="8"/>
        <v>TER</v>
      </c>
      <c r="C224" s="14">
        <v>1</v>
      </c>
      <c r="D224" s="14">
        <f t="shared" si="9"/>
        <v>8</v>
      </c>
      <c r="E224" s="15">
        <v>7</v>
      </c>
    </row>
    <row r="225" spans="1:5" ht="11.5" thickTop="1" thickBot="1" x14ac:dyDescent="0.4">
      <c r="A225" s="12">
        <v>46246</v>
      </c>
      <c r="B225" s="13" t="str">
        <f t="shared" si="8"/>
        <v>QUA</v>
      </c>
      <c r="C225" s="14">
        <v>1</v>
      </c>
      <c r="D225" s="14">
        <f t="shared" si="9"/>
        <v>8</v>
      </c>
      <c r="E225" s="15">
        <v>8</v>
      </c>
    </row>
    <row r="226" spans="1:5" ht="11.5" thickTop="1" thickBot="1" x14ac:dyDescent="0.4">
      <c r="A226" s="12">
        <v>46247</v>
      </c>
      <c r="B226" s="13" t="str">
        <f t="shared" si="8"/>
        <v>QUI</v>
      </c>
      <c r="C226" s="14">
        <v>1</v>
      </c>
      <c r="D226" s="14">
        <f t="shared" si="9"/>
        <v>8</v>
      </c>
      <c r="E226" s="15">
        <v>9</v>
      </c>
    </row>
    <row r="227" spans="1:5" ht="11.5" thickTop="1" thickBot="1" x14ac:dyDescent="0.4">
      <c r="A227" s="12">
        <v>46248</v>
      </c>
      <c r="B227" s="13" t="str">
        <f t="shared" si="8"/>
        <v>SEX</v>
      </c>
      <c r="C227" s="14">
        <v>1</v>
      </c>
      <c r="D227" s="14">
        <f t="shared" si="9"/>
        <v>8</v>
      </c>
      <c r="E227" s="15">
        <v>10</v>
      </c>
    </row>
    <row r="228" spans="1:5" ht="11.5" thickTop="1" thickBot="1" x14ac:dyDescent="0.4">
      <c r="A228" s="12">
        <v>46249</v>
      </c>
      <c r="B228" s="13" t="str">
        <f t="shared" si="8"/>
        <v>SÁB</v>
      </c>
      <c r="C228" s="14">
        <v>0</v>
      </c>
      <c r="D228" s="14">
        <f t="shared" si="9"/>
        <v>8</v>
      </c>
      <c r="E228" s="15">
        <v>10</v>
      </c>
    </row>
    <row r="229" spans="1:5" ht="11.5" thickTop="1" thickBot="1" x14ac:dyDescent="0.4">
      <c r="A229" s="12">
        <v>46250</v>
      </c>
      <c r="B229" s="13" t="str">
        <f t="shared" si="8"/>
        <v>DOM</v>
      </c>
      <c r="C229" s="14">
        <v>0</v>
      </c>
      <c r="D229" s="14">
        <f t="shared" si="9"/>
        <v>8</v>
      </c>
      <c r="E229" s="15">
        <v>10</v>
      </c>
    </row>
    <row r="230" spans="1:5" ht="11.5" thickTop="1" thickBot="1" x14ac:dyDescent="0.4">
      <c r="A230" s="12">
        <v>46251</v>
      </c>
      <c r="B230" s="13" t="str">
        <f t="shared" si="8"/>
        <v>SEG</v>
      </c>
      <c r="C230" s="14">
        <v>1</v>
      </c>
      <c r="D230" s="14">
        <f t="shared" si="9"/>
        <v>8</v>
      </c>
      <c r="E230" s="15">
        <v>11</v>
      </c>
    </row>
    <row r="231" spans="1:5" ht="11.5" thickTop="1" thickBot="1" x14ac:dyDescent="0.4">
      <c r="A231" s="12">
        <v>46252</v>
      </c>
      <c r="B231" s="13" t="str">
        <f t="shared" si="8"/>
        <v>TER</v>
      </c>
      <c r="C231" s="14">
        <v>1</v>
      </c>
      <c r="D231" s="14">
        <f t="shared" si="9"/>
        <v>8</v>
      </c>
      <c r="E231" s="15">
        <v>12</v>
      </c>
    </row>
    <row r="232" spans="1:5" ht="11.5" thickTop="1" thickBot="1" x14ac:dyDescent="0.4">
      <c r="A232" s="12">
        <v>46253</v>
      </c>
      <c r="B232" s="13" t="str">
        <f t="shared" si="8"/>
        <v>QUA</v>
      </c>
      <c r="C232" s="14">
        <v>1</v>
      </c>
      <c r="D232" s="14">
        <f t="shared" si="9"/>
        <v>8</v>
      </c>
      <c r="E232" s="15">
        <v>13</v>
      </c>
    </row>
    <row r="233" spans="1:5" ht="11.5" thickTop="1" thickBot="1" x14ac:dyDescent="0.4">
      <c r="A233" s="12">
        <v>46254</v>
      </c>
      <c r="B233" s="13" t="str">
        <f t="shared" si="8"/>
        <v>QUI</v>
      </c>
      <c r="C233" s="14">
        <v>1</v>
      </c>
      <c r="D233" s="14">
        <f t="shared" si="9"/>
        <v>8</v>
      </c>
      <c r="E233" s="15">
        <v>14</v>
      </c>
    </row>
    <row r="234" spans="1:5" ht="11.5" thickTop="1" thickBot="1" x14ac:dyDescent="0.4">
      <c r="A234" s="12">
        <v>46255</v>
      </c>
      <c r="B234" s="13" t="str">
        <f t="shared" si="8"/>
        <v>SEX</v>
      </c>
      <c r="C234" s="14">
        <v>1</v>
      </c>
      <c r="D234" s="14">
        <f t="shared" si="9"/>
        <v>8</v>
      </c>
      <c r="E234" s="15">
        <v>15</v>
      </c>
    </row>
    <row r="235" spans="1:5" ht="11.5" thickTop="1" thickBot="1" x14ac:dyDescent="0.4">
      <c r="A235" s="12">
        <v>46256</v>
      </c>
      <c r="B235" s="13" t="str">
        <f t="shared" si="8"/>
        <v>SÁB</v>
      </c>
      <c r="C235" s="14">
        <v>0</v>
      </c>
      <c r="D235" s="14">
        <f t="shared" si="9"/>
        <v>8</v>
      </c>
      <c r="E235" s="15">
        <v>15</v>
      </c>
    </row>
    <row r="236" spans="1:5" ht="11.5" thickTop="1" thickBot="1" x14ac:dyDescent="0.4">
      <c r="A236" s="12">
        <v>46257</v>
      </c>
      <c r="B236" s="13" t="str">
        <f t="shared" si="8"/>
        <v>DOM</v>
      </c>
      <c r="C236" s="14">
        <v>0</v>
      </c>
      <c r="D236" s="14">
        <f t="shared" si="9"/>
        <v>8</v>
      </c>
      <c r="E236" s="15">
        <v>15</v>
      </c>
    </row>
    <row r="237" spans="1:5" ht="11.5" thickTop="1" thickBot="1" x14ac:dyDescent="0.4">
      <c r="A237" s="12">
        <v>46258</v>
      </c>
      <c r="B237" s="13" t="str">
        <f t="shared" si="8"/>
        <v>SEG</v>
      </c>
      <c r="C237" s="14">
        <v>1</v>
      </c>
      <c r="D237" s="14">
        <f t="shared" si="9"/>
        <v>8</v>
      </c>
      <c r="E237" s="15">
        <v>16</v>
      </c>
    </row>
    <row r="238" spans="1:5" ht="11.5" thickTop="1" thickBot="1" x14ac:dyDescent="0.4">
      <c r="A238" s="12">
        <v>46259</v>
      </c>
      <c r="B238" s="13" t="str">
        <f t="shared" si="8"/>
        <v>TER</v>
      </c>
      <c r="C238" s="14">
        <v>1</v>
      </c>
      <c r="D238" s="14">
        <f t="shared" si="9"/>
        <v>8</v>
      </c>
      <c r="E238" s="15">
        <v>17</v>
      </c>
    </row>
    <row r="239" spans="1:5" ht="11.5" thickTop="1" thickBot="1" x14ac:dyDescent="0.4">
      <c r="A239" s="12">
        <v>46260</v>
      </c>
      <c r="B239" s="13" t="str">
        <f t="shared" si="8"/>
        <v>QUA</v>
      </c>
      <c r="C239" s="14">
        <v>1</v>
      </c>
      <c r="D239" s="14">
        <f t="shared" si="9"/>
        <v>8</v>
      </c>
      <c r="E239" s="15">
        <v>18</v>
      </c>
    </row>
    <row r="240" spans="1:5" ht="11.5" thickTop="1" thickBot="1" x14ac:dyDescent="0.4">
      <c r="A240" s="12">
        <v>46261</v>
      </c>
      <c r="B240" s="13" t="str">
        <f t="shared" si="8"/>
        <v>QUI</v>
      </c>
      <c r="C240" s="14">
        <v>1</v>
      </c>
      <c r="D240" s="14">
        <f t="shared" si="9"/>
        <v>8</v>
      </c>
      <c r="E240" s="15">
        <v>19</v>
      </c>
    </row>
    <row r="241" spans="1:5" ht="11.5" thickTop="1" thickBot="1" x14ac:dyDescent="0.4">
      <c r="A241" s="12">
        <v>46262</v>
      </c>
      <c r="B241" s="13" t="str">
        <f t="shared" si="8"/>
        <v>SEX</v>
      </c>
      <c r="C241" s="14">
        <v>1</v>
      </c>
      <c r="D241" s="14">
        <f t="shared" si="9"/>
        <v>8</v>
      </c>
      <c r="E241" s="15">
        <v>20</v>
      </c>
    </row>
    <row r="242" spans="1:5" ht="11.5" thickTop="1" thickBot="1" x14ac:dyDescent="0.4">
      <c r="A242" s="12">
        <v>46263</v>
      </c>
      <c r="B242" s="13" t="str">
        <f t="shared" si="8"/>
        <v>SÁB</v>
      </c>
      <c r="C242" s="14">
        <v>0</v>
      </c>
      <c r="D242" s="14">
        <f t="shared" si="9"/>
        <v>8</v>
      </c>
      <c r="E242" s="15">
        <v>20</v>
      </c>
    </row>
    <row r="243" spans="1:5" ht="11.5" thickTop="1" thickBot="1" x14ac:dyDescent="0.4">
      <c r="A243" s="12">
        <v>46264</v>
      </c>
      <c r="B243" s="13" t="str">
        <f t="shared" si="8"/>
        <v>DOM</v>
      </c>
      <c r="C243" s="14">
        <v>0</v>
      </c>
      <c r="D243" s="14">
        <f t="shared" si="9"/>
        <v>8</v>
      </c>
      <c r="E243" s="15">
        <v>20</v>
      </c>
    </row>
    <row r="244" spans="1:5" ht="11.5" thickTop="1" thickBot="1" x14ac:dyDescent="0.4">
      <c r="A244" s="12">
        <v>46265</v>
      </c>
      <c r="B244" s="13" t="str">
        <f t="shared" si="8"/>
        <v>SEG</v>
      </c>
      <c r="C244" s="14">
        <v>1</v>
      </c>
      <c r="D244" s="14">
        <f t="shared" si="9"/>
        <v>8</v>
      </c>
      <c r="E244" s="15">
        <v>21</v>
      </c>
    </row>
    <row r="245" spans="1:5" ht="11.5" thickTop="1" thickBot="1" x14ac:dyDescent="0.4">
      <c r="A245" s="12">
        <v>46266</v>
      </c>
      <c r="B245" s="13" t="str">
        <f t="shared" si="8"/>
        <v>TER</v>
      </c>
      <c r="C245" s="14">
        <v>1</v>
      </c>
      <c r="D245" s="14">
        <f t="shared" si="9"/>
        <v>9</v>
      </c>
      <c r="E245" s="15">
        <v>1</v>
      </c>
    </row>
    <row r="246" spans="1:5" ht="11.5" thickTop="1" thickBot="1" x14ac:dyDescent="0.4">
      <c r="A246" s="12">
        <v>46267</v>
      </c>
      <c r="B246" s="13" t="str">
        <f t="shared" si="8"/>
        <v>QUA</v>
      </c>
      <c r="C246" s="14">
        <v>1</v>
      </c>
      <c r="D246" s="14">
        <f t="shared" si="9"/>
        <v>9</v>
      </c>
      <c r="E246" s="15">
        <v>2</v>
      </c>
    </row>
    <row r="247" spans="1:5" ht="11.5" thickTop="1" thickBot="1" x14ac:dyDescent="0.4">
      <c r="A247" s="12">
        <v>46268</v>
      </c>
      <c r="B247" s="13" t="str">
        <f t="shared" si="8"/>
        <v>QUI</v>
      </c>
      <c r="C247" s="14">
        <v>1</v>
      </c>
      <c r="D247" s="14">
        <f t="shared" si="9"/>
        <v>9</v>
      </c>
      <c r="E247" s="15">
        <v>3</v>
      </c>
    </row>
    <row r="248" spans="1:5" ht="11.5" thickTop="1" thickBot="1" x14ac:dyDescent="0.4">
      <c r="A248" s="12">
        <v>46269</v>
      </c>
      <c r="B248" s="13" t="str">
        <f t="shared" si="8"/>
        <v>SEX</v>
      </c>
      <c r="C248" s="14">
        <v>1</v>
      </c>
      <c r="D248" s="14">
        <f t="shared" si="9"/>
        <v>9</v>
      </c>
      <c r="E248" s="15">
        <v>4</v>
      </c>
    </row>
    <row r="249" spans="1:5" ht="11.5" thickTop="1" thickBot="1" x14ac:dyDescent="0.4">
      <c r="A249" s="12">
        <v>46270</v>
      </c>
      <c r="B249" s="13" t="str">
        <f t="shared" si="8"/>
        <v>SÁB</v>
      </c>
      <c r="C249" s="14">
        <v>0</v>
      </c>
      <c r="D249" s="14">
        <f t="shared" si="9"/>
        <v>9</v>
      </c>
      <c r="E249" s="15">
        <v>4</v>
      </c>
    </row>
    <row r="250" spans="1:5" ht="11.5" thickTop="1" thickBot="1" x14ac:dyDescent="0.4">
      <c r="A250" s="12">
        <v>46271</v>
      </c>
      <c r="B250" s="13" t="str">
        <f t="shared" si="8"/>
        <v>DOM</v>
      </c>
      <c r="C250" s="14">
        <v>0</v>
      </c>
      <c r="D250" s="14">
        <f t="shared" si="9"/>
        <v>9</v>
      </c>
      <c r="E250" s="15">
        <v>4</v>
      </c>
    </row>
    <row r="251" spans="1:5" ht="11.5" thickTop="1" thickBot="1" x14ac:dyDescent="0.4">
      <c r="A251" s="12">
        <v>46272</v>
      </c>
      <c r="B251" s="13" t="str">
        <f t="shared" si="8"/>
        <v>SEG</v>
      </c>
      <c r="C251" s="14">
        <v>0</v>
      </c>
      <c r="D251" s="14">
        <f t="shared" si="9"/>
        <v>9</v>
      </c>
      <c r="E251" s="15">
        <v>4</v>
      </c>
    </row>
    <row r="252" spans="1:5" ht="11.5" thickTop="1" thickBot="1" x14ac:dyDescent="0.4">
      <c r="A252" s="12">
        <v>46273</v>
      </c>
      <c r="B252" s="13" t="str">
        <f t="shared" si="8"/>
        <v>TER</v>
      </c>
      <c r="C252" s="14">
        <v>1</v>
      </c>
      <c r="D252" s="14">
        <f t="shared" si="9"/>
        <v>9</v>
      </c>
      <c r="E252" s="15">
        <v>5</v>
      </c>
    </row>
    <row r="253" spans="1:5" ht="11.5" thickTop="1" thickBot="1" x14ac:dyDescent="0.4">
      <c r="A253" s="12">
        <v>46274</v>
      </c>
      <c r="B253" s="13" t="str">
        <f t="shared" si="8"/>
        <v>QUA</v>
      </c>
      <c r="C253" s="14">
        <v>1</v>
      </c>
      <c r="D253" s="14">
        <f t="shared" si="9"/>
        <v>9</v>
      </c>
      <c r="E253" s="15">
        <v>6</v>
      </c>
    </row>
    <row r="254" spans="1:5" ht="11.5" thickTop="1" thickBot="1" x14ac:dyDescent="0.4">
      <c r="A254" s="12">
        <v>46275</v>
      </c>
      <c r="B254" s="13" t="str">
        <f t="shared" si="8"/>
        <v>QUI</v>
      </c>
      <c r="C254" s="14">
        <v>1</v>
      </c>
      <c r="D254" s="14">
        <f t="shared" si="9"/>
        <v>9</v>
      </c>
      <c r="E254" s="15">
        <v>7</v>
      </c>
    </row>
    <row r="255" spans="1:5" ht="11.5" thickTop="1" thickBot="1" x14ac:dyDescent="0.4">
      <c r="A255" s="12">
        <v>46276</v>
      </c>
      <c r="B255" s="13" t="str">
        <f t="shared" si="8"/>
        <v>SEX</v>
      </c>
      <c r="C255" s="14">
        <v>1</v>
      </c>
      <c r="D255" s="14">
        <f t="shared" si="9"/>
        <v>9</v>
      </c>
      <c r="E255" s="15">
        <v>8</v>
      </c>
    </row>
    <row r="256" spans="1:5" ht="11.5" thickTop="1" thickBot="1" x14ac:dyDescent="0.4">
      <c r="A256" s="12">
        <v>46277</v>
      </c>
      <c r="B256" s="13" t="str">
        <f t="shared" si="8"/>
        <v>SÁB</v>
      </c>
      <c r="C256" s="14">
        <v>0</v>
      </c>
      <c r="D256" s="14">
        <f t="shared" si="9"/>
        <v>9</v>
      </c>
      <c r="E256" s="15">
        <v>8</v>
      </c>
    </row>
    <row r="257" spans="1:5" ht="11.5" thickTop="1" thickBot="1" x14ac:dyDescent="0.4">
      <c r="A257" s="12">
        <v>46278</v>
      </c>
      <c r="B257" s="13" t="str">
        <f t="shared" si="8"/>
        <v>DOM</v>
      </c>
      <c r="C257" s="14">
        <v>0</v>
      </c>
      <c r="D257" s="14">
        <f t="shared" si="9"/>
        <v>9</v>
      </c>
      <c r="E257" s="15">
        <v>8</v>
      </c>
    </row>
    <row r="258" spans="1:5" ht="11.5" thickTop="1" thickBot="1" x14ac:dyDescent="0.4">
      <c r="A258" s="12">
        <v>46279</v>
      </c>
      <c r="B258" s="13" t="str">
        <f t="shared" ref="B258:B321" si="10">UPPER(TEXT(A258,"DDD"))</f>
        <v>SEG</v>
      </c>
      <c r="C258" s="14">
        <v>1</v>
      </c>
      <c r="D258" s="14">
        <f t="shared" ref="D258:D321" si="11">MONTH(A258)</f>
        <v>9</v>
      </c>
      <c r="E258" s="15">
        <v>9</v>
      </c>
    </row>
    <row r="259" spans="1:5" ht="11.5" thickTop="1" thickBot="1" x14ac:dyDescent="0.4">
      <c r="A259" s="12">
        <v>46280</v>
      </c>
      <c r="B259" s="13" t="str">
        <f t="shared" si="10"/>
        <v>TER</v>
      </c>
      <c r="C259" s="14">
        <v>1</v>
      </c>
      <c r="D259" s="14">
        <f t="shared" si="11"/>
        <v>9</v>
      </c>
      <c r="E259" s="15">
        <v>10</v>
      </c>
    </row>
    <row r="260" spans="1:5" ht="11.5" thickTop="1" thickBot="1" x14ac:dyDescent="0.4">
      <c r="A260" s="12">
        <v>46281</v>
      </c>
      <c r="B260" s="13" t="str">
        <f t="shared" si="10"/>
        <v>QUA</v>
      </c>
      <c r="C260" s="14">
        <v>1</v>
      </c>
      <c r="D260" s="14">
        <f t="shared" si="11"/>
        <v>9</v>
      </c>
      <c r="E260" s="15">
        <v>11</v>
      </c>
    </row>
    <row r="261" spans="1:5" ht="11.5" thickTop="1" thickBot="1" x14ac:dyDescent="0.4">
      <c r="A261" s="12">
        <v>46282</v>
      </c>
      <c r="B261" s="13" t="str">
        <f t="shared" si="10"/>
        <v>QUI</v>
      </c>
      <c r="C261" s="14">
        <v>1</v>
      </c>
      <c r="D261" s="14">
        <f t="shared" si="11"/>
        <v>9</v>
      </c>
      <c r="E261" s="15">
        <v>12</v>
      </c>
    </row>
    <row r="262" spans="1:5" ht="11.5" thickTop="1" thickBot="1" x14ac:dyDescent="0.4">
      <c r="A262" s="12">
        <v>46283</v>
      </c>
      <c r="B262" s="13" t="str">
        <f t="shared" si="10"/>
        <v>SEX</v>
      </c>
      <c r="C262" s="14">
        <v>1</v>
      </c>
      <c r="D262" s="14">
        <f t="shared" si="11"/>
        <v>9</v>
      </c>
      <c r="E262" s="15">
        <v>13</v>
      </c>
    </row>
    <row r="263" spans="1:5" ht="11.5" thickTop="1" thickBot="1" x14ac:dyDescent="0.4">
      <c r="A263" s="12">
        <v>46284</v>
      </c>
      <c r="B263" s="13" t="str">
        <f t="shared" si="10"/>
        <v>SÁB</v>
      </c>
      <c r="C263" s="14">
        <v>0</v>
      </c>
      <c r="D263" s="14">
        <f t="shared" si="11"/>
        <v>9</v>
      </c>
      <c r="E263" s="15">
        <v>13</v>
      </c>
    </row>
    <row r="264" spans="1:5" ht="11.5" thickTop="1" thickBot="1" x14ac:dyDescent="0.4">
      <c r="A264" s="12">
        <v>46285</v>
      </c>
      <c r="B264" s="13" t="str">
        <f t="shared" si="10"/>
        <v>DOM</v>
      </c>
      <c r="C264" s="14">
        <v>0</v>
      </c>
      <c r="D264" s="14">
        <f t="shared" si="11"/>
        <v>9</v>
      </c>
      <c r="E264" s="15">
        <v>13</v>
      </c>
    </row>
    <row r="265" spans="1:5" ht="11.5" thickTop="1" thickBot="1" x14ac:dyDescent="0.4">
      <c r="A265" s="12">
        <v>46286</v>
      </c>
      <c r="B265" s="13" t="str">
        <f t="shared" si="10"/>
        <v>SEG</v>
      </c>
      <c r="C265" s="14">
        <v>1</v>
      </c>
      <c r="D265" s="14">
        <f t="shared" si="11"/>
        <v>9</v>
      </c>
      <c r="E265" s="15">
        <v>14</v>
      </c>
    </row>
    <row r="266" spans="1:5" ht="11.5" thickTop="1" thickBot="1" x14ac:dyDescent="0.4">
      <c r="A266" s="12">
        <v>46287</v>
      </c>
      <c r="B266" s="13" t="str">
        <f t="shared" si="10"/>
        <v>TER</v>
      </c>
      <c r="C266" s="14">
        <v>1</v>
      </c>
      <c r="D266" s="14">
        <f t="shared" si="11"/>
        <v>9</v>
      </c>
      <c r="E266" s="15">
        <v>15</v>
      </c>
    </row>
    <row r="267" spans="1:5" ht="11.5" thickTop="1" thickBot="1" x14ac:dyDescent="0.4">
      <c r="A267" s="12">
        <v>46288</v>
      </c>
      <c r="B267" s="13" t="str">
        <f t="shared" si="10"/>
        <v>QUA</v>
      </c>
      <c r="C267" s="14">
        <v>1</v>
      </c>
      <c r="D267" s="14">
        <f t="shared" si="11"/>
        <v>9</v>
      </c>
      <c r="E267" s="15">
        <v>16</v>
      </c>
    </row>
    <row r="268" spans="1:5" ht="11.5" thickTop="1" thickBot="1" x14ac:dyDescent="0.4">
      <c r="A268" s="12">
        <v>46289</v>
      </c>
      <c r="B268" s="13" t="str">
        <f t="shared" si="10"/>
        <v>QUI</v>
      </c>
      <c r="C268" s="14">
        <v>1</v>
      </c>
      <c r="D268" s="14">
        <f t="shared" si="11"/>
        <v>9</v>
      </c>
      <c r="E268" s="15">
        <v>17</v>
      </c>
    </row>
    <row r="269" spans="1:5" ht="11.5" thickTop="1" thickBot="1" x14ac:dyDescent="0.4">
      <c r="A269" s="12">
        <v>46290</v>
      </c>
      <c r="B269" s="13" t="str">
        <f t="shared" si="10"/>
        <v>SEX</v>
      </c>
      <c r="C269" s="14">
        <v>1</v>
      </c>
      <c r="D269" s="14">
        <f t="shared" si="11"/>
        <v>9</v>
      </c>
      <c r="E269" s="15">
        <v>18</v>
      </c>
    </row>
    <row r="270" spans="1:5" ht="11.5" thickTop="1" thickBot="1" x14ac:dyDescent="0.4">
      <c r="A270" s="12">
        <v>46291</v>
      </c>
      <c r="B270" s="13" t="str">
        <f t="shared" si="10"/>
        <v>SÁB</v>
      </c>
      <c r="C270" s="14">
        <v>0</v>
      </c>
      <c r="D270" s="14">
        <f t="shared" si="11"/>
        <v>9</v>
      </c>
      <c r="E270" s="15">
        <v>18</v>
      </c>
    </row>
    <row r="271" spans="1:5" ht="11.5" thickTop="1" thickBot="1" x14ac:dyDescent="0.4">
      <c r="A271" s="12">
        <v>46292</v>
      </c>
      <c r="B271" s="13" t="str">
        <f t="shared" si="10"/>
        <v>DOM</v>
      </c>
      <c r="C271" s="14">
        <v>0</v>
      </c>
      <c r="D271" s="14">
        <f t="shared" si="11"/>
        <v>9</v>
      </c>
      <c r="E271" s="15">
        <v>18</v>
      </c>
    </row>
    <row r="272" spans="1:5" ht="11.5" thickTop="1" thickBot="1" x14ac:dyDescent="0.4">
      <c r="A272" s="12">
        <v>46293</v>
      </c>
      <c r="B272" s="13" t="str">
        <f t="shared" si="10"/>
        <v>SEG</v>
      </c>
      <c r="C272" s="14">
        <v>1</v>
      </c>
      <c r="D272" s="14">
        <f t="shared" si="11"/>
        <v>9</v>
      </c>
      <c r="E272" s="15">
        <v>19</v>
      </c>
    </row>
    <row r="273" spans="1:5" ht="11.5" thickTop="1" thickBot="1" x14ac:dyDescent="0.4">
      <c r="A273" s="12">
        <v>46294</v>
      </c>
      <c r="B273" s="13" t="str">
        <f t="shared" si="10"/>
        <v>TER</v>
      </c>
      <c r="C273" s="14">
        <v>1</v>
      </c>
      <c r="D273" s="14">
        <f t="shared" si="11"/>
        <v>9</v>
      </c>
      <c r="E273" s="15">
        <v>20</v>
      </c>
    </row>
    <row r="274" spans="1:5" ht="11.5" thickTop="1" thickBot="1" x14ac:dyDescent="0.4">
      <c r="A274" s="12">
        <v>46295</v>
      </c>
      <c r="B274" s="13" t="str">
        <f t="shared" si="10"/>
        <v>QUA</v>
      </c>
      <c r="C274" s="14">
        <v>1</v>
      </c>
      <c r="D274" s="14">
        <f t="shared" si="11"/>
        <v>9</v>
      </c>
      <c r="E274" s="15">
        <v>21</v>
      </c>
    </row>
    <row r="275" spans="1:5" ht="11.5" thickTop="1" thickBot="1" x14ac:dyDescent="0.4">
      <c r="A275" s="12">
        <v>46296</v>
      </c>
      <c r="B275" s="13" t="str">
        <f t="shared" si="10"/>
        <v>QUI</v>
      </c>
      <c r="C275" s="14">
        <v>1</v>
      </c>
      <c r="D275" s="14">
        <f t="shared" si="11"/>
        <v>10</v>
      </c>
      <c r="E275" s="15">
        <f>Tabela5[[#This Row],[DU]]</f>
        <v>1</v>
      </c>
    </row>
    <row r="276" spans="1:5" ht="11.5" thickTop="1" thickBot="1" x14ac:dyDescent="0.4">
      <c r="A276" s="12">
        <v>46297</v>
      </c>
      <c r="B276" s="13" t="str">
        <f t="shared" si="10"/>
        <v>SEX</v>
      </c>
      <c r="C276" s="14">
        <v>1</v>
      </c>
      <c r="D276" s="14">
        <f t="shared" si="11"/>
        <v>10</v>
      </c>
      <c r="E276" s="15">
        <f>Tabela5[[#This Row],[DU]]+E275</f>
        <v>2</v>
      </c>
    </row>
    <row r="277" spans="1:5" ht="11.5" thickTop="1" thickBot="1" x14ac:dyDescent="0.4">
      <c r="A277" s="12">
        <v>46298</v>
      </c>
      <c r="B277" s="13" t="str">
        <f t="shared" si="10"/>
        <v>SÁB</v>
      </c>
      <c r="C277" s="14">
        <v>0</v>
      </c>
      <c r="D277" s="14">
        <f t="shared" si="11"/>
        <v>10</v>
      </c>
      <c r="E277" s="15">
        <f>Tabela5[[#This Row],[DU]]+E276</f>
        <v>2</v>
      </c>
    </row>
    <row r="278" spans="1:5" ht="11.5" thickTop="1" thickBot="1" x14ac:dyDescent="0.4">
      <c r="A278" s="12">
        <v>46299</v>
      </c>
      <c r="B278" s="13" t="str">
        <f t="shared" si="10"/>
        <v>DOM</v>
      </c>
      <c r="C278" s="14">
        <v>0</v>
      </c>
      <c r="D278" s="14">
        <f t="shared" si="11"/>
        <v>10</v>
      </c>
      <c r="E278" s="15">
        <f>Tabela5[[#This Row],[DU]]+E277</f>
        <v>2</v>
      </c>
    </row>
    <row r="279" spans="1:5" ht="11.5" thickTop="1" thickBot="1" x14ac:dyDescent="0.4">
      <c r="A279" s="12">
        <v>46300</v>
      </c>
      <c r="B279" s="13" t="str">
        <f t="shared" si="10"/>
        <v>SEG</v>
      </c>
      <c r="C279" s="14">
        <v>1</v>
      </c>
      <c r="D279" s="14">
        <f t="shared" si="11"/>
        <v>10</v>
      </c>
      <c r="E279" s="15">
        <f>Tabela5[[#This Row],[DU]]+E278</f>
        <v>3</v>
      </c>
    </row>
    <row r="280" spans="1:5" ht="11.5" thickTop="1" thickBot="1" x14ac:dyDescent="0.4">
      <c r="A280" s="12">
        <v>46301</v>
      </c>
      <c r="B280" s="13" t="str">
        <f t="shared" si="10"/>
        <v>TER</v>
      </c>
      <c r="C280" s="14">
        <v>1</v>
      </c>
      <c r="D280" s="14">
        <f t="shared" si="11"/>
        <v>10</v>
      </c>
      <c r="E280" s="15">
        <f>Tabela5[[#This Row],[DU]]+E279</f>
        <v>4</v>
      </c>
    </row>
    <row r="281" spans="1:5" ht="11.5" thickTop="1" thickBot="1" x14ac:dyDescent="0.4">
      <c r="A281" s="12">
        <v>46302</v>
      </c>
      <c r="B281" s="13" t="str">
        <f t="shared" si="10"/>
        <v>QUA</v>
      </c>
      <c r="C281" s="14">
        <v>1</v>
      </c>
      <c r="D281" s="14">
        <f t="shared" si="11"/>
        <v>10</v>
      </c>
      <c r="E281" s="15">
        <f>Tabela5[[#This Row],[DU]]+E280</f>
        <v>5</v>
      </c>
    </row>
    <row r="282" spans="1:5" ht="11.5" thickTop="1" thickBot="1" x14ac:dyDescent="0.4">
      <c r="A282" s="12">
        <v>46303</v>
      </c>
      <c r="B282" s="13" t="str">
        <f t="shared" si="10"/>
        <v>QUI</v>
      </c>
      <c r="C282" s="14">
        <v>1</v>
      </c>
      <c r="D282" s="14">
        <f t="shared" si="11"/>
        <v>10</v>
      </c>
      <c r="E282" s="15">
        <f>Tabela5[[#This Row],[DU]]+E281</f>
        <v>6</v>
      </c>
    </row>
    <row r="283" spans="1:5" ht="11.5" thickTop="1" thickBot="1" x14ac:dyDescent="0.4">
      <c r="A283" s="12">
        <v>46304</v>
      </c>
      <c r="B283" s="13" t="str">
        <f t="shared" si="10"/>
        <v>SEX</v>
      </c>
      <c r="C283" s="14">
        <v>1</v>
      </c>
      <c r="D283" s="14">
        <f t="shared" si="11"/>
        <v>10</v>
      </c>
      <c r="E283" s="15">
        <f>Tabela5[[#This Row],[DU]]+E282</f>
        <v>7</v>
      </c>
    </row>
    <row r="284" spans="1:5" ht="11.5" thickTop="1" thickBot="1" x14ac:dyDescent="0.4">
      <c r="A284" s="12">
        <v>46305</v>
      </c>
      <c r="B284" s="13" t="str">
        <f t="shared" si="10"/>
        <v>SÁB</v>
      </c>
      <c r="C284" s="14">
        <v>0</v>
      </c>
      <c r="D284" s="14">
        <f t="shared" si="11"/>
        <v>10</v>
      </c>
      <c r="E284" s="15">
        <f>Tabela5[[#This Row],[DU]]+E283</f>
        <v>7</v>
      </c>
    </row>
    <row r="285" spans="1:5" ht="11.5" thickTop="1" thickBot="1" x14ac:dyDescent="0.4">
      <c r="A285" s="12">
        <v>46306</v>
      </c>
      <c r="B285" s="13" t="str">
        <f t="shared" si="10"/>
        <v>DOM</v>
      </c>
      <c r="C285" s="14">
        <v>0</v>
      </c>
      <c r="D285" s="14">
        <f t="shared" si="11"/>
        <v>10</v>
      </c>
      <c r="E285" s="15">
        <f>Tabela5[[#This Row],[DU]]+E284</f>
        <v>7</v>
      </c>
    </row>
    <row r="286" spans="1:5" ht="11.5" thickTop="1" thickBot="1" x14ac:dyDescent="0.4">
      <c r="A286" s="12">
        <v>46307</v>
      </c>
      <c r="B286" s="13" t="str">
        <f t="shared" si="10"/>
        <v>SEG</v>
      </c>
      <c r="C286" s="14">
        <v>0</v>
      </c>
      <c r="D286" s="14">
        <f t="shared" si="11"/>
        <v>10</v>
      </c>
      <c r="E286" s="15">
        <f>Tabela5[[#This Row],[DU]]+E285</f>
        <v>7</v>
      </c>
    </row>
    <row r="287" spans="1:5" ht="11.5" thickTop="1" thickBot="1" x14ac:dyDescent="0.4">
      <c r="A287" s="12">
        <v>46308</v>
      </c>
      <c r="B287" s="13" t="str">
        <f t="shared" si="10"/>
        <v>TER</v>
      </c>
      <c r="C287" s="14">
        <v>1</v>
      </c>
      <c r="D287" s="14">
        <f t="shared" si="11"/>
        <v>10</v>
      </c>
      <c r="E287" s="15">
        <f>Tabela5[[#This Row],[DU]]+E286</f>
        <v>8</v>
      </c>
    </row>
    <row r="288" spans="1:5" ht="11.5" thickTop="1" thickBot="1" x14ac:dyDescent="0.4">
      <c r="A288" s="12">
        <v>46309</v>
      </c>
      <c r="B288" s="13" t="str">
        <f t="shared" si="10"/>
        <v>QUA</v>
      </c>
      <c r="C288" s="14">
        <v>1</v>
      </c>
      <c r="D288" s="14">
        <f t="shared" si="11"/>
        <v>10</v>
      </c>
      <c r="E288" s="15">
        <f>Tabela5[[#This Row],[DU]]+E287</f>
        <v>9</v>
      </c>
    </row>
    <row r="289" spans="1:5" ht="11.5" thickTop="1" thickBot="1" x14ac:dyDescent="0.4">
      <c r="A289" s="12">
        <v>46310</v>
      </c>
      <c r="B289" s="13" t="str">
        <f t="shared" si="10"/>
        <v>QUI</v>
      </c>
      <c r="C289" s="14">
        <v>1</v>
      </c>
      <c r="D289" s="14">
        <f t="shared" si="11"/>
        <v>10</v>
      </c>
      <c r="E289" s="15">
        <f>Tabela5[[#This Row],[DU]]+E288</f>
        <v>10</v>
      </c>
    </row>
    <row r="290" spans="1:5" ht="11.5" thickTop="1" thickBot="1" x14ac:dyDescent="0.4">
      <c r="A290" s="12">
        <v>46311</v>
      </c>
      <c r="B290" s="13" t="str">
        <f t="shared" si="10"/>
        <v>SEX</v>
      </c>
      <c r="C290" s="14">
        <v>1</v>
      </c>
      <c r="D290" s="14">
        <f t="shared" si="11"/>
        <v>10</v>
      </c>
      <c r="E290" s="15">
        <f>Tabela5[[#This Row],[DU]]+E289</f>
        <v>11</v>
      </c>
    </row>
    <row r="291" spans="1:5" ht="11.5" thickTop="1" thickBot="1" x14ac:dyDescent="0.4">
      <c r="A291" s="12">
        <v>46312</v>
      </c>
      <c r="B291" s="13" t="str">
        <f t="shared" si="10"/>
        <v>SÁB</v>
      </c>
      <c r="C291" s="14">
        <v>0</v>
      </c>
      <c r="D291" s="14">
        <f t="shared" si="11"/>
        <v>10</v>
      </c>
      <c r="E291" s="15">
        <f>Tabela5[[#This Row],[DU]]+E290</f>
        <v>11</v>
      </c>
    </row>
    <row r="292" spans="1:5" ht="11.5" thickTop="1" thickBot="1" x14ac:dyDescent="0.4">
      <c r="A292" s="12">
        <v>46313</v>
      </c>
      <c r="B292" s="13" t="str">
        <f t="shared" si="10"/>
        <v>DOM</v>
      </c>
      <c r="C292" s="14">
        <v>0</v>
      </c>
      <c r="D292" s="14">
        <f t="shared" si="11"/>
        <v>10</v>
      </c>
      <c r="E292" s="15">
        <f>Tabela5[[#This Row],[DU]]+E291</f>
        <v>11</v>
      </c>
    </row>
    <row r="293" spans="1:5" ht="11.5" thickTop="1" thickBot="1" x14ac:dyDescent="0.4">
      <c r="A293" s="12">
        <v>46314</v>
      </c>
      <c r="B293" s="13" t="str">
        <f t="shared" si="10"/>
        <v>SEG</v>
      </c>
      <c r="C293" s="14">
        <v>1</v>
      </c>
      <c r="D293" s="14">
        <f t="shared" si="11"/>
        <v>10</v>
      </c>
      <c r="E293" s="15">
        <f>Tabela5[[#This Row],[DU]]+E292</f>
        <v>12</v>
      </c>
    </row>
    <row r="294" spans="1:5" ht="11.5" thickTop="1" thickBot="1" x14ac:dyDescent="0.4">
      <c r="A294" s="12">
        <v>46315</v>
      </c>
      <c r="B294" s="13" t="str">
        <f t="shared" si="10"/>
        <v>TER</v>
      </c>
      <c r="C294" s="14">
        <v>1</v>
      </c>
      <c r="D294" s="14">
        <f t="shared" si="11"/>
        <v>10</v>
      </c>
      <c r="E294" s="15">
        <f>Tabela5[[#This Row],[DU]]+E293</f>
        <v>13</v>
      </c>
    </row>
    <row r="295" spans="1:5" ht="11.5" thickTop="1" thickBot="1" x14ac:dyDescent="0.4">
      <c r="A295" s="12">
        <v>46316</v>
      </c>
      <c r="B295" s="13" t="str">
        <f t="shared" si="10"/>
        <v>QUA</v>
      </c>
      <c r="C295" s="14">
        <v>1</v>
      </c>
      <c r="D295" s="14">
        <f t="shared" si="11"/>
        <v>10</v>
      </c>
      <c r="E295" s="15">
        <f>Tabela5[[#This Row],[DU]]+E294</f>
        <v>14</v>
      </c>
    </row>
    <row r="296" spans="1:5" ht="11.5" thickTop="1" thickBot="1" x14ac:dyDescent="0.4">
      <c r="A296" s="12">
        <v>46317</v>
      </c>
      <c r="B296" s="13" t="str">
        <f t="shared" si="10"/>
        <v>QUI</v>
      </c>
      <c r="C296" s="14">
        <v>1</v>
      </c>
      <c r="D296" s="14">
        <f t="shared" si="11"/>
        <v>10</v>
      </c>
      <c r="E296" s="15">
        <f>Tabela5[[#This Row],[DU]]+E295</f>
        <v>15</v>
      </c>
    </row>
    <row r="297" spans="1:5" ht="11.5" thickTop="1" thickBot="1" x14ac:dyDescent="0.4">
      <c r="A297" s="12">
        <v>46318</v>
      </c>
      <c r="B297" s="13" t="str">
        <f t="shared" si="10"/>
        <v>SEX</v>
      </c>
      <c r="C297" s="14">
        <v>1</v>
      </c>
      <c r="D297" s="14">
        <f t="shared" si="11"/>
        <v>10</v>
      </c>
      <c r="E297" s="15">
        <f>Tabela5[[#This Row],[DU]]+E296</f>
        <v>16</v>
      </c>
    </row>
    <row r="298" spans="1:5" ht="11.5" thickTop="1" thickBot="1" x14ac:dyDescent="0.4">
      <c r="A298" s="12">
        <v>46319</v>
      </c>
      <c r="B298" s="13" t="str">
        <f t="shared" si="10"/>
        <v>SÁB</v>
      </c>
      <c r="C298" s="14">
        <v>0</v>
      </c>
      <c r="D298" s="14">
        <f t="shared" si="11"/>
        <v>10</v>
      </c>
      <c r="E298" s="15">
        <f>Tabela5[[#This Row],[DU]]+E297</f>
        <v>16</v>
      </c>
    </row>
    <row r="299" spans="1:5" ht="11.5" thickTop="1" thickBot="1" x14ac:dyDescent="0.4">
      <c r="A299" s="12">
        <v>46320</v>
      </c>
      <c r="B299" s="13" t="str">
        <f t="shared" si="10"/>
        <v>DOM</v>
      </c>
      <c r="C299" s="14">
        <v>0</v>
      </c>
      <c r="D299" s="14">
        <f t="shared" si="11"/>
        <v>10</v>
      </c>
      <c r="E299" s="15">
        <f>Tabela5[[#This Row],[DU]]+E298</f>
        <v>16</v>
      </c>
    </row>
    <row r="300" spans="1:5" ht="11.5" thickTop="1" thickBot="1" x14ac:dyDescent="0.4">
      <c r="A300" s="12">
        <v>46321</v>
      </c>
      <c r="B300" s="13" t="str">
        <f t="shared" si="10"/>
        <v>SEG</v>
      </c>
      <c r="C300" s="14">
        <v>1</v>
      </c>
      <c r="D300" s="14">
        <f t="shared" si="11"/>
        <v>10</v>
      </c>
      <c r="E300" s="15">
        <f>Tabela5[[#This Row],[DU]]+E299</f>
        <v>17</v>
      </c>
    </row>
    <row r="301" spans="1:5" ht="11.5" thickTop="1" thickBot="1" x14ac:dyDescent="0.4">
      <c r="A301" s="12">
        <v>46322</v>
      </c>
      <c r="B301" s="13" t="str">
        <f t="shared" si="10"/>
        <v>TER</v>
      </c>
      <c r="C301" s="14">
        <v>1</v>
      </c>
      <c r="D301" s="14">
        <f t="shared" si="11"/>
        <v>10</v>
      </c>
      <c r="E301" s="15">
        <f>Tabela5[[#This Row],[DU]]+E300</f>
        <v>18</v>
      </c>
    </row>
    <row r="302" spans="1:5" ht="11.5" thickTop="1" thickBot="1" x14ac:dyDescent="0.4">
      <c r="A302" s="12">
        <v>46323</v>
      </c>
      <c r="B302" s="13" t="str">
        <f t="shared" si="10"/>
        <v>QUA</v>
      </c>
      <c r="C302" s="14">
        <v>1</v>
      </c>
      <c r="D302" s="14">
        <f t="shared" si="11"/>
        <v>10</v>
      </c>
      <c r="E302" s="15">
        <f>Tabela5[[#This Row],[DU]]+E301</f>
        <v>19</v>
      </c>
    </row>
    <row r="303" spans="1:5" ht="11.5" thickTop="1" thickBot="1" x14ac:dyDescent="0.4">
      <c r="A303" s="12">
        <v>46324</v>
      </c>
      <c r="B303" s="13" t="str">
        <f t="shared" si="10"/>
        <v>QUI</v>
      </c>
      <c r="C303" s="14">
        <v>1</v>
      </c>
      <c r="D303" s="14">
        <f t="shared" si="11"/>
        <v>10</v>
      </c>
      <c r="E303" s="15">
        <f>Tabela5[[#This Row],[DU]]+E302</f>
        <v>20</v>
      </c>
    </row>
    <row r="304" spans="1:5" ht="11.5" thickTop="1" thickBot="1" x14ac:dyDescent="0.4">
      <c r="A304" s="12">
        <v>46325</v>
      </c>
      <c r="B304" s="13" t="str">
        <f t="shared" si="10"/>
        <v>SEX</v>
      </c>
      <c r="C304" s="14">
        <v>1</v>
      </c>
      <c r="D304" s="14">
        <f t="shared" si="11"/>
        <v>10</v>
      </c>
      <c r="E304" s="15">
        <f>Tabela5[[#This Row],[DU]]+E303</f>
        <v>21</v>
      </c>
    </row>
    <row r="305" spans="1:5" ht="11.5" thickTop="1" thickBot="1" x14ac:dyDescent="0.4">
      <c r="A305" s="12">
        <v>46326</v>
      </c>
      <c r="B305" s="13" t="str">
        <f t="shared" si="10"/>
        <v>SÁB</v>
      </c>
      <c r="C305" s="14">
        <v>0</v>
      </c>
      <c r="D305" s="14">
        <f t="shared" si="11"/>
        <v>10</v>
      </c>
      <c r="E305" s="15">
        <f>Tabela5[[#This Row],[DU]]+E304</f>
        <v>21</v>
      </c>
    </row>
    <row r="306" spans="1:5" ht="11.5" thickTop="1" thickBot="1" x14ac:dyDescent="0.4">
      <c r="A306" s="12">
        <v>46327</v>
      </c>
      <c r="B306" s="13" t="str">
        <f t="shared" si="10"/>
        <v>DOM</v>
      </c>
      <c r="C306" s="14">
        <v>0</v>
      </c>
      <c r="D306" s="14">
        <f t="shared" si="11"/>
        <v>11</v>
      </c>
      <c r="E306" s="15">
        <f>Tabela5[[#This Row],[DU]]</f>
        <v>0</v>
      </c>
    </row>
    <row r="307" spans="1:5" ht="11.5" thickTop="1" thickBot="1" x14ac:dyDescent="0.4">
      <c r="A307" s="12">
        <v>46328</v>
      </c>
      <c r="B307" s="13" t="str">
        <f t="shared" si="10"/>
        <v>SEG</v>
      </c>
      <c r="C307" s="14">
        <v>0</v>
      </c>
      <c r="D307" s="14">
        <f t="shared" si="11"/>
        <v>11</v>
      </c>
      <c r="E307" s="15">
        <f>Tabela5[[#This Row],[DU]]+E306</f>
        <v>0</v>
      </c>
    </row>
    <row r="308" spans="1:5" ht="11.5" thickTop="1" thickBot="1" x14ac:dyDescent="0.4">
      <c r="A308" s="12">
        <v>46329</v>
      </c>
      <c r="B308" s="13" t="str">
        <f t="shared" si="10"/>
        <v>TER</v>
      </c>
      <c r="C308" s="14">
        <v>1</v>
      </c>
      <c r="D308" s="14">
        <f t="shared" si="11"/>
        <v>11</v>
      </c>
      <c r="E308" s="15">
        <f>Tabela5[[#This Row],[DU]]+E307</f>
        <v>1</v>
      </c>
    </row>
    <row r="309" spans="1:5" ht="11.5" thickTop="1" thickBot="1" x14ac:dyDescent="0.4">
      <c r="A309" s="12">
        <v>46330</v>
      </c>
      <c r="B309" s="13" t="str">
        <f t="shared" si="10"/>
        <v>QUA</v>
      </c>
      <c r="C309" s="14">
        <v>1</v>
      </c>
      <c r="D309" s="14">
        <f t="shared" si="11"/>
        <v>11</v>
      </c>
      <c r="E309" s="15">
        <f>Tabela5[[#This Row],[DU]]+E308</f>
        <v>2</v>
      </c>
    </row>
    <row r="310" spans="1:5" ht="11.5" thickTop="1" thickBot="1" x14ac:dyDescent="0.4">
      <c r="A310" s="12">
        <v>46331</v>
      </c>
      <c r="B310" s="13" t="str">
        <f t="shared" si="10"/>
        <v>QUI</v>
      </c>
      <c r="C310" s="14">
        <v>1</v>
      </c>
      <c r="D310" s="14">
        <f t="shared" si="11"/>
        <v>11</v>
      </c>
      <c r="E310" s="15">
        <f>Tabela5[[#This Row],[DU]]+E309</f>
        <v>3</v>
      </c>
    </row>
    <row r="311" spans="1:5" ht="11.5" thickTop="1" thickBot="1" x14ac:dyDescent="0.4">
      <c r="A311" s="12">
        <v>46332</v>
      </c>
      <c r="B311" s="13" t="str">
        <f t="shared" si="10"/>
        <v>SEX</v>
      </c>
      <c r="C311" s="14">
        <v>1</v>
      </c>
      <c r="D311" s="14">
        <f t="shared" si="11"/>
        <v>11</v>
      </c>
      <c r="E311" s="15">
        <f>Tabela5[[#This Row],[DU]]+E310</f>
        <v>4</v>
      </c>
    </row>
    <row r="312" spans="1:5" ht="11.5" thickTop="1" thickBot="1" x14ac:dyDescent="0.4">
      <c r="A312" s="12">
        <v>46333</v>
      </c>
      <c r="B312" s="13" t="str">
        <f t="shared" si="10"/>
        <v>SÁB</v>
      </c>
      <c r="C312" s="14">
        <v>0</v>
      </c>
      <c r="D312" s="14">
        <f t="shared" si="11"/>
        <v>11</v>
      </c>
      <c r="E312" s="15">
        <f>Tabela5[[#This Row],[DU]]+E311</f>
        <v>4</v>
      </c>
    </row>
    <row r="313" spans="1:5" ht="11.5" thickTop="1" thickBot="1" x14ac:dyDescent="0.4">
      <c r="A313" s="12">
        <v>46334</v>
      </c>
      <c r="B313" s="13" t="str">
        <f t="shared" si="10"/>
        <v>DOM</v>
      </c>
      <c r="C313" s="14">
        <v>0</v>
      </c>
      <c r="D313" s="14">
        <f t="shared" si="11"/>
        <v>11</v>
      </c>
      <c r="E313" s="15">
        <f>Tabela5[[#This Row],[DU]]+E312</f>
        <v>4</v>
      </c>
    </row>
    <row r="314" spans="1:5" ht="11.5" thickTop="1" thickBot="1" x14ac:dyDescent="0.4">
      <c r="A314" s="12">
        <v>46335</v>
      </c>
      <c r="B314" s="13" t="str">
        <f t="shared" si="10"/>
        <v>SEG</v>
      </c>
      <c r="C314" s="14">
        <v>1</v>
      </c>
      <c r="D314" s="14">
        <f t="shared" si="11"/>
        <v>11</v>
      </c>
      <c r="E314" s="15">
        <f>Tabela5[[#This Row],[DU]]+E313</f>
        <v>5</v>
      </c>
    </row>
    <row r="315" spans="1:5" ht="11.5" thickTop="1" thickBot="1" x14ac:dyDescent="0.4">
      <c r="A315" s="12">
        <v>46336</v>
      </c>
      <c r="B315" s="13" t="str">
        <f t="shared" si="10"/>
        <v>TER</v>
      </c>
      <c r="C315" s="14">
        <v>1</v>
      </c>
      <c r="D315" s="14">
        <f t="shared" si="11"/>
        <v>11</v>
      </c>
      <c r="E315" s="15">
        <f>Tabela5[[#This Row],[DU]]+E314</f>
        <v>6</v>
      </c>
    </row>
    <row r="316" spans="1:5" ht="11.5" thickTop="1" thickBot="1" x14ac:dyDescent="0.4">
      <c r="A316" s="12">
        <v>46337</v>
      </c>
      <c r="B316" s="13" t="str">
        <f t="shared" si="10"/>
        <v>QUA</v>
      </c>
      <c r="C316" s="14">
        <v>1</v>
      </c>
      <c r="D316" s="14">
        <f t="shared" si="11"/>
        <v>11</v>
      </c>
      <c r="E316" s="15">
        <f>Tabela5[[#This Row],[DU]]+E315</f>
        <v>7</v>
      </c>
    </row>
    <row r="317" spans="1:5" ht="11.5" thickTop="1" thickBot="1" x14ac:dyDescent="0.4">
      <c r="A317" s="12">
        <v>46338</v>
      </c>
      <c r="B317" s="13" t="str">
        <f t="shared" si="10"/>
        <v>QUI</v>
      </c>
      <c r="C317" s="14">
        <v>1</v>
      </c>
      <c r="D317" s="14">
        <f t="shared" si="11"/>
        <v>11</v>
      </c>
      <c r="E317" s="15">
        <f>Tabela5[[#This Row],[DU]]+E316</f>
        <v>8</v>
      </c>
    </row>
    <row r="318" spans="1:5" ht="11.5" thickTop="1" thickBot="1" x14ac:dyDescent="0.4">
      <c r="A318" s="12">
        <v>46339</v>
      </c>
      <c r="B318" s="13" t="str">
        <f t="shared" si="10"/>
        <v>SEX</v>
      </c>
      <c r="C318" s="14">
        <v>1</v>
      </c>
      <c r="D318" s="14">
        <f t="shared" si="11"/>
        <v>11</v>
      </c>
      <c r="E318" s="15">
        <f>Tabela5[[#This Row],[DU]]+E317</f>
        <v>9</v>
      </c>
    </row>
    <row r="319" spans="1:5" ht="11.5" thickTop="1" thickBot="1" x14ac:dyDescent="0.4">
      <c r="A319" s="12">
        <v>46340</v>
      </c>
      <c r="B319" s="13" t="str">
        <f t="shared" si="10"/>
        <v>SÁB</v>
      </c>
      <c r="C319" s="14">
        <v>0</v>
      </c>
      <c r="D319" s="14">
        <f t="shared" si="11"/>
        <v>11</v>
      </c>
      <c r="E319" s="15">
        <f>Tabela5[[#This Row],[DU]]+E318</f>
        <v>9</v>
      </c>
    </row>
    <row r="320" spans="1:5" ht="11.5" thickTop="1" thickBot="1" x14ac:dyDescent="0.4">
      <c r="A320" s="12">
        <v>46341</v>
      </c>
      <c r="B320" s="13" t="str">
        <f t="shared" si="10"/>
        <v>DOM</v>
      </c>
      <c r="C320" s="14">
        <v>0</v>
      </c>
      <c r="D320" s="14">
        <f t="shared" si="11"/>
        <v>11</v>
      </c>
      <c r="E320" s="15">
        <f>Tabela5[[#This Row],[DU]]+E319</f>
        <v>9</v>
      </c>
    </row>
    <row r="321" spans="1:5" ht="11.5" thickTop="1" thickBot="1" x14ac:dyDescent="0.4">
      <c r="A321" s="12">
        <v>46342</v>
      </c>
      <c r="B321" s="13" t="str">
        <f t="shared" si="10"/>
        <v>SEG</v>
      </c>
      <c r="C321" s="14">
        <v>1</v>
      </c>
      <c r="D321" s="14">
        <f t="shared" si="11"/>
        <v>11</v>
      </c>
      <c r="E321" s="15">
        <f>Tabela5[[#This Row],[DU]]+E320</f>
        <v>10</v>
      </c>
    </row>
    <row r="322" spans="1:5" ht="11.5" thickTop="1" thickBot="1" x14ac:dyDescent="0.4">
      <c r="A322" s="12">
        <v>46343</v>
      </c>
      <c r="B322" s="13" t="str">
        <f t="shared" ref="B322:B366" si="12">UPPER(TEXT(A322,"DDD"))</f>
        <v>TER</v>
      </c>
      <c r="C322" s="14">
        <v>1</v>
      </c>
      <c r="D322" s="14">
        <f t="shared" ref="D322:D366" si="13">MONTH(A322)</f>
        <v>11</v>
      </c>
      <c r="E322" s="15">
        <f>Tabela5[[#This Row],[DU]]+E321</f>
        <v>11</v>
      </c>
    </row>
    <row r="323" spans="1:5" ht="11.5" thickTop="1" thickBot="1" x14ac:dyDescent="0.4">
      <c r="A323" s="12">
        <v>46344</v>
      </c>
      <c r="B323" s="13" t="str">
        <f t="shared" si="12"/>
        <v>QUA</v>
      </c>
      <c r="C323" s="14">
        <v>1</v>
      </c>
      <c r="D323" s="14">
        <f t="shared" si="13"/>
        <v>11</v>
      </c>
      <c r="E323" s="15">
        <f>Tabela5[[#This Row],[DU]]+E322</f>
        <v>12</v>
      </c>
    </row>
    <row r="324" spans="1:5" ht="11.5" thickTop="1" thickBot="1" x14ac:dyDescent="0.4">
      <c r="A324" s="12">
        <v>46345</v>
      </c>
      <c r="B324" s="13" t="str">
        <f t="shared" si="12"/>
        <v>QUI</v>
      </c>
      <c r="C324" s="14">
        <v>1</v>
      </c>
      <c r="D324" s="14">
        <f t="shared" si="13"/>
        <v>11</v>
      </c>
      <c r="E324" s="15">
        <f>Tabela5[[#This Row],[DU]]+E323</f>
        <v>13</v>
      </c>
    </row>
    <row r="325" spans="1:5" ht="11.5" thickTop="1" thickBot="1" x14ac:dyDescent="0.4">
      <c r="A325" s="12">
        <v>46346</v>
      </c>
      <c r="B325" s="13" t="str">
        <f t="shared" si="12"/>
        <v>SEX</v>
      </c>
      <c r="C325" s="14">
        <v>0</v>
      </c>
      <c r="D325" s="14">
        <f t="shared" si="13"/>
        <v>11</v>
      </c>
      <c r="E325" s="15">
        <f>Tabela5[[#This Row],[DU]]+E324</f>
        <v>13</v>
      </c>
    </row>
    <row r="326" spans="1:5" ht="11.5" thickTop="1" thickBot="1" x14ac:dyDescent="0.4">
      <c r="A326" s="12">
        <v>46347</v>
      </c>
      <c r="B326" s="13" t="str">
        <f t="shared" si="12"/>
        <v>SÁB</v>
      </c>
      <c r="C326" s="14">
        <v>0</v>
      </c>
      <c r="D326" s="14">
        <f t="shared" si="13"/>
        <v>11</v>
      </c>
      <c r="E326" s="15">
        <f>Tabela5[[#This Row],[DU]]+E325</f>
        <v>13</v>
      </c>
    </row>
    <row r="327" spans="1:5" ht="11.5" thickTop="1" thickBot="1" x14ac:dyDescent="0.4">
      <c r="A327" s="12">
        <v>46348</v>
      </c>
      <c r="B327" s="13" t="str">
        <f t="shared" si="12"/>
        <v>DOM</v>
      </c>
      <c r="C327" s="14">
        <v>0</v>
      </c>
      <c r="D327" s="14">
        <f t="shared" si="13"/>
        <v>11</v>
      </c>
      <c r="E327" s="15">
        <f>Tabela5[[#This Row],[DU]]+E326</f>
        <v>13</v>
      </c>
    </row>
    <row r="328" spans="1:5" ht="11.5" thickTop="1" thickBot="1" x14ac:dyDescent="0.4">
      <c r="A328" s="12">
        <v>46349</v>
      </c>
      <c r="B328" s="13" t="str">
        <f t="shared" si="12"/>
        <v>SEG</v>
      </c>
      <c r="C328" s="14">
        <v>1</v>
      </c>
      <c r="D328" s="14">
        <f t="shared" si="13"/>
        <v>11</v>
      </c>
      <c r="E328" s="15">
        <f>Tabela5[[#This Row],[DU]]+E327</f>
        <v>14</v>
      </c>
    </row>
    <row r="329" spans="1:5" ht="11.5" thickTop="1" thickBot="1" x14ac:dyDescent="0.4">
      <c r="A329" s="12">
        <v>46350</v>
      </c>
      <c r="B329" s="13" t="str">
        <f t="shared" si="12"/>
        <v>TER</v>
      </c>
      <c r="C329" s="14">
        <v>1</v>
      </c>
      <c r="D329" s="14">
        <f t="shared" si="13"/>
        <v>11</v>
      </c>
      <c r="E329" s="15">
        <f>Tabela5[[#This Row],[DU]]+E328</f>
        <v>15</v>
      </c>
    </row>
    <row r="330" spans="1:5" ht="11.5" thickTop="1" thickBot="1" x14ac:dyDescent="0.4">
      <c r="A330" s="12">
        <v>46351</v>
      </c>
      <c r="B330" s="13" t="str">
        <f t="shared" si="12"/>
        <v>QUA</v>
      </c>
      <c r="C330" s="14">
        <v>1</v>
      </c>
      <c r="D330" s="14">
        <f t="shared" si="13"/>
        <v>11</v>
      </c>
      <c r="E330" s="15">
        <f>Tabela5[[#This Row],[DU]]+E329</f>
        <v>16</v>
      </c>
    </row>
    <row r="331" spans="1:5" ht="11.5" thickTop="1" thickBot="1" x14ac:dyDescent="0.4">
      <c r="A331" s="12">
        <v>46352</v>
      </c>
      <c r="B331" s="13" t="str">
        <f t="shared" si="12"/>
        <v>QUI</v>
      </c>
      <c r="C331" s="14">
        <v>1</v>
      </c>
      <c r="D331" s="14">
        <f t="shared" si="13"/>
        <v>11</v>
      </c>
      <c r="E331" s="15">
        <f>Tabela5[[#This Row],[DU]]+E330</f>
        <v>17</v>
      </c>
    </row>
    <row r="332" spans="1:5" ht="11.5" thickTop="1" thickBot="1" x14ac:dyDescent="0.4">
      <c r="A332" s="12">
        <v>46353</v>
      </c>
      <c r="B332" s="13" t="str">
        <f t="shared" si="12"/>
        <v>SEX</v>
      </c>
      <c r="C332" s="14">
        <v>1</v>
      </c>
      <c r="D332" s="14">
        <f t="shared" si="13"/>
        <v>11</v>
      </c>
      <c r="E332" s="15">
        <f>Tabela5[[#This Row],[DU]]+E331</f>
        <v>18</v>
      </c>
    </row>
    <row r="333" spans="1:5" ht="11.5" thickTop="1" thickBot="1" x14ac:dyDescent="0.4">
      <c r="A333" s="12">
        <v>46354</v>
      </c>
      <c r="B333" s="13" t="str">
        <f t="shared" si="12"/>
        <v>SÁB</v>
      </c>
      <c r="C333" s="14">
        <v>0</v>
      </c>
      <c r="D333" s="14">
        <f t="shared" si="13"/>
        <v>11</v>
      </c>
      <c r="E333" s="15">
        <f>Tabela5[[#This Row],[DU]]+E332</f>
        <v>18</v>
      </c>
    </row>
    <row r="334" spans="1:5" ht="11.5" thickTop="1" thickBot="1" x14ac:dyDescent="0.4">
      <c r="A334" s="12">
        <v>46355</v>
      </c>
      <c r="B334" s="13" t="str">
        <f t="shared" si="12"/>
        <v>DOM</v>
      </c>
      <c r="C334" s="14">
        <v>0</v>
      </c>
      <c r="D334" s="14">
        <f t="shared" si="13"/>
        <v>11</v>
      </c>
      <c r="E334" s="15">
        <f>Tabela5[[#This Row],[DU]]+E333</f>
        <v>18</v>
      </c>
    </row>
    <row r="335" spans="1:5" ht="11.5" thickTop="1" thickBot="1" x14ac:dyDescent="0.4">
      <c r="A335" s="12">
        <v>46356</v>
      </c>
      <c r="B335" s="13" t="str">
        <f t="shared" si="12"/>
        <v>SEG</v>
      </c>
      <c r="C335" s="14">
        <v>1</v>
      </c>
      <c r="D335" s="14">
        <f t="shared" si="13"/>
        <v>11</v>
      </c>
      <c r="E335" s="15">
        <f>Tabela5[[#This Row],[DU]]+E334</f>
        <v>19</v>
      </c>
    </row>
    <row r="336" spans="1:5" ht="11.5" thickTop="1" thickBot="1" x14ac:dyDescent="0.4">
      <c r="A336" s="12">
        <v>46357</v>
      </c>
      <c r="B336" s="13" t="str">
        <f t="shared" si="12"/>
        <v>TER</v>
      </c>
      <c r="C336" s="14">
        <v>1</v>
      </c>
      <c r="D336" s="14">
        <f t="shared" si="13"/>
        <v>12</v>
      </c>
      <c r="E336" s="15">
        <f>Tabela5[[#This Row],[DU]]</f>
        <v>1</v>
      </c>
    </row>
    <row r="337" spans="1:5" ht="11.5" thickTop="1" thickBot="1" x14ac:dyDescent="0.4">
      <c r="A337" s="12">
        <v>46358</v>
      </c>
      <c r="B337" s="13" t="str">
        <f t="shared" si="12"/>
        <v>QUA</v>
      </c>
      <c r="C337" s="14">
        <v>1</v>
      </c>
      <c r="D337" s="14">
        <f t="shared" si="13"/>
        <v>12</v>
      </c>
      <c r="E337" s="15">
        <f>Tabela5[[#This Row],[DU]]+E336</f>
        <v>2</v>
      </c>
    </row>
    <row r="338" spans="1:5" ht="11.5" thickTop="1" thickBot="1" x14ac:dyDescent="0.4">
      <c r="A338" s="12">
        <v>46359</v>
      </c>
      <c r="B338" s="13" t="str">
        <f t="shared" si="12"/>
        <v>QUI</v>
      </c>
      <c r="C338" s="14">
        <v>1</v>
      </c>
      <c r="D338" s="14">
        <f t="shared" si="13"/>
        <v>12</v>
      </c>
      <c r="E338" s="15">
        <f>Tabela5[[#This Row],[DU]]+E337</f>
        <v>3</v>
      </c>
    </row>
    <row r="339" spans="1:5" ht="11.5" thickTop="1" thickBot="1" x14ac:dyDescent="0.4">
      <c r="A339" s="12">
        <v>46360</v>
      </c>
      <c r="B339" s="13" t="str">
        <f t="shared" si="12"/>
        <v>SEX</v>
      </c>
      <c r="C339" s="14">
        <v>1</v>
      </c>
      <c r="D339" s="14">
        <f t="shared" si="13"/>
        <v>12</v>
      </c>
      <c r="E339" s="15">
        <f>Tabela5[[#This Row],[DU]]+E338</f>
        <v>4</v>
      </c>
    </row>
    <row r="340" spans="1:5" ht="11.5" thickTop="1" thickBot="1" x14ac:dyDescent="0.4">
      <c r="A340" s="12">
        <v>46361</v>
      </c>
      <c r="B340" s="13" t="str">
        <f t="shared" si="12"/>
        <v>SÁB</v>
      </c>
      <c r="C340" s="14">
        <v>0</v>
      </c>
      <c r="D340" s="14">
        <f t="shared" si="13"/>
        <v>12</v>
      </c>
      <c r="E340" s="15">
        <f>Tabela5[[#This Row],[DU]]+E339</f>
        <v>4</v>
      </c>
    </row>
    <row r="341" spans="1:5" ht="11.5" thickTop="1" thickBot="1" x14ac:dyDescent="0.4">
      <c r="A341" s="12">
        <v>46362</v>
      </c>
      <c r="B341" s="13" t="str">
        <f t="shared" si="12"/>
        <v>DOM</v>
      </c>
      <c r="C341" s="14">
        <v>0</v>
      </c>
      <c r="D341" s="14">
        <f t="shared" si="13"/>
        <v>12</v>
      </c>
      <c r="E341" s="15">
        <f>Tabela5[[#This Row],[DU]]+E340</f>
        <v>4</v>
      </c>
    </row>
    <row r="342" spans="1:5" ht="11.5" thickTop="1" thickBot="1" x14ac:dyDescent="0.4">
      <c r="A342" s="12">
        <v>46363</v>
      </c>
      <c r="B342" s="13" t="str">
        <f t="shared" si="12"/>
        <v>SEG</v>
      </c>
      <c r="C342" s="14">
        <v>1</v>
      </c>
      <c r="D342" s="14">
        <f t="shared" si="13"/>
        <v>12</v>
      </c>
      <c r="E342" s="15">
        <f>Tabela5[[#This Row],[DU]]+E341</f>
        <v>5</v>
      </c>
    </row>
    <row r="343" spans="1:5" ht="11.5" thickTop="1" thickBot="1" x14ac:dyDescent="0.4">
      <c r="A343" s="12">
        <v>46364</v>
      </c>
      <c r="B343" s="13" t="str">
        <f t="shared" si="12"/>
        <v>TER</v>
      </c>
      <c r="C343" s="14">
        <v>1</v>
      </c>
      <c r="D343" s="14">
        <f t="shared" si="13"/>
        <v>12</v>
      </c>
      <c r="E343" s="15">
        <f>Tabela5[[#This Row],[DU]]+E342</f>
        <v>6</v>
      </c>
    </row>
    <row r="344" spans="1:5" ht="11.5" thickTop="1" thickBot="1" x14ac:dyDescent="0.4">
      <c r="A344" s="12">
        <v>46365</v>
      </c>
      <c r="B344" s="13" t="str">
        <f t="shared" si="12"/>
        <v>QUA</v>
      </c>
      <c r="C344" s="14">
        <v>1</v>
      </c>
      <c r="D344" s="14">
        <f t="shared" si="13"/>
        <v>12</v>
      </c>
      <c r="E344" s="15">
        <f>Tabela5[[#This Row],[DU]]+E343</f>
        <v>7</v>
      </c>
    </row>
    <row r="345" spans="1:5" ht="11.5" thickTop="1" thickBot="1" x14ac:dyDescent="0.4">
      <c r="A345" s="12">
        <v>46366</v>
      </c>
      <c r="B345" s="13" t="str">
        <f t="shared" si="12"/>
        <v>QUI</v>
      </c>
      <c r="C345" s="14">
        <v>1</v>
      </c>
      <c r="D345" s="14">
        <f t="shared" si="13"/>
        <v>12</v>
      </c>
      <c r="E345" s="15">
        <f>Tabela5[[#This Row],[DU]]+E344</f>
        <v>8</v>
      </c>
    </row>
    <row r="346" spans="1:5" ht="11.5" thickTop="1" thickBot="1" x14ac:dyDescent="0.4">
      <c r="A346" s="12">
        <v>46367</v>
      </c>
      <c r="B346" s="13" t="str">
        <f t="shared" si="12"/>
        <v>SEX</v>
      </c>
      <c r="C346" s="14">
        <v>1</v>
      </c>
      <c r="D346" s="14">
        <f t="shared" si="13"/>
        <v>12</v>
      </c>
      <c r="E346" s="15">
        <f>Tabela5[[#This Row],[DU]]+E345</f>
        <v>9</v>
      </c>
    </row>
    <row r="347" spans="1:5" ht="11.5" thickTop="1" thickBot="1" x14ac:dyDescent="0.4">
      <c r="A347" s="12">
        <v>46368</v>
      </c>
      <c r="B347" s="13" t="str">
        <f t="shared" si="12"/>
        <v>SÁB</v>
      </c>
      <c r="C347" s="14">
        <v>0</v>
      </c>
      <c r="D347" s="14">
        <f t="shared" si="13"/>
        <v>12</v>
      </c>
      <c r="E347" s="15">
        <f>Tabela5[[#This Row],[DU]]+E346</f>
        <v>9</v>
      </c>
    </row>
    <row r="348" spans="1:5" ht="11.5" thickTop="1" thickBot="1" x14ac:dyDescent="0.4">
      <c r="A348" s="12">
        <v>46369</v>
      </c>
      <c r="B348" s="13" t="str">
        <f t="shared" si="12"/>
        <v>DOM</v>
      </c>
      <c r="C348" s="14">
        <v>0</v>
      </c>
      <c r="D348" s="14">
        <f t="shared" si="13"/>
        <v>12</v>
      </c>
      <c r="E348" s="15">
        <f>Tabela5[[#This Row],[DU]]+E347</f>
        <v>9</v>
      </c>
    </row>
    <row r="349" spans="1:5" ht="11.5" thickTop="1" thickBot="1" x14ac:dyDescent="0.4">
      <c r="A349" s="12">
        <v>46370</v>
      </c>
      <c r="B349" s="13" t="str">
        <f t="shared" si="12"/>
        <v>SEG</v>
      </c>
      <c r="C349" s="14">
        <v>1</v>
      </c>
      <c r="D349" s="14">
        <f t="shared" si="13"/>
        <v>12</v>
      </c>
      <c r="E349" s="15">
        <f>Tabela5[[#This Row],[DU]]+E348</f>
        <v>10</v>
      </c>
    </row>
    <row r="350" spans="1:5" ht="11.5" thickTop="1" thickBot="1" x14ac:dyDescent="0.4">
      <c r="A350" s="12">
        <v>46371</v>
      </c>
      <c r="B350" s="13" t="str">
        <f t="shared" si="12"/>
        <v>TER</v>
      </c>
      <c r="C350" s="14">
        <v>1</v>
      </c>
      <c r="D350" s="14">
        <f t="shared" si="13"/>
        <v>12</v>
      </c>
      <c r="E350" s="15">
        <f>Tabela5[[#This Row],[DU]]+E349</f>
        <v>11</v>
      </c>
    </row>
    <row r="351" spans="1:5" ht="11.5" thickTop="1" thickBot="1" x14ac:dyDescent="0.4">
      <c r="A351" s="12">
        <v>46372</v>
      </c>
      <c r="B351" s="13" t="str">
        <f t="shared" si="12"/>
        <v>QUA</v>
      </c>
      <c r="C351" s="14">
        <v>1</v>
      </c>
      <c r="D351" s="14">
        <f t="shared" si="13"/>
        <v>12</v>
      </c>
      <c r="E351" s="15">
        <f>Tabela5[[#This Row],[DU]]+E350</f>
        <v>12</v>
      </c>
    </row>
    <row r="352" spans="1:5" ht="11.5" thickTop="1" thickBot="1" x14ac:dyDescent="0.4">
      <c r="A352" s="12">
        <v>46373</v>
      </c>
      <c r="B352" s="13" t="str">
        <f t="shared" si="12"/>
        <v>QUI</v>
      </c>
      <c r="C352" s="14">
        <v>1</v>
      </c>
      <c r="D352" s="14">
        <f t="shared" si="13"/>
        <v>12</v>
      </c>
      <c r="E352" s="15">
        <f>Tabela5[[#This Row],[DU]]+E351</f>
        <v>13</v>
      </c>
    </row>
    <row r="353" spans="1:5" ht="11.5" thickTop="1" thickBot="1" x14ac:dyDescent="0.4">
      <c r="A353" s="12">
        <v>46374</v>
      </c>
      <c r="B353" s="13" t="str">
        <f t="shared" si="12"/>
        <v>SEX</v>
      </c>
      <c r="C353" s="14">
        <v>1</v>
      </c>
      <c r="D353" s="14">
        <f t="shared" si="13"/>
        <v>12</v>
      </c>
      <c r="E353" s="15">
        <f>Tabela5[[#This Row],[DU]]+E352</f>
        <v>14</v>
      </c>
    </row>
    <row r="354" spans="1:5" ht="11.5" thickTop="1" thickBot="1" x14ac:dyDescent="0.4">
      <c r="A354" s="12">
        <v>46375</v>
      </c>
      <c r="B354" s="13" t="str">
        <f t="shared" si="12"/>
        <v>SÁB</v>
      </c>
      <c r="C354" s="14">
        <v>0</v>
      </c>
      <c r="D354" s="14">
        <f t="shared" si="13"/>
        <v>12</v>
      </c>
      <c r="E354" s="15">
        <f>Tabela5[[#This Row],[DU]]+E353</f>
        <v>14</v>
      </c>
    </row>
    <row r="355" spans="1:5" ht="11.5" thickTop="1" thickBot="1" x14ac:dyDescent="0.4">
      <c r="A355" s="12">
        <v>46376</v>
      </c>
      <c r="B355" s="13" t="str">
        <f t="shared" si="12"/>
        <v>DOM</v>
      </c>
      <c r="C355" s="14">
        <v>0</v>
      </c>
      <c r="D355" s="14">
        <f t="shared" si="13"/>
        <v>12</v>
      </c>
      <c r="E355" s="15">
        <f>Tabela5[[#This Row],[DU]]+E354</f>
        <v>14</v>
      </c>
    </row>
    <row r="356" spans="1:5" ht="11.5" thickTop="1" thickBot="1" x14ac:dyDescent="0.4">
      <c r="A356" s="12">
        <v>46377</v>
      </c>
      <c r="B356" s="13" t="str">
        <f t="shared" si="12"/>
        <v>SEG</v>
      </c>
      <c r="C356" s="14">
        <v>1</v>
      </c>
      <c r="D356" s="14">
        <f t="shared" si="13"/>
        <v>12</v>
      </c>
      <c r="E356" s="15">
        <f>Tabela5[[#This Row],[DU]]+E355</f>
        <v>15</v>
      </c>
    </row>
    <row r="357" spans="1:5" ht="11.5" thickTop="1" thickBot="1" x14ac:dyDescent="0.4">
      <c r="A357" s="12">
        <v>46378</v>
      </c>
      <c r="B357" s="13" t="str">
        <f t="shared" si="12"/>
        <v>TER</v>
      </c>
      <c r="C357" s="14">
        <v>1</v>
      </c>
      <c r="D357" s="14">
        <f t="shared" si="13"/>
        <v>12</v>
      </c>
      <c r="E357" s="15">
        <f>Tabela5[[#This Row],[DU]]+E356</f>
        <v>16</v>
      </c>
    </row>
    <row r="358" spans="1:5" ht="11.5" thickTop="1" thickBot="1" x14ac:dyDescent="0.4">
      <c r="A358" s="12">
        <v>46379</v>
      </c>
      <c r="B358" s="13" t="str">
        <f t="shared" si="12"/>
        <v>QUA</v>
      </c>
      <c r="C358" s="14">
        <v>1</v>
      </c>
      <c r="D358" s="14">
        <f t="shared" si="13"/>
        <v>12</v>
      </c>
      <c r="E358" s="15">
        <f>Tabela5[[#This Row],[DU]]+E357</f>
        <v>17</v>
      </c>
    </row>
    <row r="359" spans="1:5" ht="11.5" thickTop="1" thickBot="1" x14ac:dyDescent="0.4">
      <c r="A359" s="12">
        <v>46380</v>
      </c>
      <c r="B359" s="13" t="str">
        <f t="shared" si="12"/>
        <v>QUI</v>
      </c>
      <c r="C359" s="14">
        <v>1</v>
      </c>
      <c r="D359" s="14">
        <f t="shared" si="13"/>
        <v>12</v>
      </c>
      <c r="E359" s="15">
        <f>Tabela5[[#This Row],[DU]]+E358</f>
        <v>18</v>
      </c>
    </row>
    <row r="360" spans="1:5" ht="11.5" thickTop="1" thickBot="1" x14ac:dyDescent="0.4">
      <c r="A360" s="12">
        <v>46381</v>
      </c>
      <c r="B360" s="13" t="str">
        <f t="shared" si="12"/>
        <v>SEX</v>
      </c>
      <c r="C360" s="14">
        <v>0</v>
      </c>
      <c r="D360" s="14">
        <f t="shared" si="13"/>
        <v>12</v>
      </c>
      <c r="E360" s="15">
        <f>Tabela5[[#This Row],[DU]]+E359</f>
        <v>18</v>
      </c>
    </row>
    <row r="361" spans="1:5" ht="11.5" thickTop="1" thickBot="1" x14ac:dyDescent="0.4">
      <c r="A361" s="12">
        <v>46382</v>
      </c>
      <c r="B361" s="13" t="str">
        <f t="shared" si="12"/>
        <v>SÁB</v>
      </c>
      <c r="C361" s="14">
        <v>0</v>
      </c>
      <c r="D361" s="14">
        <f t="shared" si="13"/>
        <v>12</v>
      </c>
      <c r="E361" s="15">
        <f>Tabela5[[#This Row],[DU]]+E360</f>
        <v>18</v>
      </c>
    </row>
    <row r="362" spans="1:5" ht="11.5" thickTop="1" thickBot="1" x14ac:dyDescent="0.4">
      <c r="A362" s="12">
        <v>46383</v>
      </c>
      <c r="B362" s="13" t="str">
        <f t="shared" si="12"/>
        <v>DOM</v>
      </c>
      <c r="C362" s="14">
        <v>0</v>
      </c>
      <c r="D362" s="14">
        <f t="shared" si="13"/>
        <v>12</v>
      </c>
      <c r="E362" s="15">
        <f>Tabela5[[#This Row],[DU]]+E361</f>
        <v>18</v>
      </c>
    </row>
    <row r="363" spans="1:5" ht="11.5" thickTop="1" thickBot="1" x14ac:dyDescent="0.4">
      <c r="A363" s="12">
        <v>46384</v>
      </c>
      <c r="B363" s="13" t="str">
        <f t="shared" si="12"/>
        <v>SEG</v>
      </c>
      <c r="C363" s="14">
        <v>1</v>
      </c>
      <c r="D363" s="14">
        <f t="shared" si="13"/>
        <v>12</v>
      </c>
      <c r="E363" s="15">
        <f>Tabela5[[#This Row],[DU]]+E362</f>
        <v>19</v>
      </c>
    </row>
    <row r="364" spans="1:5" ht="11.5" thickTop="1" thickBot="1" x14ac:dyDescent="0.4">
      <c r="A364" s="12">
        <v>46385</v>
      </c>
      <c r="B364" s="13" t="str">
        <f t="shared" si="12"/>
        <v>TER</v>
      </c>
      <c r="C364" s="14">
        <v>1</v>
      </c>
      <c r="D364" s="14">
        <f t="shared" si="13"/>
        <v>12</v>
      </c>
      <c r="E364" s="15">
        <f>Tabela5[[#This Row],[DU]]+E363</f>
        <v>20</v>
      </c>
    </row>
    <row r="365" spans="1:5" ht="11.5" thickTop="1" thickBot="1" x14ac:dyDescent="0.4">
      <c r="A365" s="12">
        <v>46386</v>
      </c>
      <c r="B365" s="13" t="str">
        <f t="shared" si="12"/>
        <v>QUA</v>
      </c>
      <c r="C365" s="14">
        <v>1</v>
      </c>
      <c r="D365" s="14">
        <f t="shared" si="13"/>
        <v>12</v>
      </c>
      <c r="E365" s="15">
        <f>Tabela5[[#This Row],[DU]]+E364</f>
        <v>21</v>
      </c>
    </row>
    <row r="366" spans="1:5" ht="11" thickTop="1" x14ac:dyDescent="0.35">
      <c r="A366" s="16">
        <v>46387</v>
      </c>
      <c r="B366" s="17" t="str">
        <f t="shared" si="12"/>
        <v>QUI</v>
      </c>
      <c r="C366" s="18">
        <v>1</v>
      </c>
      <c r="D366" s="18">
        <f t="shared" si="13"/>
        <v>12</v>
      </c>
      <c r="E366" s="19">
        <f>Tabela5[[#This Row],[DU]]+E365</f>
        <v>22</v>
      </c>
    </row>
  </sheetData>
  <pageMargins left="0.511811024" right="0.511811024" top="0.78740157499999996" bottom="0.78740157499999996" header="0.31496062000000002" footer="0.31496062000000002"/>
  <ignoredErrors>
    <ignoredError sqref="E2:E274 E276:E366" calculatedColumn="1"/>
    <ignoredError sqref="I9" formula="1"/>
  </ignoredErrors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7856-C9E2-4E1C-92D2-3AD52983C76B}">
  <dimension ref="A1:L126"/>
  <sheetViews>
    <sheetView showGridLines="0" workbookViewId="0"/>
  </sheetViews>
  <sheetFormatPr defaultRowHeight="10.5" x14ac:dyDescent="0.35"/>
  <cols>
    <col min="1" max="1" width="6.6328125" style="1" bestFit="1" customWidth="1"/>
    <col min="2" max="2" width="15.36328125" style="1" bestFit="1" customWidth="1"/>
    <col min="3" max="3" width="12.54296875" style="1" bestFit="1" customWidth="1"/>
    <col min="4" max="4" width="12.08984375" style="1" bestFit="1" customWidth="1"/>
    <col min="5" max="5" width="21.90625" style="1" bestFit="1" customWidth="1"/>
    <col min="6" max="6" width="9.90625" style="1" bestFit="1" customWidth="1"/>
    <col min="7" max="7" width="20.453125" style="1" bestFit="1" customWidth="1"/>
    <col min="8" max="8" width="15.7265625" style="1" bestFit="1" customWidth="1"/>
    <col min="9" max="9" width="8.81640625" style="1" bestFit="1" customWidth="1"/>
    <col min="10" max="10" width="7.81640625" style="1" bestFit="1" customWidth="1"/>
    <col min="11" max="11" width="10.36328125" style="1" bestFit="1" customWidth="1"/>
    <col min="12" max="12" width="7.26953125" style="1" bestFit="1" customWidth="1"/>
    <col min="13" max="16384" width="8.7265625" style="1"/>
  </cols>
  <sheetData>
    <row r="1" spans="1:12" x14ac:dyDescent="0.35">
      <c r="A1" s="1" t="s">
        <v>110</v>
      </c>
      <c r="B1" s="1" t="s">
        <v>1043</v>
      </c>
      <c r="C1" s="1" t="s">
        <v>1044</v>
      </c>
      <c r="D1" s="1" t="s">
        <v>1045</v>
      </c>
      <c r="E1" s="1" t="s">
        <v>1058</v>
      </c>
      <c r="F1" s="1" t="s">
        <v>1059</v>
      </c>
      <c r="G1" s="1" t="s">
        <v>1046</v>
      </c>
      <c r="H1" s="1" t="s">
        <v>1041</v>
      </c>
      <c r="I1" s="1" t="s">
        <v>1056</v>
      </c>
      <c r="J1" s="1" t="s">
        <v>29</v>
      </c>
      <c r="K1" s="1" t="s">
        <v>788</v>
      </c>
      <c r="L1" s="1" t="s">
        <v>1047</v>
      </c>
    </row>
    <row r="2" spans="1:12" x14ac:dyDescent="0.35">
      <c r="A2" s="1" t="s">
        <v>146</v>
      </c>
      <c r="B2" s="2">
        <v>46126</v>
      </c>
      <c r="C2" s="2">
        <v>46135</v>
      </c>
      <c r="D2" s="2">
        <v>46136</v>
      </c>
      <c r="E2" s="1" t="s">
        <v>1060</v>
      </c>
      <c r="F2" s="1">
        <v>165</v>
      </c>
      <c r="G2" s="1" t="s">
        <v>1048</v>
      </c>
      <c r="H2" s="1" t="s">
        <v>1049</v>
      </c>
      <c r="I2" s="1">
        <v>8</v>
      </c>
      <c r="J2" s="1">
        <v>4</v>
      </c>
      <c r="K2" s="1">
        <v>17</v>
      </c>
      <c r="L2" s="1">
        <v>24</v>
      </c>
    </row>
    <row r="3" spans="1:12" x14ac:dyDescent="0.35">
      <c r="A3" s="1" t="s">
        <v>139</v>
      </c>
      <c r="B3" s="2">
        <v>46134</v>
      </c>
      <c r="C3" s="2">
        <v>46148</v>
      </c>
      <c r="D3" s="2">
        <v>46150</v>
      </c>
      <c r="E3" s="1" t="s">
        <v>1061</v>
      </c>
      <c r="F3" s="1">
        <v>1388</v>
      </c>
      <c r="G3" s="1" t="s">
        <v>1048</v>
      </c>
      <c r="H3" s="1" t="s">
        <v>1049</v>
      </c>
      <c r="I3" s="1" t="s">
        <v>31</v>
      </c>
      <c r="J3" s="1">
        <v>5</v>
      </c>
      <c r="K3" s="1">
        <v>19</v>
      </c>
      <c r="L3" s="1">
        <v>8</v>
      </c>
    </row>
    <row r="4" spans="1:12" x14ac:dyDescent="0.35">
      <c r="A4" s="1" t="s">
        <v>146</v>
      </c>
      <c r="B4" s="2">
        <v>46153</v>
      </c>
      <c r="C4" s="2">
        <v>46161</v>
      </c>
      <c r="D4" s="2">
        <v>46162</v>
      </c>
      <c r="E4" s="1" t="s">
        <v>1062</v>
      </c>
      <c r="F4" s="1">
        <v>863</v>
      </c>
      <c r="G4" s="1" t="s">
        <v>1050</v>
      </c>
      <c r="H4" s="1" t="s">
        <v>1049</v>
      </c>
      <c r="I4" s="1" t="s">
        <v>31</v>
      </c>
      <c r="J4" s="1">
        <v>5</v>
      </c>
      <c r="K4" s="1">
        <v>21</v>
      </c>
      <c r="L4" s="1">
        <v>20</v>
      </c>
    </row>
    <row r="5" spans="1:12" x14ac:dyDescent="0.35">
      <c r="A5" s="1" t="s">
        <v>139</v>
      </c>
      <c r="B5" s="2">
        <v>46155</v>
      </c>
      <c r="C5" s="2">
        <v>46167</v>
      </c>
      <c r="D5" s="2">
        <v>46168</v>
      </c>
      <c r="E5" s="1" t="s">
        <v>1063</v>
      </c>
      <c r="F5" s="1">
        <v>486</v>
      </c>
      <c r="G5" s="1" t="s">
        <v>1050</v>
      </c>
      <c r="H5" s="1" t="s">
        <v>1049</v>
      </c>
      <c r="I5" s="1" t="s">
        <v>31</v>
      </c>
      <c r="J5" s="1">
        <v>5</v>
      </c>
      <c r="K5" s="1">
        <v>22</v>
      </c>
      <c r="L5" s="1">
        <v>26</v>
      </c>
    </row>
    <row r="6" spans="1:12" x14ac:dyDescent="0.35">
      <c r="A6" s="1" t="s">
        <v>139</v>
      </c>
      <c r="B6" s="2">
        <v>46155</v>
      </c>
      <c r="C6" s="2">
        <v>46169</v>
      </c>
      <c r="D6" s="2">
        <v>46171</v>
      </c>
      <c r="E6" s="1" t="s">
        <v>1064</v>
      </c>
      <c r="F6" s="1">
        <v>1714</v>
      </c>
      <c r="G6" s="1" t="s">
        <v>1050</v>
      </c>
      <c r="H6" s="1" t="s">
        <v>1049</v>
      </c>
      <c r="I6" s="1" t="s">
        <v>31</v>
      </c>
      <c r="J6" s="1">
        <v>5</v>
      </c>
      <c r="K6" s="1">
        <v>22</v>
      </c>
      <c r="L6" s="1">
        <v>29</v>
      </c>
    </row>
    <row r="7" spans="1:12" x14ac:dyDescent="0.35">
      <c r="A7" s="1" t="s">
        <v>139</v>
      </c>
      <c r="B7" s="2">
        <v>46134</v>
      </c>
      <c r="C7" s="2">
        <v>46175</v>
      </c>
      <c r="D7" s="2">
        <v>46175</v>
      </c>
      <c r="E7" s="1" t="s">
        <v>1065</v>
      </c>
      <c r="F7" s="1">
        <v>2445</v>
      </c>
      <c r="G7" s="1" t="s">
        <v>1048</v>
      </c>
      <c r="H7" s="1" t="s">
        <v>1049</v>
      </c>
      <c r="I7" s="1" t="s">
        <v>31</v>
      </c>
      <c r="J7" s="1">
        <v>6</v>
      </c>
      <c r="K7" s="1">
        <v>23</v>
      </c>
      <c r="L7" s="1">
        <v>2</v>
      </c>
    </row>
    <row r="8" spans="1:12" x14ac:dyDescent="0.35">
      <c r="A8" s="1" t="s">
        <v>155</v>
      </c>
      <c r="B8" s="2">
        <v>46130</v>
      </c>
      <c r="C8" s="2">
        <v>46181</v>
      </c>
      <c r="D8" s="2">
        <v>46182</v>
      </c>
      <c r="E8" s="1" t="s">
        <v>1066</v>
      </c>
      <c r="F8" s="1">
        <v>111</v>
      </c>
      <c r="G8" s="1" t="s">
        <v>1048</v>
      </c>
      <c r="H8" s="1" t="s">
        <v>1049</v>
      </c>
      <c r="I8" s="1" t="s">
        <v>31</v>
      </c>
      <c r="J8" s="1">
        <v>6</v>
      </c>
      <c r="K8" s="1">
        <v>24</v>
      </c>
      <c r="L8" s="1">
        <v>9</v>
      </c>
    </row>
    <row r="9" spans="1:12" x14ac:dyDescent="0.35">
      <c r="A9" s="1" t="s">
        <v>139</v>
      </c>
      <c r="B9" s="2">
        <v>46155</v>
      </c>
      <c r="C9" s="2">
        <v>46183</v>
      </c>
      <c r="D9" s="2">
        <v>46183</v>
      </c>
      <c r="E9" s="1" t="s">
        <v>1067</v>
      </c>
      <c r="F9" s="1">
        <v>36</v>
      </c>
      <c r="G9" s="1" t="s">
        <v>1050</v>
      </c>
      <c r="H9" s="1" t="s">
        <v>1049</v>
      </c>
      <c r="I9" s="1" t="s">
        <v>31</v>
      </c>
      <c r="J9" s="1">
        <v>6</v>
      </c>
      <c r="K9" s="1">
        <v>24</v>
      </c>
      <c r="L9" s="1">
        <v>10</v>
      </c>
    </row>
    <row r="10" spans="1:12" x14ac:dyDescent="0.35">
      <c r="A10" s="1" t="s">
        <v>161</v>
      </c>
      <c r="B10" s="2">
        <v>46142</v>
      </c>
      <c r="C10" s="2">
        <v>46188</v>
      </c>
      <c r="D10" s="2">
        <v>46191</v>
      </c>
      <c r="E10" s="1" t="s">
        <v>1068</v>
      </c>
      <c r="F10" s="1">
        <v>1400</v>
      </c>
      <c r="G10" s="1" t="s">
        <v>1048</v>
      </c>
      <c r="H10" s="1" t="s">
        <v>1049</v>
      </c>
      <c r="I10" s="1" t="s">
        <v>31</v>
      </c>
      <c r="J10" s="1">
        <v>6</v>
      </c>
      <c r="K10" s="1">
        <v>25</v>
      </c>
      <c r="L10" s="1">
        <v>18</v>
      </c>
    </row>
    <row r="11" spans="1:12" x14ac:dyDescent="0.35">
      <c r="A11" s="1" t="s">
        <v>139</v>
      </c>
      <c r="B11" s="2">
        <v>46189</v>
      </c>
      <c r="C11" s="2">
        <v>46197</v>
      </c>
      <c r="D11" s="2">
        <v>46198</v>
      </c>
      <c r="E11" s="1" t="s">
        <v>1069</v>
      </c>
      <c r="F11" s="1">
        <v>1181</v>
      </c>
      <c r="G11" s="1" t="s">
        <v>1050</v>
      </c>
      <c r="H11" s="1" t="s">
        <v>1049</v>
      </c>
      <c r="I11" s="1" t="s">
        <v>31</v>
      </c>
      <c r="J11" s="1">
        <v>6</v>
      </c>
      <c r="K11" s="1">
        <v>26</v>
      </c>
      <c r="L11" s="1">
        <v>25</v>
      </c>
    </row>
    <row r="12" spans="1:12" x14ac:dyDescent="0.35">
      <c r="A12" s="1" t="s">
        <v>155</v>
      </c>
      <c r="B12" s="2">
        <v>46183</v>
      </c>
      <c r="C12" s="2">
        <v>46198</v>
      </c>
      <c r="D12" s="2">
        <v>46198</v>
      </c>
      <c r="E12" s="1" t="s">
        <v>1070</v>
      </c>
      <c r="F12" s="1">
        <v>1273</v>
      </c>
      <c r="G12" s="1" t="s">
        <v>1048</v>
      </c>
      <c r="H12" s="1" t="s">
        <v>1049</v>
      </c>
      <c r="I12" s="1">
        <v>4</v>
      </c>
      <c r="J12" s="1">
        <v>6</v>
      </c>
      <c r="K12" s="1">
        <v>26</v>
      </c>
      <c r="L12" s="1">
        <v>25</v>
      </c>
    </row>
    <row r="13" spans="1:12" x14ac:dyDescent="0.35">
      <c r="A13" s="1" t="s">
        <v>146</v>
      </c>
      <c r="B13" s="2">
        <v>46198</v>
      </c>
      <c r="C13" s="2">
        <v>46202</v>
      </c>
      <c r="D13" s="2">
        <v>46202</v>
      </c>
      <c r="E13" s="1" t="s">
        <v>1072</v>
      </c>
      <c r="F13" s="1">
        <v>359</v>
      </c>
      <c r="G13" s="1" t="s">
        <v>1048</v>
      </c>
      <c r="H13" s="1" t="s">
        <v>1049</v>
      </c>
      <c r="I13" s="1">
        <v>8</v>
      </c>
      <c r="J13" s="1">
        <v>6</v>
      </c>
      <c r="K13" s="1">
        <v>27</v>
      </c>
      <c r="L13" s="1">
        <v>29</v>
      </c>
    </row>
    <row r="14" spans="1:12" x14ac:dyDescent="0.35">
      <c r="A14" s="1" t="s">
        <v>155</v>
      </c>
      <c r="B14" s="2">
        <v>46170</v>
      </c>
      <c r="C14" s="2">
        <v>46202</v>
      </c>
      <c r="D14" s="2">
        <v>46206</v>
      </c>
      <c r="E14" s="1" t="s">
        <v>1071</v>
      </c>
      <c r="F14" s="1">
        <v>1967</v>
      </c>
      <c r="G14" s="1" t="s">
        <v>1048</v>
      </c>
      <c r="H14" s="1" t="s">
        <v>1049</v>
      </c>
      <c r="I14" s="1">
        <v>56</v>
      </c>
      <c r="J14" s="1">
        <v>6</v>
      </c>
      <c r="K14" s="1">
        <v>27</v>
      </c>
      <c r="L14" s="1">
        <v>3</v>
      </c>
    </row>
    <row r="15" spans="1:12" x14ac:dyDescent="0.35">
      <c r="A15" s="1" t="s">
        <v>161</v>
      </c>
      <c r="B15" s="2">
        <v>46203</v>
      </c>
      <c r="C15" s="2">
        <v>46209</v>
      </c>
      <c r="D15" s="2">
        <v>46209</v>
      </c>
      <c r="E15" s="1" t="s">
        <v>1074</v>
      </c>
      <c r="F15" s="1">
        <v>136</v>
      </c>
      <c r="G15" s="1" t="s">
        <v>1048</v>
      </c>
      <c r="H15" s="1" t="s">
        <v>1049</v>
      </c>
      <c r="I15" s="1">
        <v>16</v>
      </c>
      <c r="J15" s="1">
        <v>7</v>
      </c>
      <c r="K15" s="1">
        <v>28</v>
      </c>
      <c r="L15" s="1">
        <v>6</v>
      </c>
    </row>
    <row r="16" spans="1:12" x14ac:dyDescent="0.35">
      <c r="A16" s="1" t="s">
        <v>165</v>
      </c>
      <c r="B16" s="2">
        <v>46192</v>
      </c>
      <c r="C16" s="2">
        <v>46209</v>
      </c>
      <c r="D16" s="2">
        <v>46210</v>
      </c>
      <c r="E16" s="1" t="s">
        <v>1073</v>
      </c>
      <c r="F16" s="1">
        <v>2081</v>
      </c>
      <c r="G16" s="1" t="s">
        <v>1048</v>
      </c>
      <c r="H16" s="1" t="s">
        <v>1049</v>
      </c>
      <c r="I16" s="1">
        <v>24</v>
      </c>
      <c r="J16" s="1">
        <v>7</v>
      </c>
      <c r="K16" s="1">
        <v>28</v>
      </c>
      <c r="L16" s="1">
        <v>7</v>
      </c>
    </row>
    <row r="17" spans="1:12" x14ac:dyDescent="0.35">
      <c r="A17" s="1" t="s">
        <v>139</v>
      </c>
      <c r="B17" s="2">
        <v>46199</v>
      </c>
      <c r="C17" s="2">
        <v>46210</v>
      </c>
      <c r="D17" s="2">
        <v>46211</v>
      </c>
      <c r="E17" s="1" t="s">
        <v>1075</v>
      </c>
      <c r="F17" s="1">
        <v>3367</v>
      </c>
      <c r="G17" s="1" t="s">
        <v>1048</v>
      </c>
      <c r="H17" s="1" t="s">
        <v>1049</v>
      </c>
      <c r="I17" s="1">
        <v>40</v>
      </c>
      <c r="J17" s="1">
        <v>7</v>
      </c>
      <c r="K17" s="1">
        <v>28</v>
      </c>
      <c r="L17" s="1">
        <v>8</v>
      </c>
    </row>
    <row r="18" spans="1:12" x14ac:dyDescent="0.35">
      <c r="A18" s="1" t="s">
        <v>139</v>
      </c>
      <c r="B18" s="2">
        <v>46203</v>
      </c>
      <c r="C18" s="2">
        <v>46211</v>
      </c>
      <c r="D18" s="2">
        <v>46211</v>
      </c>
      <c r="E18" s="1" t="s">
        <v>1076</v>
      </c>
      <c r="F18" s="1">
        <v>1961</v>
      </c>
      <c r="G18" s="1" t="s">
        <v>1048</v>
      </c>
      <c r="H18" s="1" t="s">
        <v>1049</v>
      </c>
      <c r="I18" s="1">
        <v>32</v>
      </c>
      <c r="J18" s="1">
        <v>7</v>
      </c>
      <c r="K18" s="1">
        <v>28</v>
      </c>
      <c r="L18" s="1">
        <v>8</v>
      </c>
    </row>
    <row r="19" spans="1:12" x14ac:dyDescent="0.35">
      <c r="A19" s="1" t="s">
        <v>139</v>
      </c>
      <c r="B19" s="2">
        <v>46205</v>
      </c>
      <c r="C19" s="2">
        <v>46216</v>
      </c>
      <c r="D19" s="2">
        <v>46217</v>
      </c>
      <c r="E19" s="1" t="s">
        <v>1076</v>
      </c>
      <c r="F19" s="1">
        <v>1431</v>
      </c>
      <c r="G19" s="1" t="s">
        <v>1048</v>
      </c>
      <c r="H19" s="1" t="s">
        <v>1049</v>
      </c>
      <c r="I19" s="1">
        <v>24</v>
      </c>
      <c r="J19" s="1">
        <v>7</v>
      </c>
      <c r="K19" s="1">
        <v>29</v>
      </c>
      <c r="L19" s="1">
        <v>14</v>
      </c>
    </row>
    <row r="20" spans="1:12" x14ac:dyDescent="0.35">
      <c r="A20" s="1" t="s">
        <v>139</v>
      </c>
      <c r="B20" s="2">
        <v>46199</v>
      </c>
      <c r="C20" s="2">
        <v>46218</v>
      </c>
      <c r="D20" s="2">
        <v>46218</v>
      </c>
      <c r="E20" s="1" t="s">
        <v>1077</v>
      </c>
      <c r="F20" s="1">
        <v>159</v>
      </c>
      <c r="G20" s="1" t="s">
        <v>1048</v>
      </c>
      <c r="H20" s="1" t="s">
        <v>1049</v>
      </c>
      <c r="I20" s="1">
        <v>8</v>
      </c>
      <c r="J20" s="1">
        <v>7</v>
      </c>
      <c r="K20" s="1">
        <v>29</v>
      </c>
      <c r="L20" s="1">
        <v>15</v>
      </c>
    </row>
    <row r="21" spans="1:12" x14ac:dyDescent="0.35">
      <c r="A21" s="1" t="s">
        <v>146</v>
      </c>
      <c r="B21" s="2">
        <v>46205</v>
      </c>
      <c r="C21" s="2">
        <v>46218</v>
      </c>
      <c r="D21" s="2">
        <v>46220</v>
      </c>
      <c r="E21" s="1" t="s">
        <v>1078</v>
      </c>
      <c r="F21" s="1">
        <v>135</v>
      </c>
      <c r="G21" s="1" t="s">
        <v>1048</v>
      </c>
      <c r="H21" s="1" t="s">
        <v>1049</v>
      </c>
      <c r="I21" s="1">
        <v>56</v>
      </c>
      <c r="J21" s="1">
        <v>7</v>
      </c>
      <c r="K21" s="1">
        <v>29</v>
      </c>
      <c r="L21" s="1">
        <v>17</v>
      </c>
    </row>
    <row r="22" spans="1:12" x14ac:dyDescent="0.35">
      <c r="A22" s="1" t="s">
        <v>146</v>
      </c>
      <c r="B22" s="2">
        <v>46223</v>
      </c>
      <c r="C22" s="2">
        <v>46226</v>
      </c>
      <c r="D22" s="2">
        <v>46226</v>
      </c>
      <c r="E22" s="1" t="s">
        <v>1079</v>
      </c>
      <c r="F22" s="1">
        <v>655</v>
      </c>
      <c r="G22" s="1" t="s">
        <v>1048</v>
      </c>
      <c r="H22" s="1" t="s">
        <v>1049</v>
      </c>
      <c r="I22" s="1">
        <v>8</v>
      </c>
      <c r="J22" s="1">
        <v>7</v>
      </c>
      <c r="K22" s="1">
        <v>30</v>
      </c>
      <c r="L22" s="1">
        <v>23</v>
      </c>
    </row>
    <row r="23" spans="1:12" x14ac:dyDescent="0.35">
      <c r="A23" s="1" t="s">
        <v>153</v>
      </c>
      <c r="B23" s="2">
        <v>46230</v>
      </c>
      <c r="C23" s="2">
        <v>46230</v>
      </c>
      <c r="D23" s="2">
        <v>46231</v>
      </c>
      <c r="E23" s="1" t="s">
        <v>1081</v>
      </c>
      <c r="F23" s="1">
        <v>339</v>
      </c>
      <c r="G23" s="1" t="s">
        <v>1048</v>
      </c>
      <c r="H23" s="1" t="s">
        <v>1049</v>
      </c>
      <c r="I23" s="1">
        <v>16</v>
      </c>
      <c r="J23" s="1">
        <v>7</v>
      </c>
      <c r="K23" s="1">
        <v>31</v>
      </c>
      <c r="L23" s="1">
        <v>28</v>
      </c>
    </row>
    <row r="24" spans="1:12" x14ac:dyDescent="0.35">
      <c r="A24" s="1" t="s">
        <v>149</v>
      </c>
      <c r="B24" s="2">
        <v>46210</v>
      </c>
      <c r="C24" s="2">
        <v>46230</v>
      </c>
      <c r="D24" s="2">
        <v>46232</v>
      </c>
      <c r="E24" s="1" t="s">
        <v>1080</v>
      </c>
      <c r="F24" s="1">
        <v>437</v>
      </c>
      <c r="G24" s="1" t="s">
        <v>1048</v>
      </c>
      <c r="H24" s="1" t="s">
        <v>1049</v>
      </c>
      <c r="I24" s="1">
        <v>48</v>
      </c>
      <c r="J24" s="1">
        <v>7</v>
      </c>
      <c r="K24" s="1">
        <v>31</v>
      </c>
      <c r="L24" s="1">
        <v>29</v>
      </c>
    </row>
    <row r="25" spans="1:12" x14ac:dyDescent="0.35">
      <c r="A25" s="1" t="s">
        <v>139</v>
      </c>
      <c r="B25" s="2">
        <v>46230</v>
      </c>
      <c r="C25" s="2">
        <v>46232</v>
      </c>
      <c r="D25" s="2">
        <v>46233</v>
      </c>
      <c r="E25" s="1" t="s">
        <v>1082</v>
      </c>
      <c r="F25" s="1">
        <v>988</v>
      </c>
      <c r="G25" s="1" t="s">
        <v>1048</v>
      </c>
      <c r="H25" s="1" t="s">
        <v>1049</v>
      </c>
      <c r="I25" s="1">
        <v>16</v>
      </c>
      <c r="J25" s="1">
        <v>7</v>
      </c>
      <c r="K25" s="1">
        <v>31</v>
      </c>
      <c r="L25" s="1">
        <v>30</v>
      </c>
    </row>
    <row r="26" spans="1:12" x14ac:dyDescent="0.35">
      <c r="A26" s="1" t="s">
        <v>139</v>
      </c>
      <c r="B26" s="2">
        <v>46203</v>
      </c>
      <c r="C26" s="2">
        <v>46233</v>
      </c>
      <c r="D26" s="2">
        <v>46233</v>
      </c>
      <c r="E26" s="1" t="s">
        <v>1083</v>
      </c>
      <c r="F26" s="1">
        <v>1874</v>
      </c>
      <c r="G26" s="1" t="s">
        <v>1048</v>
      </c>
      <c r="H26" s="1" t="s">
        <v>1049</v>
      </c>
      <c r="I26" s="1">
        <v>8</v>
      </c>
      <c r="J26" s="1">
        <v>7</v>
      </c>
      <c r="K26" s="1">
        <v>31</v>
      </c>
      <c r="L26" s="1">
        <v>30</v>
      </c>
    </row>
    <row r="27" spans="1:12" x14ac:dyDescent="0.35">
      <c r="A27" s="1" t="s">
        <v>155</v>
      </c>
      <c r="B27" s="2">
        <v>46230</v>
      </c>
      <c r="C27" s="2">
        <v>46233</v>
      </c>
      <c r="D27" s="2">
        <v>46234</v>
      </c>
      <c r="E27" s="1" t="s">
        <v>1070</v>
      </c>
      <c r="F27" s="1">
        <v>592</v>
      </c>
      <c r="G27" s="1" t="s">
        <v>1048</v>
      </c>
      <c r="H27" s="1" t="s">
        <v>1049</v>
      </c>
      <c r="I27" s="1">
        <v>64</v>
      </c>
      <c r="J27" s="1">
        <v>7</v>
      </c>
      <c r="K27" s="1">
        <v>31</v>
      </c>
      <c r="L27" s="1">
        <v>31</v>
      </c>
    </row>
    <row r="28" spans="1:12" x14ac:dyDescent="0.35">
      <c r="A28" s="1" t="s">
        <v>161</v>
      </c>
      <c r="B28" s="2">
        <v>46230</v>
      </c>
      <c r="C28" s="2">
        <v>46239</v>
      </c>
      <c r="D28" s="2">
        <v>46239</v>
      </c>
      <c r="E28" s="1" t="s">
        <v>1084</v>
      </c>
      <c r="F28" s="1">
        <v>37</v>
      </c>
      <c r="G28" s="1" t="s">
        <v>1048</v>
      </c>
      <c r="H28" s="1" t="s">
        <v>1049</v>
      </c>
      <c r="I28" s="1">
        <v>8</v>
      </c>
      <c r="J28" s="1">
        <v>8</v>
      </c>
      <c r="K28" s="1">
        <v>32</v>
      </c>
      <c r="L28" s="1">
        <v>5</v>
      </c>
    </row>
    <row r="29" spans="1:12" x14ac:dyDescent="0.35">
      <c r="A29" s="1" t="s">
        <v>196</v>
      </c>
      <c r="B29" s="2">
        <v>46233</v>
      </c>
      <c r="C29" s="2">
        <v>46240</v>
      </c>
      <c r="D29" s="2">
        <v>46240</v>
      </c>
      <c r="E29" s="1" t="s">
        <v>1085</v>
      </c>
      <c r="F29" s="1">
        <v>199</v>
      </c>
      <c r="G29" s="1" t="s">
        <v>1048</v>
      </c>
      <c r="H29" s="1" t="s">
        <v>1049</v>
      </c>
      <c r="I29" s="1">
        <v>32</v>
      </c>
      <c r="J29" s="1">
        <v>8</v>
      </c>
      <c r="K29" s="1">
        <v>32</v>
      </c>
      <c r="L29" s="1">
        <v>6</v>
      </c>
    </row>
    <row r="30" spans="1:12" x14ac:dyDescent="0.35">
      <c r="A30" s="1" t="s">
        <v>155</v>
      </c>
      <c r="B30" s="2">
        <v>46209</v>
      </c>
      <c r="C30" s="2">
        <v>46241</v>
      </c>
      <c r="D30" s="2">
        <v>46241</v>
      </c>
      <c r="E30" s="1" t="s">
        <v>1086</v>
      </c>
      <c r="F30" s="1">
        <v>927</v>
      </c>
      <c r="G30" s="1" t="s">
        <v>1050</v>
      </c>
      <c r="H30" s="1" t="s">
        <v>1049</v>
      </c>
      <c r="I30" s="1">
        <v>8</v>
      </c>
      <c r="J30" s="1">
        <v>8</v>
      </c>
      <c r="K30" s="1">
        <v>32</v>
      </c>
      <c r="L30" s="1">
        <v>7</v>
      </c>
    </row>
    <row r="31" spans="1:12" x14ac:dyDescent="0.35">
      <c r="A31" s="1" t="s">
        <v>153</v>
      </c>
      <c r="B31" s="2">
        <v>46238</v>
      </c>
      <c r="C31" s="2">
        <v>46244</v>
      </c>
      <c r="D31" s="2">
        <v>46246</v>
      </c>
      <c r="E31" s="1" t="s">
        <v>1087</v>
      </c>
      <c r="F31" s="1">
        <v>218</v>
      </c>
      <c r="G31" s="1" t="s">
        <v>1048</v>
      </c>
      <c r="H31" s="1" t="s">
        <v>1049</v>
      </c>
      <c r="I31" s="1">
        <v>128</v>
      </c>
      <c r="J31" s="1">
        <v>8</v>
      </c>
      <c r="K31" s="1">
        <v>33</v>
      </c>
      <c r="L31" s="1">
        <v>12</v>
      </c>
    </row>
    <row r="32" spans="1:12" x14ac:dyDescent="0.35">
      <c r="A32" s="1" t="s">
        <v>165</v>
      </c>
      <c r="B32" s="2">
        <v>46238</v>
      </c>
      <c r="C32" s="2">
        <v>46246</v>
      </c>
      <c r="D32" s="2">
        <v>46248</v>
      </c>
      <c r="E32" s="1" t="s">
        <v>1088</v>
      </c>
      <c r="F32" s="1">
        <v>461</v>
      </c>
      <c r="G32" s="1" t="s">
        <v>1050</v>
      </c>
      <c r="H32" s="1" t="s">
        <v>1049</v>
      </c>
      <c r="I32" s="1">
        <v>64</v>
      </c>
      <c r="J32" s="1">
        <v>8</v>
      </c>
      <c r="K32" s="1">
        <v>33</v>
      </c>
      <c r="L32" s="1">
        <v>14</v>
      </c>
    </row>
    <row r="33" spans="1:12" x14ac:dyDescent="0.35">
      <c r="A33" s="1" t="s">
        <v>139</v>
      </c>
      <c r="B33" s="2">
        <v>46240</v>
      </c>
      <c r="C33" s="2">
        <v>46251</v>
      </c>
      <c r="D33" s="2">
        <v>46251</v>
      </c>
      <c r="E33" s="1" t="s">
        <v>1089</v>
      </c>
      <c r="F33" s="1">
        <v>371</v>
      </c>
      <c r="G33" s="1" t="s">
        <v>1048</v>
      </c>
      <c r="H33" s="1" t="s">
        <v>1049</v>
      </c>
      <c r="I33" s="1">
        <v>32</v>
      </c>
      <c r="J33" s="1">
        <v>8</v>
      </c>
      <c r="K33" s="1">
        <v>34</v>
      </c>
      <c r="L33" s="1">
        <v>17</v>
      </c>
    </row>
    <row r="34" spans="1:12" x14ac:dyDescent="0.35">
      <c r="A34" s="1" t="s">
        <v>139</v>
      </c>
      <c r="B34" s="2">
        <v>46248</v>
      </c>
      <c r="C34" s="2">
        <v>46252</v>
      </c>
      <c r="D34" s="2">
        <v>46252</v>
      </c>
      <c r="E34" s="1" t="s">
        <v>1090</v>
      </c>
      <c r="F34" s="1">
        <v>2055</v>
      </c>
      <c r="G34" s="1" t="s">
        <v>1050</v>
      </c>
      <c r="H34" s="1" t="s">
        <v>1049</v>
      </c>
      <c r="I34" s="1">
        <v>8</v>
      </c>
      <c r="J34" s="1">
        <v>8</v>
      </c>
      <c r="K34" s="1">
        <v>34</v>
      </c>
      <c r="L34" s="1">
        <v>18</v>
      </c>
    </row>
    <row r="35" spans="1:12" x14ac:dyDescent="0.35">
      <c r="A35" s="1" t="s">
        <v>135</v>
      </c>
      <c r="B35" s="2">
        <v>46239</v>
      </c>
      <c r="C35" s="2">
        <v>46253</v>
      </c>
      <c r="D35" s="2">
        <v>46253</v>
      </c>
      <c r="E35" s="1" t="s">
        <v>1091</v>
      </c>
      <c r="F35" s="1">
        <v>157</v>
      </c>
      <c r="G35" s="1" t="s">
        <v>1048</v>
      </c>
      <c r="H35" s="1" t="s">
        <v>1049</v>
      </c>
      <c r="I35" s="1">
        <v>16</v>
      </c>
      <c r="J35" s="1">
        <v>8</v>
      </c>
      <c r="K35" s="1">
        <v>34</v>
      </c>
      <c r="L35" s="1">
        <v>19</v>
      </c>
    </row>
    <row r="36" spans="1:12" x14ac:dyDescent="0.35">
      <c r="A36" s="1" t="s">
        <v>155</v>
      </c>
      <c r="B36" s="2">
        <v>46248</v>
      </c>
      <c r="C36" s="2">
        <v>46253</v>
      </c>
      <c r="D36" s="2">
        <v>46253</v>
      </c>
      <c r="E36" s="1" t="s">
        <v>1092</v>
      </c>
      <c r="F36" s="1">
        <v>248</v>
      </c>
      <c r="G36" s="1" t="s">
        <v>1050</v>
      </c>
      <c r="H36" s="1" t="s">
        <v>1049</v>
      </c>
      <c r="I36" s="1">
        <v>8</v>
      </c>
      <c r="J36" s="1">
        <v>8</v>
      </c>
      <c r="K36" s="1">
        <v>34</v>
      </c>
      <c r="L36" s="1">
        <v>19</v>
      </c>
    </row>
    <row r="37" spans="1:12" x14ac:dyDescent="0.35">
      <c r="A37" s="1" t="s">
        <v>139</v>
      </c>
      <c r="B37" s="2">
        <v>46241</v>
      </c>
      <c r="C37" s="2">
        <v>46254</v>
      </c>
      <c r="D37" s="2">
        <v>46254</v>
      </c>
      <c r="E37" s="1" t="s">
        <v>1093</v>
      </c>
      <c r="F37" s="1">
        <v>801</v>
      </c>
      <c r="G37" s="1" t="s">
        <v>1050</v>
      </c>
      <c r="H37" s="1" t="s">
        <v>1049</v>
      </c>
      <c r="I37" s="1">
        <v>16</v>
      </c>
      <c r="J37" s="1">
        <v>8</v>
      </c>
      <c r="K37" s="1">
        <v>34</v>
      </c>
      <c r="L37" s="1">
        <v>20</v>
      </c>
    </row>
    <row r="38" spans="1:12" x14ac:dyDescent="0.35">
      <c r="A38" s="1" t="s">
        <v>139</v>
      </c>
      <c r="B38" s="2">
        <v>46248</v>
      </c>
      <c r="C38" s="2">
        <v>46254</v>
      </c>
      <c r="D38" s="2">
        <v>46254</v>
      </c>
      <c r="E38" s="1" t="s">
        <v>1090</v>
      </c>
      <c r="F38" s="1">
        <v>2074</v>
      </c>
      <c r="G38" s="1" t="s">
        <v>1050</v>
      </c>
      <c r="H38" s="1" t="s">
        <v>1049</v>
      </c>
      <c r="I38" s="1">
        <v>16</v>
      </c>
      <c r="J38" s="1">
        <v>8</v>
      </c>
      <c r="K38" s="1">
        <v>34</v>
      </c>
      <c r="L38" s="1">
        <v>20</v>
      </c>
    </row>
    <row r="39" spans="1:12" x14ac:dyDescent="0.35">
      <c r="A39" s="1" t="s">
        <v>139</v>
      </c>
      <c r="B39" s="2">
        <v>46246</v>
      </c>
      <c r="C39" s="2">
        <v>46255</v>
      </c>
      <c r="D39" s="2">
        <v>46255</v>
      </c>
      <c r="E39" s="1" t="s">
        <v>1094</v>
      </c>
      <c r="F39" s="1">
        <v>72</v>
      </c>
      <c r="G39" s="1" t="s">
        <v>1048</v>
      </c>
      <c r="H39" s="1" t="s">
        <v>1049</v>
      </c>
      <c r="I39" s="1">
        <v>8</v>
      </c>
      <c r="J39" s="1">
        <v>8</v>
      </c>
      <c r="K39" s="1">
        <v>34</v>
      </c>
      <c r="L39" s="1">
        <v>21</v>
      </c>
    </row>
    <row r="40" spans="1:12" x14ac:dyDescent="0.35">
      <c r="A40" s="1" t="s">
        <v>139</v>
      </c>
      <c r="B40" s="2">
        <v>46246</v>
      </c>
      <c r="C40" s="2">
        <v>46255</v>
      </c>
      <c r="D40" s="2">
        <v>46255</v>
      </c>
      <c r="E40" s="1" t="s">
        <v>1095</v>
      </c>
      <c r="F40" s="1">
        <v>299</v>
      </c>
      <c r="G40" s="1" t="s">
        <v>1050</v>
      </c>
      <c r="H40" s="1" t="s">
        <v>1049</v>
      </c>
      <c r="I40" s="1">
        <v>16</v>
      </c>
      <c r="J40" s="1">
        <v>8</v>
      </c>
      <c r="K40" s="1">
        <v>34</v>
      </c>
      <c r="L40" s="1">
        <v>21</v>
      </c>
    </row>
    <row r="41" spans="1:12" x14ac:dyDescent="0.35">
      <c r="A41" s="1" t="s">
        <v>149</v>
      </c>
      <c r="B41" s="2">
        <v>46247</v>
      </c>
      <c r="C41" s="2">
        <v>46258</v>
      </c>
      <c r="D41" s="2">
        <v>46258</v>
      </c>
      <c r="E41" s="1" t="s">
        <v>1097</v>
      </c>
      <c r="F41" s="1">
        <v>515</v>
      </c>
      <c r="G41" s="1" t="s">
        <v>1048</v>
      </c>
      <c r="H41" s="1" t="s">
        <v>1049</v>
      </c>
      <c r="I41" s="1">
        <v>16</v>
      </c>
      <c r="J41" s="1">
        <v>8</v>
      </c>
      <c r="K41" s="1">
        <v>35</v>
      </c>
      <c r="L41" s="1">
        <v>24</v>
      </c>
    </row>
    <row r="42" spans="1:12" x14ac:dyDescent="0.35">
      <c r="A42" s="1" t="s">
        <v>165</v>
      </c>
      <c r="B42" s="2">
        <v>46241</v>
      </c>
      <c r="C42" s="2">
        <v>46258</v>
      </c>
      <c r="D42" s="2">
        <v>46259</v>
      </c>
      <c r="E42" s="1" t="s">
        <v>1096</v>
      </c>
      <c r="F42" s="1">
        <v>286</v>
      </c>
      <c r="G42" s="1" t="s">
        <v>1050</v>
      </c>
      <c r="H42" s="1" t="s">
        <v>1049</v>
      </c>
      <c r="I42" s="1">
        <v>24</v>
      </c>
      <c r="J42" s="1">
        <v>8</v>
      </c>
      <c r="K42" s="1">
        <v>35</v>
      </c>
      <c r="L42" s="1">
        <v>25</v>
      </c>
    </row>
    <row r="43" spans="1:12" x14ac:dyDescent="0.35">
      <c r="A43" s="1" t="s">
        <v>139</v>
      </c>
      <c r="B43" s="2">
        <v>46184</v>
      </c>
      <c r="C43" s="2">
        <v>46259</v>
      </c>
      <c r="D43" s="2">
        <v>46259</v>
      </c>
      <c r="E43" s="1" t="s">
        <v>1098</v>
      </c>
      <c r="F43" s="1">
        <v>508</v>
      </c>
      <c r="G43" s="1" t="s">
        <v>1048</v>
      </c>
      <c r="H43" s="1" t="s">
        <v>1049</v>
      </c>
      <c r="I43" s="1">
        <v>16</v>
      </c>
      <c r="J43" s="1">
        <v>8</v>
      </c>
      <c r="K43" s="1">
        <v>35</v>
      </c>
      <c r="L43" s="1">
        <v>25</v>
      </c>
    </row>
    <row r="44" spans="1:12" x14ac:dyDescent="0.35">
      <c r="A44" s="1" t="s">
        <v>139</v>
      </c>
      <c r="B44" s="2">
        <v>46248</v>
      </c>
      <c r="C44" s="2">
        <v>46260</v>
      </c>
      <c r="D44" s="2">
        <v>46260</v>
      </c>
      <c r="E44" s="1" t="s">
        <v>1090</v>
      </c>
      <c r="F44" s="1">
        <v>1903</v>
      </c>
      <c r="G44" s="1" t="s">
        <v>1050</v>
      </c>
      <c r="H44" s="1" t="s">
        <v>1049</v>
      </c>
      <c r="I44" s="1">
        <v>40</v>
      </c>
      <c r="J44" s="1">
        <v>8</v>
      </c>
      <c r="K44" s="1">
        <v>35</v>
      </c>
      <c r="L44" s="1">
        <v>26</v>
      </c>
    </row>
    <row r="45" spans="1:12" x14ac:dyDescent="0.35">
      <c r="A45" s="1" t="s">
        <v>139</v>
      </c>
      <c r="B45" s="2">
        <v>46244</v>
      </c>
      <c r="C45" s="2">
        <v>46261</v>
      </c>
      <c r="D45" s="2">
        <v>46262</v>
      </c>
      <c r="E45" s="1" t="s">
        <v>1099</v>
      </c>
      <c r="F45" s="1">
        <v>540</v>
      </c>
      <c r="G45" s="1" t="s">
        <v>1050</v>
      </c>
      <c r="H45" s="1" t="s">
        <v>1049</v>
      </c>
      <c r="I45" s="1">
        <v>40</v>
      </c>
      <c r="J45" s="1">
        <v>8</v>
      </c>
      <c r="K45" s="1">
        <v>35</v>
      </c>
      <c r="L45" s="1">
        <v>28</v>
      </c>
    </row>
    <row r="46" spans="1:12" x14ac:dyDescent="0.35">
      <c r="A46" s="1" t="s">
        <v>149</v>
      </c>
      <c r="B46" s="2">
        <v>46246</v>
      </c>
      <c r="C46" s="2">
        <v>46265</v>
      </c>
      <c r="D46" s="2">
        <v>46265</v>
      </c>
      <c r="E46" s="1" t="s">
        <v>1100</v>
      </c>
      <c r="F46" s="1">
        <v>203</v>
      </c>
      <c r="G46" s="1" t="s">
        <v>1048</v>
      </c>
      <c r="H46" s="1" t="s">
        <v>1049</v>
      </c>
      <c r="I46" s="1">
        <v>32</v>
      </c>
      <c r="J46" s="1">
        <v>8</v>
      </c>
      <c r="K46" s="1">
        <v>36</v>
      </c>
      <c r="L46" s="1">
        <v>31</v>
      </c>
    </row>
    <row r="47" spans="1:12" x14ac:dyDescent="0.35">
      <c r="A47" s="1" t="s">
        <v>139</v>
      </c>
      <c r="B47" s="2">
        <v>46241</v>
      </c>
      <c r="C47" s="2">
        <v>46266</v>
      </c>
      <c r="D47" s="2">
        <v>46266</v>
      </c>
      <c r="E47" s="1" t="s">
        <v>1093</v>
      </c>
      <c r="F47" s="1">
        <v>729</v>
      </c>
      <c r="G47" s="1" t="s">
        <v>1050</v>
      </c>
      <c r="H47" s="1" t="s">
        <v>1051</v>
      </c>
      <c r="I47" s="1">
        <v>8</v>
      </c>
      <c r="J47" s="1">
        <v>9</v>
      </c>
      <c r="K47" s="1">
        <v>36</v>
      </c>
      <c r="L47" s="1">
        <v>1</v>
      </c>
    </row>
    <row r="48" spans="1:12" x14ac:dyDescent="0.35">
      <c r="A48" s="1" t="s">
        <v>161</v>
      </c>
      <c r="B48" s="2">
        <v>46251</v>
      </c>
      <c r="C48" s="2">
        <v>46267</v>
      </c>
      <c r="D48" s="2">
        <v>46267</v>
      </c>
      <c r="E48" s="1" t="s">
        <v>1101</v>
      </c>
      <c r="F48" s="1">
        <v>101</v>
      </c>
      <c r="G48" s="1" t="s">
        <v>1050</v>
      </c>
      <c r="H48" s="1" t="s">
        <v>1049</v>
      </c>
      <c r="I48" s="1">
        <v>16</v>
      </c>
      <c r="J48" s="1">
        <v>9</v>
      </c>
      <c r="K48" s="1">
        <v>36</v>
      </c>
      <c r="L48" s="1">
        <v>2</v>
      </c>
    </row>
    <row r="49" spans="1:12" x14ac:dyDescent="0.35">
      <c r="A49" s="1" t="s">
        <v>161</v>
      </c>
      <c r="B49" s="2">
        <v>46255</v>
      </c>
      <c r="C49" s="2">
        <v>46267</v>
      </c>
      <c r="D49" s="2">
        <v>46267</v>
      </c>
      <c r="E49" s="1" t="s">
        <v>213</v>
      </c>
      <c r="F49" s="1">
        <v>494</v>
      </c>
      <c r="G49" s="1" t="s">
        <v>1050</v>
      </c>
      <c r="H49" s="1" t="s">
        <v>1049</v>
      </c>
      <c r="I49" s="1">
        <v>8</v>
      </c>
      <c r="J49" s="1">
        <v>9</v>
      </c>
      <c r="K49" s="1">
        <v>36</v>
      </c>
      <c r="L49" s="1">
        <v>2</v>
      </c>
    </row>
    <row r="50" spans="1:12" x14ac:dyDescent="0.35">
      <c r="A50" s="1" t="s">
        <v>149</v>
      </c>
      <c r="B50" s="2">
        <v>46248</v>
      </c>
      <c r="C50" s="2">
        <v>46268</v>
      </c>
      <c r="D50" s="2">
        <v>46268</v>
      </c>
      <c r="E50" s="1" t="s">
        <v>1102</v>
      </c>
      <c r="F50" s="1">
        <v>200</v>
      </c>
      <c r="G50" s="1" t="s">
        <v>1048</v>
      </c>
      <c r="H50" s="1" t="s">
        <v>1051</v>
      </c>
      <c r="I50" s="1">
        <v>8</v>
      </c>
      <c r="J50" s="1">
        <v>9</v>
      </c>
      <c r="K50" s="1">
        <v>36</v>
      </c>
      <c r="L50" s="1">
        <v>3</v>
      </c>
    </row>
    <row r="51" spans="1:12" x14ac:dyDescent="0.35">
      <c r="A51" s="1" t="s">
        <v>149</v>
      </c>
      <c r="B51" s="2">
        <v>46240</v>
      </c>
      <c r="C51" s="2">
        <v>46268</v>
      </c>
      <c r="D51" s="2">
        <v>46268</v>
      </c>
      <c r="E51" s="1" t="s">
        <v>1103</v>
      </c>
      <c r="F51" s="1">
        <v>686</v>
      </c>
      <c r="G51" s="1" t="s">
        <v>1048</v>
      </c>
      <c r="H51" s="1" t="s">
        <v>1049</v>
      </c>
      <c r="I51" s="1">
        <v>8</v>
      </c>
      <c r="J51" s="1">
        <v>9</v>
      </c>
      <c r="K51" s="1">
        <v>36</v>
      </c>
      <c r="L51" s="1">
        <v>3</v>
      </c>
    </row>
    <row r="52" spans="1:12" x14ac:dyDescent="0.35">
      <c r="A52" s="1" t="s">
        <v>139</v>
      </c>
      <c r="B52" s="2">
        <v>46255</v>
      </c>
      <c r="C52" s="2">
        <v>46268</v>
      </c>
      <c r="D52" s="2">
        <v>46268</v>
      </c>
      <c r="E52" s="1" t="s">
        <v>1104</v>
      </c>
      <c r="F52" s="1">
        <v>1917</v>
      </c>
      <c r="G52" s="1" t="s">
        <v>1050</v>
      </c>
      <c r="H52" s="1" t="s">
        <v>1049</v>
      </c>
      <c r="I52" s="1">
        <v>8</v>
      </c>
      <c r="J52" s="1">
        <v>9</v>
      </c>
      <c r="K52" s="1">
        <v>36</v>
      </c>
      <c r="L52" s="1">
        <v>3</v>
      </c>
    </row>
    <row r="53" spans="1:12" x14ac:dyDescent="0.35">
      <c r="A53" s="1" t="s">
        <v>165</v>
      </c>
      <c r="B53" s="2">
        <v>46251</v>
      </c>
      <c r="C53" s="2">
        <v>46269</v>
      </c>
      <c r="D53" s="2">
        <v>46269</v>
      </c>
      <c r="E53" s="1" t="s">
        <v>671</v>
      </c>
      <c r="F53" s="1">
        <v>1275</v>
      </c>
      <c r="G53" s="1" t="s">
        <v>1048</v>
      </c>
      <c r="H53" s="1" t="s">
        <v>1049</v>
      </c>
      <c r="I53" s="1">
        <v>16</v>
      </c>
      <c r="J53" s="1">
        <v>9</v>
      </c>
      <c r="K53" s="1">
        <v>36</v>
      </c>
      <c r="L53" s="1">
        <v>4</v>
      </c>
    </row>
    <row r="54" spans="1:12" x14ac:dyDescent="0.35">
      <c r="A54" s="1" t="s">
        <v>139</v>
      </c>
      <c r="B54" s="2">
        <v>46258</v>
      </c>
      <c r="C54" s="2">
        <v>46269</v>
      </c>
      <c r="D54" s="2">
        <v>46269</v>
      </c>
      <c r="E54" s="1" t="s">
        <v>1105</v>
      </c>
      <c r="F54" s="1">
        <v>1611</v>
      </c>
      <c r="G54" s="1" t="s">
        <v>1050</v>
      </c>
      <c r="H54" s="1" t="s">
        <v>1049</v>
      </c>
      <c r="I54" s="1">
        <v>32</v>
      </c>
      <c r="J54" s="1">
        <v>9</v>
      </c>
      <c r="K54" s="1">
        <v>36</v>
      </c>
      <c r="L54" s="1">
        <v>4</v>
      </c>
    </row>
    <row r="55" spans="1:12" x14ac:dyDescent="0.35">
      <c r="A55" s="1" t="s">
        <v>161</v>
      </c>
      <c r="B55" s="2">
        <v>46251</v>
      </c>
      <c r="C55" s="2">
        <v>46273</v>
      </c>
      <c r="D55" s="2">
        <v>46273</v>
      </c>
      <c r="E55" s="1" t="s">
        <v>1101</v>
      </c>
      <c r="F55" s="1">
        <v>151</v>
      </c>
      <c r="G55" s="1" t="s">
        <v>1050</v>
      </c>
      <c r="H55" s="1" t="s">
        <v>1049</v>
      </c>
      <c r="I55" s="1">
        <v>6</v>
      </c>
      <c r="J55" s="1">
        <v>9</v>
      </c>
      <c r="K55" s="1">
        <v>37</v>
      </c>
      <c r="L55" s="1">
        <v>8</v>
      </c>
    </row>
    <row r="56" spans="1:12" x14ac:dyDescent="0.35">
      <c r="A56" s="1" t="s">
        <v>161</v>
      </c>
      <c r="B56" s="2">
        <v>46251</v>
      </c>
      <c r="C56" s="2">
        <v>46273</v>
      </c>
      <c r="D56" s="2">
        <v>46275</v>
      </c>
      <c r="E56" s="1" t="s">
        <v>1101</v>
      </c>
      <c r="F56" s="1">
        <v>333</v>
      </c>
      <c r="G56" s="1" t="s">
        <v>1050</v>
      </c>
      <c r="H56" s="1" t="s">
        <v>1049</v>
      </c>
      <c r="I56" s="1">
        <v>64</v>
      </c>
      <c r="J56" s="1">
        <v>9</v>
      </c>
      <c r="K56" s="1">
        <v>37</v>
      </c>
      <c r="L56" s="1">
        <v>10</v>
      </c>
    </row>
    <row r="57" spans="1:12" x14ac:dyDescent="0.35">
      <c r="A57" s="1" t="s">
        <v>139</v>
      </c>
      <c r="B57" s="2">
        <v>46258</v>
      </c>
      <c r="C57" s="2">
        <v>46276</v>
      </c>
      <c r="D57" s="2">
        <v>46276</v>
      </c>
      <c r="E57" s="1" t="s">
        <v>1105</v>
      </c>
      <c r="F57" s="1">
        <v>1749</v>
      </c>
      <c r="G57" s="1" t="s">
        <v>1050</v>
      </c>
      <c r="H57" s="1" t="s">
        <v>1049</v>
      </c>
      <c r="I57" s="1">
        <v>24</v>
      </c>
      <c r="J57" s="1">
        <v>9</v>
      </c>
      <c r="K57" s="1">
        <v>37</v>
      </c>
      <c r="L57" s="1">
        <v>11</v>
      </c>
    </row>
    <row r="58" spans="1:12" x14ac:dyDescent="0.35">
      <c r="A58" s="1" t="s">
        <v>165</v>
      </c>
      <c r="B58" s="2">
        <v>46266</v>
      </c>
      <c r="C58" s="2">
        <v>46276</v>
      </c>
      <c r="D58" s="2">
        <v>46276</v>
      </c>
      <c r="E58" s="1" t="s">
        <v>1106</v>
      </c>
      <c r="F58" s="1">
        <v>413</v>
      </c>
      <c r="G58" s="1" t="s">
        <v>1048</v>
      </c>
      <c r="H58" s="1" t="s">
        <v>1049</v>
      </c>
      <c r="I58" s="1">
        <v>8</v>
      </c>
      <c r="J58" s="1">
        <v>9</v>
      </c>
      <c r="K58" s="1">
        <v>37</v>
      </c>
      <c r="L58" s="1">
        <v>11</v>
      </c>
    </row>
    <row r="59" spans="1:12" x14ac:dyDescent="0.35">
      <c r="A59" s="1" t="s">
        <v>139</v>
      </c>
      <c r="B59" s="2">
        <v>46266</v>
      </c>
      <c r="C59" s="2">
        <v>46276</v>
      </c>
      <c r="D59" s="2">
        <v>46276</v>
      </c>
      <c r="E59" s="1" t="s">
        <v>1107</v>
      </c>
      <c r="F59" s="1">
        <v>494</v>
      </c>
      <c r="G59" s="1" t="s">
        <v>1048</v>
      </c>
      <c r="H59" s="1" t="s">
        <v>1049</v>
      </c>
      <c r="I59" s="1">
        <v>5</v>
      </c>
      <c r="J59" s="1">
        <v>9</v>
      </c>
      <c r="K59" s="1">
        <v>37</v>
      </c>
      <c r="L59" s="1">
        <v>11</v>
      </c>
    </row>
    <row r="60" spans="1:12" x14ac:dyDescent="0.35">
      <c r="A60" s="1" t="s">
        <v>146</v>
      </c>
      <c r="B60" s="2">
        <v>46252</v>
      </c>
      <c r="C60" s="2">
        <v>46279</v>
      </c>
      <c r="D60" s="2">
        <v>46281</v>
      </c>
      <c r="E60" s="1" t="s">
        <v>1108</v>
      </c>
      <c r="F60" s="1">
        <v>591</v>
      </c>
      <c r="G60" s="1" t="s">
        <v>1050</v>
      </c>
      <c r="H60" s="1" t="s">
        <v>1049</v>
      </c>
      <c r="I60" s="1">
        <v>64</v>
      </c>
      <c r="J60" s="1">
        <v>9</v>
      </c>
      <c r="K60" s="1">
        <v>38</v>
      </c>
      <c r="L60" s="1">
        <v>16</v>
      </c>
    </row>
    <row r="61" spans="1:12" x14ac:dyDescent="0.35">
      <c r="A61" s="1" t="s">
        <v>149</v>
      </c>
      <c r="B61" s="2">
        <v>46275</v>
      </c>
      <c r="C61" s="2">
        <v>46281</v>
      </c>
      <c r="D61" s="2">
        <v>46281</v>
      </c>
      <c r="E61" s="1" t="s">
        <v>1103</v>
      </c>
      <c r="F61" s="1">
        <v>700</v>
      </c>
      <c r="G61" s="1" t="s">
        <v>1048</v>
      </c>
      <c r="H61" s="1" t="s">
        <v>1049</v>
      </c>
      <c r="I61" s="1">
        <v>8</v>
      </c>
      <c r="J61" s="1">
        <v>9</v>
      </c>
      <c r="K61" s="1">
        <v>38</v>
      </c>
      <c r="L61" s="1">
        <v>16</v>
      </c>
    </row>
    <row r="62" spans="1:12" x14ac:dyDescent="0.35">
      <c r="A62" s="1" t="s">
        <v>161</v>
      </c>
      <c r="B62" s="2">
        <v>46251</v>
      </c>
      <c r="C62" s="2">
        <v>46282</v>
      </c>
      <c r="D62" s="2">
        <v>46283</v>
      </c>
      <c r="E62" s="1" t="s">
        <v>1101</v>
      </c>
      <c r="F62" s="1">
        <v>125</v>
      </c>
      <c r="G62" s="1" t="s">
        <v>1050</v>
      </c>
      <c r="H62" s="1" t="s">
        <v>1049</v>
      </c>
      <c r="I62" s="1">
        <v>32</v>
      </c>
      <c r="J62" s="1">
        <v>9</v>
      </c>
      <c r="K62" s="1">
        <v>38</v>
      </c>
      <c r="L62" s="1">
        <v>18</v>
      </c>
    </row>
    <row r="63" spans="1:12" x14ac:dyDescent="0.35">
      <c r="A63" s="1" t="s">
        <v>149</v>
      </c>
      <c r="B63" s="2">
        <v>46251</v>
      </c>
      <c r="C63" s="2">
        <v>46286</v>
      </c>
      <c r="D63" s="2">
        <v>46287</v>
      </c>
      <c r="E63" s="1" t="s">
        <v>1110</v>
      </c>
      <c r="F63" s="1">
        <v>1055</v>
      </c>
      <c r="G63" s="1" t="s">
        <v>1048</v>
      </c>
      <c r="H63" s="1" t="s">
        <v>1049</v>
      </c>
      <c r="I63" s="1">
        <v>24</v>
      </c>
      <c r="J63" s="1">
        <v>9</v>
      </c>
      <c r="K63" s="1">
        <v>39</v>
      </c>
      <c r="L63" s="1">
        <v>22</v>
      </c>
    </row>
    <row r="64" spans="1:12" x14ac:dyDescent="0.35">
      <c r="A64" s="1" t="s">
        <v>139</v>
      </c>
      <c r="B64" s="2">
        <v>46273</v>
      </c>
      <c r="C64" s="2">
        <v>46287</v>
      </c>
      <c r="D64" s="2">
        <v>46287</v>
      </c>
      <c r="E64" s="1" t="s">
        <v>1089</v>
      </c>
      <c r="F64" s="1">
        <v>1057</v>
      </c>
      <c r="G64" s="1" t="s">
        <v>1048</v>
      </c>
      <c r="H64" s="1" t="s">
        <v>1049</v>
      </c>
      <c r="I64" s="1">
        <v>8</v>
      </c>
      <c r="J64" s="1">
        <v>9</v>
      </c>
      <c r="K64" s="1">
        <v>39</v>
      </c>
      <c r="L64" s="1">
        <v>22</v>
      </c>
    </row>
    <row r="65" spans="1:12" x14ac:dyDescent="0.35">
      <c r="A65" s="1" t="s">
        <v>161</v>
      </c>
      <c r="B65" s="2">
        <v>46255</v>
      </c>
      <c r="C65" s="2">
        <v>46288</v>
      </c>
      <c r="D65" s="2">
        <v>46289</v>
      </c>
      <c r="E65" s="1" t="s">
        <v>213</v>
      </c>
      <c r="F65" s="1">
        <v>599</v>
      </c>
      <c r="G65" s="1" t="s">
        <v>1050</v>
      </c>
      <c r="H65" s="1" t="s">
        <v>1049</v>
      </c>
      <c r="I65" s="1">
        <v>40</v>
      </c>
      <c r="J65" s="1">
        <v>9</v>
      </c>
      <c r="K65" s="1">
        <v>39</v>
      </c>
      <c r="L65" s="1">
        <v>24</v>
      </c>
    </row>
    <row r="66" spans="1:12" x14ac:dyDescent="0.35">
      <c r="A66" s="1" t="s">
        <v>146</v>
      </c>
      <c r="B66" s="2">
        <v>46247</v>
      </c>
      <c r="C66" s="2">
        <v>46288</v>
      </c>
      <c r="D66" s="2">
        <v>46290</v>
      </c>
      <c r="E66" s="1" t="s">
        <v>1109</v>
      </c>
      <c r="F66" s="1">
        <v>131</v>
      </c>
      <c r="G66" s="1" t="s">
        <v>1048</v>
      </c>
      <c r="H66" s="1" t="s">
        <v>1052</v>
      </c>
      <c r="I66" s="1">
        <v>64</v>
      </c>
      <c r="J66" s="1">
        <v>9</v>
      </c>
      <c r="K66" s="1">
        <v>39</v>
      </c>
      <c r="L66" s="1">
        <v>25</v>
      </c>
    </row>
    <row r="67" spans="1:12" x14ac:dyDescent="0.35">
      <c r="A67" s="1" t="s">
        <v>146</v>
      </c>
      <c r="B67" s="2">
        <v>46258</v>
      </c>
      <c r="C67" s="2">
        <v>46289</v>
      </c>
      <c r="D67" s="2">
        <v>46290</v>
      </c>
      <c r="E67" s="1" t="s">
        <v>1111</v>
      </c>
      <c r="F67" s="1">
        <v>937</v>
      </c>
      <c r="G67" s="1" t="s">
        <v>1050</v>
      </c>
      <c r="H67" s="1" t="s">
        <v>1049</v>
      </c>
      <c r="I67" s="1">
        <v>32</v>
      </c>
      <c r="J67" s="1">
        <v>9</v>
      </c>
      <c r="K67" s="1">
        <v>39</v>
      </c>
      <c r="L67" s="1">
        <v>25</v>
      </c>
    </row>
    <row r="68" spans="1:12" x14ac:dyDescent="0.35">
      <c r="A68" s="1" t="s">
        <v>146</v>
      </c>
      <c r="B68" s="2">
        <v>46251</v>
      </c>
      <c r="C68" s="2">
        <v>46293</v>
      </c>
      <c r="D68" s="2">
        <v>46295</v>
      </c>
      <c r="E68" s="1" t="s">
        <v>1112</v>
      </c>
      <c r="F68" s="1">
        <v>930</v>
      </c>
      <c r="G68" s="1" t="s">
        <v>1050</v>
      </c>
      <c r="H68" s="1" t="s">
        <v>1049</v>
      </c>
      <c r="I68" s="1">
        <v>56</v>
      </c>
      <c r="J68" s="1">
        <v>9</v>
      </c>
      <c r="K68" s="1">
        <v>40</v>
      </c>
      <c r="L68" s="1">
        <v>30</v>
      </c>
    </row>
    <row r="69" spans="1:12" x14ac:dyDescent="0.35">
      <c r="A69" s="1" t="s">
        <v>139</v>
      </c>
      <c r="B69" s="2">
        <v>46267</v>
      </c>
      <c r="C69" s="2">
        <v>46296</v>
      </c>
      <c r="D69" s="2">
        <v>46296</v>
      </c>
      <c r="E69" s="1" t="s">
        <v>1077</v>
      </c>
      <c r="F69" s="1">
        <v>133</v>
      </c>
      <c r="G69" s="1" t="s">
        <v>1048</v>
      </c>
      <c r="H69" s="1" t="s">
        <v>1049</v>
      </c>
      <c r="I69" s="1">
        <v>8</v>
      </c>
      <c r="J69" s="1">
        <v>10</v>
      </c>
      <c r="K69" s="1">
        <v>40</v>
      </c>
      <c r="L69" s="1">
        <v>1</v>
      </c>
    </row>
    <row r="70" spans="1:12" x14ac:dyDescent="0.35">
      <c r="A70" s="1" t="s">
        <v>139</v>
      </c>
      <c r="B70" s="2">
        <v>46260</v>
      </c>
      <c r="C70" s="2">
        <v>46296</v>
      </c>
      <c r="D70" s="2">
        <v>46296</v>
      </c>
      <c r="E70" s="1" t="s">
        <v>1093</v>
      </c>
      <c r="F70" s="1">
        <v>1496</v>
      </c>
      <c r="G70" s="1" t="s">
        <v>1048</v>
      </c>
      <c r="H70" s="1" t="s">
        <v>1049</v>
      </c>
      <c r="I70" s="1">
        <v>24</v>
      </c>
      <c r="J70" s="1">
        <v>10</v>
      </c>
      <c r="K70" s="1">
        <v>40</v>
      </c>
      <c r="L70" s="1">
        <v>1</v>
      </c>
    </row>
    <row r="71" spans="1:12" x14ac:dyDescent="0.35">
      <c r="A71" s="1" t="s">
        <v>161</v>
      </c>
      <c r="B71" s="2">
        <v>46266</v>
      </c>
      <c r="C71" s="2">
        <v>46297</v>
      </c>
      <c r="D71" s="2">
        <v>46297</v>
      </c>
      <c r="E71" s="1" t="s">
        <v>1113</v>
      </c>
      <c r="F71" s="1">
        <v>51</v>
      </c>
      <c r="G71" s="1" t="s">
        <v>1048</v>
      </c>
      <c r="H71" s="1" t="s">
        <v>1049</v>
      </c>
      <c r="I71" s="1">
        <v>16</v>
      </c>
      <c r="J71" s="1">
        <v>10</v>
      </c>
      <c r="K71" s="1">
        <v>40</v>
      </c>
      <c r="L71" s="1">
        <v>2</v>
      </c>
    </row>
    <row r="72" spans="1:12" x14ac:dyDescent="0.35">
      <c r="A72" s="1" t="s">
        <v>139</v>
      </c>
      <c r="B72" s="2">
        <v>46267</v>
      </c>
      <c r="C72" s="2">
        <v>46297</v>
      </c>
      <c r="D72" s="2">
        <v>46297</v>
      </c>
      <c r="E72" s="1" t="s">
        <v>1076</v>
      </c>
      <c r="F72" s="1">
        <v>1085</v>
      </c>
      <c r="G72" s="1" t="s">
        <v>1048</v>
      </c>
      <c r="H72" s="1" t="s">
        <v>1049</v>
      </c>
      <c r="I72" s="1">
        <v>16</v>
      </c>
      <c r="J72" s="1">
        <v>10</v>
      </c>
      <c r="K72" s="1">
        <v>40</v>
      </c>
      <c r="L72" s="1">
        <v>2</v>
      </c>
    </row>
    <row r="73" spans="1:12" x14ac:dyDescent="0.35">
      <c r="A73" s="1" t="s">
        <v>149</v>
      </c>
      <c r="B73" s="2">
        <v>46295</v>
      </c>
      <c r="C73" s="2">
        <v>46302</v>
      </c>
      <c r="D73" s="2">
        <v>46302</v>
      </c>
      <c r="E73" s="1" t="s">
        <v>1103</v>
      </c>
      <c r="F73" s="1">
        <v>669</v>
      </c>
      <c r="G73" s="1" t="s">
        <v>1048</v>
      </c>
      <c r="H73" s="1" t="s">
        <v>1051</v>
      </c>
      <c r="I73" s="1">
        <v>9</v>
      </c>
      <c r="J73" s="1">
        <v>10</v>
      </c>
      <c r="K73" s="1">
        <v>41</v>
      </c>
      <c r="L73" s="1">
        <v>7</v>
      </c>
    </row>
    <row r="74" spans="1:12" x14ac:dyDescent="0.35">
      <c r="A74" s="1" t="s">
        <v>139</v>
      </c>
      <c r="B74" s="2">
        <v>46268</v>
      </c>
      <c r="C74" s="2">
        <v>46300</v>
      </c>
      <c r="D74" s="2">
        <v>46302</v>
      </c>
      <c r="E74" s="1" t="s">
        <v>1065</v>
      </c>
      <c r="F74" s="1">
        <v>2212</v>
      </c>
      <c r="G74" s="1" t="s">
        <v>1048</v>
      </c>
      <c r="H74" s="1" t="s">
        <v>1049</v>
      </c>
      <c r="I74" s="1">
        <v>64</v>
      </c>
      <c r="J74" s="1">
        <v>10</v>
      </c>
      <c r="K74" s="1">
        <v>41</v>
      </c>
      <c r="L74" s="1">
        <v>7</v>
      </c>
    </row>
    <row r="75" spans="1:12" x14ac:dyDescent="0.35">
      <c r="A75" s="1" t="s">
        <v>139</v>
      </c>
      <c r="B75" s="2">
        <v>46269</v>
      </c>
      <c r="C75" s="2">
        <v>46303</v>
      </c>
      <c r="D75" s="2">
        <v>46303</v>
      </c>
      <c r="E75" s="1" t="s">
        <v>1104</v>
      </c>
      <c r="F75" s="1">
        <v>2032</v>
      </c>
      <c r="G75" s="1" t="s">
        <v>1048</v>
      </c>
      <c r="H75" s="1" t="s">
        <v>1049</v>
      </c>
      <c r="I75" s="1">
        <v>26</v>
      </c>
      <c r="J75" s="1">
        <v>10</v>
      </c>
      <c r="K75" s="1">
        <v>41</v>
      </c>
      <c r="L75" s="1">
        <v>8</v>
      </c>
    </row>
    <row r="76" spans="1:12" x14ac:dyDescent="0.35">
      <c r="A76" s="1" t="s">
        <v>139</v>
      </c>
      <c r="B76" s="2">
        <v>46282</v>
      </c>
      <c r="C76" s="2">
        <v>46304</v>
      </c>
      <c r="D76" s="2">
        <v>46304</v>
      </c>
      <c r="E76" s="1" t="s">
        <v>1104</v>
      </c>
      <c r="F76" s="1">
        <v>1332</v>
      </c>
      <c r="G76" s="1" t="s">
        <v>1050</v>
      </c>
      <c r="H76" s="1" t="s">
        <v>1049</v>
      </c>
      <c r="I76" s="1">
        <v>24</v>
      </c>
      <c r="J76" s="1">
        <v>10</v>
      </c>
      <c r="K76" s="1">
        <v>41</v>
      </c>
      <c r="L76" s="1">
        <v>9</v>
      </c>
    </row>
    <row r="77" spans="1:12" x14ac:dyDescent="0.35">
      <c r="A77" s="1" t="s">
        <v>139</v>
      </c>
      <c r="B77" s="2">
        <v>46274</v>
      </c>
      <c r="C77" s="2">
        <v>46304</v>
      </c>
      <c r="D77" s="2">
        <v>46304</v>
      </c>
      <c r="E77" s="1" t="s">
        <v>1089</v>
      </c>
      <c r="F77" s="1">
        <v>1307</v>
      </c>
      <c r="G77" s="1" t="s">
        <v>1048</v>
      </c>
      <c r="H77" s="1" t="s">
        <v>1049</v>
      </c>
      <c r="I77" s="1">
        <v>24</v>
      </c>
      <c r="J77" s="1">
        <v>10</v>
      </c>
      <c r="K77" s="1">
        <v>41</v>
      </c>
      <c r="L77" s="1">
        <v>9</v>
      </c>
    </row>
    <row r="78" spans="1:12" x14ac:dyDescent="0.35">
      <c r="A78" s="1" t="s">
        <v>161</v>
      </c>
      <c r="B78" s="2">
        <v>46276</v>
      </c>
      <c r="C78" s="2">
        <v>46308</v>
      </c>
      <c r="D78" s="2">
        <v>46308</v>
      </c>
      <c r="E78" s="1" t="s">
        <v>1114</v>
      </c>
      <c r="F78" s="1">
        <v>60</v>
      </c>
      <c r="G78" s="1" t="s">
        <v>1050</v>
      </c>
      <c r="H78" s="1" t="s">
        <v>1049</v>
      </c>
      <c r="I78" s="1">
        <v>11</v>
      </c>
      <c r="J78" s="1">
        <v>10</v>
      </c>
      <c r="K78" s="1">
        <v>42</v>
      </c>
      <c r="L78" s="1">
        <v>13</v>
      </c>
    </row>
    <row r="79" spans="1:12" x14ac:dyDescent="0.35">
      <c r="A79" s="1" t="s">
        <v>139</v>
      </c>
      <c r="B79" s="2">
        <v>46280</v>
      </c>
      <c r="C79" s="2">
        <v>46308</v>
      </c>
      <c r="D79" s="2">
        <v>46309</v>
      </c>
      <c r="E79" s="1" t="s">
        <v>1069</v>
      </c>
      <c r="F79" s="1">
        <v>442</v>
      </c>
      <c r="G79" s="1" t="s">
        <v>1048</v>
      </c>
      <c r="H79" s="1" t="s">
        <v>1049</v>
      </c>
      <c r="I79" s="1">
        <v>40</v>
      </c>
      <c r="J79" s="1">
        <v>10</v>
      </c>
      <c r="K79" s="1">
        <v>42</v>
      </c>
      <c r="L79" s="1">
        <v>14</v>
      </c>
    </row>
    <row r="80" spans="1:12" x14ac:dyDescent="0.35">
      <c r="A80" s="1" t="s">
        <v>146</v>
      </c>
      <c r="B80" s="2">
        <v>46296</v>
      </c>
      <c r="C80" s="2">
        <v>46310</v>
      </c>
      <c r="D80" s="2">
        <v>46310</v>
      </c>
      <c r="E80" s="1" t="s">
        <v>1115</v>
      </c>
      <c r="F80" s="1">
        <v>701</v>
      </c>
      <c r="G80" s="1" t="s">
        <v>1050</v>
      </c>
      <c r="H80" s="1" t="s">
        <v>1049</v>
      </c>
      <c r="I80" s="1">
        <v>32</v>
      </c>
      <c r="J80" s="1">
        <v>10</v>
      </c>
      <c r="K80" s="1">
        <v>42</v>
      </c>
      <c r="L80" s="1">
        <v>15</v>
      </c>
    </row>
    <row r="81" spans="1:12" x14ac:dyDescent="0.35">
      <c r="A81" s="1" t="s">
        <v>139</v>
      </c>
      <c r="B81" s="2">
        <v>46280</v>
      </c>
      <c r="C81" s="2">
        <v>46311</v>
      </c>
      <c r="D81" s="2">
        <v>46311</v>
      </c>
      <c r="E81" s="1" t="s">
        <v>1116</v>
      </c>
      <c r="F81" s="1">
        <v>1282</v>
      </c>
      <c r="G81" s="1" t="s">
        <v>1050</v>
      </c>
      <c r="H81" s="1" t="s">
        <v>1049</v>
      </c>
      <c r="I81" s="1">
        <v>32</v>
      </c>
      <c r="J81" s="1">
        <v>10</v>
      </c>
      <c r="K81" s="1">
        <v>42</v>
      </c>
      <c r="L81" s="1">
        <v>16</v>
      </c>
    </row>
    <row r="82" spans="1:12" x14ac:dyDescent="0.35">
      <c r="A82" s="1" t="s">
        <v>139</v>
      </c>
      <c r="B82" s="2">
        <v>46300</v>
      </c>
      <c r="C82" s="2">
        <v>46311</v>
      </c>
      <c r="D82" s="2">
        <v>46311</v>
      </c>
      <c r="E82" s="1" t="s">
        <v>1090</v>
      </c>
      <c r="F82" s="1">
        <v>1572</v>
      </c>
      <c r="G82" s="1" t="s">
        <v>1048</v>
      </c>
      <c r="H82" s="1" t="s">
        <v>1049</v>
      </c>
      <c r="I82" s="1">
        <v>16</v>
      </c>
      <c r="J82" s="1">
        <v>10</v>
      </c>
      <c r="K82" s="1">
        <v>42</v>
      </c>
      <c r="L82" s="1">
        <v>16</v>
      </c>
    </row>
    <row r="83" spans="1:12" x14ac:dyDescent="0.35">
      <c r="A83" s="1" t="s">
        <v>149</v>
      </c>
      <c r="B83" s="2">
        <v>46280</v>
      </c>
      <c r="C83" s="2">
        <v>46314</v>
      </c>
      <c r="D83" s="2">
        <v>46315</v>
      </c>
      <c r="E83" s="1" t="s">
        <v>192</v>
      </c>
      <c r="F83" s="1">
        <v>821</v>
      </c>
      <c r="G83" s="1" t="s">
        <v>1048</v>
      </c>
      <c r="H83" s="1" t="s">
        <v>1049</v>
      </c>
      <c r="I83" s="1">
        <v>40</v>
      </c>
      <c r="J83" s="1">
        <v>10</v>
      </c>
      <c r="K83" s="1">
        <v>43</v>
      </c>
      <c r="L83" s="1">
        <v>20</v>
      </c>
    </row>
    <row r="84" spans="1:12" x14ac:dyDescent="0.35">
      <c r="A84" s="1" t="s">
        <v>139</v>
      </c>
      <c r="B84" s="2">
        <v>46300</v>
      </c>
      <c r="C84" s="2">
        <v>46315</v>
      </c>
      <c r="D84" s="2">
        <v>46315</v>
      </c>
      <c r="E84" s="1" t="s">
        <v>227</v>
      </c>
      <c r="F84" s="1">
        <v>250</v>
      </c>
      <c r="G84" s="1" t="s">
        <v>1048</v>
      </c>
      <c r="H84" s="1" t="s">
        <v>1049</v>
      </c>
      <c r="I84" s="1">
        <v>29</v>
      </c>
      <c r="J84" s="1">
        <v>10</v>
      </c>
      <c r="K84" s="1">
        <v>43</v>
      </c>
      <c r="L84" s="1">
        <v>20</v>
      </c>
    </row>
    <row r="85" spans="1:12" x14ac:dyDescent="0.35">
      <c r="A85" s="1" t="s">
        <v>139</v>
      </c>
      <c r="B85" s="2">
        <v>46316</v>
      </c>
      <c r="C85" s="2">
        <v>46317</v>
      </c>
      <c r="D85" s="2">
        <v>46317</v>
      </c>
      <c r="E85" s="1" t="s">
        <v>1104</v>
      </c>
      <c r="F85" s="1">
        <v>1920</v>
      </c>
      <c r="G85" s="1" t="s">
        <v>1050</v>
      </c>
      <c r="H85" s="1" t="s">
        <v>1049</v>
      </c>
      <c r="I85" s="1">
        <v>16</v>
      </c>
      <c r="J85" s="1">
        <v>10</v>
      </c>
      <c r="K85" s="1">
        <v>43</v>
      </c>
      <c r="L85" s="1">
        <v>22</v>
      </c>
    </row>
    <row r="86" spans="1:12" x14ac:dyDescent="0.35">
      <c r="A86" s="1" t="s">
        <v>161</v>
      </c>
      <c r="B86" s="2">
        <v>46266</v>
      </c>
      <c r="C86" s="2">
        <v>46316</v>
      </c>
      <c r="D86" s="2">
        <v>46318</v>
      </c>
      <c r="E86" s="1" t="s">
        <v>295</v>
      </c>
      <c r="F86" s="1">
        <v>111</v>
      </c>
      <c r="G86" s="1" t="s">
        <v>1048</v>
      </c>
      <c r="H86" s="1" t="s">
        <v>1051</v>
      </c>
      <c r="I86" s="1">
        <v>64</v>
      </c>
      <c r="J86" s="1">
        <v>10</v>
      </c>
      <c r="K86" s="1">
        <v>43</v>
      </c>
      <c r="L86" s="1">
        <v>23</v>
      </c>
    </row>
    <row r="87" spans="1:12" x14ac:dyDescent="0.35">
      <c r="A87" s="1" t="s">
        <v>139</v>
      </c>
      <c r="B87" s="2">
        <v>46308</v>
      </c>
      <c r="C87" s="2">
        <v>46318</v>
      </c>
      <c r="D87" s="2">
        <v>46318</v>
      </c>
      <c r="E87" s="1" t="s">
        <v>1117</v>
      </c>
      <c r="F87" s="1">
        <v>822</v>
      </c>
      <c r="G87" s="1" t="s">
        <v>1050</v>
      </c>
      <c r="H87" s="1" t="s">
        <v>1049</v>
      </c>
      <c r="I87" s="1">
        <v>32</v>
      </c>
      <c r="J87" s="1">
        <v>10</v>
      </c>
      <c r="K87" s="1">
        <v>43</v>
      </c>
      <c r="L87" s="1">
        <v>23</v>
      </c>
    </row>
    <row r="88" spans="1:12" x14ac:dyDescent="0.35">
      <c r="A88" s="1" t="s">
        <v>155</v>
      </c>
      <c r="B88" s="2">
        <v>46269</v>
      </c>
      <c r="C88" s="2">
        <v>46321</v>
      </c>
      <c r="D88" s="2">
        <v>46325</v>
      </c>
      <c r="E88" s="1" t="s">
        <v>172</v>
      </c>
      <c r="F88" s="1">
        <v>509</v>
      </c>
      <c r="G88" s="1" t="s">
        <v>1048</v>
      </c>
      <c r="H88" s="1" t="s">
        <v>1053</v>
      </c>
      <c r="I88" s="1">
        <v>192</v>
      </c>
      <c r="J88" s="1">
        <v>10</v>
      </c>
      <c r="K88" s="1">
        <v>44</v>
      </c>
      <c r="L88" s="1">
        <v>30</v>
      </c>
    </row>
    <row r="89" spans="1:12" x14ac:dyDescent="0.35">
      <c r="A89" s="1" t="s">
        <v>139</v>
      </c>
      <c r="B89" s="2">
        <v>46273</v>
      </c>
      <c r="C89" s="2">
        <v>46329</v>
      </c>
      <c r="D89" s="2">
        <v>46330</v>
      </c>
      <c r="E89" s="1" t="s">
        <v>1069</v>
      </c>
      <c r="F89" s="1">
        <v>439</v>
      </c>
      <c r="G89" s="1" t="s">
        <v>1048</v>
      </c>
      <c r="H89" s="1" t="s">
        <v>1054</v>
      </c>
      <c r="I89" s="1">
        <v>48</v>
      </c>
      <c r="J89" s="1">
        <v>11</v>
      </c>
      <c r="K89" s="1">
        <v>45</v>
      </c>
      <c r="L89" s="1">
        <v>4</v>
      </c>
    </row>
    <row r="90" spans="1:12" x14ac:dyDescent="0.35">
      <c r="A90" s="1" t="s">
        <v>139</v>
      </c>
      <c r="B90" s="2">
        <v>46293</v>
      </c>
      <c r="C90" s="2">
        <v>46331</v>
      </c>
      <c r="D90" s="2">
        <v>46331</v>
      </c>
      <c r="E90" s="1" t="s">
        <v>1118</v>
      </c>
      <c r="F90" s="1">
        <v>72</v>
      </c>
      <c r="G90" s="1" t="s">
        <v>1048</v>
      </c>
      <c r="H90" s="1" t="s">
        <v>1054</v>
      </c>
      <c r="I90" s="1">
        <v>16</v>
      </c>
      <c r="J90" s="1">
        <v>11</v>
      </c>
      <c r="K90" s="1">
        <v>45</v>
      </c>
      <c r="L90" s="1">
        <v>5</v>
      </c>
    </row>
    <row r="91" spans="1:12" x14ac:dyDescent="0.35">
      <c r="A91" s="1" t="s">
        <v>139</v>
      </c>
      <c r="B91" s="2">
        <v>46283</v>
      </c>
      <c r="C91" s="2">
        <v>46331</v>
      </c>
      <c r="D91" s="2">
        <v>46331</v>
      </c>
      <c r="E91" s="1" t="s">
        <v>1077</v>
      </c>
      <c r="F91" s="1">
        <v>212</v>
      </c>
      <c r="G91" s="1" t="s">
        <v>1050</v>
      </c>
      <c r="H91" s="1" t="s">
        <v>1054</v>
      </c>
      <c r="I91" s="1">
        <v>16</v>
      </c>
      <c r="J91" s="1">
        <v>11</v>
      </c>
      <c r="K91" s="1">
        <v>45</v>
      </c>
      <c r="L91" s="1">
        <v>5</v>
      </c>
    </row>
    <row r="92" spans="1:12" x14ac:dyDescent="0.35">
      <c r="A92" s="1" t="s">
        <v>139</v>
      </c>
      <c r="B92" s="2">
        <v>46301</v>
      </c>
      <c r="C92" s="2">
        <v>46332</v>
      </c>
      <c r="D92" s="2">
        <v>46332</v>
      </c>
      <c r="E92" s="1" t="s">
        <v>1119</v>
      </c>
      <c r="F92" s="1">
        <v>1324</v>
      </c>
      <c r="G92" s="1" t="s">
        <v>1048</v>
      </c>
      <c r="H92" s="1" t="s">
        <v>1054</v>
      </c>
      <c r="I92" s="1">
        <v>8</v>
      </c>
      <c r="J92" s="1">
        <v>11</v>
      </c>
      <c r="K92" s="1">
        <v>45</v>
      </c>
      <c r="L92" s="1">
        <v>6</v>
      </c>
    </row>
    <row r="93" spans="1:12" x14ac:dyDescent="0.35">
      <c r="A93" s="1" t="s">
        <v>139</v>
      </c>
      <c r="B93" s="2">
        <v>46288</v>
      </c>
      <c r="C93" s="2">
        <v>46332</v>
      </c>
      <c r="D93" s="2">
        <v>46332</v>
      </c>
      <c r="E93" s="1" t="s">
        <v>1120</v>
      </c>
      <c r="F93" s="1">
        <v>1877</v>
      </c>
      <c r="G93" s="1" t="s">
        <v>1050</v>
      </c>
      <c r="H93" s="1" t="s">
        <v>1054</v>
      </c>
      <c r="I93" s="1">
        <v>24</v>
      </c>
      <c r="J93" s="1">
        <v>11</v>
      </c>
      <c r="K93" s="1">
        <v>45</v>
      </c>
      <c r="L93" s="1">
        <v>6</v>
      </c>
    </row>
    <row r="94" spans="1:12" x14ac:dyDescent="0.35">
      <c r="A94" s="1" t="s">
        <v>149</v>
      </c>
      <c r="B94" s="2">
        <v>46303</v>
      </c>
      <c r="C94" s="2">
        <v>46335</v>
      </c>
      <c r="D94" s="2">
        <v>46335</v>
      </c>
      <c r="E94" s="1" t="s">
        <v>1121</v>
      </c>
      <c r="F94" s="1">
        <v>76</v>
      </c>
      <c r="G94" s="1" t="s">
        <v>1048</v>
      </c>
      <c r="H94" s="1" t="s">
        <v>1054</v>
      </c>
      <c r="I94" s="1">
        <v>24</v>
      </c>
      <c r="J94" s="1">
        <v>11</v>
      </c>
      <c r="K94" s="1">
        <v>46</v>
      </c>
      <c r="L94" s="1">
        <v>9</v>
      </c>
    </row>
    <row r="95" spans="1:12" x14ac:dyDescent="0.35">
      <c r="A95" s="1" t="s">
        <v>149</v>
      </c>
      <c r="B95" s="2">
        <v>46281</v>
      </c>
      <c r="C95" s="2">
        <v>46335</v>
      </c>
      <c r="D95" s="2">
        <v>46335</v>
      </c>
      <c r="E95" s="1" t="s">
        <v>1116</v>
      </c>
      <c r="F95" s="1">
        <v>435</v>
      </c>
      <c r="G95" s="1" t="s">
        <v>1050</v>
      </c>
      <c r="H95" s="1" t="s">
        <v>1054</v>
      </c>
      <c r="I95" s="1">
        <v>16</v>
      </c>
      <c r="J95" s="1">
        <v>11</v>
      </c>
      <c r="K95" s="1">
        <v>46</v>
      </c>
      <c r="L95" s="1">
        <v>9</v>
      </c>
    </row>
    <row r="96" spans="1:12" x14ac:dyDescent="0.35">
      <c r="A96" s="1" t="s">
        <v>139</v>
      </c>
      <c r="B96" s="2">
        <v>46288</v>
      </c>
      <c r="C96" s="2">
        <v>46336</v>
      </c>
      <c r="D96" s="2">
        <v>46337</v>
      </c>
      <c r="E96" s="1" t="s">
        <v>1122</v>
      </c>
      <c r="F96" s="1">
        <v>1164</v>
      </c>
      <c r="G96" s="1" t="s">
        <v>1050</v>
      </c>
      <c r="H96" s="1" t="s">
        <v>1054</v>
      </c>
      <c r="I96" s="1">
        <v>40</v>
      </c>
      <c r="J96" s="1">
        <v>11</v>
      </c>
      <c r="K96" s="1">
        <v>46</v>
      </c>
      <c r="L96" s="1">
        <v>11</v>
      </c>
    </row>
    <row r="97" spans="1:12" x14ac:dyDescent="0.35">
      <c r="A97" s="1" t="s">
        <v>165</v>
      </c>
      <c r="B97" s="2">
        <v>46308</v>
      </c>
      <c r="C97" s="2">
        <v>46337</v>
      </c>
      <c r="D97" s="2">
        <v>46337</v>
      </c>
      <c r="E97" s="1" t="s">
        <v>1123</v>
      </c>
      <c r="F97" s="1">
        <v>8</v>
      </c>
      <c r="G97" s="1" t="s">
        <v>1048</v>
      </c>
      <c r="H97" s="1" t="s">
        <v>1054</v>
      </c>
      <c r="I97" s="1">
        <v>24</v>
      </c>
      <c r="J97" s="1">
        <v>11</v>
      </c>
      <c r="K97" s="1">
        <v>46</v>
      </c>
      <c r="L97" s="1">
        <v>11</v>
      </c>
    </row>
    <row r="98" spans="1:12" x14ac:dyDescent="0.35">
      <c r="A98" s="1" t="s">
        <v>149</v>
      </c>
      <c r="B98" s="2">
        <v>46258</v>
      </c>
      <c r="C98" s="2">
        <v>46338</v>
      </c>
      <c r="D98" s="2">
        <v>46338</v>
      </c>
      <c r="E98" s="1" t="s">
        <v>1116</v>
      </c>
      <c r="F98" s="1">
        <v>425</v>
      </c>
      <c r="G98" s="1" t="s">
        <v>1048</v>
      </c>
      <c r="H98" s="1" t="s">
        <v>1054</v>
      </c>
      <c r="I98" s="1">
        <v>32</v>
      </c>
      <c r="J98" s="1">
        <v>11</v>
      </c>
      <c r="K98" s="1">
        <v>46</v>
      </c>
      <c r="L98" s="1">
        <v>12</v>
      </c>
    </row>
    <row r="99" spans="1:12" x14ac:dyDescent="0.35">
      <c r="A99" s="1" t="s">
        <v>149</v>
      </c>
      <c r="B99" s="2">
        <v>46289</v>
      </c>
      <c r="C99" s="2">
        <v>46338</v>
      </c>
      <c r="D99" s="2">
        <v>46338</v>
      </c>
      <c r="E99" s="1" t="s">
        <v>1124</v>
      </c>
      <c r="F99" s="1">
        <v>172</v>
      </c>
      <c r="G99" s="1" t="s">
        <v>1048</v>
      </c>
      <c r="H99" s="1" t="s">
        <v>1054</v>
      </c>
      <c r="I99" s="1">
        <v>32</v>
      </c>
      <c r="J99" s="1">
        <v>11</v>
      </c>
      <c r="K99" s="1">
        <v>46</v>
      </c>
      <c r="L99" s="1">
        <v>12</v>
      </c>
    </row>
    <row r="100" spans="1:12" x14ac:dyDescent="0.35">
      <c r="A100" s="1" t="s">
        <v>139</v>
      </c>
      <c r="B100" s="2">
        <v>46314</v>
      </c>
      <c r="C100" s="2">
        <v>46339</v>
      </c>
      <c r="D100" s="2">
        <v>46339</v>
      </c>
      <c r="E100" s="1" t="s">
        <v>1075</v>
      </c>
      <c r="F100" s="1">
        <v>2825</v>
      </c>
      <c r="G100" s="1" t="s">
        <v>1050</v>
      </c>
      <c r="H100" s="1" t="s">
        <v>1054</v>
      </c>
      <c r="I100" s="1">
        <v>16</v>
      </c>
      <c r="J100" s="1">
        <v>11</v>
      </c>
      <c r="K100" s="1">
        <v>46</v>
      </c>
      <c r="L100" s="1">
        <v>13</v>
      </c>
    </row>
    <row r="101" spans="1:12" x14ac:dyDescent="0.35">
      <c r="A101" s="1" t="s">
        <v>139</v>
      </c>
      <c r="B101" s="2">
        <v>46283</v>
      </c>
      <c r="C101" s="2">
        <v>46339</v>
      </c>
      <c r="D101" s="2">
        <v>46339</v>
      </c>
      <c r="E101" s="1" t="s">
        <v>140</v>
      </c>
      <c r="F101" s="1">
        <v>408</v>
      </c>
      <c r="G101" s="1" t="s">
        <v>1048</v>
      </c>
      <c r="H101" s="1" t="s">
        <v>1054</v>
      </c>
      <c r="I101" s="1">
        <v>32</v>
      </c>
      <c r="J101" s="1">
        <v>11</v>
      </c>
      <c r="K101" s="1">
        <v>46</v>
      </c>
      <c r="L101" s="1">
        <v>13</v>
      </c>
    </row>
    <row r="102" spans="1:12" x14ac:dyDescent="0.35">
      <c r="A102" s="1" t="s">
        <v>161</v>
      </c>
      <c r="B102" s="2">
        <v>46294</v>
      </c>
      <c r="C102" s="2">
        <v>46342</v>
      </c>
      <c r="D102" s="2">
        <v>46343</v>
      </c>
      <c r="E102" s="1" t="s">
        <v>1125</v>
      </c>
      <c r="F102" s="1">
        <v>789</v>
      </c>
      <c r="G102" s="1" t="s">
        <v>1048</v>
      </c>
      <c r="H102" s="1" t="s">
        <v>1054</v>
      </c>
      <c r="I102" s="1">
        <v>40</v>
      </c>
      <c r="J102" s="1">
        <v>11</v>
      </c>
      <c r="K102" s="1">
        <v>47</v>
      </c>
      <c r="L102" s="1">
        <v>17</v>
      </c>
    </row>
    <row r="103" spans="1:12" x14ac:dyDescent="0.35">
      <c r="A103" s="1" t="s">
        <v>155</v>
      </c>
      <c r="B103" s="2">
        <v>46294</v>
      </c>
      <c r="C103" s="2">
        <v>46343</v>
      </c>
      <c r="D103" s="2">
        <v>46344</v>
      </c>
      <c r="E103" s="1" t="s">
        <v>1090</v>
      </c>
      <c r="F103" s="1">
        <v>515</v>
      </c>
      <c r="G103" s="1" t="s">
        <v>1050</v>
      </c>
      <c r="H103" s="1" t="s">
        <v>1054</v>
      </c>
      <c r="I103" s="1">
        <v>40</v>
      </c>
      <c r="J103" s="1">
        <v>11</v>
      </c>
      <c r="K103" s="1">
        <v>47</v>
      </c>
      <c r="L103" s="1">
        <v>18</v>
      </c>
    </row>
    <row r="104" spans="1:12" x14ac:dyDescent="0.35">
      <c r="A104" s="1" t="s">
        <v>146</v>
      </c>
      <c r="B104" s="2">
        <v>46297</v>
      </c>
      <c r="C104" s="2">
        <v>46345</v>
      </c>
      <c r="D104" s="2">
        <v>46345</v>
      </c>
      <c r="E104" s="1" t="s">
        <v>321</v>
      </c>
      <c r="F104" s="1">
        <v>566</v>
      </c>
      <c r="G104" s="1" t="s">
        <v>1055</v>
      </c>
      <c r="H104" s="1" t="s">
        <v>1054</v>
      </c>
      <c r="I104" s="1">
        <v>32</v>
      </c>
      <c r="J104" s="1">
        <v>11</v>
      </c>
      <c r="K104" s="1">
        <v>47</v>
      </c>
      <c r="L104" s="1">
        <v>19</v>
      </c>
    </row>
    <row r="105" spans="1:12" x14ac:dyDescent="0.35">
      <c r="A105" s="1" t="s">
        <v>139</v>
      </c>
      <c r="B105" s="2">
        <v>46302</v>
      </c>
      <c r="C105" s="2">
        <v>46349</v>
      </c>
      <c r="D105" s="2">
        <v>46351</v>
      </c>
      <c r="E105" s="1" t="s">
        <v>195</v>
      </c>
      <c r="F105" s="1">
        <v>416</v>
      </c>
      <c r="G105" s="1" t="s">
        <v>1048</v>
      </c>
      <c r="H105" s="1" t="s">
        <v>1054</v>
      </c>
      <c r="I105" s="1">
        <v>72</v>
      </c>
      <c r="J105" s="1">
        <v>11</v>
      </c>
      <c r="K105" s="1">
        <v>48</v>
      </c>
      <c r="L105" s="1">
        <v>25</v>
      </c>
    </row>
    <row r="106" spans="1:12" x14ac:dyDescent="0.35">
      <c r="A106" s="1" t="s">
        <v>149</v>
      </c>
      <c r="B106" s="2">
        <v>46304</v>
      </c>
      <c r="C106" s="2">
        <v>46352</v>
      </c>
      <c r="D106" s="2">
        <v>46352</v>
      </c>
      <c r="E106" s="1" t="s">
        <v>199</v>
      </c>
      <c r="F106" s="1">
        <v>679</v>
      </c>
      <c r="G106" s="1" t="s">
        <v>1048</v>
      </c>
      <c r="H106" s="1" t="s">
        <v>1054</v>
      </c>
      <c r="I106" s="1">
        <v>16</v>
      </c>
      <c r="J106" s="1">
        <v>11</v>
      </c>
      <c r="K106" s="1">
        <v>48</v>
      </c>
      <c r="L106" s="1">
        <v>26</v>
      </c>
    </row>
    <row r="107" spans="1:12" x14ac:dyDescent="0.35">
      <c r="A107" s="1" t="s">
        <v>149</v>
      </c>
      <c r="B107" s="2">
        <v>46302</v>
      </c>
      <c r="C107" s="2">
        <v>46352</v>
      </c>
      <c r="D107" s="2">
        <v>46352</v>
      </c>
      <c r="E107" s="1" t="s">
        <v>192</v>
      </c>
      <c r="F107" s="1">
        <v>384</v>
      </c>
      <c r="G107" s="1" t="s">
        <v>1048</v>
      </c>
      <c r="H107" s="1" t="s">
        <v>1054</v>
      </c>
      <c r="I107" s="1">
        <v>16</v>
      </c>
      <c r="J107" s="1">
        <v>11</v>
      </c>
      <c r="K107" s="1">
        <v>48</v>
      </c>
      <c r="L107" s="1">
        <v>26</v>
      </c>
    </row>
    <row r="108" spans="1:12" x14ac:dyDescent="0.35">
      <c r="A108" s="1" t="s">
        <v>139</v>
      </c>
      <c r="B108" s="2">
        <v>46321</v>
      </c>
      <c r="C108" s="2">
        <v>46353</v>
      </c>
      <c r="D108" s="2">
        <v>46353</v>
      </c>
      <c r="E108" s="1" t="s">
        <v>1107</v>
      </c>
      <c r="F108" s="1">
        <v>422</v>
      </c>
      <c r="G108" s="1" t="s">
        <v>1048</v>
      </c>
      <c r="H108" s="1" t="s">
        <v>1054</v>
      </c>
      <c r="I108" s="1">
        <v>16</v>
      </c>
      <c r="J108" s="1">
        <v>11</v>
      </c>
      <c r="K108" s="1">
        <v>48</v>
      </c>
      <c r="L108" s="1">
        <v>27</v>
      </c>
    </row>
    <row r="109" spans="1:12" x14ac:dyDescent="0.35">
      <c r="A109" s="1" t="s">
        <v>155</v>
      </c>
      <c r="B109" s="2">
        <v>46310</v>
      </c>
      <c r="C109" s="2">
        <v>46353</v>
      </c>
      <c r="D109" s="2">
        <v>46353</v>
      </c>
      <c r="E109" s="1" t="s">
        <v>1126</v>
      </c>
      <c r="F109" s="1">
        <v>934</v>
      </c>
      <c r="G109" s="1" t="s">
        <v>1048</v>
      </c>
      <c r="H109" s="1" t="s">
        <v>1054</v>
      </c>
      <c r="I109" s="1">
        <v>16</v>
      </c>
      <c r="J109" s="1">
        <v>11</v>
      </c>
      <c r="K109" s="1">
        <v>48</v>
      </c>
      <c r="L109" s="1">
        <v>27</v>
      </c>
    </row>
    <row r="110" spans="1:12" x14ac:dyDescent="0.35">
      <c r="A110" s="1" t="s">
        <v>196</v>
      </c>
      <c r="B110" s="2">
        <v>46310</v>
      </c>
      <c r="C110" s="2">
        <v>46356</v>
      </c>
      <c r="D110" s="2">
        <v>46356</v>
      </c>
      <c r="E110" s="1" t="s">
        <v>1127</v>
      </c>
      <c r="F110" s="1">
        <v>777</v>
      </c>
      <c r="G110" s="1" t="s">
        <v>1048</v>
      </c>
      <c r="H110" s="1" t="s">
        <v>1054</v>
      </c>
      <c r="I110" s="1">
        <v>48</v>
      </c>
      <c r="J110" s="1">
        <v>11</v>
      </c>
      <c r="K110" s="1">
        <v>49</v>
      </c>
      <c r="L110" s="1">
        <v>30</v>
      </c>
    </row>
    <row r="111" spans="1:12" x14ac:dyDescent="0.35">
      <c r="A111" s="1" t="s">
        <v>139</v>
      </c>
      <c r="B111" s="2">
        <v>46311</v>
      </c>
      <c r="C111" s="2">
        <v>46357</v>
      </c>
      <c r="D111" s="2">
        <v>46358</v>
      </c>
      <c r="E111" s="1" t="s">
        <v>1128</v>
      </c>
      <c r="F111" s="1">
        <v>975</v>
      </c>
      <c r="G111" s="1" t="s">
        <v>1048</v>
      </c>
      <c r="H111" s="1" t="s">
        <v>1054</v>
      </c>
      <c r="I111" s="1">
        <v>48</v>
      </c>
      <c r="J111" s="1">
        <v>12</v>
      </c>
      <c r="K111" s="1">
        <v>49</v>
      </c>
      <c r="L111" s="1">
        <v>2</v>
      </c>
    </row>
    <row r="112" spans="1:12" x14ac:dyDescent="0.35">
      <c r="A112" s="1" t="s">
        <v>139</v>
      </c>
      <c r="B112" s="2">
        <v>46315</v>
      </c>
      <c r="C112" s="2">
        <v>46359</v>
      </c>
      <c r="D112" s="2">
        <v>46359</v>
      </c>
      <c r="E112" s="1" t="s">
        <v>195</v>
      </c>
      <c r="F112" s="1">
        <v>1456</v>
      </c>
      <c r="G112" s="1" t="s">
        <v>1048</v>
      </c>
      <c r="H112" s="1" t="s">
        <v>1054</v>
      </c>
      <c r="I112" s="1">
        <v>32</v>
      </c>
      <c r="J112" s="1">
        <v>12</v>
      </c>
      <c r="K112" s="1">
        <v>49</v>
      </c>
      <c r="L112" s="1">
        <v>3</v>
      </c>
    </row>
    <row r="113" spans="1:12" x14ac:dyDescent="0.35">
      <c r="A113" s="1" t="s">
        <v>149</v>
      </c>
      <c r="B113" s="2">
        <v>46316</v>
      </c>
      <c r="C113" s="2">
        <v>46360</v>
      </c>
      <c r="D113" s="2">
        <v>46360</v>
      </c>
      <c r="E113" s="1" t="s">
        <v>1129</v>
      </c>
      <c r="F113" s="1">
        <v>1326</v>
      </c>
      <c r="G113" s="1" t="s">
        <v>1048</v>
      </c>
      <c r="H113" s="1" t="s">
        <v>1054</v>
      </c>
      <c r="I113" s="1">
        <v>16</v>
      </c>
      <c r="J113" s="1">
        <v>12</v>
      </c>
      <c r="K113" s="1">
        <v>49</v>
      </c>
      <c r="L113" s="1">
        <v>4</v>
      </c>
    </row>
    <row r="114" spans="1:12" x14ac:dyDescent="0.35">
      <c r="A114" s="1" t="s">
        <v>161</v>
      </c>
      <c r="B114" s="2">
        <v>46316</v>
      </c>
      <c r="C114" s="2">
        <v>46363</v>
      </c>
      <c r="D114" s="2">
        <v>46363</v>
      </c>
      <c r="E114" s="1" t="s">
        <v>1130</v>
      </c>
      <c r="F114" s="1">
        <v>540</v>
      </c>
      <c r="G114" s="1" t="s">
        <v>1048</v>
      </c>
      <c r="H114" s="1" t="s">
        <v>1054</v>
      </c>
      <c r="I114" s="1">
        <v>16</v>
      </c>
      <c r="J114" s="1">
        <v>12</v>
      </c>
      <c r="K114" s="1">
        <v>50</v>
      </c>
      <c r="L114" s="1">
        <v>7</v>
      </c>
    </row>
    <row r="115" spans="1:12" x14ac:dyDescent="0.35">
      <c r="A115" s="1" t="s">
        <v>139</v>
      </c>
      <c r="B115" s="2">
        <v>46321</v>
      </c>
      <c r="C115" s="2">
        <v>46364</v>
      </c>
      <c r="D115" s="2">
        <v>46364</v>
      </c>
      <c r="E115" s="1" t="s">
        <v>1107</v>
      </c>
      <c r="F115" s="1">
        <v>607</v>
      </c>
      <c r="G115" s="1" t="s">
        <v>1048</v>
      </c>
      <c r="H115" s="1" t="s">
        <v>1054</v>
      </c>
      <c r="I115" s="1">
        <v>16</v>
      </c>
      <c r="J115" s="1">
        <v>12</v>
      </c>
      <c r="K115" s="1">
        <v>50</v>
      </c>
      <c r="L115" s="1">
        <v>8</v>
      </c>
    </row>
    <row r="116" spans="1:12" x14ac:dyDescent="0.35">
      <c r="A116" s="1" t="s">
        <v>139</v>
      </c>
      <c r="B116" s="2">
        <v>46321</v>
      </c>
      <c r="C116" s="2">
        <v>46364</v>
      </c>
      <c r="D116" s="2">
        <v>46364</v>
      </c>
      <c r="E116" s="1" t="s">
        <v>1107</v>
      </c>
      <c r="F116" s="1">
        <v>600</v>
      </c>
      <c r="G116" s="1" t="s">
        <v>1048</v>
      </c>
      <c r="H116" s="1" t="s">
        <v>1054</v>
      </c>
      <c r="I116" s="1">
        <v>16</v>
      </c>
      <c r="J116" s="1">
        <v>12</v>
      </c>
      <c r="K116" s="1">
        <v>50</v>
      </c>
      <c r="L116" s="1">
        <v>8</v>
      </c>
    </row>
    <row r="117" spans="1:12" x14ac:dyDescent="0.35">
      <c r="A117" s="1" t="s">
        <v>135</v>
      </c>
      <c r="B117" s="2">
        <v>46321</v>
      </c>
      <c r="C117" s="2">
        <v>46365</v>
      </c>
      <c r="D117" s="2">
        <v>46365</v>
      </c>
      <c r="E117" s="1" t="s">
        <v>1131</v>
      </c>
      <c r="F117" s="1">
        <v>208</v>
      </c>
      <c r="G117" s="1" t="s">
        <v>1048</v>
      </c>
      <c r="H117" s="1" t="s">
        <v>1054</v>
      </c>
      <c r="I117" s="1">
        <v>32</v>
      </c>
      <c r="J117" s="1">
        <v>12</v>
      </c>
      <c r="K117" s="1">
        <v>50</v>
      </c>
      <c r="L117" s="1">
        <v>9</v>
      </c>
    </row>
    <row r="118" spans="1:12" x14ac:dyDescent="0.35">
      <c r="A118" s="1" t="s">
        <v>135</v>
      </c>
      <c r="B118" s="2">
        <v>46318</v>
      </c>
      <c r="C118" s="2">
        <v>46366</v>
      </c>
      <c r="D118" s="2">
        <v>46366</v>
      </c>
      <c r="E118" s="1" t="s">
        <v>1132</v>
      </c>
      <c r="F118" s="1">
        <v>31</v>
      </c>
      <c r="G118" s="1" t="s">
        <v>1048</v>
      </c>
      <c r="H118" s="1" t="s">
        <v>1054</v>
      </c>
      <c r="I118" s="1">
        <v>32</v>
      </c>
      <c r="J118" s="1">
        <v>12</v>
      </c>
      <c r="K118" s="1">
        <v>50</v>
      </c>
      <c r="L118" s="1">
        <v>10</v>
      </c>
    </row>
    <row r="119" spans="1:12" x14ac:dyDescent="0.35">
      <c r="A119" s="1" t="s">
        <v>139</v>
      </c>
      <c r="B119" s="2">
        <v>46322</v>
      </c>
      <c r="C119" s="2">
        <v>46367</v>
      </c>
      <c r="D119" s="2">
        <v>46367</v>
      </c>
      <c r="E119" s="1" t="s">
        <v>1076</v>
      </c>
      <c r="F119" s="1">
        <v>694</v>
      </c>
      <c r="G119" s="1" t="s">
        <v>1048</v>
      </c>
      <c r="H119" s="1" t="s">
        <v>1054</v>
      </c>
      <c r="I119" s="1">
        <v>3</v>
      </c>
      <c r="J119" s="1">
        <v>12</v>
      </c>
      <c r="K119" s="1">
        <v>50</v>
      </c>
      <c r="L119" s="1">
        <v>11</v>
      </c>
    </row>
    <row r="120" spans="1:12" x14ac:dyDescent="0.35">
      <c r="A120" s="1" t="s">
        <v>139</v>
      </c>
      <c r="B120" s="2">
        <v>46322</v>
      </c>
      <c r="C120" s="2">
        <v>46367</v>
      </c>
      <c r="D120" s="2">
        <v>46367</v>
      </c>
      <c r="E120" s="1" t="s">
        <v>1133</v>
      </c>
      <c r="F120" s="1">
        <v>676</v>
      </c>
      <c r="G120" s="1" t="s">
        <v>1048</v>
      </c>
      <c r="H120" s="1" t="s">
        <v>1054</v>
      </c>
      <c r="I120" s="1">
        <v>4</v>
      </c>
      <c r="J120" s="1">
        <v>12</v>
      </c>
      <c r="K120" s="1">
        <v>50</v>
      </c>
      <c r="L120" s="1">
        <v>11</v>
      </c>
    </row>
    <row r="121" spans="1:12" x14ac:dyDescent="0.35">
      <c r="A121" s="1" t="s">
        <v>139</v>
      </c>
      <c r="B121" s="2">
        <v>46322</v>
      </c>
      <c r="C121" s="2">
        <v>46367</v>
      </c>
      <c r="D121" s="2">
        <v>46367</v>
      </c>
      <c r="E121" s="1" t="s">
        <v>1133</v>
      </c>
      <c r="F121" s="1">
        <v>655</v>
      </c>
      <c r="G121" s="1" t="s">
        <v>1048</v>
      </c>
      <c r="H121" s="1" t="s">
        <v>1054</v>
      </c>
      <c r="I121" s="1">
        <v>5</v>
      </c>
      <c r="J121" s="1">
        <v>12</v>
      </c>
      <c r="K121" s="1">
        <v>50</v>
      </c>
      <c r="L121" s="1">
        <v>11</v>
      </c>
    </row>
    <row r="122" spans="1:12" x14ac:dyDescent="0.35">
      <c r="A122" s="1" t="s">
        <v>139</v>
      </c>
      <c r="B122" s="2">
        <v>46317</v>
      </c>
      <c r="C122" s="2">
        <v>46370</v>
      </c>
      <c r="D122" s="2">
        <v>46372</v>
      </c>
      <c r="E122" s="1" t="s">
        <v>1117</v>
      </c>
      <c r="F122" s="1">
        <v>962</v>
      </c>
      <c r="G122" s="1" t="s">
        <v>1048</v>
      </c>
      <c r="H122" s="1" t="s">
        <v>1054</v>
      </c>
      <c r="I122" s="1">
        <v>64</v>
      </c>
      <c r="J122" s="1">
        <v>12</v>
      </c>
      <c r="K122" s="1">
        <v>51</v>
      </c>
      <c r="L122" s="1">
        <v>16</v>
      </c>
    </row>
    <row r="123" spans="1:12" x14ac:dyDescent="0.35">
      <c r="A123" s="1" t="s">
        <v>135</v>
      </c>
      <c r="B123" s="2">
        <v>46322</v>
      </c>
      <c r="C123" s="2">
        <v>46373</v>
      </c>
      <c r="D123" s="2">
        <v>46374</v>
      </c>
      <c r="E123" s="1" t="s">
        <v>773</v>
      </c>
      <c r="F123" s="1">
        <v>679</v>
      </c>
      <c r="G123" s="1" t="s">
        <v>1048</v>
      </c>
      <c r="H123" s="1" t="s">
        <v>1054</v>
      </c>
      <c r="I123" s="1">
        <v>64</v>
      </c>
      <c r="J123" s="1">
        <v>12</v>
      </c>
      <c r="K123" s="1">
        <v>51</v>
      </c>
      <c r="L123" s="1">
        <v>18</v>
      </c>
    </row>
    <row r="124" spans="1:12" x14ac:dyDescent="0.35">
      <c r="A124" s="1" t="s">
        <v>139</v>
      </c>
      <c r="B124" s="2">
        <v>46322</v>
      </c>
      <c r="C124" s="2">
        <v>46377</v>
      </c>
      <c r="D124" s="2">
        <v>46378</v>
      </c>
      <c r="E124" s="1" t="s">
        <v>184</v>
      </c>
      <c r="F124" s="1">
        <v>744</v>
      </c>
      <c r="G124" s="1" t="s">
        <v>1048</v>
      </c>
      <c r="H124" s="1" t="s">
        <v>1054</v>
      </c>
      <c r="I124" s="1">
        <v>64</v>
      </c>
      <c r="J124" s="1">
        <v>12</v>
      </c>
      <c r="K124" s="1">
        <v>52</v>
      </c>
      <c r="L124" s="1">
        <v>22</v>
      </c>
    </row>
    <row r="125" spans="1:12" x14ac:dyDescent="0.35">
      <c r="A125" s="1" t="s">
        <v>155</v>
      </c>
      <c r="B125" s="2">
        <v>46322</v>
      </c>
      <c r="C125" s="2">
        <v>46379</v>
      </c>
      <c r="D125" s="2">
        <v>46379</v>
      </c>
      <c r="E125" s="1" t="s">
        <v>1097</v>
      </c>
      <c r="F125" s="1">
        <v>393</v>
      </c>
      <c r="G125" s="1" t="s">
        <v>1050</v>
      </c>
      <c r="H125" s="1" t="s">
        <v>1057</v>
      </c>
      <c r="I125" s="1">
        <v>32</v>
      </c>
      <c r="J125" s="1">
        <v>12</v>
      </c>
      <c r="K125" s="1">
        <v>52</v>
      </c>
      <c r="L125" s="1">
        <v>23</v>
      </c>
    </row>
    <row r="126" spans="1:12" x14ac:dyDescent="0.35">
      <c r="A126" s="1" t="s">
        <v>139</v>
      </c>
      <c r="B126" s="2">
        <v>46323</v>
      </c>
      <c r="C126" s="2">
        <v>46379</v>
      </c>
      <c r="D126" s="2">
        <v>46379</v>
      </c>
      <c r="E126" s="1" t="s">
        <v>409</v>
      </c>
      <c r="F126" s="1">
        <v>235</v>
      </c>
      <c r="G126" s="1" t="s">
        <v>1048</v>
      </c>
      <c r="H126" s="1" t="s">
        <v>1054</v>
      </c>
      <c r="I126" s="1">
        <v>16</v>
      </c>
      <c r="J126" s="1">
        <v>12</v>
      </c>
      <c r="K126" s="1">
        <v>52</v>
      </c>
      <c r="L126" s="1">
        <v>23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921C-41EB-45B1-8389-8AC4E80CFBFB}">
  <dimension ref="A1:E82"/>
  <sheetViews>
    <sheetView showGridLines="0" workbookViewId="0">
      <selection activeCell="J18" sqref="J18"/>
    </sheetView>
  </sheetViews>
  <sheetFormatPr defaultRowHeight="10.5" x14ac:dyDescent="0.35"/>
  <cols>
    <col min="1" max="1" width="8.81640625" style="1" customWidth="1"/>
    <col min="2" max="16384" width="8.7265625" style="1"/>
  </cols>
  <sheetData>
    <row r="1" spans="1:5" x14ac:dyDescent="0.35">
      <c r="A1" s="2" t="s">
        <v>1036</v>
      </c>
      <c r="B1" s="1" t="s">
        <v>110</v>
      </c>
      <c r="C1" s="1" t="s">
        <v>29</v>
      </c>
      <c r="D1" s="1" t="s">
        <v>788</v>
      </c>
      <c r="E1" s="1" t="s">
        <v>1041</v>
      </c>
    </row>
    <row r="2" spans="1:5" x14ac:dyDescent="0.35">
      <c r="A2" s="2">
        <v>46136</v>
      </c>
      <c r="B2" s="1" t="s">
        <v>146</v>
      </c>
      <c r="C2" s="1">
        <f t="shared" ref="C2:C33" si="0">MONTH(A2)</f>
        <v>4</v>
      </c>
      <c r="D2" s="1">
        <f t="shared" ref="D2:D33" si="1">WEEKNUM(A2)</f>
        <v>17</v>
      </c>
      <c r="E2" s="1" t="s">
        <v>1042</v>
      </c>
    </row>
    <row r="3" spans="1:5" x14ac:dyDescent="0.35">
      <c r="A3" s="2">
        <v>46150</v>
      </c>
      <c r="B3" s="1" t="s">
        <v>139</v>
      </c>
      <c r="C3" s="1">
        <f t="shared" si="0"/>
        <v>5</v>
      </c>
      <c r="D3" s="1">
        <f t="shared" si="1"/>
        <v>19</v>
      </c>
      <c r="E3" s="1" t="s">
        <v>1042</v>
      </c>
    </row>
    <row r="4" spans="1:5" x14ac:dyDescent="0.35">
      <c r="A4" s="2">
        <v>46162</v>
      </c>
      <c r="B4" s="1" t="s">
        <v>146</v>
      </c>
      <c r="C4" s="1">
        <f t="shared" si="0"/>
        <v>5</v>
      </c>
      <c r="D4" s="1">
        <f t="shared" si="1"/>
        <v>21</v>
      </c>
      <c r="E4" s="1" t="s">
        <v>1042</v>
      </c>
    </row>
    <row r="5" spans="1:5" x14ac:dyDescent="0.35">
      <c r="A5" s="2">
        <v>46168</v>
      </c>
      <c r="B5" s="1" t="s">
        <v>139</v>
      </c>
      <c r="C5" s="1">
        <f t="shared" si="0"/>
        <v>5</v>
      </c>
      <c r="D5" s="1">
        <f t="shared" si="1"/>
        <v>22</v>
      </c>
      <c r="E5" s="1" t="s">
        <v>1042</v>
      </c>
    </row>
    <row r="6" spans="1:5" x14ac:dyDescent="0.35">
      <c r="A6" s="2">
        <v>46171</v>
      </c>
      <c r="B6" s="1" t="s">
        <v>139</v>
      </c>
      <c r="C6" s="1">
        <f t="shared" si="0"/>
        <v>5</v>
      </c>
      <c r="D6" s="1">
        <f t="shared" si="1"/>
        <v>22</v>
      </c>
      <c r="E6" s="1" t="s">
        <v>1042</v>
      </c>
    </row>
    <row r="7" spans="1:5" x14ac:dyDescent="0.35">
      <c r="A7" s="2">
        <v>46175</v>
      </c>
      <c r="B7" s="1" t="s">
        <v>139</v>
      </c>
      <c r="C7" s="1">
        <f t="shared" si="0"/>
        <v>6</v>
      </c>
      <c r="D7" s="1">
        <f t="shared" si="1"/>
        <v>23</v>
      </c>
      <c r="E7" s="1" t="s">
        <v>1042</v>
      </c>
    </row>
    <row r="8" spans="1:5" x14ac:dyDescent="0.35">
      <c r="A8" s="2">
        <v>46181</v>
      </c>
      <c r="B8" s="1" t="s">
        <v>155</v>
      </c>
      <c r="C8" s="1">
        <f t="shared" si="0"/>
        <v>6</v>
      </c>
      <c r="D8" s="1">
        <f t="shared" si="1"/>
        <v>24</v>
      </c>
      <c r="E8" s="1" t="s">
        <v>1042</v>
      </c>
    </row>
    <row r="9" spans="1:5" x14ac:dyDescent="0.35">
      <c r="A9" s="2">
        <v>46183</v>
      </c>
      <c r="B9" s="1" t="s">
        <v>139</v>
      </c>
      <c r="C9" s="1">
        <f t="shared" si="0"/>
        <v>6</v>
      </c>
      <c r="D9" s="1">
        <f t="shared" si="1"/>
        <v>24</v>
      </c>
      <c r="E9" s="1" t="s">
        <v>1042</v>
      </c>
    </row>
    <row r="10" spans="1:5" x14ac:dyDescent="0.35">
      <c r="A10" s="2">
        <v>46188</v>
      </c>
      <c r="B10" s="1" t="s">
        <v>161</v>
      </c>
      <c r="C10" s="1">
        <f t="shared" si="0"/>
        <v>6</v>
      </c>
      <c r="D10" s="1">
        <f t="shared" si="1"/>
        <v>25</v>
      </c>
      <c r="E10" s="1" t="s">
        <v>1042</v>
      </c>
    </row>
    <row r="11" spans="1:5" x14ac:dyDescent="0.35">
      <c r="A11" s="2">
        <v>46197</v>
      </c>
      <c r="B11" s="1" t="s">
        <v>139</v>
      </c>
      <c r="C11" s="1">
        <f t="shared" si="0"/>
        <v>6</v>
      </c>
      <c r="D11" s="1">
        <f t="shared" si="1"/>
        <v>26</v>
      </c>
      <c r="E11" s="1" t="s">
        <v>1042</v>
      </c>
    </row>
    <row r="12" spans="1:5" x14ac:dyDescent="0.35">
      <c r="A12" s="2">
        <v>46198</v>
      </c>
      <c r="B12" s="1" t="s">
        <v>155</v>
      </c>
      <c r="C12" s="1">
        <f t="shared" si="0"/>
        <v>6</v>
      </c>
      <c r="D12" s="1">
        <f t="shared" si="1"/>
        <v>26</v>
      </c>
      <c r="E12" s="1" t="s">
        <v>1042</v>
      </c>
    </row>
    <row r="13" spans="1:5" x14ac:dyDescent="0.35">
      <c r="A13" s="2">
        <v>46202</v>
      </c>
      <c r="B13" s="1" t="s">
        <v>146</v>
      </c>
      <c r="C13" s="1">
        <f t="shared" si="0"/>
        <v>6</v>
      </c>
      <c r="D13" s="1">
        <f t="shared" si="1"/>
        <v>27</v>
      </c>
      <c r="E13" s="1" t="s">
        <v>1042</v>
      </c>
    </row>
    <row r="14" spans="1:5" x14ac:dyDescent="0.35">
      <c r="A14" s="2">
        <v>46206</v>
      </c>
      <c r="B14" s="1" t="s">
        <v>155</v>
      </c>
      <c r="C14" s="1">
        <f t="shared" si="0"/>
        <v>7</v>
      </c>
      <c r="D14" s="1">
        <f t="shared" si="1"/>
        <v>27</v>
      </c>
      <c r="E14" s="1" t="s">
        <v>1042</v>
      </c>
    </row>
    <row r="15" spans="1:5" x14ac:dyDescent="0.35">
      <c r="A15" s="2">
        <v>46209</v>
      </c>
      <c r="B15" s="1" t="s">
        <v>161</v>
      </c>
      <c r="C15" s="1">
        <f t="shared" si="0"/>
        <v>7</v>
      </c>
      <c r="D15" s="1">
        <f t="shared" si="1"/>
        <v>28</v>
      </c>
      <c r="E15" s="1" t="s">
        <v>1042</v>
      </c>
    </row>
    <row r="16" spans="1:5" x14ac:dyDescent="0.35">
      <c r="A16" s="2">
        <v>46210</v>
      </c>
      <c r="B16" s="1" t="s">
        <v>165</v>
      </c>
      <c r="C16" s="1">
        <f t="shared" si="0"/>
        <v>7</v>
      </c>
      <c r="D16" s="1">
        <f t="shared" si="1"/>
        <v>28</v>
      </c>
      <c r="E16" s="1" t="s">
        <v>1042</v>
      </c>
    </row>
    <row r="17" spans="1:5" x14ac:dyDescent="0.35">
      <c r="A17" s="2">
        <v>46211</v>
      </c>
      <c r="B17" s="1" t="s">
        <v>139</v>
      </c>
      <c r="C17" s="1">
        <f t="shared" si="0"/>
        <v>7</v>
      </c>
      <c r="D17" s="1">
        <f t="shared" si="1"/>
        <v>28</v>
      </c>
      <c r="E17" s="1" t="s">
        <v>1042</v>
      </c>
    </row>
    <row r="18" spans="1:5" x14ac:dyDescent="0.35">
      <c r="A18" s="2">
        <v>46211</v>
      </c>
      <c r="B18" s="1" t="s">
        <v>139</v>
      </c>
      <c r="C18" s="1">
        <f t="shared" si="0"/>
        <v>7</v>
      </c>
      <c r="D18" s="1">
        <f t="shared" si="1"/>
        <v>28</v>
      </c>
      <c r="E18" s="1" t="s">
        <v>1042</v>
      </c>
    </row>
    <row r="19" spans="1:5" x14ac:dyDescent="0.35">
      <c r="A19" s="2">
        <v>46217</v>
      </c>
      <c r="B19" s="1" t="s">
        <v>139</v>
      </c>
      <c r="C19" s="1">
        <f t="shared" si="0"/>
        <v>7</v>
      </c>
      <c r="D19" s="1">
        <f t="shared" si="1"/>
        <v>29</v>
      </c>
      <c r="E19" s="1" t="s">
        <v>1042</v>
      </c>
    </row>
    <row r="20" spans="1:5" x14ac:dyDescent="0.35">
      <c r="A20" s="2">
        <v>46218</v>
      </c>
      <c r="B20" s="1" t="s">
        <v>139</v>
      </c>
      <c r="C20" s="1">
        <f t="shared" si="0"/>
        <v>7</v>
      </c>
      <c r="D20" s="1">
        <f t="shared" si="1"/>
        <v>29</v>
      </c>
      <c r="E20" s="1" t="s">
        <v>1042</v>
      </c>
    </row>
    <row r="21" spans="1:5" x14ac:dyDescent="0.35">
      <c r="A21" s="2">
        <v>46220</v>
      </c>
      <c r="B21" s="1" t="s">
        <v>146</v>
      </c>
      <c r="C21" s="1">
        <f t="shared" si="0"/>
        <v>7</v>
      </c>
      <c r="D21" s="1">
        <f t="shared" si="1"/>
        <v>29</v>
      </c>
      <c r="E21" s="1" t="s">
        <v>1042</v>
      </c>
    </row>
    <row r="22" spans="1:5" x14ac:dyDescent="0.35">
      <c r="A22" s="2">
        <v>46226</v>
      </c>
      <c r="B22" s="1" t="s">
        <v>146</v>
      </c>
      <c r="C22" s="1">
        <f t="shared" si="0"/>
        <v>7</v>
      </c>
      <c r="D22" s="1">
        <f t="shared" si="1"/>
        <v>30</v>
      </c>
      <c r="E22" s="1" t="s">
        <v>1042</v>
      </c>
    </row>
    <row r="23" spans="1:5" x14ac:dyDescent="0.35">
      <c r="A23" s="2">
        <v>46231</v>
      </c>
      <c r="B23" s="1" t="s">
        <v>153</v>
      </c>
      <c r="C23" s="1">
        <f t="shared" si="0"/>
        <v>7</v>
      </c>
      <c r="D23" s="1">
        <f t="shared" si="1"/>
        <v>31</v>
      </c>
      <c r="E23" s="1" t="s">
        <v>1042</v>
      </c>
    </row>
    <row r="24" spans="1:5" x14ac:dyDescent="0.35">
      <c r="A24" s="2">
        <v>46232</v>
      </c>
      <c r="B24" s="1" t="s">
        <v>149</v>
      </c>
      <c r="C24" s="1">
        <f t="shared" si="0"/>
        <v>7</v>
      </c>
      <c r="D24" s="1">
        <f t="shared" si="1"/>
        <v>31</v>
      </c>
      <c r="E24" s="1" t="s">
        <v>1042</v>
      </c>
    </row>
    <row r="25" spans="1:5" x14ac:dyDescent="0.35">
      <c r="A25" s="2">
        <v>46233</v>
      </c>
      <c r="B25" s="1" t="s">
        <v>139</v>
      </c>
      <c r="C25" s="1">
        <f t="shared" si="0"/>
        <v>7</v>
      </c>
      <c r="D25" s="1">
        <f t="shared" si="1"/>
        <v>31</v>
      </c>
      <c r="E25" s="1" t="s">
        <v>1042</v>
      </c>
    </row>
    <row r="26" spans="1:5" x14ac:dyDescent="0.35">
      <c r="A26" s="2">
        <v>46233</v>
      </c>
      <c r="B26" s="1" t="s">
        <v>139</v>
      </c>
      <c r="C26" s="1">
        <f t="shared" si="0"/>
        <v>7</v>
      </c>
      <c r="D26" s="1">
        <f t="shared" si="1"/>
        <v>31</v>
      </c>
      <c r="E26" s="1" t="s">
        <v>1042</v>
      </c>
    </row>
    <row r="27" spans="1:5" x14ac:dyDescent="0.35">
      <c r="A27" s="2">
        <v>46234</v>
      </c>
      <c r="B27" s="1" t="s">
        <v>155</v>
      </c>
      <c r="C27" s="1">
        <f t="shared" si="0"/>
        <v>7</v>
      </c>
      <c r="D27" s="1">
        <f t="shared" si="1"/>
        <v>31</v>
      </c>
      <c r="E27" s="1" t="s">
        <v>1042</v>
      </c>
    </row>
    <row r="28" spans="1:5" x14ac:dyDescent="0.35">
      <c r="A28" s="2">
        <v>46239</v>
      </c>
      <c r="B28" s="1" t="s">
        <v>161</v>
      </c>
      <c r="C28" s="1">
        <f t="shared" si="0"/>
        <v>8</v>
      </c>
      <c r="D28" s="1">
        <f t="shared" si="1"/>
        <v>32</v>
      </c>
      <c r="E28" s="1" t="s">
        <v>1042</v>
      </c>
    </row>
    <row r="29" spans="1:5" x14ac:dyDescent="0.35">
      <c r="A29" s="2">
        <v>46240</v>
      </c>
      <c r="B29" s="1" t="s">
        <v>196</v>
      </c>
      <c r="C29" s="1">
        <f t="shared" si="0"/>
        <v>8</v>
      </c>
      <c r="D29" s="1">
        <f t="shared" si="1"/>
        <v>32</v>
      </c>
      <c r="E29" s="1" t="s">
        <v>1042</v>
      </c>
    </row>
    <row r="30" spans="1:5" x14ac:dyDescent="0.35">
      <c r="A30" s="2">
        <v>46241</v>
      </c>
      <c r="B30" s="1" t="s">
        <v>155</v>
      </c>
      <c r="C30" s="1">
        <f t="shared" si="0"/>
        <v>8</v>
      </c>
      <c r="D30" s="1">
        <f t="shared" si="1"/>
        <v>32</v>
      </c>
      <c r="E30" s="1" t="s">
        <v>1042</v>
      </c>
    </row>
    <row r="31" spans="1:5" x14ac:dyDescent="0.35">
      <c r="A31" s="2">
        <v>46244</v>
      </c>
      <c r="B31" s="1" t="s">
        <v>153</v>
      </c>
      <c r="C31" s="1">
        <f t="shared" si="0"/>
        <v>8</v>
      </c>
      <c r="D31" s="1">
        <f t="shared" si="1"/>
        <v>33</v>
      </c>
      <c r="E31" s="1" t="s">
        <v>1042</v>
      </c>
    </row>
    <row r="32" spans="1:5" x14ac:dyDescent="0.35">
      <c r="A32" s="2">
        <v>46246</v>
      </c>
      <c r="B32" s="1" t="s">
        <v>165</v>
      </c>
      <c r="C32" s="1">
        <f t="shared" si="0"/>
        <v>8</v>
      </c>
      <c r="D32" s="1">
        <f t="shared" si="1"/>
        <v>33</v>
      </c>
      <c r="E32" s="1" t="s">
        <v>1042</v>
      </c>
    </row>
    <row r="33" spans="1:5" x14ac:dyDescent="0.35">
      <c r="A33" s="2">
        <v>46251</v>
      </c>
      <c r="B33" s="1" t="s">
        <v>139</v>
      </c>
      <c r="C33" s="1">
        <f t="shared" si="0"/>
        <v>8</v>
      </c>
      <c r="D33" s="1">
        <f t="shared" si="1"/>
        <v>34</v>
      </c>
      <c r="E33" s="1" t="s">
        <v>1042</v>
      </c>
    </row>
    <row r="34" spans="1:5" x14ac:dyDescent="0.35">
      <c r="A34" s="2">
        <v>46252</v>
      </c>
      <c r="B34" s="1" t="s">
        <v>139</v>
      </c>
      <c r="C34" s="1">
        <f t="shared" ref="C34:C65" si="2">MONTH(A34)</f>
        <v>8</v>
      </c>
      <c r="D34" s="1">
        <f t="shared" ref="D34:D65" si="3">WEEKNUM(A34)</f>
        <v>34</v>
      </c>
      <c r="E34" s="1" t="s">
        <v>1042</v>
      </c>
    </row>
    <row r="35" spans="1:5" x14ac:dyDescent="0.35">
      <c r="A35" s="2">
        <v>46253</v>
      </c>
      <c r="B35" s="1" t="s">
        <v>135</v>
      </c>
      <c r="C35" s="1">
        <f t="shared" si="2"/>
        <v>8</v>
      </c>
      <c r="D35" s="1">
        <f t="shared" si="3"/>
        <v>34</v>
      </c>
      <c r="E35" s="1" t="s">
        <v>1042</v>
      </c>
    </row>
    <row r="36" spans="1:5" x14ac:dyDescent="0.35">
      <c r="A36" s="2">
        <v>46253</v>
      </c>
      <c r="B36" s="1" t="s">
        <v>155</v>
      </c>
      <c r="C36" s="1">
        <f t="shared" si="2"/>
        <v>8</v>
      </c>
      <c r="D36" s="1">
        <f t="shared" si="3"/>
        <v>34</v>
      </c>
      <c r="E36" s="1" t="s">
        <v>1042</v>
      </c>
    </row>
    <row r="37" spans="1:5" x14ac:dyDescent="0.35">
      <c r="A37" s="2">
        <v>46254</v>
      </c>
      <c r="B37" s="1" t="s">
        <v>139</v>
      </c>
      <c r="C37" s="1">
        <f t="shared" si="2"/>
        <v>8</v>
      </c>
      <c r="D37" s="1">
        <f t="shared" si="3"/>
        <v>34</v>
      </c>
      <c r="E37" s="1" t="s">
        <v>1042</v>
      </c>
    </row>
    <row r="38" spans="1:5" x14ac:dyDescent="0.35">
      <c r="A38" s="2">
        <v>46254</v>
      </c>
      <c r="B38" s="1" t="s">
        <v>139</v>
      </c>
      <c r="C38" s="1">
        <f t="shared" si="2"/>
        <v>8</v>
      </c>
      <c r="D38" s="1">
        <f t="shared" si="3"/>
        <v>34</v>
      </c>
      <c r="E38" s="1" t="s">
        <v>1042</v>
      </c>
    </row>
    <row r="39" spans="1:5" x14ac:dyDescent="0.35">
      <c r="A39" s="2">
        <v>46255</v>
      </c>
      <c r="B39" s="1" t="s">
        <v>139</v>
      </c>
      <c r="C39" s="1">
        <f t="shared" si="2"/>
        <v>8</v>
      </c>
      <c r="D39" s="1">
        <f t="shared" si="3"/>
        <v>34</v>
      </c>
      <c r="E39" s="1" t="s">
        <v>1042</v>
      </c>
    </row>
    <row r="40" spans="1:5" x14ac:dyDescent="0.35">
      <c r="A40" s="2">
        <v>46255</v>
      </c>
      <c r="B40" s="1" t="s">
        <v>139</v>
      </c>
      <c r="C40" s="1">
        <f t="shared" si="2"/>
        <v>8</v>
      </c>
      <c r="D40" s="1">
        <f t="shared" si="3"/>
        <v>34</v>
      </c>
      <c r="E40" s="1" t="s">
        <v>1042</v>
      </c>
    </row>
    <row r="41" spans="1:5" x14ac:dyDescent="0.35">
      <c r="A41" s="2">
        <v>46258</v>
      </c>
      <c r="B41" s="1" t="s">
        <v>165</v>
      </c>
      <c r="C41" s="1">
        <f t="shared" si="2"/>
        <v>8</v>
      </c>
      <c r="D41" s="1">
        <f t="shared" si="3"/>
        <v>35</v>
      </c>
      <c r="E41" s="1" t="s">
        <v>1042</v>
      </c>
    </row>
    <row r="42" spans="1:5" x14ac:dyDescent="0.35">
      <c r="A42" s="2">
        <v>46258</v>
      </c>
      <c r="B42" s="1" t="s">
        <v>149</v>
      </c>
      <c r="C42" s="1">
        <f t="shared" si="2"/>
        <v>8</v>
      </c>
      <c r="D42" s="1">
        <f t="shared" si="3"/>
        <v>35</v>
      </c>
      <c r="E42" s="1" t="s">
        <v>1042</v>
      </c>
    </row>
    <row r="43" spans="1:5" x14ac:dyDescent="0.35">
      <c r="A43" s="2">
        <v>46259</v>
      </c>
      <c r="B43" s="1" t="s">
        <v>139</v>
      </c>
      <c r="C43" s="1">
        <f t="shared" si="2"/>
        <v>8</v>
      </c>
      <c r="D43" s="1">
        <f t="shared" si="3"/>
        <v>35</v>
      </c>
      <c r="E43" s="1" t="s">
        <v>1042</v>
      </c>
    </row>
    <row r="44" spans="1:5" x14ac:dyDescent="0.35">
      <c r="A44" s="2">
        <v>46260</v>
      </c>
      <c r="B44" s="1" t="s">
        <v>139</v>
      </c>
      <c r="C44" s="1">
        <f t="shared" si="2"/>
        <v>8</v>
      </c>
      <c r="D44" s="1">
        <f t="shared" si="3"/>
        <v>35</v>
      </c>
      <c r="E44" s="1" t="s">
        <v>1042</v>
      </c>
    </row>
    <row r="45" spans="1:5" x14ac:dyDescent="0.35">
      <c r="A45" s="2">
        <v>46261</v>
      </c>
      <c r="B45" s="1" t="s">
        <v>139</v>
      </c>
      <c r="C45" s="1">
        <f t="shared" si="2"/>
        <v>8</v>
      </c>
      <c r="D45" s="1">
        <f t="shared" si="3"/>
        <v>35</v>
      </c>
      <c r="E45" s="1" t="s">
        <v>1042</v>
      </c>
    </row>
    <row r="46" spans="1:5" x14ac:dyDescent="0.35">
      <c r="A46" s="2">
        <v>46265</v>
      </c>
      <c r="B46" s="1" t="s">
        <v>149</v>
      </c>
      <c r="C46" s="1">
        <f t="shared" si="2"/>
        <v>8</v>
      </c>
      <c r="D46" s="1">
        <f t="shared" si="3"/>
        <v>36</v>
      </c>
      <c r="E46" s="1" t="s">
        <v>1042</v>
      </c>
    </row>
    <row r="47" spans="1:5" x14ac:dyDescent="0.35">
      <c r="A47" s="2">
        <v>46267</v>
      </c>
      <c r="B47" s="1" t="s">
        <v>161</v>
      </c>
      <c r="C47" s="1">
        <f t="shared" si="2"/>
        <v>9</v>
      </c>
      <c r="D47" s="1">
        <f t="shared" si="3"/>
        <v>36</v>
      </c>
      <c r="E47" s="1" t="s">
        <v>1042</v>
      </c>
    </row>
    <row r="48" spans="1:5" x14ac:dyDescent="0.35">
      <c r="A48" s="2">
        <v>46267</v>
      </c>
      <c r="B48" s="1" t="s">
        <v>161</v>
      </c>
      <c r="C48" s="1">
        <f t="shared" si="2"/>
        <v>9</v>
      </c>
      <c r="D48" s="1">
        <f t="shared" si="3"/>
        <v>36</v>
      </c>
      <c r="E48" s="1" t="s">
        <v>1042</v>
      </c>
    </row>
    <row r="49" spans="1:5" x14ac:dyDescent="0.35">
      <c r="A49" s="2">
        <v>46268</v>
      </c>
      <c r="B49" s="1" t="s">
        <v>149</v>
      </c>
      <c r="C49" s="1">
        <f t="shared" si="2"/>
        <v>9</v>
      </c>
      <c r="D49" s="1">
        <f t="shared" si="3"/>
        <v>36</v>
      </c>
      <c r="E49" s="1" t="s">
        <v>1042</v>
      </c>
    </row>
    <row r="50" spans="1:5" x14ac:dyDescent="0.35">
      <c r="A50" s="2">
        <v>46268</v>
      </c>
      <c r="B50" s="1" t="s">
        <v>139</v>
      </c>
      <c r="C50" s="1">
        <f t="shared" si="2"/>
        <v>9</v>
      </c>
      <c r="D50" s="1">
        <f t="shared" si="3"/>
        <v>36</v>
      </c>
      <c r="E50" s="1" t="s">
        <v>1042</v>
      </c>
    </row>
    <row r="51" spans="1:5" x14ac:dyDescent="0.35">
      <c r="A51" s="2">
        <v>46269</v>
      </c>
      <c r="B51" s="1" t="s">
        <v>165</v>
      </c>
      <c r="C51" s="1">
        <f t="shared" si="2"/>
        <v>9</v>
      </c>
      <c r="D51" s="1">
        <f t="shared" si="3"/>
        <v>36</v>
      </c>
      <c r="E51" s="1" t="s">
        <v>1042</v>
      </c>
    </row>
    <row r="52" spans="1:5" x14ac:dyDescent="0.35">
      <c r="A52" s="2">
        <v>46269</v>
      </c>
      <c r="B52" s="1" t="s">
        <v>139</v>
      </c>
      <c r="C52" s="1">
        <f t="shared" si="2"/>
        <v>9</v>
      </c>
      <c r="D52" s="1">
        <f t="shared" si="3"/>
        <v>36</v>
      </c>
      <c r="E52" s="1" t="s">
        <v>1042</v>
      </c>
    </row>
    <row r="53" spans="1:5" x14ac:dyDescent="0.35">
      <c r="A53" s="2">
        <v>46273</v>
      </c>
      <c r="B53" s="1" t="s">
        <v>161</v>
      </c>
      <c r="C53" s="1">
        <f t="shared" si="2"/>
        <v>9</v>
      </c>
      <c r="D53" s="1">
        <f t="shared" si="3"/>
        <v>37</v>
      </c>
      <c r="E53" s="1" t="s">
        <v>1042</v>
      </c>
    </row>
    <row r="54" spans="1:5" x14ac:dyDescent="0.35">
      <c r="A54" s="2">
        <v>46275</v>
      </c>
      <c r="B54" s="1" t="s">
        <v>161</v>
      </c>
      <c r="C54" s="1">
        <f t="shared" si="2"/>
        <v>9</v>
      </c>
      <c r="D54" s="1">
        <f t="shared" si="3"/>
        <v>37</v>
      </c>
      <c r="E54" s="1" t="s">
        <v>1042</v>
      </c>
    </row>
    <row r="55" spans="1:5" x14ac:dyDescent="0.35">
      <c r="A55" s="2">
        <v>46276</v>
      </c>
      <c r="B55" s="1" t="s">
        <v>139</v>
      </c>
      <c r="C55" s="1">
        <f t="shared" si="2"/>
        <v>9</v>
      </c>
      <c r="D55" s="1">
        <f t="shared" si="3"/>
        <v>37</v>
      </c>
      <c r="E55" s="1" t="s">
        <v>1042</v>
      </c>
    </row>
    <row r="56" spans="1:5" x14ac:dyDescent="0.35">
      <c r="A56" s="2">
        <v>46276</v>
      </c>
      <c r="B56" s="1" t="s">
        <v>165</v>
      </c>
      <c r="C56" s="1">
        <f t="shared" si="2"/>
        <v>9</v>
      </c>
      <c r="D56" s="1">
        <f t="shared" si="3"/>
        <v>37</v>
      </c>
      <c r="E56" s="1" t="s">
        <v>1042</v>
      </c>
    </row>
    <row r="57" spans="1:5" x14ac:dyDescent="0.35">
      <c r="A57" s="2">
        <v>46276</v>
      </c>
      <c r="B57" s="1" t="s">
        <v>139</v>
      </c>
      <c r="C57" s="1">
        <f t="shared" si="2"/>
        <v>9</v>
      </c>
      <c r="D57" s="1">
        <f t="shared" si="3"/>
        <v>37</v>
      </c>
      <c r="E57" s="1" t="s">
        <v>1042</v>
      </c>
    </row>
    <row r="58" spans="1:5" x14ac:dyDescent="0.35">
      <c r="A58" s="2">
        <v>46281</v>
      </c>
      <c r="B58" s="1" t="s">
        <v>146</v>
      </c>
      <c r="C58" s="1">
        <f t="shared" si="2"/>
        <v>9</v>
      </c>
      <c r="D58" s="1">
        <f t="shared" si="3"/>
        <v>38</v>
      </c>
      <c r="E58" s="1" t="s">
        <v>1042</v>
      </c>
    </row>
    <row r="59" spans="1:5" x14ac:dyDescent="0.35">
      <c r="A59" s="2">
        <v>46281</v>
      </c>
      <c r="B59" s="1" t="s">
        <v>149</v>
      </c>
      <c r="C59" s="1">
        <f t="shared" si="2"/>
        <v>9</v>
      </c>
      <c r="D59" s="1">
        <f t="shared" si="3"/>
        <v>38</v>
      </c>
      <c r="E59" s="1" t="s">
        <v>1042</v>
      </c>
    </row>
    <row r="60" spans="1:5" x14ac:dyDescent="0.35">
      <c r="A60" s="2">
        <v>46283</v>
      </c>
      <c r="B60" s="1" t="s">
        <v>161</v>
      </c>
      <c r="C60" s="1">
        <f t="shared" si="2"/>
        <v>9</v>
      </c>
      <c r="D60" s="1">
        <f t="shared" si="3"/>
        <v>38</v>
      </c>
      <c r="E60" s="1" t="s">
        <v>1042</v>
      </c>
    </row>
    <row r="61" spans="1:5" x14ac:dyDescent="0.35">
      <c r="A61" s="2">
        <v>46287</v>
      </c>
      <c r="B61" s="1" t="s">
        <v>149</v>
      </c>
      <c r="C61" s="1">
        <f t="shared" si="2"/>
        <v>9</v>
      </c>
      <c r="D61" s="1">
        <f t="shared" si="3"/>
        <v>39</v>
      </c>
      <c r="E61" s="1" t="s">
        <v>1042</v>
      </c>
    </row>
    <row r="62" spans="1:5" x14ac:dyDescent="0.35">
      <c r="A62" s="2">
        <v>46287</v>
      </c>
      <c r="B62" s="1" t="s">
        <v>139</v>
      </c>
      <c r="C62" s="1">
        <f t="shared" si="2"/>
        <v>9</v>
      </c>
      <c r="D62" s="1">
        <f t="shared" si="3"/>
        <v>39</v>
      </c>
      <c r="E62" s="1" t="s">
        <v>1042</v>
      </c>
    </row>
    <row r="63" spans="1:5" x14ac:dyDescent="0.35">
      <c r="A63" s="2">
        <v>46289</v>
      </c>
      <c r="B63" s="1" t="s">
        <v>161</v>
      </c>
      <c r="C63" s="1">
        <f t="shared" si="2"/>
        <v>9</v>
      </c>
      <c r="D63" s="1">
        <f t="shared" si="3"/>
        <v>39</v>
      </c>
      <c r="E63" s="1" t="s">
        <v>1042</v>
      </c>
    </row>
    <row r="64" spans="1:5" x14ac:dyDescent="0.35">
      <c r="A64" s="2">
        <v>46290</v>
      </c>
      <c r="B64" s="1" t="s">
        <v>146</v>
      </c>
      <c r="C64" s="1">
        <f t="shared" si="2"/>
        <v>9</v>
      </c>
      <c r="D64" s="1">
        <f t="shared" si="3"/>
        <v>39</v>
      </c>
      <c r="E64" s="1" t="s">
        <v>1042</v>
      </c>
    </row>
    <row r="65" spans="1:5" x14ac:dyDescent="0.35">
      <c r="A65" s="2">
        <v>46295</v>
      </c>
      <c r="B65" s="1" t="s">
        <v>146</v>
      </c>
      <c r="C65" s="1">
        <f t="shared" si="2"/>
        <v>9</v>
      </c>
      <c r="D65" s="1">
        <f t="shared" si="3"/>
        <v>40</v>
      </c>
      <c r="E65" s="1" t="s">
        <v>1042</v>
      </c>
    </row>
    <row r="66" spans="1:5" x14ac:dyDescent="0.35">
      <c r="A66" s="2">
        <v>46296</v>
      </c>
      <c r="B66" s="1" t="s">
        <v>139</v>
      </c>
      <c r="C66" s="1">
        <f t="shared" ref="C66:C80" si="4">MONTH(A66)</f>
        <v>10</v>
      </c>
      <c r="D66" s="1">
        <f t="shared" ref="D66:D80" si="5">WEEKNUM(A66)</f>
        <v>40</v>
      </c>
      <c r="E66" s="1" t="s">
        <v>1042</v>
      </c>
    </row>
    <row r="67" spans="1:5" x14ac:dyDescent="0.35">
      <c r="A67" s="2">
        <v>46296</v>
      </c>
      <c r="B67" s="1" t="s">
        <v>139</v>
      </c>
      <c r="C67" s="1">
        <f t="shared" si="4"/>
        <v>10</v>
      </c>
      <c r="D67" s="1">
        <f t="shared" si="5"/>
        <v>40</v>
      </c>
      <c r="E67" s="1" t="s">
        <v>1042</v>
      </c>
    </row>
    <row r="68" spans="1:5" x14ac:dyDescent="0.35">
      <c r="A68" s="2">
        <v>46297</v>
      </c>
      <c r="B68" s="1" t="s">
        <v>161</v>
      </c>
      <c r="C68" s="1">
        <f t="shared" si="4"/>
        <v>10</v>
      </c>
      <c r="D68" s="1">
        <f t="shared" si="5"/>
        <v>40</v>
      </c>
      <c r="E68" s="1" t="s">
        <v>1042</v>
      </c>
    </row>
    <row r="69" spans="1:5" x14ac:dyDescent="0.35">
      <c r="A69" s="2">
        <v>46297</v>
      </c>
      <c r="B69" s="1" t="s">
        <v>139</v>
      </c>
      <c r="C69" s="1">
        <f t="shared" si="4"/>
        <v>10</v>
      </c>
      <c r="D69" s="1">
        <f t="shared" si="5"/>
        <v>40</v>
      </c>
      <c r="E69" s="1" t="s">
        <v>1042</v>
      </c>
    </row>
    <row r="70" spans="1:5" x14ac:dyDescent="0.35">
      <c r="A70" s="2">
        <v>46302</v>
      </c>
      <c r="B70" s="1" t="s">
        <v>139</v>
      </c>
      <c r="C70" s="1">
        <f t="shared" si="4"/>
        <v>10</v>
      </c>
      <c r="D70" s="1">
        <f t="shared" si="5"/>
        <v>41</v>
      </c>
      <c r="E70" s="1" t="s">
        <v>1042</v>
      </c>
    </row>
    <row r="71" spans="1:5" x14ac:dyDescent="0.35">
      <c r="A71" s="2">
        <v>46303</v>
      </c>
      <c r="B71" s="1" t="s">
        <v>139</v>
      </c>
      <c r="C71" s="1">
        <f t="shared" si="4"/>
        <v>10</v>
      </c>
      <c r="D71" s="1">
        <f t="shared" si="5"/>
        <v>41</v>
      </c>
      <c r="E71" s="1" t="s">
        <v>1042</v>
      </c>
    </row>
    <row r="72" spans="1:5" x14ac:dyDescent="0.35">
      <c r="A72" s="2">
        <v>46304</v>
      </c>
      <c r="B72" s="1" t="s">
        <v>139</v>
      </c>
      <c r="C72" s="1">
        <f t="shared" si="4"/>
        <v>10</v>
      </c>
      <c r="D72" s="1">
        <f t="shared" si="5"/>
        <v>41</v>
      </c>
      <c r="E72" s="1" t="s">
        <v>1042</v>
      </c>
    </row>
    <row r="73" spans="1:5" x14ac:dyDescent="0.35">
      <c r="A73" s="2">
        <v>46304</v>
      </c>
      <c r="B73" s="1" t="s">
        <v>139</v>
      </c>
      <c r="C73" s="1">
        <f t="shared" si="4"/>
        <v>10</v>
      </c>
      <c r="D73" s="1">
        <f t="shared" si="5"/>
        <v>41</v>
      </c>
      <c r="E73" s="1" t="s">
        <v>1042</v>
      </c>
    </row>
    <row r="74" spans="1:5" x14ac:dyDescent="0.35">
      <c r="A74" s="2">
        <v>46308</v>
      </c>
      <c r="B74" s="1" t="s">
        <v>161</v>
      </c>
      <c r="C74" s="1">
        <f t="shared" si="4"/>
        <v>10</v>
      </c>
      <c r="D74" s="1">
        <f t="shared" si="5"/>
        <v>42</v>
      </c>
      <c r="E74" s="1" t="s">
        <v>1042</v>
      </c>
    </row>
    <row r="75" spans="1:5" x14ac:dyDescent="0.35">
      <c r="A75" s="2">
        <v>46309</v>
      </c>
      <c r="B75" s="1" t="s">
        <v>139</v>
      </c>
      <c r="C75" s="1">
        <f t="shared" si="4"/>
        <v>10</v>
      </c>
      <c r="D75" s="1">
        <f t="shared" si="5"/>
        <v>42</v>
      </c>
      <c r="E75" s="1" t="s">
        <v>1042</v>
      </c>
    </row>
    <row r="76" spans="1:5" x14ac:dyDescent="0.35">
      <c r="A76" s="2">
        <v>46310</v>
      </c>
      <c r="B76" s="1" t="s">
        <v>146</v>
      </c>
      <c r="C76" s="1">
        <f t="shared" si="4"/>
        <v>10</v>
      </c>
      <c r="D76" s="1">
        <f t="shared" si="5"/>
        <v>42</v>
      </c>
      <c r="E76" s="1" t="s">
        <v>1042</v>
      </c>
    </row>
    <row r="77" spans="1:5" x14ac:dyDescent="0.35">
      <c r="A77" s="2">
        <v>46311</v>
      </c>
      <c r="B77" s="1" t="s">
        <v>139</v>
      </c>
      <c r="C77" s="1">
        <f t="shared" si="4"/>
        <v>10</v>
      </c>
      <c r="D77" s="1">
        <f t="shared" si="5"/>
        <v>42</v>
      </c>
      <c r="E77" s="1" t="s">
        <v>1042</v>
      </c>
    </row>
    <row r="78" spans="1:5" x14ac:dyDescent="0.35">
      <c r="A78" s="2">
        <v>46311</v>
      </c>
      <c r="B78" s="1" t="s">
        <v>139</v>
      </c>
      <c r="C78" s="1">
        <f t="shared" si="4"/>
        <v>10</v>
      </c>
      <c r="D78" s="1">
        <f t="shared" si="5"/>
        <v>42</v>
      </c>
      <c r="E78" s="1" t="s">
        <v>1042</v>
      </c>
    </row>
    <row r="79" spans="1:5" x14ac:dyDescent="0.35">
      <c r="A79" s="2">
        <v>46315</v>
      </c>
      <c r="B79" s="1" t="s">
        <v>149</v>
      </c>
      <c r="C79" s="1">
        <f t="shared" si="4"/>
        <v>10</v>
      </c>
      <c r="D79" s="1">
        <f t="shared" si="5"/>
        <v>43</v>
      </c>
      <c r="E79" s="1" t="s">
        <v>1042</v>
      </c>
    </row>
    <row r="80" spans="1:5" x14ac:dyDescent="0.35">
      <c r="A80" s="2">
        <v>46315</v>
      </c>
      <c r="B80" s="1" t="s">
        <v>165</v>
      </c>
      <c r="C80" s="1">
        <f t="shared" si="4"/>
        <v>10</v>
      </c>
      <c r="D80" s="1">
        <f t="shared" si="5"/>
        <v>43</v>
      </c>
      <c r="E80" s="1" t="s">
        <v>1042</v>
      </c>
    </row>
    <row r="81" spans="1:5" x14ac:dyDescent="0.35">
      <c r="A81" s="2">
        <v>46317</v>
      </c>
      <c r="B81" s="1" t="s">
        <v>139</v>
      </c>
      <c r="C81" s="1">
        <f>MONTH(A81)</f>
        <v>10</v>
      </c>
      <c r="D81" s="1">
        <f>WEEKNUM(A81)</f>
        <v>43</v>
      </c>
      <c r="E81" s="1" t="s">
        <v>1042</v>
      </c>
    </row>
    <row r="82" spans="1:5" x14ac:dyDescent="0.35">
      <c r="A82" s="2">
        <v>46318</v>
      </c>
      <c r="B82" s="1" t="s">
        <v>139</v>
      </c>
      <c r="C82" s="1">
        <f>MONTH(A82)</f>
        <v>10</v>
      </c>
      <c r="D82" s="1">
        <f>WEEKNUM(A82)</f>
        <v>43</v>
      </c>
      <c r="E82" s="1" t="s">
        <v>1042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10760E-FBD0-445B-B8CC-4995AF8B484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ESTRUTURA_ICOMON</vt:lpstr>
      <vt:lpstr>RIT_ICOMON</vt:lpstr>
      <vt:lpstr>RIT_FUSIONS</vt:lpstr>
      <vt:lpstr>RIT_ACUM</vt:lpstr>
      <vt:lpstr>CHECK_FUSIONS</vt:lpstr>
      <vt:lpstr>CHECK_ACUM</vt:lpstr>
      <vt:lpstr>DEG_REDE</vt:lpstr>
      <vt:lpstr>DEG_ACUM</vt:lpstr>
      <vt:lpstr>CLEAN-UP_ACUM</vt:lpstr>
      <vt:lpstr>FISCALIZAÇÃO</vt:lpstr>
      <vt:lpstr>FISC_ACUM</vt:lpstr>
      <vt:lpstr>SD_7</vt:lpstr>
      <vt:lpstr>SD_ACUM</vt:lpstr>
      <vt:lpstr>FMO</vt:lpstr>
      <vt:lpstr>FMO_ACUM</vt:lpstr>
      <vt:lpstr>LIBERADO COMERCIAL</vt:lpstr>
      <vt:lpstr>CALENDÁRIO</vt:lpstr>
      <vt:lpstr>Acomp_Modernização</vt:lpstr>
      <vt:lpstr>Modernização</vt:lpstr>
    </vt:vector>
  </TitlesOfParts>
  <Company>Vivo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Theogenes Paulo Sestrem Palopoli</dc:creator>
  <cp:lastModifiedBy>Theogenes Paulo Sestrem Palopoli</cp:lastModifiedBy>
  <dcterms:created xsi:type="dcterms:W3CDTF">2026-09-22T12:54:34Z</dcterms:created>
  <dcterms:modified xsi:type="dcterms:W3CDTF">2026-10-29T12:53:34Z</dcterms:modified>
</cp:coreProperties>
</file>